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936FAB4F-5BD4-40AC-9B7A-186C07A3CAD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JMR" sheetId="21" r:id="rId8"/>
    <sheet name="Modelling New" sheetId="20" state="hidden" r:id="rId9"/>
    <sheet name="Inv_SY_Dev" sheetId="7" r:id="rId10"/>
    <sheet name="Basic Data" sheetId="2" state="hidden" r:id="rId11"/>
    <sheet name="Plant BD" sheetId="23" r:id="rId12"/>
    <sheet name="Grid BD" sheetId="24" r:id="rId13"/>
    <sheet name="Curtailment Records" sheetId="22" r:id="rId14"/>
    <sheet name="Mod_CL" sheetId="14" r:id="rId15"/>
    <sheet name="Grass_Cutting" sheetId="15" r:id="rId16"/>
    <sheet name="Spare_Consumable" sheetId="16" r:id="rId17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32" i="14" l="1"/>
  <c r="AI132" i="1"/>
  <c r="AJ132" i="1"/>
  <c r="AK132" i="1"/>
  <c r="AL132" i="1"/>
  <c r="AM132" i="1"/>
  <c r="H131" i="15" l="1"/>
  <c r="C131" i="15" s="1"/>
  <c r="N132" i="15"/>
  <c r="N133" i="15"/>
  <c r="N134" i="15"/>
  <c r="N135" i="15"/>
  <c r="N136" i="15"/>
  <c r="N137" i="15"/>
  <c r="N138" i="15"/>
  <c r="A131" i="15"/>
  <c r="A132" i="15" s="1"/>
  <c r="A133" i="15" s="1"/>
  <c r="A134" i="15" s="1"/>
  <c r="A135" i="15" s="1"/>
  <c r="A136" i="15" s="1"/>
  <c r="A137" i="15" s="1"/>
  <c r="A138" i="15" s="1"/>
  <c r="A131" i="14"/>
  <c r="A132" i="14" s="1"/>
  <c r="A133" i="14" s="1"/>
  <c r="A134" i="14" s="1"/>
  <c r="W131" i="14"/>
  <c r="A127" i="14"/>
  <c r="A128" i="14" s="1"/>
  <c r="A129" i="14" s="1"/>
  <c r="A130" i="14" s="1"/>
  <c r="W126" i="14"/>
  <c r="W127" i="14"/>
  <c r="W128" i="14"/>
  <c r="W129" i="14"/>
  <c r="W130" i="14"/>
  <c r="AJ131" i="1"/>
  <c r="AK131" i="1"/>
  <c r="AL131" i="1"/>
  <c r="AM131" i="1"/>
  <c r="H132" i="15" l="1"/>
  <c r="F131" i="15"/>
  <c r="G131" i="15" s="1"/>
  <c r="AJ130" i="1"/>
  <c r="AK130" i="1"/>
  <c r="AL130" i="1"/>
  <c r="Y130" i="1"/>
  <c r="X130" i="1"/>
  <c r="W130" i="1"/>
  <c r="A45" i="24"/>
  <c r="A44" i="24"/>
  <c r="C45" i="24"/>
  <c r="D45" i="24"/>
  <c r="G45" i="24"/>
  <c r="H45" i="24" s="1"/>
  <c r="I45" i="24"/>
  <c r="J45" i="24"/>
  <c r="M45" i="24"/>
  <c r="AE45" i="24" s="1"/>
  <c r="N45" i="24"/>
  <c r="Y45" i="24"/>
  <c r="Z45" i="24"/>
  <c r="C44" i="24"/>
  <c r="D44" i="24"/>
  <c r="G44" i="24"/>
  <c r="AE44" i="24" s="1"/>
  <c r="H44" i="24"/>
  <c r="I44" i="24"/>
  <c r="J44" i="24"/>
  <c r="M44" i="24"/>
  <c r="N44" i="24"/>
  <c r="Y44" i="24"/>
  <c r="Z44" i="24"/>
  <c r="I53" i="23"/>
  <c r="C53" i="23"/>
  <c r="D53" i="23"/>
  <c r="G53" i="23"/>
  <c r="H53" i="23" s="1"/>
  <c r="J53" i="23"/>
  <c r="U53" i="23"/>
  <c r="V53" i="23"/>
  <c r="AK53" i="23" s="1"/>
  <c r="AG53" i="23"/>
  <c r="AH53" i="23"/>
  <c r="I52" i="23"/>
  <c r="C52" i="23"/>
  <c r="D52" i="23"/>
  <c r="G52" i="23"/>
  <c r="H52" i="23" s="1"/>
  <c r="J52" i="23"/>
  <c r="U52" i="23"/>
  <c r="V52" i="23"/>
  <c r="AG52" i="23"/>
  <c r="AH52" i="23"/>
  <c r="AM52" i="23"/>
  <c r="I51" i="23"/>
  <c r="C51" i="23"/>
  <c r="D51" i="23"/>
  <c r="G51" i="23"/>
  <c r="H51" i="23" s="1"/>
  <c r="J51" i="23"/>
  <c r="U51" i="23"/>
  <c r="V51" i="23"/>
  <c r="AG51" i="23"/>
  <c r="AH51" i="23"/>
  <c r="AJ127" i="1"/>
  <c r="AL127" i="1" s="1"/>
  <c r="AK127" i="1"/>
  <c r="AJ128" i="1"/>
  <c r="AK128" i="1"/>
  <c r="AL128" i="1"/>
  <c r="AJ129" i="1"/>
  <c r="AK129" i="1"/>
  <c r="AL129" i="1"/>
  <c r="C132" i="15" l="1"/>
  <c r="F132" i="15"/>
  <c r="G132" i="15" s="1"/>
  <c r="H133" i="15"/>
  <c r="K52" i="23"/>
  <c r="K51" i="23"/>
  <c r="K53" i="23"/>
  <c r="K45" i="24"/>
  <c r="K44" i="24"/>
  <c r="AC44" i="24"/>
  <c r="AC45" i="24"/>
  <c r="AK52" i="23"/>
  <c r="AM53" i="23"/>
  <c r="AK51" i="23"/>
  <c r="AM51" i="23"/>
  <c r="C133" i="15" l="1"/>
  <c r="F133" i="15"/>
  <c r="G133" i="15" s="1"/>
  <c r="H134" i="15"/>
  <c r="E6" i="21"/>
  <c r="H6" i="21"/>
  <c r="J6" i="21"/>
  <c r="AA127" i="19" s="1"/>
  <c r="AE12" i="24"/>
  <c r="AE28" i="24"/>
  <c r="AE36" i="24"/>
  <c r="N2" i="24"/>
  <c r="N3" i="24"/>
  <c r="N4" i="24"/>
  <c r="N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0" i="24"/>
  <c r="N21" i="24"/>
  <c r="N22" i="24"/>
  <c r="N23" i="24"/>
  <c r="N24" i="24"/>
  <c r="N25" i="24"/>
  <c r="N26" i="24"/>
  <c r="N27" i="24"/>
  <c r="N28" i="24"/>
  <c r="N29" i="24"/>
  <c r="N30" i="24"/>
  <c r="N31" i="24"/>
  <c r="N32" i="24"/>
  <c r="N33" i="24"/>
  <c r="N34" i="24"/>
  <c r="N35" i="24"/>
  <c r="N36" i="24"/>
  <c r="N37" i="24"/>
  <c r="N38" i="24"/>
  <c r="N39" i="24"/>
  <c r="N40" i="24"/>
  <c r="N41" i="24"/>
  <c r="N42" i="24"/>
  <c r="N43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2" i="24"/>
  <c r="J2" i="24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I2" i="24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AM24" i="23"/>
  <c r="AM25" i="23"/>
  <c r="AK25" i="23"/>
  <c r="AK31" i="23"/>
  <c r="AK49" i="23"/>
  <c r="AG2" i="23"/>
  <c r="V2" i="23"/>
  <c r="V3" i="23"/>
  <c r="V4" i="23"/>
  <c r="V5" i="23"/>
  <c r="V6" i="23"/>
  <c r="V7" i="23"/>
  <c r="V8" i="23"/>
  <c r="V9" i="23"/>
  <c r="V10" i="23"/>
  <c r="V11" i="23"/>
  <c r="V12" i="23"/>
  <c r="V13" i="23"/>
  <c r="V14" i="23"/>
  <c r="AK14" i="23" s="1"/>
  <c r="V15" i="23"/>
  <c r="V16" i="23"/>
  <c r="V17" i="23"/>
  <c r="V18" i="23"/>
  <c r="V19" i="23"/>
  <c r="V20" i="23"/>
  <c r="V21" i="23"/>
  <c r="V22" i="23"/>
  <c r="AK22" i="23" s="1"/>
  <c r="V23" i="23"/>
  <c r="V24" i="23"/>
  <c r="AK24" i="23" s="1"/>
  <c r="V25" i="23"/>
  <c r="V26" i="23"/>
  <c r="V27" i="23"/>
  <c r="V28" i="23"/>
  <c r="V29" i="23"/>
  <c r="V30" i="23"/>
  <c r="V31" i="23"/>
  <c r="V32" i="23"/>
  <c r="V33" i="23"/>
  <c r="V34" i="23"/>
  <c r="V35" i="23"/>
  <c r="V36" i="23"/>
  <c r="V37" i="23"/>
  <c r="V38" i="23"/>
  <c r="V39" i="23"/>
  <c r="V40" i="23"/>
  <c r="V41" i="23"/>
  <c r="V42" i="23"/>
  <c r="V43" i="23"/>
  <c r="V44" i="23"/>
  <c r="V45" i="23"/>
  <c r="V46" i="23"/>
  <c r="V47" i="23"/>
  <c r="V48" i="23"/>
  <c r="AK48" i="23" s="1"/>
  <c r="V49" i="23"/>
  <c r="V50" i="23"/>
  <c r="U2" i="23"/>
  <c r="U3" i="23"/>
  <c r="U4" i="23"/>
  <c r="U5" i="23"/>
  <c r="U6" i="23"/>
  <c r="U7" i="23"/>
  <c r="U8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U40" i="23"/>
  <c r="U41" i="23"/>
  <c r="U42" i="23"/>
  <c r="U43" i="23"/>
  <c r="U44" i="23"/>
  <c r="U45" i="23"/>
  <c r="U46" i="23"/>
  <c r="AM46" i="23" s="1"/>
  <c r="U47" i="23"/>
  <c r="AM47" i="23" s="1"/>
  <c r="U48" i="23"/>
  <c r="U49" i="23"/>
  <c r="U50" i="23"/>
  <c r="J2" i="23"/>
  <c r="J3" i="23"/>
  <c r="K3" i="23" s="1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Z43" i="24"/>
  <c r="Y43" i="24"/>
  <c r="G43" i="24"/>
  <c r="AE43" i="24" s="1"/>
  <c r="D43" i="24"/>
  <c r="C43" i="24"/>
  <c r="Z42" i="24"/>
  <c r="Y42" i="24"/>
  <c r="G42" i="24"/>
  <c r="H42" i="24" s="1"/>
  <c r="D42" i="24"/>
  <c r="C42" i="24"/>
  <c r="Z41" i="24"/>
  <c r="Y41" i="24"/>
  <c r="G41" i="24"/>
  <c r="AE41" i="24" s="1"/>
  <c r="D41" i="24"/>
  <c r="C41" i="24"/>
  <c r="Z40" i="24"/>
  <c r="Y40" i="24"/>
  <c r="AC40" i="24" s="1"/>
  <c r="G40" i="24"/>
  <c r="H40" i="24" s="1"/>
  <c r="D40" i="24"/>
  <c r="C40" i="24"/>
  <c r="Z39" i="24"/>
  <c r="Y39" i="24"/>
  <c r="G39" i="24"/>
  <c r="AE39" i="24" s="1"/>
  <c r="D39" i="24"/>
  <c r="C39" i="24"/>
  <c r="Z38" i="24"/>
  <c r="Y38" i="24"/>
  <c r="AC38" i="24"/>
  <c r="H38" i="24"/>
  <c r="G38" i="24"/>
  <c r="AE38" i="24" s="1"/>
  <c r="D38" i="24"/>
  <c r="C38" i="24"/>
  <c r="Z37" i="24"/>
  <c r="Y37" i="24"/>
  <c r="G37" i="24"/>
  <c r="H37" i="24" s="1"/>
  <c r="D37" i="24"/>
  <c r="C37" i="24"/>
  <c r="Z36" i="24"/>
  <c r="Y36" i="24"/>
  <c r="G36" i="24"/>
  <c r="D36" i="24"/>
  <c r="C36" i="24"/>
  <c r="Z35" i="24"/>
  <c r="Y35" i="24"/>
  <c r="AC35" i="24"/>
  <c r="G35" i="24"/>
  <c r="AE35" i="24" s="1"/>
  <c r="D35" i="24"/>
  <c r="C35" i="24"/>
  <c r="Z34" i="24"/>
  <c r="Y34" i="24"/>
  <c r="G34" i="24"/>
  <c r="H34" i="24" s="1"/>
  <c r="D34" i="24"/>
  <c r="C34" i="24"/>
  <c r="Z33" i="24"/>
  <c r="Y33" i="24"/>
  <c r="G33" i="24"/>
  <c r="H33" i="24" s="1"/>
  <c r="D33" i="24"/>
  <c r="C33" i="24"/>
  <c r="Z32" i="24"/>
  <c r="Y32" i="24"/>
  <c r="AC32" i="24" s="1"/>
  <c r="G32" i="24"/>
  <c r="AE32" i="24" s="1"/>
  <c r="D32" i="24"/>
  <c r="C32" i="24"/>
  <c r="Z31" i="24"/>
  <c r="Y31" i="24"/>
  <c r="G31" i="24"/>
  <c r="AE31" i="24" s="1"/>
  <c r="D31" i="24"/>
  <c r="C31" i="24"/>
  <c r="Z30" i="24"/>
  <c r="Y30" i="24"/>
  <c r="G30" i="24"/>
  <c r="AE30" i="24" s="1"/>
  <c r="D30" i="24"/>
  <c r="C30" i="24"/>
  <c r="Z29" i="24"/>
  <c r="Y29" i="24"/>
  <c r="AC29" i="24" s="1"/>
  <c r="G29" i="24"/>
  <c r="AE29" i="24" s="1"/>
  <c r="D29" i="24"/>
  <c r="C29" i="24"/>
  <c r="Z28" i="24"/>
  <c r="Y28" i="24"/>
  <c r="AC28" i="24" s="1"/>
  <c r="G28" i="24"/>
  <c r="H28" i="24" s="1"/>
  <c r="D28" i="24"/>
  <c r="C28" i="24"/>
  <c r="Z27" i="24"/>
  <c r="Y27" i="24"/>
  <c r="G27" i="24"/>
  <c r="AE27" i="24" s="1"/>
  <c r="D27" i="24"/>
  <c r="C27" i="24"/>
  <c r="Z26" i="24"/>
  <c r="Y26" i="24"/>
  <c r="AC26" i="24" s="1"/>
  <c r="G26" i="24"/>
  <c r="AE26" i="24" s="1"/>
  <c r="D26" i="24"/>
  <c r="C26" i="24"/>
  <c r="Z25" i="24"/>
  <c r="Y25" i="24"/>
  <c r="G25" i="24"/>
  <c r="H25" i="24" s="1"/>
  <c r="D25" i="24"/>
  <c r="C25" i="24"/>
  <c r="Z24" i="24"/>
  <c r="Y24" i="24"/>
  <c r="G24" i="24"/>
  <c r="AE24" i="24" s="1"/>
  <c r="D24" i="24"/>
  <c r="C24" i="24"/>
  <c r="Z23" i="24"/>
  <c r="Y23" i="24"/>
  <c r="AC23" i="24" s="1"/>
  <c r="G23" i="24"/>
  <c r="AE23" i="24" s="1"/>
  <c r="D23" i="24"/>
  <c r="C23" i="24"/>
  <c r="Z22" i="24"/>
  <c r="Y22" i="24"/>
  <c r="AC22" i="24" s="1"/>
  <c r="H22" i="24"/>
  <c r="G22" i="24"/>
  <c r="AE22" i="24" s="1"/>
  <c r="D22" i="24"/>
  <c r="C22" i="24"/>
  <c r="Z21" i="24"/>
  <c r="Y21" i="24"/>
  <c r="G21" i="24"/>
  <c r="H21" i="24" s="1"/>
  <c r="D21" i="24"/>
  <c r="C21" i="24"/>
  <c r="Z20" i="24"/>
  <c r="Y20" i="24"/>
  <c r="AC20" i="24" s="1"/>
  <c r="G20" i="24"/>
  <c r="H20" i="24" s="1"/>
  <c r="D20" i="24"/>
  <c r="C20" i="24"/>
  <c r="Z19" i="24"/>
  <c r="Y19" i="24"/>
  <c r="G19" i="24"/>
  <c r="AE19" i="24" s="1"/>
  <c r="D19" i="24"/>
  <c r="C19" i="24"/>
  <c r="Z18" i="24"/>
  <c r="Y18" i="24"/>
  <c r="G18" i="24"/>
  <c r="AE18" i="24" s="1"/>
  <c r="D18" i="24"/>
  <c r="C18" i="24"/>
  <c r="Z17" i="24"/>
  <c r="Y17" i="24"/>
  <c r="AC17" i="24"/>
  <c r="G17" i="24"/>
  <c r="AE17" i="24" s="1"/>
  <c r="D17" i="24"/>
  <c r="C17" i="24"/>
  <c r="Z16" i="24"/>
  <c r="Y16" i="24"/>
  <c r="G16" i="24"/>
  <c r="H16" i="24" s="1"/>
  <c r="D16" i="24"/>
  <c r="C16" i="24"/>
  <c r="Z15" i="24"/>
  <c r="Y15" i="24"/>
  <c r="K15" i="24"/>
  <c r="G15" i="24"/>
  <c r="AE15" i="24" s="1"/>
  <c r="D15" i="24"/>
  <c r="C15" i="24"/>
  <c r="Z14" i="24"/>
  <c r="Y14" i="24"/>
  <c r="G14" i="24"/>
  <c r="AE14" i="24" s="1"/>
  <c r="D14" i="24"/>
  <c r="C14" i="24"/>
  <c r="Z13" i="24"/>
  <c r="Y13" i="24"/>
  <c r="G13" i="24"/>
  <c r="H13" i="24" s="1"/>
  <c r="D13" i="24"/>
  <c r="C13" i="24"/>
  <c r="Z12" i="24"/>
  <c r="Y12" i="24"/>
  <c r="G12" i="24"/>
  <c r="D12" i="24"/>
  <c r="C12" i="24"/>
  <c r="Z11" i="24"/>
  <c r="Y11" i="24"/>
  <c r="AC11" i="24" s="1"/>
  <c r="G11" i="24"/>
  <c r="AE11" i="24" s="1"/>
  <c r="D11" i="24"/>
  <c r="C11" i="24"/>
  <c r="Z10" i="24"/>
  <c r="Y10" i="24"/>
  <c r="G10" i="24"/>
  <c r="H10" i="24" s="1"/>
  <c r="D10" i="24"/>
  <c r="C10" i="24"/>
  <c r="Z9" i="24"/>
  <c r="Y9" i="24"/>
  <c r="G9" i="24"/>
  <c r="H9" i="24" s="1"/>
  <c r="D9" i="24"/>
  <c r="C9" i="24"/>
  <c r="Z8" i="24"/>
  <c r="Y8" i="24"/>
  <c r="AC8" i="24"/>
  <c r="G8" i="24"/>
  <c r="H8" i="24" s="1"/>
  <c r="D8" i="24"/>
  <c r="C8" i="24"/>
  <c r="Z7" i="24"/>
  <c r="Y7" i="24"/>
  <c r="G7" i="24"/>
  <c r="AE7" i="24" s="1"/>
  <c r="D7" i="24"/>
  <c r="C7" i="24"/>
  <c r="Z6" i="24"/>
  <c r="Y6" i="24"/>
  <c r="G6" i="24"/>
  <c r="AE6" i="24" s="1"/>
  <c r="D6" i="24"/>
  <c r="C6" i="24"/>
  <c r="Z5" i="24"/>
  <c r="Y5" i="24"/>
  <c r="AC5" i="24" s="1"/>
  <c r="G5" i="24"/>
  <c r="AE5" i="24" s="1"/>
  <c r="D5" i="24"/>
  <c r="C5" i="24"/>
  <c r="Z4" i="24"/>
  <c r="Y4" i="24"/>
  <c r="AC4" i="24"/>
  <c r="G4" i="24"/>
  <c r="H4" i="24" s="1"/>
  <c r="D4" i="24"/>
  <c r="C4" i="24"/>
  <c r="A4" i="24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Z3" i="24"/>
  <c r="Y3" i="24"/>
  <c r="AC3" i="24" s="1"/>
  <c r="G3" i="24"/>
  <c r="H3" i="24" s="1"/>
  <c r="D3" i="24"/>
  <c r="C3" i="24"/>
  <c r="A3" i="24"/>
  <c r="Z2" i="24"/>
  <c r="Y2" i="24"/>
  <c r="AC2" i="24"/>
  <c r="G2" i="24"/>
  <c r="AE2" i="24" s="1"/>
  <c r="D2" i="24"/>
  <c r="C2" i="24"/>
  <c r="AH50" i="23"/>
  <c r="AK50" i="23" s="1"/>
  <c r="AG50" i="23"/>
  <c r="G50" i="23"/>
  <c r="AM50" i="23" s="1"/>
  <c r="D50" i="23"/>
  <c r="C50" i="23"/>
  <c r="AH49" i="23"/>
  <c r="AG49" i="23"/>
  <c r="G49" i="23"/>
  <c r="H49" i="23" s="1"/>
  <c r="D49" i="23"/>
  <c r="C49" i="23"/>
  <c r="AH48" i="23"/>
  <c r="AG48" i="23"/>
  <c r="G48" i="23"/>
  <c r="H48" i="23" s="1"/>
  <c r="D48" i="23"/>
  <c r="C48" i="23"/>
  <c r="AH47" i="23"/>
  <c r="AK47" i="23" s="1"/>
  <c r="AG47" i="23"/>
  <c r="G47" i="23"/>
  <c r="H47" i="23" s="1"/>
  <c r="D47" i="23"/>
  <c r="C47" i="23"/>
  <c r="AH46" i="23"/>
  <c r="AG46" i="23"/>
  <c r="G46" i="23"/>
  <c r="D46" i="23"/>
  <c r="C46" i="23"/>
  <c r="AH45" i="23"/>
  <c r="AK45" i="23" s="1"/>
  <c r="AG45" i="23"/>
  <c r="G45" i="23"/>
  <c r="D45" i="23"/>
  <c r="C45" i="23"/>
  <c r="AH44" i="23"/>
  <c r="AK44" i="23" s="1"/>
  <c r="AG44" i="23"/>
  <c r="G44" i="23"/>
  <c r="AM44" i="23" s="1"/>
  <c r="D44" i="23"/>
  <c r="C44" i="23"/>
  <c r="AH43" i="23"/>
  <c r="AK43" i="23" s="1"/>
  <c r="AG43" i="23"/>
  <c r="G43" i="23"/>
  <c r="AM43" i="23" s="1"/>
  <c r="D43" i="23"/>
  <c r="C43" i="23"/>
  <c r="AH42" i="23"/>
  <c r="AK42" i="23" s="1"/>
  <c r="AG42" i="23"/>
  <c r="G42" i="23"/>
  <c r="H42" i="23" s="1"/>
  <c r="D42" i="23"/>
  <c r="C42" i="23"/>
  <c r="AH41" i="23"/>
  <c r="AK41" i="23" s="1"/>
  <c r="AG41" i="23"/>
  <c r="G41" i="23"/>
  <c r="AM41" i="23" s="1"/>
  <c r="D41" i="23"/>
  <c r="C41" i="23"/>
  <c r="AH40" i="23"/>
  <c r="AK40" i="23" s="1"/>
  <c r="AG40" i="23"/>
  <c r="G40" i="23"/>
  <c r="H40" i="23" s="1"/>
  <c r="D40" i="23"/>
  <c r="C40" i="23"/>
  <c r="AH39" i="23"/>
  <c r="AK39" i="23" s="1"/>
  <c r="AG39" i="23"/>
  <c r="G39" i="23"/>
  <c r="AM39" i="23" s="1"/>
  <c r="D39" i="23"/>
  <c r="C39" i="23"/>
  <c r="AH38" i="23"/>
  <c r="AG38" i="23"/>
  <c r="G38" i="23"/>
  <c r="H38" i="23" s="1"/>
  <c r="D38" i="23"/>
  <c r="C38" i="23"/>
  <c r="AH37" i="23"/>
  <c r="AK37" i="23" s="1"/>
  <c r="AG37" i="23"/>
  <c r="G37" i="23"/>
  <c r="H37" i="23" s="1"/>
  <c r="D37" i="23"/>
  <c r="C37" i="23"/>
  <c r="AH36" i="23"/>
  <c r="AK36" i="23" s="1"/>
  <c r="AG36" i="23"/>
  <c r="G36" i="23"/>
  <c r="H36" i="23" s="1"/>
  <c r="D36" i="23"/>
  <c r="C36" i="23"/>
  <c r="AH35" i="23"/>
  <c r="AK35" i="23" s="1"/>
  <c r="AG35" i="23"/>
  <c r="G35" i="23"/>
  <c r="H35" i="23" s="1"/>
  <c r="D35" i="23"/>
  <c r="C35" i="23"/>
  <c r="AH34" i="23"/>
  <c r="AK34" i="23" s="1"/>
  <c r="AG34" i="23"/>
  <c r="G34" i="23"/>
  <c r="AM34" i="23" s="1"/>
  <c r="D34" i="23"/>
  <c r="C34" i="23"/>
  <c r="AH33" i="23"/>
  <c r="AK33" i="23" s="1"/>
  <c r="AG33" i="23"/>
  <c r="G33" i="23"/>
  <c r="AM33" i="23" s="1"/>
  <c r="D33" i="23"/>
  <c r="C33" i="23"/>
  <c r="AH32" i="23"/>
  <c r="AK32" i="23" s="1"/>
  <c r="AG32" i="23"/>
  <c r="G32" i="23"/>
  <c r="AM32" i="23" s="1"/>
  <c r="D32" i="23"/>
  <c r="C32" i="23"/>
  <c r="AH31" i="23"/>
  <c r="AG31" i="23"/>
  <c r="G31" i="23"/>
  <c r="AM31" i="23" s="1"/>
  <c r="D31" i="23"/>
  <c r="C31" i="23"/>
  <c r="AH30" i="23"/>
  <c r="AG30" i="23"/>
  <c r="G30" i="23"/>
  <c r="H30" i="23" s="1"/>
  <c r="D30" i="23"/>
  <c r="C30" i="23"/>
  <c r="AH29" i="23"/>
  <c r="AK29" i="23" s="1"/>
  <c r="AG29" i="23"/>
  <c r="G29" i="23"/>
  <c r="D29" i="23"/>
  <c r="C29" i="23"/>
  <c r="AH28" i="23"/>
  <c r="AK28" i="23" s="1"/>
  <c r="AG28" i="23"/>
  <c r="G28" i="23"/>
  <c r="H28" i="23" s="1"/>
  <c r="D28" i="23"/>
  <c r="C28" i="23"/>
  <c r="AH27" i="23"/>
  <c r="AK27" i="23" s="1"/>
  <c r="AG27" i="23"/>
  <c r="G27" i="23"/>
  <c r="AM27" i="23" s="1"/>
  <c r="D27" i="23"/>
  <c r="C27" i="23"/>
  <c r="AH26" i="23"/>
  <c r="AK26" i="23" s="1"/>
  <c r="AG26" i="23"/>
  <c r="G26" i="23"/>
  <c r="AM26" i="23" s="1"/>
  <c r="D26" i="23"/>
  <c r="C26" i="23"/>
  <c r="AH25" i="23"/>
  <c r="AG25" i="23"/>
  <c r="G25" i="23"/>
  <c r="H25" i="23" s="1"/>
  <c r="D25" i="23"/>
  <c r="C25" i="23"/>
  <c r="AH24" i="23"/>
  <c r="AG24" i="23"/>
  <c r="G24" i="23"/>
  <c r="H24" i="23" s="1"/>
  <c r="D24" i="23"/>
  <c r="C24" i="23"/>
  <c r="AH23" i="23"/>
  <c r="AK23" i="23" s="1"/>
  <c r="AG23" i="23"/>
  <c r="G23" i="23"/>
  <c r="H23" i="23" s="1"/>
  <c r="D23" i="23"/>
  <c r="C23" i="23"/>
  <c r="AH22" i="23"/>
  <c r="AG22" i="23"/>
  <c r="G22" i="23"/>
  <c r="D22" i="23"/>
  <c r="C22" i="23"/>
  <c r="AH21" i="23"/>
  <c r="AK21" i="23" s="1"/>
  <c r="AG21" i="23"/>
  <c r="G21" i="23"/>
  <c r="D21" i="23"/>
  <c r="C21" i="23"/>
  <c r="AH20" i="23"/>
  <c r="AK20" i="23" s="1"/>
  <c r="AG20" i="23"/>
  <c r="G20" i="23"/>
  <c r="AM20" i="23" s="1"/>
  <c r="D20" i="23"/>
  <c r="C20" i="23"/>
  <c r="AH19" i="23"/>
  <c r="AK19" i="23" s="1"/>
  <c r="AG19" i="23"/>
  <c r="G19" i="23"/>
  <c r="AM19" i="23" s="1"/>
  <c r="D19" i="23"/>
  <c r="C19" i="23"/>
  <c r="AH18" i="23"/>
  <c r="AK18" i="23" s="1"/>
  <c r="AG18" i="23"/>
  <c r="G18" i="23"/>
  <c r="H18" i="23" s="1"/>
  <c r="D18" i="23"/>
  <c r="C18" i="23"/>
  <c r="AH17" i="23"/>
  <c r="AK17" i="23" s="1"/>
  <c r="AG17" i="23"/>
  <c r="G17" i="23"/>
  <c r="AM17" i="23" s="1"/>
  <c r="D17" i="23"/>
  <c r="C17" i="23"/>
  <c r="AH16" i="23"/>
  <c r="AK16" i="23" s="1"/>
  <c r="AG16" i="23"/>
  <c r="G16" i="23"/>
  <c r="H16" i="23" s="1"/>
  <c r="D16" i="23"/>
  <c r="C16" i="23"/>
  <c r="AH15" i="23"/>
  <c r="AK15" i="23" s="1"/>
  <c r="AG15" i="23"/>
  <c r="G15" i="23"/>
  <c r="AM15" i="23" s="1"/>
  <c r="D15" i="23"/>
  <c r="C15" i="23"/>
  <c r="AH14" i="23"/>
  <c r="AG14" i="23"/>
  <c r="G14" i="23"/>
  <c r="AM14" i="23" s="1"/>
  <c r="D14" i="23"/>
  <c r="C14" i="23"/>
  <c r="AH13" i="23"/>
  <c r="AK13" i="23" s="1"/>
  <c r="AG13" i="23"/>
  <c r="G13" i="23"/>
  <c r="H13" i="23" s="1"/>
  <c r="D13" i="23"/>
  <c r="C13" i="23"/>
  <c r="AH12" i="23"/>
  <c r="AK12" i="23" s="1"/>
  <c r="AG12" i="23"/>
  <c r="G12" i="23"/>
  <c r="H12" i="23" s="1"/>
  <c r="D12" i="23"/>
  <c r="C12" i="23"/>
  <c r="AH11" i="23"/>
  <c r="AK11" i="23" s="1"/>
  <c r="AG11" i="23"/>
  <c r="G11" i="23"/>
  <c r="H11" i="23" s="1"/>
  <c r="D11" i="23"/>
  <c r="C11" i="23"/>
  <c r="AH10" i="23"/>
  <c r="AK10" i="23" s="1"/>
  <c r="AG10" i="23"/>
  <c r="G10" i="23"/>
  <c r="AM10" i="23" s="1"/>
  <c r="D10" i="23"/>
  <c r="C10" i="23"/>
  <c r="AH9" i="23"/>
  <c r="AK9" i="23" s="1"/>
  <c r="AG9" i="23"/>
  <c r="G9" i="23"/>
  <c r="AM9" i="23" s="1"/>
  <c r="D9" i="23"/>
  <c r="C9" i="23"/>
  <c r="AH8" i="23"/>
  <c r="AK8" i="23" s="1"/>
  <c r="AG8" i="23"/>
  <c r="G8" i="23"/>
  <c r="H8" i="23" s="1"/>
  <c r="D8" i="23"/>
  <c r="C8" i="23"/>
  <c r="AH7" i="23"/>
  <c r="AK7" i="23" s="1"/>
  <c r="AG7" i="23"/>
  <c r="G7" i="23"/>
  <c r="AM7" i="23" s="1"/>
  <c r="D7" i="23"/>
  <c r="C7" i="23"/>
  <c r="AH6" i="23"/>
  <c r="AG6" i="23"/>
  <c r="G6" i="23"/>
  <c r="H6" i="23" s="1"/>
  <c r="D6" i="23"/>
  <c r="C6" i="23"/>
  <c r="AH5" i="23"/>
  <c r="AK5" i="23" s="1"/>
  <c r="AG5" i="23"/>
  <c r="G5" i="23"/>
  <c r="H5" i="23" s="1"/>
  <c r="D5" i="23"/>
  <c r="C5" i="23"/>
  <c r="AH4" i="23"/>
  <c r="AK4" i="23" s="1"/>
  <c r="AG4" i="23"/>
  <c r="G4" i="23"/>
  <c r="AM4" i="23" s="1"/>
  <c r="D4" i="23"/>
  <c r="C4" i="23"/>
  <c r="AH3" i="23"/>
  <c r="AK3" i="23" s="1"/>
  <c r="AG3" i="23"/>
  <c r="G3" i="23"/>
  <c r="H3" i="23" s="1"/>
  <c r="D3" i="23"/>
  <c r="C3" i="23"/>
  <c r="A3" i="23"/>
  <c r="A4" i="23" s="1"/>
  <c r="A5" i="23" s="1"/>
  <c r="A6" i="23" s="1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H2" i="23"/>
  <c r="AK2" i="23" s="1"/>
  <c r="G2" i="23"/>
  <c r="AM2" i="23" s="1"/>
  <c r="D2" i="23"/>
  <c r="C2" i="23"/>
  <c r="AT2" i="19"/>
  <c r="AT3" i="19"/>
  <c r="AT4" i="19"/>
  <c r="AT5" i="19"/>
  <c r="AT6" i="19"/>
  <c r="AT7" i="19"/>
  <c r="AT8" i="19"/>
  <c r="AT9" i="19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T48" i="19"/>
  <c r="AT49" i="19"/>
  <c r="AT50" i="19"/>
  <c r="AT51" i="19"/>
  <c r="AT52" i="19"/>
  <c r="AT53" i="19"/>
  <c r="AT54" i="19"/>
  <c r="AT55" i="19"/>
  <c r="AT56" i="19"/>
  <c r="AT57" i="19"/>
  <c r="AT58" i="19"/>
  <c r="AT59" i="19"/>
  <c r="AT60" i="19"/>
  <c r="AT61" i="19"/>
  <c r="AT62" i="19"/>
  <c r="AT63" i="19"/>
  <c r="AT64" i="19"/>
  <c r="AT65" i="19"/>
  <c r="AT66" i="19"/>
  <c r="AT67" i="19"/>
  <c r="AT68" i="19"/>
  <c r="AT69" i="19"/>
  <c r="AT70" i="19"/>
  <c r="AT71" i="19"/>
  <c r="AT72" i="19"/>
  <c r="AT73" i="19"/>
  <c r="AT74" i="19"/>
  <c r="AT75" i="19"/>
  <c r="AT76" i="19"/>
  <c r="AT77" i="19"/>
  <c r="AT78" i="19"/>
  <c r="AT79" i="19"/>
  <c r="AT80" i="19"/>
  <c r="AT81" i="19"/>
  <c r="AT82" i="19"/>
  <c r="AT83" i="19"/>
  <c r="AT84" i="19"/>
  <c r="AT85" i="19"/>
  <c r="AT86" i="19"/>
  <c r="AT87" i="19"/>
  <c r="AT88" i="19"/>
  <c r="AT89" i="19"/>
  <c r="AT90" i="19"/>
  <c r="AT91" i="19"/>
  <c r="AT92" i="19"/>
  <c r="AT93" i="19"/>
  <c r="AT94" i="19"/>
  <c r="AT95" i="19"/>
  <c r="AT96" i="19"/>
  <c r="AT97" i="19"/>
  <c r="AT98" i="19"/>
  <c r="AT99" i="19"/>
  <c r="AT100" i="19"/>
  <c r="AT101" i="19"/>
  <c r="AT102" i="19"/>
  <c r="AT103" i="19"/>
  <c r="AT104" i="19"/>
  <c r="AT105" i="19"/>
  <c r="AT106" i="19"/>
  <c r="AT107" i="19"/>
  <c r="AT108" i="19"/>
  <c r="AT109" i="19"/>
  <c r="AT110" i="19"/>
  <c r="AT111" i="19"/>
  <c r="AT112" i="19"/>
  <c r="AT113" i="19"/>
  <c r="AT114" i="19"/>
  <c r="AT115" i="19"/>
  <c r="AT116" i="19"/>
  <c r="AT117" i="19"/>
  <c r="AT118" i="19"/>
  <c r="AT119" i="19"/>
  <c r="AT120" i="19"/>
  <c r="AT121" i="19"/>
  <c r="AT122" i="19"/>
  <c r="AT123" i="19"/>
  <c r="AT124" i="19"/>
  <c r="AT125" i="19"/>
  <c r="AT126" i="19"/>
  <c r="AT127" i="19"/>
  <c r="AT128" i="19"/>
  <c r="AT129" i="19"/>
  <c r="AT130" i="19"/>
  <c r="AT131" i="19"/>
  <c r="AT132" i="19"/>
  <c r="AT133" i="19"/>
  <c r="AT134" i="19"/>
  <c r="AT135" i="19"/>
  <c r="AT136" i="19"/>
  <c r="AT137" i="19"/>
  <c r="AT138" i="19"/>
  <c r="AT139" i="19"/>
  <c r="AT140" i="19"/>
  <c r="AT141" i="19"/>
  <c r="AT142" i="19"/>
  <c r="AT143" i="19"/>
  <c r="AT144" i="19"/>
  <c r="AT145" i="19"/>
  <c r="AT146" i="19"/>
  <c r="AT147" i="19"/>
  <c r="AT148" i="19"/>
  <c r="AT149" i="19"/>
  <c r="AT150" i="19"/>
  <c r="AT151" i="19"/>
  <c r="AT152" i="19"/>
  <c r="AT153" i="19"/>
  <c r="AT154" i="19"/>
  <c r="AT155" i="19"/>
  <c r="AT156" i="19"/>
  <c r="AT157" i="19"/>
  <c r="AT158" i="19"/>
  <c r="AT159" i="19"/>
  <c r="AT160" i="19"/>
  <c r="AT161" i="19"/>
  <c r="AT162" i="19"/>
  <c r="AT163" i="19"/>
  <c r="AT164" i="19"/>
  <c r="AT165" i="19"/>
  <c r="AT166" i="19"/>
  <c r="AT167" i="19"/>
  <c r="AT168" i="19"/>
  <c r="AT169" i="19"/>
  <c r="AT170" i="19"/>
  <c r="AT171" i="19"/>
  <c r="AT172" i="19"/>
  <c r="AT173" i="19"/>
  <c r="AT174" i="19"/>
  <c r="AT175" i="19"/>
  <c r="AT176" i="19"/>
  <c r="AT177" i="19"/>
  <c r="AT178" i="19"/>
  <c r="AT179" i="19"/>
  <c r="AT180" i="19"/>
  <c r="AT181" i="19"/>
  <c r="AT182" i="19"/>
  <c r="AT183" i="19"/>
  <c r="AT184" i="19"/>
  <c r="AT185" i="19"/>
  <c r="AT186" i="19"/>
  <c r="AT187" i="19"/>
  <c r="AT188" i="19"/>
  <c r="AT189" i="19"/>
  <c r="AT190" i="19"/>
  <c r="AT191" i="19"/>
  <c r="AT192" i="19"/>
  <c r="AT193" i="19"/>
  <c r="AT194" i="19"/>
  <c r="AT195" i="19"/>
  <c r="AT196" i="19"/>
  <c r="AT197" i="19"/>
  <c r="AT198" i="19"/>
  <c r="AT199" i="19"/>
  <c r="AT200" i="19"/>
  <c r="AT201" i="19"/>
  <c r="AT202" i="19"/>
  <c r="AT203" i="19"/>
  <c r="AT204" i="19"/>
  <c r="AT205" i="19"/>
  <c r="AT206" i="19"/>
  <c r="AT207" i="19"/>
  <c r="AT208" i="19"/>
  <c r="AT209" i="19"/>
  <c r="AT210" i="19"/>
  <c r="AT211" i="19"/>
  <c r="AT212" i="19"/>
  <c r="AT213" i="19"/>
  <c r="AT214" i="19"/>
  <c r="AT215" i="19"/>
  <c r="AT216" i="19"/>
  <c r="AT217" i="19"/>
  <c r="AT218" i="19"/>
  <c r="AT219" i="19"/>
  <c r="AT220" i="19"/>
  <c r="AT221" i="19"/>
  <c r="AT222" i="19"/>
  <c r="AT223" i="19"/>
  <c r="AT224" i="19"/>
  <c r="AT225" i="19"/>
  <c r="AT226" i="19"/>
  <c r="AT227" i="19"/>
  <c r="AT228" i="19"/>
  <c r="AT229" i="19"/>
  <c r="AT230" i="19"/>
  <c r="AT231" i="19"/>
  <c r="AT232" i="19"/>
  <c r="AT233" i="19"/>
  <c r="AT234" i="19"/>
  <c r="AT235" i="19"/>
  <c r="AT236" i="19"/>
  <c r="AT237" i="19"/>
  <c r="AT238" i="19"/>
  <c r="AT239" i="19"/>
  <c r="AT240" i="19"/>
  <c r="AT241" i="19"/>
  <c r="AT242" i="19"/>
  <c r="AT243" i="19"/>
  <c r="AT244" i="19"/>
  <c r="AT245" i="19"/>
  <c r="AT246" i="19"/>
  <c r="AT247" i="19"/>
  <c r="AT248" i="19"/>
  <c r="AT249" i="19"/>
  <c r="AT250" i="19"/>
  <c r="AT251" i="19"/>
  <c r="AT252" i="19"/>
  <c r="AT253" i="19"/>
  <c r="AT254" i="19"/>
  <c r="AT255" i="19"/>
  <c r="AT256" i="19"/>
  <c r="AT257" i="19"/>
  <c r="AT258" i="19"/>
  <c r="AT259" i="19"/>
  <c r="AT260" i="19"/>
  <c r="AT261" i="19"/>
  <c r="AT262" i="19"/>
  <c r="AT263" i="19"/>
  <c r="AT264" i="19"/>
  <c r="AT265" i="19"/>
  <c r="AT266" i="19"/>
  <c r="AT267" i="19"/>
  <c r="AT268" i="19"/>
  <c r="AT269" i="19"/>
  <c r="AT270" i="19"/>
  <c r="AT271" i="19"/>
  <c r="AT272" i="19"/>
  <c r="AT273" i="19"/>
  <c r="AT274" i="19"/>
  <c r="AT275" i="19"/>
  <c r="AT276" i="19"/>
  <c r="AT277" i="19"/>
  <c r="AT278" i="19"/>
  <c r="AT279" i="19"/>
  <c r="AT280" i="19"/>
  <c r="AT281" i="19"/>
  <c r="AT282" i="19"/>
  <c r="AT283" i="19"/>
  <c r="AT284" i="19"/>
  <c r="AT285" i="19"/>
  <c r="AT286" i="19"/>
  <c r="AT287" i="19"/>
  <c r="AT288" i="19"/>
  <c r="AT289" i="19"/>
  <c r="AT290" i="19"/>
  <c r="AT291" i="19"/>
  <c r="AT292" i="19"/>
  <c r="AT293" i="19"/>
  <c r="AT294" i="19"/>
  <c r="AT295" i="19"/>
  <c r="AT296" i="19"/>
  <c r="AT297" i="19"/>
  <c r="AT298" i="19"/>
  <c r="AT299" i="19"/>
  <c r="AT300" i="19"/>
  <c r="AT301" i="19"/>
  <c r="AT302" i="19"/>
  <c r="AT303" i="19"/>
  <c r="AT304" i="19"/>
  <c r="AT305" i="19"/>
  <c r="AT306" i="19"/>
  <c r="AT307" i="19"/>
  <c r="AT308" i="19"/>
  <c r="AT309" i="19"/>
  <c r="AT310" i="19"/>
  <c r="AT311" i="19"/>
  <c r="AT312" i="19"/>
  <c r="AT313" i="19"/>
  <c r="AT314" i="19"/>
  <c r="AT315" i="19"/>
  <c r="AT316" i="19"/>
  <c r="AT317" i="19"/>
  <c r="AT318" i="19"/>
  <c r="AT319" i="19"/>
  <c r="AT320" i="19"/>
  <c r="AT321" i="19"/>
  <c r="AT322" i="19"/>
  <c r="AT323" i="19"/>
  <c r="AT324" i="19"/>
  <c r="AT325" i="19"/>
  <c r="AT326" i="19"/>
  <c r="AT327" i="19"/>
  <c r="AT328" i="19"/>
  <c r="AT329" i="19"/>
  <c r="AT330" i="19"/>
  <c r="AT331" i="19"/>
  <c r="AT332" i="19"/>
  <c r="AT333" i="19"/>
  <c r="AT334" i="19"/>
  <c r="AT335" i="19"/>
  <c r="AT336" i="19"/>
  <c r="AT337" i="19"/>
  <c r="AT338" i="19"/>
  <c r="AT339" i="19"/>
  <c r="AT340" i="19"/>
  <c r="AT341" i="19"/>
  <c r="AT342" i="19"/>
  <c r="AT343" i="19"/>
  <c r="AT344" i="19"/>
  <c r="AT345" i="19"/>
  <c r="AT346" i="19"/>
  <c r="AT347" i="19"/>
  <c r="AT348" i="19"/>
  <c r="AT349" i="19"/>
  <c r="AT350" i="19"/>
  <c r="AT351" i="19"/>
  <c r="AT352" i="19"/>
  <c r="AT353" i="19"/>
  <c r="AT354" i="19"/>
  <c r="AT355" i="19"/>
  <c r="AT356" i="19"/>
  <c r="AT357" i="19"/>
  <c r="AT358" i="19"/>
  <c r="AT359" i="19"/>
  <c r="AT360" i="19"/>
  <c r="AT361" i="19"/>
  <c r="AT362" i="19"/>
  <c r="AT363" i="19"/>
  <c r="AT364" i="19"/>
  <c r="AT365" i="19"/>
  <c r="AT366" i="19"/>
  <c r="AT367" i="19"/>
  <c r="AT368" i="19"/>
  <c r="AT369" i="19"/>
  <c r="AA2" i="19"/>
  <c r="AA3" i="19"/>
  <c r="R3" i="19" s="1"/>
  <c r="AA4" i="19"/>
  <c r="AA130" i="19"/>
  <c r="AA131" i="19"/>
  <c r="R131" i="19" s="1"/>
  <c r="AA132" i="19"/>
  <c r="O132" i="19" s="1"/>
  <c r="AA133" i="19"/>
  <c r="R133" i="19" s="1"/>
  <c r="AA134" i="19"/>
  <c r="O134" i="19" s="1"/>
  <c r="AA135" i="19"/>
  <c r="AA136" i="19"/>
  <c r="O136" i="19" s="1"/>
  <c r="AA137" i="19"/>
  <c r="R137" i="19" s="1"/>
  <c r="AA138" i="19"/>
  <c r="AA139" i="19"/>
  <c r="R139" i="19" s="1"/>
  <c r="AA140" i="19"/>
  <c r="O140" i="19" s="1"/>
  <c r="AA141" i="19"/>
  <c r="R141" i="19" s="1"/>
  <c r="AA142" i="19"/>
  <c r="O142" i="19" s="1"/>
  <c r="AA143" i="19"/>
  <c r="AA144" i="19"/>
  <c r="R144" i="19" s="1"/>
  <c r="AA145" i="19"/>
  <c r="R145" i="19" s="1"/>
  <c r="AA146" i="19"/>
  <c r="AA147" i="19"/>
  <c r="R147" i="19" s="1"/>
  <c r="AA148" i="19"/>
  <c r="O148" i="19" s="1"/>
  <c r="AA149" i="19"/>
  <c r="R149" i="19" s="1"/>
  <c r="AA150" i="19"/>
  <c r="O150" i="19" s="1"/>
  <c r="AA151" i="19"/>
  <c r="AA152" i="19"/>
  <c r="O152" i="19" s="1"/>
  <c r="AA153" i="19"/>
  <c r="R153" i="19" s="1"/>
  <c r="AA154" i="19"/>
  <c r="AA155" i="19"/>
  <c r="R155" i="19" s="1"/>
  <c r="AA156" i="19"/>
  <c r="O156" i="19" s="1"/>
  <c r="AA157" i="19"/>
  <c r="R157" i="19" s="1"/>
  <c r="AA158" i="19"/>
  <c r="O158" i="19" s="1"/>
  <c r="AA159" i="19"/>
  <c r="AA160" i="19"/>
  <c r="R160" i="19" s="1"/>
  <c r="AA161" i="19"/>
  <c r="R161" i="19" s="1"/>
  <c r="AA162" i="19"/>
  <c r="AA163" i="19"/>
  <c r="R163" i="19" s="1"/>
  <c r="AA164" i="19"/>
  <c r="O164" i="19" s="1"/>
  <c r="AA165" i="19"/>
  <c r="R165" i="19" s="1"/>
  <c r="AA166" i="19"/>
  <c r="O166" i="19" s="1"/>
  <c r="AA167" i="19"/>
  <c r="AA168" i="19"/>
  <c r="O168" i="19" s="1"/>
  <c r="AA169" i="19"/>
  <c r="R169" i="19" s="1"/>
  <c r="AA170" i="19"/>
  <c r="AA171" i="19"/>
  <c r="R171" i="19" s="1"/>
  <c r="AA172" i="19"/>
  <c r="O172" i="19" s="1"/>
  <c r="AA173" i="19"/>
  <c r="R173" i="19" s="1"/>
  <c r="AA174" i="19"/>
  <c r="O174" i="19" s="1"/>
  <c r="AA175" i="19"/>
  <c r="AA176" i="19"/>
  <c r="R176" i="19" s="1"/>
  <c r="AA177" i="19"/>
  <c r="R177" i="19" s="1"/>
  <c r="AA178" i="19"/>
  <c r="AA179" i="19"/>
  <c r="R179" i="19" s="1"/>
  <c r="AA180" i="19"/>
  <c r="O180" i="19" s="1"/>
  <c r="AA181" i="19"/>
  <c r="R181" i="19" s="1"/>
  <c r="AA182" i="19"/>
  <c r="O182" i="19" s="1"/>
  <c r="AA183" i="19"/>
  <c r="AA184" i="19"/>
  <c r="O184" i="19" s="1"/>
  <c r="AA185" i="19"/>
  <c r="R185" i="19" s="1"/>
  <c r="AA186" i="19"/>
  <c r="AA187" i="19"/>
  <c r="R187" i="19" s="1"/>
  <c r="AA188" i="19"/>
  <c r="O188" i="19" s="1"/>
  <c r="AA189" i="19"/>
  <c r="R189" i="19" s="1"/>
  <c r="AA190" i="19"/>
  <c r="O190" i="19" s="1"/>
  <c r="AA191" i="19"/>
  <c r="AA192" i="19"/>
  <c r="R192" i="19" s="1"/>
  <c r="AA193" i="19"/>
  <c r="R193" i="19" s="1"/>
  <c r="AA194" i="19"/>
  <c r="AA195" i="19"/>
  <c r="R195" i="19" s="1"/>
  <c r="AA196" i="19"/>
  <c r="O196" i="19" s="1"/>
  <c r="AA197" i="19"/>
  <c r="R197" i="19" s="1"/>
  <c r="AA198" i="19"/>
  <c r="O198" i="19" s="1"/>
  <c r="AA199" i="19"/>
  <c r="AA200" i="19"/>
  <c r="O200" i="19" s="1"/>
  <c r="AA201" i="19"/>
  <c r="R201" i="19" s="1"/>
  <c r="AA202" i="19"/>
  <c r="AA203" i="19"/>
  <c r="R203" i="19" s="1"/>
  <c r="AA204" i="19"/>
  <c r="O204" i="19" s="1"/>
  <c r="AA205" i="19"/>
  <c r="R205" i="19" s="1"/>
  <c r="AA206" i="19"/>
  <c r="O206" i="19" s="1"/>
  <c r="AA207" i="19"/>
  <c r="AA208" i="19"/>
  <c r="R208" i="19" s="1"/>
  <c r="AA209" i="19"/>
  <c r="R209" i="19" s="1"/>
  <c r="AA210" i="19"/>
  <c r="AA211" i="19"/>
  <c r="R211" i="19" s="1"/>
  <c r="AA212" i="19"/>
  <c r="O212" i="19" s="1"/>
  <c r="AA213" i="19"/>
  <c r="R213" i="19" s="1"/>
  <c r="AA214" i="19"/>
  <c r="O214" i="19" s="1"/>
  <c r="AA215" i="19"/>
  <c r="AA216" i="19"/>
  <c r="O216" i="19" s="1"/>
  <c r="AA217" i="19"/>
  <c r="R217" i="19" s="1"/>
  <c r="AA218" i="19"/>
  <c r="AA219" i="19"/>
  <c r="R219" i="19" s="1"/>
  <c r="AA220" i="19"/>
  <c r="O220" i="19" s="1"/>
  <c r="AA221" i="19"/>
  <c r="R221" i="19" s="1"/>
  <c r="AA222" i="19"/>
  <c r="O222" i="19" s="1"/>
  <c r="AA223" i="19"/>
  <c r="AA224" i="19"/>
  <c r="R224" i="19" s="1"/>
  <c r="AA225" i="19"/>
  <c r="R225" i="19" s="1"/>
  <c r="AA226" i="19"/>
  <c r="AA227" i="19"/>
  <c r="R227" i="19" s="1"/>
  <c r="AA228" i="19"/>
  <c r="O228" i="19" s="1"/>
  <c r="AA229" i="19"/>
  <c r="R229" i="19" s="1"/>
  <c r="AA230" i="19"/>
  <c r="O230" i="19" s="1"/>
  <c r="AA231" i="19"/>
  <c r="AA232" i="19"/>
  <c r="O232" i="19" s="1"/>
  <c r="AA233" i="19"/>
  <c r="R233" i="19" s="1"/>
  <c r="AA234" i="19"/>
  <c r="AA235" i="19"/>
  <c r="R235" i="19" s="1"/>
  <c r="AA236" i="19"/>
  <c r="O236" i="19" s="1"/>
  <c r="AA237" i="19"/>
  <c r="R237" i="19" s="1"/>
  <c r="AA238" i="19"/>
  <c r="O238" i="19" s="1"/>
  <c r="AA239" i="19"/>
  <c r="AA240" i="19"/>
  <c r="R240" i="19" s="1"/>
  <c r="AA241" i="19"/>
  <c r="R241" i="19" s="1"/>
  <c r="AA242" i="19"/>
  <c r="AA243" i="19"/>
  <c r="R243" i="19" s="1"/>
  <c r="AA244" i="19"/>
  <c r="O244" i="19" s="1"/>
  <c r="AA245" i="19"/>
  <c r="R245" i="19" s="1"/>
  <c r="AA246" i="19"/>
  <c r="O246" i="19" s="1"/>
  <c r="AA247" i="19"/>
  <c r="AA248" i="19"/>
  <c r="O248" i="19" s="1"/>
  <c r="AA249" i="19"/>
  <c r="R249" i="19" s="1"/>
  <c r="AA250" i="19"/>
  <c r="AA251" i="19"/>
  <c r="R251" i="19" s="1"/>
  <c r="AA252" i="19"/>
  <c r="O252" i="19" s="1"/>
  <c r="AA253" i="19"/>
  <c r="R253" i="19" s="1"/>
  <c r="AA254" i="19"/>
  <c r="O254" i="19" s="1"/>
  <c r="AA255" i="19"/>
  <c r="AA256" i="19"/>
  <c r="R256" i="19" s="1"/>
  <c r="AA257" i="19"/>
  <c r="R257" i="19" s="1"/>
  <c r="AA258" i="19"/>
  <c r="AA259" i="19"/>
  <c r="R259" i="19" s="1"/>
  <c r="AA260" i="19"/>
  <c r="O260" i="19" s="1"/>
  <c r="AA261" i="19"/>
  <c r="R261" i="19" s="1"/>
  <c r="AA262" i="19"/>
  <c r="O262" i="19" s="1"/>
  <c r="AA263" i="19"/>
  <c r="AA264" i="19"/>
  <c r="O264" i="19" s="1"/>
  <c r="AA265" i="19"/>
  <c r="R265" i="19" s="1"/>
  <c r="AA266" i="19"/>
  <c r="AA267" i="19"/>
  <c r="R267" i="19" s="1"/>
  <c r="AA268" i="19"/>
  <c r="O268" i="19" s="1"/>
  <c r="AA269" i="19"/>
  <c r="R269" i="19" s="1"/>
  <c r="AA270" i="19"/>
  <c r="O270" i="19" s="1"/>
  <c r="AA271" i="19"/>
  <c r="AA272" i="19"/>
  <c r="R272" i="19" s="1"/>
  <c r="AA273" i="19"/>
  <c r="R273" i="19" s="1"/>
  <c r="AA274" i="19"/>
  <c r="AA275" i="19"/>
  <c r="R275" i="19" s="1"/>
  <c r="AA276" i="19"/>
  <c r="O276" i="19" s="1"/>
  <c r="AA277" i="19"/>
  <c r="R277" i="19" s="1"/>
  <c r="AA278" i="19"/>
  <c r="O278" i="19" s="1"/>
  <c r="AA279" i="19"/>
  <c r="AA280" i="19"/>
  <c r="O280" i="19" s="1"/>
  <c r="AA281" i="19"/>
  <c r="R281" i="19" s="1"/>
  <c r="AA282" i="19"/>
  <c r="AA283" i="19"/>
  <c r="R283" i="19" s="1"/>
  <c r="AA284" i="19"/>
  <c r="O284" i="19" s="1"/>
  <c r="AA285" i="19"/>
  <c r="R285" i="19" s="1"/>
  <c r="AA286" i="19"/>
  <c r="O286" i="19" s="1"/>
  <c r="AA287" i="19"/>
  <c r="AA288" i="19"/>
  <c r="R288" i="19" s="1"/>
  <c r="AA289" i="19"/>
  <c r="R289" i="19" s="1"/>
  <c r="AA290" i="19"/>
  <c r="AA291" i="19"/>
  <c r="R291" i="19" s="1"/>
  <c r="AA292" i="19"/>
  <c r="O292" i="19" s="1"/>
  <c r="AA293" i="19"/>
  <c r="R293" i="19" s="1"/>
  <c r="AA294" i="19"/>
  <c r="O294" i="19" s="1"/>
  <c r="AA295" i="19"/>
  <c r="AA296" i="19"/>
  <c r="O296" i="19" s="1"/>
  <c r="AA297" i="19"/>
  <c r="R297" i="19" s="1"/>
  <c r="AA298" i="19"/>
  <c r="AA299" i="19"/>
  <c r="R299" i="19" s="1"/>
  <c r="AA300" i="19"/>
  <c r="O300" i="19" s="1"/>
  <c r="AA301" i="19"/>
  <c r="R301" i="19" s="1"/>
  <c r="AA302" i="19"/>
  <c r="O302" i="19" s="1"/>
  <c r="AA303" i="19"/>
  <c r="AA304" i="19"/>
  <c r="R304" i="19" s="1"/>
  <c r="AA305" i="19"/>
  <c r="R305" i="19" s="1"/>
  <c r="AA306" i="19"/>
  <c r="AA307" i="19"/>
  <c r="R307" i="19" s="1"/>
  <c r="AA308" i="19"/>
  <c r="O308" i="19" s="1"/>
  <c r="AA309" i="19"/>
  <c r="R309" i="19" s="1"/>
  <c r="AA310" i="19"/>
  <c r="O310" i="19" s="1"/>
  <c r="AA311" i="19"/>
  <c r="AA312" i="19"/>
  <c r="O312" i="19" s="1"/>
  <c r="AA313" i="19"/>
  <c r="R313" i="19" s="1"/>
  <c r="AA314" i="19"/>
  <c r="R314" i="19" s="1"/>
  <c r="AA315" i="19"/>
  <c r="R315" i="19" s="1"/>
  <c r="AA316" i="19"/>
  <c r="R316" i="19" s="1"/>
  <c r="AA317" i="19"/>
  <c r="R317" i="19" s="1"/>
  <c r="AA318" i="19"/>
  <c r="R318" i="19" s="1"/>
  <c r="AA319" i="19"/>
  <c r="R319" i="19" s="1"/>
  <c r="AA320" i="19"/>
  <c r="O320" i="19" s="1"/>
  <c r="AA321" i="19"/>
  <c r="R321" i="19" s="1"/>
  <c r="AA322" i="19"/>
  <c r="R322" i="19" s="1"/>
  <c r="AA323" i="19"/>
  <c r="R323" i="19" s="1"/>
  <c r="AA324" i="19"/>
  <c r="R324" i="19" s="1"/>
  <c r="AA325" i="19"/>
  <c r="R325" i="19" s="1"/>
  <c r="AA326" i="19"/>
  <c r="R326" i="19" s="1"/>
  <c r="AA327" i="19"/>
  <c r="R327" i="19" s="1"/>
  <c r="AA328" i="19"/>
  <c r="O328" i="19" s="1"/>
  <c r="AA329" i="19"/>
  <c r="R329" i="19" s="1"/>
  <c r="AA330" i="19"/>
  <c r="R330" i="19" s="1"/>
  <c r="AA331" i="19"/>
  <c r="R331" i="19" s="1"/>
  <c r="AA332" i="19"/>
  <c r="R332" i="19" s="1"/>
  <c r="AA333" i="19"/>
  <c r="R333" i="19" s="1"/>
  <c r="AA334" i="19"/>
  <c r="R334" i="19" s="1"/>
  <c r="AA335" i="19"/>
  <c r="R335" i="19" s="1"/>
  <c r="AA336" i="19"/>
  <c r="O336" i="19" s="1"/>
  <c r="AA337" i="19"/>
  <c r="R337" i="19" s="1"/>
  <c r="AA338" i="19"/>
  <c r="R338" i="19" s="1"/>
  <c r="AA339" i="19"/>
  <c r="R339" i="19" s="1"/>
  <c r="AA340" i="19"/>
  <c r="R340" i="19" s="1"/>
  <c r="AA341" i="19"/>
  <c r="R341" i="19" s="1"/>
  <c r="AA342" i="19"/>
  <c r="R342" i="19" s="1"/>
  <c r="AA343" i="19"/>
  <c r="R343" i="19" s="1"/>
  <c r="AA344" i="19"/>
  <c r="O344" i="19" s="1"/>
  <c r="AA345" i="19"/>
  <c r="R345" i="19" s="1"/>
  <c r="AA346" i="19"/>
  <c r="R346" i="19" s="1"/>
  <c r="AA347" i="19"/>
  <c r="R347" i="19" s="1"/>
  <c r="AA348" i="19"/>
  <c r="R348" i="19" s="1"/>
  <c r="AA349" i="19"/>
  <c r="R349" i="19" s="1"/>
  <c r="AA350" i="19"/>
  <c r="R350" i="19" s="1"/>
  <c r="AA351" i="19"/>
  <c r="R351" i="19" s="1"/>
  <c r="AA352" i="19"/>
  <c r="O352" i="19" s="1"/>
  <c r="AA353" i="19"/>
  <c r="R353" i="19" s="1"/>
  <c r="AA354" i="19"/>
  <c r="R354" i="19" s="1"/>
  <c r="AA355" i="19"/>
  <c r="R355" i="19" s="1"/>
  <c r="AA356" i="19"/>
  <c r="R356" i="19" s="1"/>
  <c r="AA357" i="19"/>
  <c r="R357" i="19" s="1"/>
  <c r="AA358" i="19"/>
  <c r="R358" i="19" s="1"/>
  <c r="AA359" i="19"/>
  <c r="R359" i="19" s="1"/>
  <c r="AA360" i="19"/>
  <c r="O360" i="19" s="1"/>
  <c r="AA361" i="19"/>
  <c r="R361" i="19" s="1"/>
  <c r="AA362" i="19"/>
  <c r="R362" i="19" s="1"/>
  <c r="AA363" i="19"/>
  <c r="R363" i="19" s="1"/>
  <c r="AA364" i="19"/>
  <c r="R364" i="19" s="1"/>
  <c r="AA365" i="19"/>
  <c r="R365" i="19" s="1"/>
  <c r="AA366" i="19"/>
  <c r="R366" i="19" s="1"/>
  <c r="AA367" i="19"/>
  <c r="R367" i="19" s="1"/>
  <c r="AA368" i="19"/>
  <c r="O368" i="19" s="1"/>
  <c r="AA369" i="19"/>
  <c r="R369" i="19" s="1"/>
  <c r="AV2" i="19"/>
  <c r="AV3" i="19"/>
  <c r="AV4" i="19"/>
  <c r="AV5" i="19"/>
  <c r="AV6" i="19"/>
  <c r="AV7" i="19"/>
  <c r="AV8" i="19"/>
  <c r="AV9" i="19"/>
  <c r="AV10" i="19"/>
  <c r="AV11" i="19"/>
  <c r="AV12" i="19"/>
  <c r="AV13" i="19"/>
  <c r="AV14" i="19"/>
  <c r="AV15" i="19"/>
  <c r="AV16" i="19"/>
  <c r="AV17" i="19"/>
  <c r="AV18" i="19"/>
  <c r="AV19" i="19"/>
  <c r="AV20" i="19"/>
  <c r="AV21" i="19"/>
  <c r="AV22" i="19"/>
  <c r="AV23" i="19"/>
  <c r="AV24" i="19"/>
  <c r="AV25" i="19"/>
  <c r="AV26" i="19"/>
  <c r="AV27" i="19"/>
  <c r="AV28" i="19"/>
  <c r="AV29" i="19"/>
  <c r="AV30" i="19"/>
  <c r="AV31" i="19"/>
  <c r="AV32" i="19"/>
  <c r="AV33" i="19"/>
  <c r="AV34" i="19"/>
  <c r="AV35" i="19"/>
  <c r="AV36" i="19"/>
  <c r="AV37" i="19"/>
  <c r="AV38" i="19"/>
  <c r="AV39" i="19"/>
  <c r="AV40" i="19"/>
  <c r="AV41" i="19"/>
  <c r="AV42" i="19"/>
  <c r="AV43" i="19"/>
  <c r="AV44" i="19"/>
  <c r="AV45" i="19"/>
  <c r="AV46" i="19"/>
  <c r="AV47" i="19"/>
  <c r="AV48" i="19"/>
  <c r="AV49" i="19"/>
  <c r="AV50" i="19"/>
  <c r="AV51" i="19"/>
  <c r="AV52" i="19"/>
  <c r="AV53" i="19"/>
  <c r="AV54" i="19"/>
  <c r="AV55" i="19"/>
  <c r="AV56" i="19"/>
  <c r="AV57" i="19"/>
  <c r="AV58" i="19"/>
  <c r="AV59" i="19"/>
  <c r="AV60" i="19"/>
  <c r="AV61" i="19"/>
  <c r="AV62" i="19"/>
  <c r="AV63" i="19"/>
  <c r="AV64" i="19"/>
  <c r="AV65" i="19"/>
  <c r="AV66" i="19"/>
  <c r="AV67" i="19"/>
  <c r="AV68" i="19"/>
  <c r="AV69" i="19"/>
  <c r="AV70" i="19"/>
  <c r="AV71" i="19"/>
  <c r="AV72" i="19"/>
  <c r="AV73" i="19"/>
  <c r="AV74" i="19"/>
  <c r="AV75" i="19"/>
  <c r="AV76" i="19"/>
  <c r="AV77" i="19"/>
  <c r="AV78" i="19"/>
  <c r="AV79" i="19"/>
  <c r="AV80" i="19"/>
  <c r="AV81" i="19"/>
  <c r="AV82" i="19"/>
  <c r="AV83" i="19"/>
  <c r="AV84" i="19"/>
  <c r="AV85" i="19"/>
  <c r="AV86" i="19"/>
  <c r="AV87" i="19"/>
  <c r="AV88" i="19"/>
  <c r="AV89" i="19"/>
  <c r="AV90" i="19"/>
  <c r="AV91" i="19"/>
  <c r="AV92" i="19"/>
  <c r="AV93" i="19"/>
  <c r="AV94" i="19"/>
  <c r="AV95" i="19"/>
  <c r="AV96" i="19"/>
  <c r="AV97" i="19"/>
  <c r="AV98" i="19"/>
  <c r="AV99" i="19"/>
  <c r="AV100" i="19"/>
  <c r="AV101" i="19"/>
  <c r="AV102" i="19"/>
  <c r="AV103" i="19"/>
  <c r="AV104" i="19"/>
  <c r="AV105" i="19"/>
  <c r="AV106" i="19"/>
  <c r="AV107" i="19"/>
  <c r="AV108" i="19"/>
  <c r="AV109" i="19"/>
  <c r="AV110" i="19"/>
  <c r="AV111" i="19"/>
  <c r="AV112" i="19"/>
  <c r="AV113" i="19"/>
  <c r="AV114" i="19"/>
  <c r="AV115" i="19"/>
  <c r="AV116" i="19"/>
  <c r="AV117" i="19"/>
  <c r="AV118" i="19"/>
  <c r="AV119" i="19"/>
  <c r="AV120" i="19"/>
  <c r="AV121" i="19"/>
  <c r="AV122" i="19"/>
  <c r="AV123" i="19"/>
  <c r="AV124" i="19"/>
  <c r="AV125" i="19"/>
  <c r="AV126" i="19"/>
  <c r="AV127" i="19"/>
  <c r="AV128" i="19"/>
  <c r="AV129" i="19"/>
  <c r="AV130" i="19"/>
  <c r="AV131" i="19"/>
  <c r="AV132" i="19"/>
  <c r="AV133" i="19"/>
  <c r="AV134" i="19"/>
  <c r="AV135" i="19"/>
  <c r="AV136" i="19"/>
  <c r="AV137" i="19"/>
  <c r="AV138" i="19"/>
  <c r="AV139" i="19"/>
  <c r="AV140" i="19"/>
  <c r="AV141" i="19"/>
  <c r="AV142" i="19"/>
  <c r="AV143" i="19"/>
  <c r="AV144" i="19"/>
  <c r="AV145" i="19"/>
  <c r="AV146" i="19"/>
  <c r="AV147" i="19"/>
  <c r="AV148" i="19"/>
  <c r="AV149" i="19"/>
  <c r="AV150" i="19"/>
  <c r="AV151" i="19"/>
  <c r="AV152" i="19"/>
  <c r="AV153" i="19"/>
  <c r="AV154" i="19"/>
  <c r="AV155" i="19"/>
  <c r="AV156" i="19"/>
  <c r="AV157" i="19"/>
  <c r="AV158" i="19"/>
  <c r="AV159" i="19"/>
  <c r="AV160" i="19"/>
  <c r="AV161" i="19"/>
  <c r="AV162" i="19"/>
  <c r="AV163" i="19"/>
  <c r="AV164" i="19"/>
  <c r="AV165" i="19"/>
  <c r="AV166" i="19"/>
  <c r="AV167" i="19"/>
  <c r="AV168" i="19"/>
  <c r="AV169" i="19"/>
  <c r="AV170" i="19"/>
  <c r="AV171" i="19"/>
  <c r="AV172" i="19"/>
  <c r="AV173" i="19"/>
  <c r="AV174" i="19"/>
  <c r="AV175" i="19"/>
  <c r="AV176" i="19"/>
  <c r="AV177" i="19"/>
  <c r="AV178" i="19"/>
  <c r="AV179" i="19"/>
  <c r="AV180" i="19"/>
  <c r="AV181" i="19"/>
  <c r="AV182" i="19"/>
  <c r="AV183" i="19"/>
  <c r="AV184" i="19"/>
  <c r="AV185" i="19"/>
  <c r="AV186" i="19"/>
  <c r="AV187" i="19"/>
  <c r="AV188" i="19"/>
  <c r="AV189" i="19"/>
  <c r="AV190" i="19"/>
  <c r="AV191" i="19"/>
  <c r="AV192" i="19"/>
  <c r="AV193" i="19"/>
  <c r="AV194" i="19"/>
  <c r="AV195" i="19"/>
  <c r="AV196" i="19"/>
  <c r="AV197" i="19"/>
  <c r="AV198" i="19"/>
  <c r="AV199" i="19"/>
  <c r="AV200" i="19"/>
  <c r="AV201" i="19"/>
  <c r="AV202" i="19"/>
  <c r="AV203" i="19"/>
  <c r="AV204" i="19"/>
  <c r="AV205" i="19"/>
  <c r="AV206" i="19"/>
  <c r="AV207" i="19"/>
  <c r="AV208" i="19"/>
  <c r="AV209" i="19"/>
  <c r="AV210" i="19"/>
  <c r="AV211" i="19"/>
  <c r="AV212" i="19"/>
  <c r="AV213" i="19"/>
  <c r="AV214" i="19"/>
  <c r="AV215" i="19"/>
  <c r="AV216" i="19"/>
  <c r="AV217" i="19"/>
  <c r="AV218" i="19"/>
  <c r="AV219" i="19"/>
  <c r="AV220" i="19"/>
  <c r="AV221" i="19"/>
  <c r="AV222" i="19"/>
  <c r="AV223" i="19"/>
  <c r="AV224" i="19"/>
  <c r="AV225" i="19"/>
  <c r="AV226" i="19"/>
  <c r="AV227" i="19"/>
  <c r="AV228" i="19"/>
  <c r="AV229" i="19"/>
  <c r="AV230" i="19"/>
  <c r="AV231" i="19"/>
  <c r="AV232" i="19"/>
  <c r="AV233" i="19"/>
  <c r="AV234" i="19"/>
  <c r="AV235" i="19"/>
  <c r="AV236" i="19"/>
  <c r="AV237" i="19"/>
  <c r="AV238" i="19"/>
  <c r="AV239" i="19"/>
  <c r="AV240" i="19"/>
  <c r="AV241" i="19"/>
  <c r="AV242" i="19"/>
  <c r="AV243" i="19"/>
  <c r="AV244" i="19"/>
  <c r="AV245" i="19"/>
  <c r="AV246" i="19"/>
  <c r="AV247" i="19"/>
  <c r="AV248" i="19"/>
  <c r="AV249" i="19"/>
  <c r="AV250" i="19"/>
  <c r="AV251" i="19"/>
  <c r="AV252" i="19"/>
  <c r="AV253" i="19"/>
  <c r="AV254" i="19"/>
  <c r="AV255" i="19"/>
  <c r="AV256" i="19"/>
  <c r="AV257" i="19"/>
  <c r="AV258" i="19"/>
  <c r="AV259" i="19"/>
  <c r="AV260" i="19"/>
  <c r="AV261" i="19"/>
  <c r="AV262" i="19"/>
  <c r="AV263" i="19"/>
  <c r="AV264" i="19"/>
  <c r="AV265" i="19"/>
  <c r="AV266" i="19"/>
  <c r="AV267" i="19"/>
  <c r="AV268" i="19"/>
  <c r="AV269" i="19"/>
  <c r="AV270" i="19"/>
  <c r="AV271" i="19"/>
  <c r="AV272" i="19"/>
  <c r="AV273" i="19"/>
  <c r="AV274" i="19"/>
  <c r="AV275" i="19"/>
  <c r="AV276" i="19"/>
  <c r="AV277" i="19"/>
  <c r="AV278" i="19"/>
  <c r="AV279" i="19"/>
  <c r="AV280" i="19"/>
  <c r="AV281" i="19"/>
  <c r="AV282" i="19"/>
  <c r="AV283" i="19"/>
  <c r="AV284" i="19"/>
  <c r="AV285" i="19"/>
  <c r="AV286" i="19"/>
  <c r="AV287" i="19"/>
  <c r="AV288" i="19"/>
  <c r="AV289" i="19"/>
  <c r="AV290" i="19"/>
  <c r="AV291" i="19"/>
  <c r="AV292" i="19"/>
  <c r="AV293" i="19"/>
  <c r="AV294" i="19"/>
  <c r="AV295" i="19"/>
  <c r="AV296" i="19"/>
  <c r="AV297" i="19"/>
  <c r="AV298" i="19"/>
  <c r="AV299" i="19"/>
  <c r="AV300" i="19"/>
  <c r="AV301" i="19"/>
  <c r="AV302" i="19"/>
  <c r="AV303" i="19"/>
  <c r="AV304" i="19"/>
  <c r="AV305" i="19"/>
  <c r="AV306" i="19"/>
  <c r="AV307" i="19"/>
  <c r="AV308" i="19"/>
  <c r="AV309" i="19"/>
  <c r="AV310" i="19"/>
  <c r="AV311" i="19"/>
  <c r="AV312" i="19"/>
  <c r="AV313" i="19"/>
  <c r="AV314" i="19"/>
  <c r="AV315" i="19"/>
  <c r="AV316" i="19"/>
  <c r="AV317" i="19"/>
  <c r="AV318" i="19"/>
  <c r="AV319" i="19"/>
  <c r="AV320" i="19"/>
  <c r="AV321" i="19"/>
  <c r="AV322" i="19"/>
  <c r="AV323" i="19"/>
  <c r="AV324" i="19"/>
  <c r="AV325" i="19"/>
  <c r="AV326" i="19"/>
  <c r="AV327" i="19"/>
  <c r="AV328" i="19"/>
  <c r="AV329" i="19"/>
  <c r="AV330" i="19"/>
  <c r="AV331" i="19"/>
  <c r="AV332" i="19"/>
  <c r="AV333" i="19"/>
  <c r="AV334" i="19"/>
  <c r="AV335" i="19"/>
  <c r="AV336" i="19"/>
  <c r="AV337" i="19"/>
  <c r="AV338" i="19"/>
  <c r="AV339" i="19"/>
  <c r="AV340" i="19"/>
  <c r="AV341" i="19"/>
  <c r="AV342" i="19"/>
  <c r="AV343" i="19"/>
  <c r="AV344" i="19"/>
  <c r="AV345" i="19"/>
  <c r="AV346" i="19"/>
  <c r="AV347" i="19"/>
  <c r="AV348" i="19"/>
  <c r="AV349" i="19"/>
  <c r="AV350" i="19"/>
  <c r="AV351" i="19"/>
  <c r="AV352" i="19"/>
  <c r="AV353" i="19"/>
  <c r="AV354" i="19"/>
  <c r="AV355" i="19"/>
  <c r="AV356" i="19"/>
  <c r="AV357" i="19"/>
  <c r="AV358" i="19"/>
  <c r="AV359" i="19"/>
  <c r="AV360" i="19"/>
  <c r="AV361" i="19"/>
  <c r="AV362" i="19"/>
  <c r="AV363" i="19"/>
  <c r="AV364" i="19"/>
  <c r="AV365" i="19"/>
  <c r="AV366" i="19"/>
  <c r="AV367" i="19"/>
  <c r="AV368" i="19"/>
  <c r="AV369" i="19"/>
  <c r="R5" i="22"/>
  <c r="O5" i="22"/>
  <c r="J5" i="22"/>
  <c r="K5" i="22" s="1"/>
  <c r="B5" i="22"/>
  <c r="R4" i="22"/>
  <c r="O4" i="22"/>
  <c r="J4" i="22"/>
  <c r="K4" i="22" s="1"/>
  <c r="B4" i="22"/>
  <c r="R3" i="22"/>
  <c r="O3" i="22"/>
  <c r="J3" i="22"/>
  <c r="K3" i="22" s="1"/>
  <c r="B3" i="22"/>
  <c r="R2" i="22"/>
  <c r="O2" i="22"/>
  <c r="J2" i="22"/>
  <c r="K2" i="22" s="1"/>
  <c r="B2" i="22"/>
  <c r="H2" i="21"/>
  <c r="H3" i="21"/>
  <c r="H4" i="21"/>
  <c r="H5" i="21"/>
  <c r="J5" i="21"/>
  <c r="AA100" i="19" s="1"/>
  <c r="E5" i="21"/>
  <c r="J4" i="21"/>
  <c r="AA68" i="19" s="1"/>
  <c r="E4" i="21"/>
  <c r="J3" i="21"/>
  <c r="AA36" i="19" s="1"/>
  <c r="E3" i="21"/>
  <c r="J2" i="21"/>
  <c r="AA12" i="19" s="1"/>
  <c r="E2" i="21"/>
  <c r="AU2" i="19"/>
  <c r="AU3" i="19"/>
  <c r="AU4" i="19"/>
  <c r="AU5" i="19"/>
  <c r="AU6" i="19"/>
  <c r="AU7" i="19"/>
  <c r="AU8" i="19"/>
  <c r="AU9" i="19"/>
  <c r="AU10" i="19"/>
  <c r="AU11" i="19"/>
  <c r="AU12" i="19"/>
  <c r="AU13" i="19"/>
  <c r="AU14" i="19"/>
  <c r="AU15" i="19"/>
  <c r="AU16" i="19"/>
  <c r="AU17" i="19"/>
  <c r="AU18" i="19"/>
  <c r="AU19" i="19"/>
  <c r="AU20" i="19"/>
  <c r="AU21" i="19"/>
  <c r="AU22" i="19"/>
  <c r="AU23" i="19"/>
  <c r="AU24" i="19"/>
  <c r="AU25" i="19"/>
  <c r="AU26" i="19"/>
  <c r="AU27" i="19"/>
  <c r="AU28" i="19"/>
  <c r="AU29" i="19"/>
  <c r="AU30" i="19"/>
  <c r="AU31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U45" i="19"/>
  <c r="AU46" i="19"/>
  <c r="AU47" i="19"/>
  <c r="AU48" i="19"/>
  <c r="AU49" i="19"/>
  <c r="AU50" i="19"/>
  <c r="AU51" i="19"/>
  <c r="AU52" i="19"/>
  <c r="AU53" i="19"/>
  <c r="AU54" i="19"/>
  <c r="AU55" i="19"/>
  <c r="AU56" i="19"/>
  <c r="AU57" i="19"/>
  <c r="AU58" i="19"/>
  <c r="AU59" i="19"/>
  <c r="AU60" i="19"/>
  <c r="AU61" i="19"/>
  <c r="AU62" i="19"/>
  <c r="AU63" i="19"/>
  <c r="AU64" i="19"/>
  <c r="AU65" i="19"/>
  <c r="AU66" i="19"/>
  <c r="AU67" i="19"/>
  <c r="AU68" i="19"/>
  <c r="AU69" i="19"/>
  <c r="AU70" i="19"/>
  <c r="AU71" i="19"/>
  <c r="AU72" i="19"/>
  <c r="AU73" i="19"/>
  <c r="AU74" i="19"/>
  <c r="AU75" i="19"/>
  <c r="AU76" i="19"/>
  <c r="AU77" i="19"/>
  <c r="AU78" i="19"/>
  <c r="AU79" i="19"/>
  <c r="AU80" i="19"/>
  <c r="AU81" i="19"/>
  <c r="AU82" i="19"/>
  <c r="AU83" i="19"/>
  <c r="AU84" i="19"/>
  <c r="AU85" i="19"/>
  <c r="AU86" i="19"/>
  <c r="AU87" i="19"/>
  <c r="AU88" i="19"/>
  <c r="AU89" i="19"/>
  <c r="AU90" i="19"/>
  <c r="AU91" i="19"/>
  <c r="AU92" i="19"/>
  <c r="AU93" i="19"/>
  <c r="AU94" i="19"/>
  <c r="AU95" i="19"/>
  <c r="AU96" i="19"/>
  <c r="AU97" i="19"/>
  <c r="AU98" i="19"/>
  <c r="AU99" i="19"/>
  <c r="AU100" i="19"/>
  <c r="AU101" i="19"/>
  <c r="AU102" i="19"/>
  <c r="AU103" i="19"/>
  <c r="AU104" i="19"/>
  <c r="AU105" i="19"/>
  <c r="AU106" i="19"/>
  <c r="AU107" i="19"/>
  <c r="AU108" i="19"/>
  <c r="AU109" i="19"/>
  <c r="AU110" i="19"/>
  <c r="AU111" i="19"/>
  <c r="AU112" i="19"/>
  <c r="AU113" i="19"/>
  <c r="AU114" i="19"/>
  <c r="AU115" i="19"/>
  <c r="AU116" i="19"/>
  <c r="AU117" i="19"/>
  <c r="AU118" i="19"/>
  <c r="AU119" i="19"/>
  <c r="AU120" i="19"/>
  <c r="AU121" i="19"/>
  <c r="AU122" i="19"/>
  <c r="AU123" i="19"/>
  <c r="AU124" i="19"/>
  <c r="AU125" i="19"/>
  <c r="AU126" i="19"/>
  <c r="AU127" i="19"/>
  <c r="AU128" i="19"/>
  <c r="AU129" i="19"/>
  <c r="AU130" i="19"/>
  <c r="AU131" i="19"/>
  <c r="AU132" i="19"/>
  <c r="AU133" i="19"/>
  <c r="AU134" i="19"/>
  <c r="AU135" i="19"/>
  <c r="AU136" i="19"/>
  <c r="AU137" i="19"/>
  <c r="AU138" i="19"/>
  <c r="AU139" i="19"/>
  <c r="AU140" i="19"/>
  <c r="AU141" i="19"/>
  <c r="AU142" i="19"/>
  <c r="AU143" i="19"/>
  <c r="AU144" i="19"/>
  <c r="AU145" i="19"/>
  <c r="AU146" i="19"/>
  <c r="AU147" i="19"/>
  <c r="AU148" i="19"/>
  <c r="AU149" i="19"/>
  <c r="AU150" i="19"/>
  <c r="AU151" i="19"/>
  <c r="AU152" i="19"/>
  <c r="AU153" i="19"/>
  <c r="AU154" i="19"/>
  <c r="AU155" i="19"/>
  <c r="AU156" i="19"/>
  <c r="AU157" i="19"/>
  <c r="AU158" i="19"/>
  <c r="AU159" i="19"/>
  <c r="AU160" i="19"/>
  <c r="AU161" i="19"/>
  <c r="AU162" i="19"/>
  <c r="AU163" i="19"/>
  <c r="AU164" i="19"/>
  <c r="AU165" i="19"/>
  <c r="AU166" i="19"/>
  <c r="AU167" i="19"/>
  <c r="AU168" i="19"/>
  <c r="AU169" i="19"/>
  <c r="AU170" i="19"/>
  <c r="AU171" i="19"/>
  <c r="AU172" i="19"/>
  <c r="AU173" i="19"/>
  <c r="AU174" i="19"/>
  <c r="AU175" i="19"/>
  <c r="AU176" i="19"/>
  <c r="AU177" i="19"/>
  <c r="AU178" i="19"/>
  <c r="AU179" i="19"/>
  <c r="AU180" i="19"/>
  <c r="AU181" i="19"/>
  <c r="AU182" i="19"/>
  <c r="AU183" i="19"/>
  <c r="AU184" i="19"/>
  <c r="AU185" i="19"/>
  <c r="AU186" i="19"/>
  <c r="AU187" i="19"/>
  <c r="AU188" i="19"/>
  <c r="AU189" i="19"/>
  <c r="AU190" i="19"/>
  <c r="AU191" i="19"/>
  <c r="AU192" i="19"/>
  <c r="AU193" i="19"/>
  <c r="AU194" i="19"/>
  <c r="AU195" i="19"/>
  <c r="AU196" i="19"/>
  <c r="AU197" i="19"/>
  <c r="AU198" i="19"/>
  <c r="AU199" i="19"/>
  <c r="AU200" i="19"/>
  <c r="AU201" i="19"/>
  <c r="AU202" i="19"/>
  <c r="AU203" i="19"/>
  <c r="AU204" i="19"/>
  <c r="AU205" i="19"/>
  <c r="AU206" i="19"/>
  <c r="AU207" i="19"/>
  <c r="AU208" i="19"/>
  <c r="AU209" i="19"/>
  <c r="AU210" i="19"/>
  <c r="AU211" i="19"/>
  <c r="AU212" i="19"/>
  <c r="AU213" i="19"/>
  <c r="AU214" i="19"/>
  <c r="AU215" i="19"/>
  <c r="AU216" i="19"/>
  <c r="AU217" i="19"/>
  <c r="AU218" i="19"/>
  <c r="AU219" i="19"/>
  <c r="AU220" i="19"/>
  <c r="AU221" i="19"/>
  <c r="AU222" i="19"/>
  <c r="AU223" i="19"/>
  <c r="AU224" i="19"/>
  <c r="AU225" i="19"/>
  <c r="AU226" i="19"/>
  <c r="AU227" i="19"/>
  <c r="AU228" i="19"/>
  <c r="AU229" i="19"/>
  <c r="AU230" i="19"/>
  <c r="AU231" i="19"/>
  <c r="AU232" i="19"/>
  <c r="AU233" i="19"/>
  <c r="AU234" i="19"/>
  <c r="AU235" i="19"/>
  <c r="AU236" i="19"/>
  <c r="AU237" i="19"/>
  <c r="AU238" i="19"/>
  <c r="AU239" i="19"/>
  <c r="AU240" i="19"/>
  <c r="AU241" i="19"/>
  <c r="AU242" i="19"/>
  <c r="AU243" i="19"/>
  <c r="AU244" i="19"/>
  <c r="AU245" i="19"/>
  <c r="AU246" i="19"/>
  <c r="AU247" i="19"/>
  <c r="AU248" i="19"/>
  <c r="AU249" i="19"/>
  <c r="AU250" i="19"/>
  <c r="AU251" i="19"/>
  <c r="AU252" i="19"/>
  <c r="AU253" i="19"/>
  <c r="AU254" i="19"/>
  <c r="AU255" i="19"/>
  <c r="AU256" i="19"/>
  <c r="AU257" i="19"/>
  <c r="AU258" i="19"/>
  <c r="AU259" i="19"/>
  <c r="AU260" i="19"/>
  <c r="AU261" i="19"/>
  <c r="AU262" i="19"/>
  <c r="AU263" i="19"/>
  <c r="AU264" i="19"/>
  <c r="AU265" i="19"/>
  <c r="AU266" i="19"/>
  <c r="AU267" i="19"/>
  <c r="AU268" i="19"/>
  <c r="AU269" i="19"/>
  <c r="AU270" i="19"/>
  <c r="AU271" i="19"/>
  <c r="AU272" i="19"/>
  <c r="AU273" i="19"/>
  <c r="AU274" i="19"/>
  <c r="AU275" i="19"/>
  <c r="AU276" i="19"/>
  <c r="AU277" i="19"/>
  <c r="AU278" i="19"/>
  <c r="AU279" i="19"/>
  <c r="AU280" i="19"/>
  <c r="AU281" i="19"/>
  <c r="AU282" i="19"/>
  <c r="AU283" i="19"/>
  <c r="AU284" i="19"/>
  <c r="AU285" i="19"/>
  <c r="AU286" i="19"/>
  <c r="AU287" i="19"/>
  <c r="AU288" i="19"/>
  <c r="AU289" i="19"/>
  <c r="AU290" i="19"/>
  <c r="AU291" i="19"/>
  <c r="AU292" i="19"/>
  <c r="AU293" i="19"/>
  <c r="AU294" i="19"/>
  <c r="AU295" i="19"/>
  <c r="AU296" i="19"/>
  <c r="AU297" i="19"/>
  <c r="AU298" i="19"/>
  <c r="AU299" i="19"/>
  <c r="AU300" i="19"/>
  <c r="AU301" i="19"/>
  <c r="AU302" i="19"/>
  <c r="AU303" i="19"/>
  <c r="AU304" i="19"/>
  <c r="AU305" i="19"/>
  <c r="AU306" i="19"/>
  <c r="AU307" i="19"/>
  <c r="AU308" i="19"/>
  <c r="AU309" i="19"/>
  <c r="AU310" i="19"/>
  <c r="AU311" i="19"/>
  <c r="AU312" i="19"/>
  <c r="AU313" i="19"/>
  <c r="AU314" i="19"/>
  <c r="AU315" i="19"/>
  <c r="AU316" i="19"/>
  <c r="AU317" i="19"/>
  <c r="AU318" i="19"/>
  <c r="AU319" i="19"/>
  <c r="AU320" i="19"/>
  <c r="AU321" i="19"/>
  <c r="AU322" i="19"/>
  <c r="AU323" i="19"/>
  <c r="AU324" i="19"/>
  <c r="AU325" i="19"/>
  <c r="AU326" i="19"/>
  <c r="AU327" i="19"/>
  <c r="AU328" i="19"/>
  <c r="AU329" i="19"/>
  <c r="AU330" i="19"/>
  <c r="AU331" i="19"/>
  <c r="AU332" i="19"/>
  <c r="AU333" i="19"/>
  <c r="AU334" i="19"/>
  <c r="AU335" i="19"/>
  <c r="AU336" i="19"/>
  <c r="AU337" i="19"/>
  <c r="AU338" i="19"/>
  <c r="AU339" i="19"/>
  <c r="AU340" i="19"/>
  <c r="AU341" i="19"/>
  <c r="AU342" i="19"/>
  <c r="AU343" i="19"/>
  <c r="AU344" i="19"/>
  <c r="AU345" i="19"/>
  <c r="AU346" i="19"/>
  <c r="AU347" i="19"/>
  <c r="AU348" i="19"/>
  <c r="AU349" i="19"/>
  <c r="AU350" i="19"/>
  <c r="AU351" i="19"/>
  <c r="AU352" i="19"/>
  <c r="AU353" i="19"/>
  <c r="AU354" i="19"/>
  <c r="AU355" i="19"/>
  <c r="AU356" i="19"/>
  <c r="AU357" i="19"/>
  <c r="AU358" i="19"/>
  <c r="AU359" i="19"/>
  <c r="AU360" i="19"/>
  <c r="AU361" i="19"/>
  <c r="AU362" i="19"/>
  <c r="AU363" i="19"/>
  <c r="AU364" i="19"/>
  <c r="AU365" i="19"/>
  <c r="AU366" i="19"/>
  <c r="AU367" i="19"/>
  <c r="AU368" i="19"/>
  <c r="AU369" i="19"/>
  <c r="J125" i="7"/>
  <c r="K125" i="7"/>
  <c r="L125" i="7"/>
  <c r="M125" i="7"/>
  <c r="N125" i="7"/>
  <c r="O125" i="7"/>
  <c r="P125" i="7"/>
  <c r="Q125" i="7"/>
  <c r="R125" i="7"/>
  <c r="S125" i="7"/>
  <c r="T125" i="7"/>
  <c r="U125" i="7"/>
  <c r="AH125" i="7"/>
  <c r="AI125" i="7"/>
  <c r="AJ125" i="7"/>
  <c r="N126" i="7"/>
  <c r="O126" i="7"/>
  <c r="AH126" i="7"/>
  <c r="AI126" i="7"/>
  <c r="B38" i="16"/>
  <c r="C38" i="16"/>
  <c r="F38" i="16"/>
  <c r="B39" i="16"/>
  <c r="C39" i="16"/>
  <c r="F39" i="16"/>
  <c r="B40" i="16"/>
  <c r="C40" i="16"/>
  <c r="F40" i="16"/>
  <c r="H40" i="16"/>
  <c r="G40" i="16"/>
  <c r="H39" i="16"/>
  <c r="G39" i="16"/>
  <c r="H38" i="16"/>
  <c r="G38" i="16"/>
  <c r="AI127" i="1"/>
  <c r="AM127" i="1"/>
  <c r="I127" i="6"/>
  <c r="J127" i="6"/>
  <c r="K127" i="6"/>
  <c r="L127" i="6"/>
  <c r="AA127" i="6" s="1"/>
  <c r="M127" i="6"/>
  <c r="N127" i="6"/>
  <c r="O127" i="6"/>
  <c r="P127" i="6"/>
  <c r="Q127" i="6"/>
  <c r="R127" i="6"/>
  <c r="S127" i="6"/>
  <c r="T127" i="6"/>
  <c r="U127" i="6"/>
  <c r="V127" i="6"/>
  <c r="W127" i="6"/>
  <c r="X127" i="6"/>
  <c r="Z127" i="6" s="1"/>
  <c r="V125" i="7" s="1"/>
  <c r="I128" i="6"/>
  <c r="J128" i="6"/>
  <c r="K128" i="6"/>
  <c r="K126" i="7" s="1"/>
  <c r="L128" i="6"/>
  <c r="L126" i="7" s="1"/>
  <c r="M128" i="6"/>
  <c r="M126" i="7" s="1"/>
  <c r="N128" i="6"/>
  <c r="O128" i="6"/>
  <c r="P128" i="6"/>
  <c r="P126" i="7" s="1"/>
  <c r="Q128" i="6"/>
  <c r="Q126" i="7" s="1"/>
  <c r="R128" i="6"/>
  <c r="S128" i="6"/>
  <c r="S126" i="7" s="1"/>
  <c r="T128" i="6"/>
  <c r="T126" i="7" s="1"/>
  <c r="U128" i="6"/>
  <c r="U126" i="7" s="1"/>
  <c r="V128" i="6"/>
  <c r="Y128" i="6" s="1"/>
  <c r="J126" i="7" s="1"/>
  <c r="W128" i="6"/>
  <c r="X128" i="6"/>
  <c r="AJ126" i="7" s="1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Z129" i="6" s="1"/>
  <c r="V127" i="7" s="1"/>
  <c r="X129" i="6"/>
  <c r="I130" i="6"/>
  <c r="J130" i="6"/>
  <c r="K130" i="6"/>
  <c r="L130" i="6"/>
  <c r="AA130" i="6" s="1"/>
  <c r="M130" i="6"/>
  <c r="N130" i="6"/>
  <c r="O130" i="6"/>
  <c r="P130" i="6"/>
  <c r="Q130" i="6"/>
  <c r="R130" i="6"/>
  <c r="S130" i="6"/>
  <c r="T130" i="6"/>
  <c r="U130" i="6"/>
  <c r="V130" i="6"/>
  <c r="W130" i="6"/>
  <c r="X130" i="6"/>
  <c r="AB130" i="6"/>
  <c r="I131" i="6"/>
  <c r="J131" i="6"/>
  <c r="J129" i="7" s="1"/>
  <c r="K131" i="6"/>
  <c r="K129" i="7" s="1"/>
  <c r="L131" i="6"/>
  <c r="M131" i="6"/>
  <c r="AB131" i="6" s="1"/>
  <c r="N131" i="6"/>
  <c r="N129" i="7" s="1"/>
  <c r="O131" i="6"/>
  <c r="O129" i="7" s="1"/>
  <c r="P131" i="6"/>
  <c r="Q131" i="6"/>
  <c r="Q129" i="7" s="1"/>
  <c r="R131" i="6"/>
  <c r="R129" i="7" s="1"/>
  <c r="S131" i="6"/>
  <c r="S129" i="7" s="1"/>
  <c r="T131" i="6"/>
  <c r="U131" i="6"/>
  <c r="U129" i="7" s="1"/>
  <c r="V131" i="6"/>
  <c r="AH129" i="7" s="1"/>
  <c r="W131" i="6"/>
  <c r="AI129" i="7" s="1"/>
  <c r="X131" i="6"/>
  <c r="Z131" i="6" s="1"/>
  <c r="V129" i="7" s="1"/>
  <c r="Y131" i="6"/>
  <c r="L129" i="7" s="1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I133" i="6"/>
  <c r="J133" i="6"/>
  <c r="AB133" i="6" s="1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Z133" i="6" s="1"/>
  <c r="X133" i="6"/>
  <c r="AA133" i="6"/>
  <c r="I134" i="6"/>
  <c r="J134" i="6"/>
  <c r="K134" i="6"/>
  <c r="L134" i="6"/>
  <c r="AA134" i="6" s="1"/>
  <c r="M134" i="6"/>
  <c r="N134" i="6"/>
  <c r="O134" i="6"/>
  <c r="P134" i="6"/>
  <c r="Q134" i="6"/>
  <c r="R134" i="6"/>
  <c r="S134" i="6"/>
  <c r="T134" i="6"/>
  <c r="U134" i="6"/>
  <c r="V134" i="6"/>
  <c r="W134" i="6"/>
  <c r="Y134" i="6" s="1"/>
  <c r="X134" i="6"/>
  <c r="AB134" i="6"/>
  <c r="I135" i="6"/>
  <c r="J135" i="6"/>
  <c r="K135" i="6"/>
  <c r="L135" i="6"/>
  <c r="AA135" i="6" s="1"/>
  <c r="M135" i="6"/>
  <c r="AB135" i="6" s="1"/>
  <c r="N135" i="6"/>
  <c r="O135" i="6"/>
  <c r="P135" i="6"/>
  <c r="Q135" i="6"/>
  <c r="R135" i="6"/>
  <c r="S135" i="6"/>
  <c r="T135" i="6"/>
  <c r="U135" i="6"/>
  <c r="V135" i="6"/>
  <c r="W135" i="6"/>
  <c r="X135" i="6"/>
  <c r="Z135" i="6" s="1"/>
  <c r="Y135" i="6"/>
  <c r="I136" i="6"/>
  <c r="J136" i="6"/>
  <c r="AA136" i="6" s="1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Z136" i="6"/>
  <c r="I137" i="6"/>
  <c r="J137" i="6"/>
  <c r="AB137" i="6" s="1"/>
  <c r="K137" i="6"/>
  <c r="L137" i="6"/>
  <c r="M137" i="6"/>
  <c r="N137" i="6"/>
  <c r="O137" i="6"/>
  <c r="P137" i="6"/>
  <c r="Q137" i="6"/>
  <c r="R137" i="6"/>
  <c r="S137" i="6"/>
  <c r="T137" i="6"/>
  <c r="U137" i="6"/>
  <c r="V137" i="6"/>
  <c r="Y137" i="6" s="1"/>
  <c r="W137" i="6"/>
  <c r="Z137" i="6" s="1"/>
  <c r="X137" i="6"/>
  <c r="AA137" i="6"/>
  <c r="AI125" i="1"/>
  <c r="AI126" i="1"/>
  <c r="AJ126" i="1"/>
  <c r="AK126" i="1"/>
  <c r="AL126" i="1"/>
  <c r="AM126" i="1"/>
  <c r="A125" i="15"/>
  <c r="A126" i="15" s="1"/>
  <c r="A127" i="15" s="1"/>
  <c r="A128" i="15" s="1"/>
  <c r="A129" i="15" s="1"/>
  <c r="A130" i="15" s="1"/>
  <c r="C125" i="15"/>
  <c r="C126" i="15"/>
  <c r="C127" i="15"/>
  <c r="C128" i="15"/>
  <c r="C129" i="15"/>
  <c r="C130" i="15"/>
  <c r="F125" i="15"/>
  <c r="G125" i="15" s="1"/>
  <c r="F126" i="15"/>
  <c r="F127" i="15"/>
  <c r="F128" i="15"/>
  <c r="G128" i="15" s="1"/>
  <c r="F129" i="15"/>
  <c r="G129" i="15" s="1"/>
  <c r="F130" i="15"/>
  <c r="G126" i="15"/>
  <c r="G127" i="15"/>
  <c r="G130" i="15"/>
  <c r="N125" i="15"/>
  <c r="N126" i="15"/>
  <c r="H125" i="15"/>
  <c r="H126" i="15" s="1"/>
  <c r="H127" i="15" s="1"/>
  <c r="H128" i="15" s="1"/>
  <c r="H129" i="15" s="1"/>
  <c r="H130" i="15" s="1"/>
  <c r="W125" i="14"/>
  <c r="C124" i="15"/>
  <c r="F124" i="15"/>
  <c r="G124" i="15" s="1"/>
  <c r="H124" i="15"/>
  <c r="N124" i="15"/>
  <c r="W124" i="14"/>
  <c r="A123" i="14"/>
  <c r="A124" i="14"/>
  <c r="A125" i="14" s="1"/>
  <c r="A126" i="14" s="1"/>
  <c r="AJ125" i="1"/>
  <c r="AK125" i="1"/>
  <c r="AL125" i="1"/>
  <c r="AM125" i="1"/>
  <c r="W122" i="14"/>
  <c r="W123" i="14"/>
  <c r="AI124" i="1"/>
  <c r="AJ124" i="1"/>
  <c r="AK124" i="1"/>
  <c r="AL124" i="1"/>
  <c r="AM124" i="1"/>
  <c r="AI123" i="1"/>
  <c r="AJ123" i="1"/>
  <c r="AL123" i="1" s="1"/>
  <c r="AK123" i="1"/>
  <c r="AM123" i="1"/>
  <c r="H135" i="15" l="1"/>
  <c r="F134" i="15"/>
  <c r="G134" i="15" s="1"/>
  <c r="C134" i="15"/>
  <c r="Y132" i="6"/>
  <c r="O130" i="7" s="1"/>
  <c r="K130" i="7"/>
  <c r="AH130" i="7"/>
  <c r="Z132" i="6"/>
  <c r="AB130" i="7" s="1"/>
  <c r="M130" i="7"/>
  <c r="AJ130" i="7"/>
  <c r="R130" i="7"/>
  <c r="U130" i="7"/>
  <c r="T130" i="7"/>
  <c r="P130" i="7"/>
  <c r="AI130" i="7"/>
  <c r="AA132" i="6"/>
  <c r="AD130" i="7"/>
  <c r="T129" i="7"/>
  <c r="AA131" i="6"/>
  <c r="AJ129" i="7"/>
  <c r="P129" i="7"/>
  <c r="M129" i="7"/>
  <c r="K31" i="23"/>
  <c r="K23" i="23"/>
  <c r="K15" i="23"/>
  <c r="Y130" i="6"/>
  <c r="K128" i="7" s="1"/>
  <c r="AJ128" i="7"/>
  <c r="N128" i="7"/>
  <c r="K16" i="23"/>
  <c r="K14" i="24"/>
  <c r="AE20" i="24"/>
  <c r="AE4" i="24"/>
  <c r="H14" i="24"/>
  <c r="AE3" i="24"/>
  <c r="H23" i="24"/>
  <c r="AE42" i="24"/>
  <c r="AE34" i="24"/>
  <c r="AE10" i="24"/>
  <c r="AC34" i="24"/>
  <c r="AE33" i="24"/>
  <c r="AE25" i="24"/>
  <c r="AE9" i="24"/>
  <c r="AE40" i="24"/>
  <c r="AE16" i="24"/>
  <c r="AE8" i="24"/>
  <c r="AC10" i="24"/>
  <c r="AC13" i="24"/>
  <c r="H30" i="24"/>
  <c r="AC42" i="24"/>
  <c r="AE37" i="24"/>
  <c r="AE21" i="24"/>
  <c r="AE13" i="24"/>
  <c r="AK6" i="23"/>
  <c r="K43" i="23"/>
  <c r="K35" i="23"/>
  <c r="K19" i="23"/>
  <c r="AM16" i="23"/>
  <c r="AK30" i="23"/>
  <c r="AK38" i="23"/>
  <c r="AK46" i="23"/>
  <c r="K40" i="23"/>
  <c r="K8" i="23"/>
  <c r="K50" i="23"/>
  <c r="AM38" i="23"/>
  <c r="AM22" i="23"/>
  <c r="O12" i="19" s="1"/>
  <c r="AM21" i="23"/>
  <c r="AM29" i="23"/>
  <c r="AM45" i="23"/>
  <c r="K46" i="23"/>
  <c r="K22" i="23"/>
  <c r="AM8" i="23"/>
  <c r="K28" i="23"/>
  <c r="AM49" i="23"/>
  <c r="AM30" i="23"/>
  <c r="AM48" i="23"/>
  <c r="K34" i="23"/>
  <c r="K10" i="23"/>
  <c r="AM23" i="23"/>
  <c r="H50" i="23"/>
  <c r="AM37" i="23"/>
  <c r="AM13" i="23"/>
  <c r="AM5" i="23"/>
  <c r="AM40" i="23"/>
  <c r="AM6" i="23"/>
  <c r="H27" i="23"/>
  <c r="AM36" i="23"/>
  <c r="AM28" i="23"/>
  <c r="AM12" i="23"/>
  <c r="O4" i="19"/>
  <c r="AM35" i="23"/>
  <c r="AM11" i="23"/>
  <c r="AM3" i="23"/>
  <c r="O3" i="19" s="1"/>
  <c r="AM42" i="23"/>
  <c r="AM18" i="23"/>
  <c r="L127" i="7"/>
  <c r="S127" i="7"/>
  <c r="K127" i="7"/>
  <c r="AB129" i="6"/>
  <c r="AA129" i="6"/>
  <c r="AA128" i="6"/>
  <c r="Z128" i="6"/>
  <c r="AE126" i="7" s="1"/>
  <c r="K38" i="23"/>
  <c r="K5" i="23"/>
  <c r="R126" i="7"/>
  <c r="Y129" i="6"/>
  <c r="N127" i="7" s="1"/>
  <c r="K27" i="24"/>
  <c r="AA129" i="19"/>
  <c r="R129" i="19" s="1"/>
  <c r="AA128" i="19"/>
  <c r="R128" i="19" s="1"/>
  <c r="R12" i="19"/>
  <c r="O36" i="19"/>
  <c r="R36" i="19"/>
  <c r="O68" i="19"/>
  <c r="R68" i="19"/>
  <c r="O100" i="19"/>
  <c r="R100" i="19"/>
  <c r="AA123" i="19"/>
  <c r="AA115" i="19"/>
  <c r="AA107" i="19"/>
  <c r="AA99" i="19"/>
  <c r="AA91" i="19"/>
  <c r="AA83" i="19"/>
  <c r="AA75" i="19"/>
  <c r="AA67" i="19"/>
  <c r="AA59" i="19"/>
  <c r="AA51" i="19"/>
  <c r="AA43" i="19"/>
  <c r="AA35" i="19"/>
  <c r="AA27" i="19"/>
  <c r="AA19" i="19"/>
  <c r="AA11" i="19"/>
  <c r="O366" i="19"/>
  <c r="O358" i="19"/>
  <c r="O350" i="19"/>
  <c r="O342" i="19"/>
  <c r="O334" i="19"/>
  <c r="O326" i="19"/>
  <c r="O318" i="19"/>
  <c r="O307" i="19"/>
  <c r="O291" i="19"/>
  <c r="O275" i="19"/>
  <c r="O259" i="19"/>
  <c r="O243" i="19"/>
  <c r="O227" i="19"/>
  <c r="O211" i="19"/>
  <c r="O195" i="19"/>
  <c r="O179" i="19"/>
  <c r="O163" i="19"/>
  <c r="O147" i="19"/>
  <c r="O131" i="19"/>
  <c r="R360" i="19"/>
  <c r="R344" i="19"/>
  <c r="R328" i="19"/>
  <c r="R312" i="19"/>
  <c r="R296" i="19"/>
  <c r="R280" i="19"/>
  <c r="R264" i="19"/>
  <c r="R248" i="19"/>
  <c r="R232" i="19"/>
  <c r="R216" i="19"/>
  <c r="R200" i="19"/>
  <c r="R184" i="19"/>
  <c r="R168" i="19"/>
  <c r="R152" i="19"/>
  <c r="R136" i="19"/>
  <c r="O138" i="19"/>
  <c r="R138" i="19"/>
  <c r="O130" i="19"/>
  <c r="R130" i="19"/>
  <c r="AA122" i="19"/>
  <c r="AA114" i="19"/>
  <c r="AA106" i="19"/>
  <c r="AA98" i="19"/>
  <c r="AA90" i="19"/>
  <c r="AA82" i="19"/>
  <c r="AA74" i="19"/>
  <c r="AA66" i="19"/>
  <c r="AA58" i="19"/>
  <c r="AA50" i="19"/>
  <c r="AA42" i="19"/>
  <c r="AA34" i="19"/>
  <c r="AA26" i="19"/>
  <c r="AA18" i="19"/>
  <c r="AA10" i="19"/>
  <c r="O2" i="19"/>
  <c r="R2" i="19"/>
  <c r="O365" i="19"/>
  <c r="O357" i="19"/>
  <c r="O349" i="19"/>
  <c r="O341" i="19"/>
  <c r="O333" i="19"/>
  <c r="O325" i="19"/>
  <c r="O317" i="19"/>
  <c r="O305" i="19"/>
  <c r="O289" i="19"/>
  <c r="O273" i="19"/>
  <c r="O257" i="19"/>
  <c r="O241" i="19"/>
  <c r="O225" i="19"/>
  <c r="O209" i="19"/>
  <c r="O193" i="19"/>
  <c r="O177" i="19"/>
  <c r="O161" i="19"/>
  <c r="O145" i="19"/>
  <c r="R310" i="19"/>
  <c r="R294" i="19"/>
  <c r="R278" i="19"/>
  <c r="R262" i="19"/>
  <c r="R246" i="19"/>
  <c r="R230" i="19"/>
  <c r="R214" i="19"/>
  <c r="R198" i="19"/>
  <c r="R182" i="19"/>
  <c r="R166" i="19"/>
  <c r="R150" i="19"/>
  <c r="R134" i="19"/>
  <c r="O306" i="19"/>
  <c r="R306" i="19"/>
  <c r="O298" i="19"/>
  <c r="R298" i="19"/>
  <c r="O290" i="19"/>
  <c r="R290" i="19"/>
  <c r="O282" i="19"/>
  <c r="R282" i="19"/>
  <c r="O274" i="19"/>
  <c r="R274" i="19"/>
  <c r="O266" i="19"/>
  <c r="R266" i="19"/>
  <c r="O258" i="19"/>
  <c r="R258" i="19"/>
  <c r="O250" i="19"/>
  <c r="R250" i="19"/>
  <c r="O242" i="19"/>
  <c r="R242" i="19"/>
  <c r="O234" i="19"/>
  <c r="R234" i="19"/>
  <c r="O226" i="19"/>
  <c r="R226" i="19"/>
  <c r="O218" i="19"/>
  <c r="R218" i="19"/>
  <c r="O210" i="19"/>
  <c r="R210" i="19"/>
  <c r="O202" i="19"/>
  <c r="R202" i="19"/>
  <c r="O194" i="19"/>
  <c r="R194" i="19"/>
  <c r="O186" i="19"/>
  <c r="R186" i="19"/>
  <c r="O178" i="19"/>
  <c r="R178" i="19"/>
  <c r="O170" i="19"/>
  <c r="R170" i="19"/>
  <c r="O162" i="19"/>
  <c r="R162" i="19"/>
  <c r="O154" i="19"/>
  <c r="R154" i="19"/>
  <c r="O146" i="19"/>
  <c r="R146" i="19"/>
  <c r="AA121" i="19"/>
  <c r="AA113" i="19"/>
  <c r="AA105" i="19"/>
  <c r="AA97" i="19"/>
  <c r="AA89" i="19"/>
  <c r="AA81" i="19"/>
  <c r="AA73" i="19"/>
  <c r="AA65" i="19"/>
  <c r="AA57" i="19"/>
  <c r="AA49" i="19"/>
  <c r="AA41" i="19"/>
  <c r="AA33" i="19"/>
  <c r="AA25" i="19"/>
  <c r="AA17" i="19"/>
  <c r="AA9" i="19"/>
  <c r="O364" i="19"/>
  <c r="O356" i="19"/>
  <c r="O348" i="19"/>
  <c r="O340" i="19"/>
  <c r="O332" i="19"/>
  <c r="O324" i="19"/>
  <c r="O316" i="19"/>
  <c r="O304" i="19"/>
  <c r="O288" i="19"/>
  <c r="O272" i="19"/>
  <c r="O256" i="19"/>
  <c r="O240" i="19"/>
  <c r="O224" i="19"/>
  <c r="O208" i="19"/>
  <c r="O192" i="19"/>
  <c r="O176" i="19"/>
  <c r="O160" i="19"/>
  <c r="O144" i="19"/>
  <c r="O128" i="19"/>
  <c r="R308" i="19"/>
  <c r="R292" i="19"/>
  <c r="R276" i="19"/>
  <c r="R260" i="19"/>
  <c r="R244" i="19"/>
  <c r="R228" i="19"/>
  <c r="R212" i="19"/>
  <c r="R196" i="19"/>
  <c r="R180" i="19"/>
  <c r="R164" i="19"/>
  <c r="R148" i="19"/>
  <c r="R132" i="19"/>
  <c r="R4" i="19"/>
  <c r="AA120" i="19"/>
  <c r="AA112" i="19"/>
  <c r="AA104" i="19"/>
  <c r="AA96" i="19"/>
  <c r="AA88" i="19"/>
  <c r="AA80" i="19"/>
  <c r="AA72" i="19"/>
  <c r="AA64" i="19"/>
  <c r="AA56" i="19"/>
  <c r="AA48" i="19"/>
  <c r="AA40" i="19"/>
  <c r="AA32" i="19"/>
  <c r="AA24" i="19"/>
  <c r="AA16" i="19"/>
  <c r="AA8" i="19"/>
  <c r="O363" i="19"/>
  <c r="O355" i="19"/>
  <c r="O347" i="19"/>
  <c r="O339" i="19"/>
  <c r="O331" i="19"/>
  <c r="O323" i="19"/>
  <c r="O315" i="19"/>
  <c r="O301" i="19"/>
  <c r="O285" i="19"/>
  <c r="O269" i="19"/>
  <c r="O253" i="19"/>
  <c r="O237" i="19"/>
  <c r="O221" i="19"/>
  <c r="O205" i="19"/>
  <c r="O189" i="19"/>
  <c r="O173" i="19"/>
  <c r="O157" i="19"/>
  <c r="O141" i="19"/>
  <c r="R135" i="19"/>
  <c r="O135" i="19"/>
  <c r="R127" i="19"/>
  <c r="O127" i="19"/>
  <c r="AA119" i="19"/>
  <c r="AA111" i="19"/>
  <c r="AA103" i="19"/>
  <c r="AA95" i="19"/>
  <c r="AA87" i="19"/>
  <c r="AA79" i="19"/>
  <c r="AA71" i="19"/>
  <c r="AA63" i="19"/>
  <c r="AA55" i="19"/>
  <c r="AA47" i="19"/>
  <c r="AA39" i="19"/>
  <c r="AA31" i="19"/>
  <c r="AA23" i="19"/>
  <c r="AA15" i="19"/>
  <c r="AA7" i="19"/>
  <c r="O362" i="19"/>
  <c r="O354" i="19"/>
  <c r="O346" i="19"/>
  <c r="O338" i="19"/>
  <c r="O330" i="19"/>
  <c r="O322" i="19"/>
  <c r="O314" i="19"/>
  <c r="O299" i="19"/>
  <c r="O283" i="19"/>
  <c r="O267" i="19"/>
  <c r="O251" i="19"/>
  <c r="O235" i="19"/>
  <c r="O219" i="19"/>
  <c r="O203" i="19"/>
  <c r="O187" i="19"/>
  <c r="O171" i="19"/>
  <c r="O155" i="19"/>
  <c r="O139" i="19"/>
  <c r="R368" i="19"/>
  <c r="R352" i="19"/>
  <c r="R336" i="19"/>
  <c r="R320" i="19"/>
  <c r="R311" i="19"/>
  <c r="O311" i="19"/>
  <c r="R295" i="19"/>
  <c r="O295" i="19"/>
  <c r="R279" i="19"/>
  <c r="O279" i="19"/>
  <c r="R263" i="19"/>
  <c r="O263" i="19"/>
  <c r="R247" i="19"/>
  <c r="O247" i="19"/>
  <c r="R231" i="19"/>
  <c r="O231" i="19"/>
  <c r="R215" i="19"/>
  <c r="O215" i="19"/>
  <c r="R199" i="19"/>
  <c r="O199" i="19"/>
  <c r="R183" i="19"/>
  <c r="O183" i="19"/>
  <c r="R167" i="19"/>
  <c r="O167" i="19"/>
  <c r="R151" i="19"/>
  <c r="O151" i="19"/>
  <c r="AA126" i="19"/>
  <c r="AA118" i="19"/>
  <c r="AA110" i="19"/>
  <c r="AA102" i="19"/>
  <c r="AA94" i="19"/>
  <c r="AA86" i="19"/>
  <c r="AA78" i="19"/>
  <c r="AA70" i="19"/>
  <c r="AA62" i="19"/>
  <c r="AA54" i="19"/>
  <c r="AA46" i="19"/>
  <c r="AA38" i="19"/>
  <c r="AA30" i="19"/>
  <c r="AA22" i="19"/>
  <c r="AA14" i="19"/>
  <c r="AA6" i="19"/>
  <c r="O369" i="19"/>
  <c r="O361" i="19"/>
  <c r="O353" i="19"/>
  <c r="O345" i="19"/>
  <c r="O337" i="19"/>
  <c r="O329" i="19"/>
  <c r="O321" i="19"/>
  <c r="O313" i="19"/>
  <c r="O297" i="19"/>
  <c r="O281" i="19"/>
  <c r="O265" i="19"/>
  <c r="O249" i="19"/>
  <c r="O233" i="19"/>
  <c r="O217" i="19"/>
  <c r="O201" i="19"/>
  <c r="O185" i="19"/>
  <c r="O169" i="19"/>
  <c r="O153" i="19"/>
  <c r="O137" i="19"/>
  <c r="R302" i="19"/>
  <c r="R286" i="19"/>
  <c r="R270" i="19"/>
  <c r="R254" i="19"/>
  <c r="R238" i="19"/>
  <c r="R222" i="19"/>
  <c r="R206" i="19"/>
  <c r="R190" i="19"/>
  <c r="R174" i="19"/>
  <c r="R158" i="19"/>
  <c r="R142" i="19"/>
  <c r="R303" i="19"/>
  <c r="O303" i="19"/>
  <c r="R287" i="19"/>
  <c r="O287" i="19"/>
  <c r="R271" i="19"/>
  <c r="O271" i="19"/>
  <c r="R255" i="19"/>
  <c r="O255" i="19"/>
  <c r="R239" i="19"/>
  <c r="O239" i="19"/>
  <c r="R223" i="19"/>
  <c r="O223" i="19"/>
  <c r="R207" i="19"/>
  <c r="O207" i="19"/>
  <c r="R191" i="19"/>
  <c r="O191" i="19"/>
  <c r="R175" i="19"/>
  <c r="O175" i="19"/>
  <c r="R159" i="19"/>
  <c r="O159" i="19"/>
  <c r="R143" i="19"/>
  <c r="O143" i="19"/>
  <c r="AA125" i="19"/>
  <c r="AA117" i="19"/>
  <c r="AA109" i="19"/>
  <c r="AA101" i="19"/>
  <c r="AA93" i="19"/>
  <c r="AA85" i="19"/>
  <c r="AA77" i="19"/>
  <c r="AA69" i="19"/>
  <c r="AA61" i="19"/>
  <c r="AA53" i="19"/>
  <c r="AA45" i="19"/>
  <c r="AA37" i="19"/>
  <c r="AA29" i="19"/>
  <c r="AA21" i="19"/>
  <c r="AA13" i="19"/>
  <c r="AA5" i="19"/>
  <c r="R300" i="19"/>
  <c r="R284" i="19"/>
  <c r="R268" i="19"/>
  <c r="R252" i="19"/>
  <c r="R236" i="19"/>
  <c r="R220" i="19"/>
  <c r="R204" i="19"/>
  <c r="R188" i="19"/>
  <c r="R172" i="19"/>
  <c r="R156" i="19"/>
  <c r="R140" i="19"/>
  <c r="AA124" i="19"/>
  <c r="AA116" i="19"/>
  <c r="AA108" i="19"/>
  <c r="AA92" i="19"/>
  <c r="AA84" i="19"/>
  <c r="AA76" i="19"/>
  <c r="AA60" i="19"/>
  <c r="AA52" i="19"/>
  <c r="AA44" i="19"/>
  <c r="AA28" i="19"/>
  <c r="AA20" i="19"/>
  <c r="O367" i="19"/>
  <c r="O359" i="19"/>
  <c r="O351" i="19"/>
  <c r="O343" i="19"/>
  <c r="O335" i="19"/>
  <c r="O327" i="19"/>
  <c r="O319" i="19"/>
  <c r="O309" i="19"/>
  <c r="O293" i="19"/>
  <c r="O277" i="19"/>
  <c r="O261" i="19"/>
  <c r="O245" i="19"/>
  <c r="O229" i="19"/>
  <c r="O213" i="19"/>
  <c r="O197" i="19"/>
  <c r="O181" i="19"/>
  <c r="O165" i="19"/>
  <c r="O149" i="19"/>
  <c r="O133" i="19"/>
  <c r="AC37" i="24"/>
  <c r="AC25" i="24"/>
  <c r="AC41" i="24"/>
  <c r="AC16" i="24"/>
  <c r="AC30" i="24"/>
  <c r="AC39" i="24"/>
  <c r="AC7" i="24"/>
  <c r="AC43" i="24"/>
  <c r="AC27" i="24"/>
  <c r="AC31" i="24"/>
  <c r="K3" i="24"/>
  <c r="K8" i="24"/>
  <c r="K39" i="24"/>
  <c r="K13" i="24"/>
  <c r="K37" i="24"/>
  <c r="K9" i="24"/>
  <c r="K22" i="24"/>
  <c r="H39" i="24"/>
  <c r="K21" i="24"/>
  <c r="H24" i="24"/>
  <c r="K24" i="24"/>
  <c r="H2" i="24"/>
  <c r="AC12" i="24"/>
  <c r="H15" i="24"/>
  <c r="K23" i="24"/>
  <c r="AC36" i="24"/>
  <c r="K2" i="24"/>
  <c r="K19" i="24"/>
  <c r="AC24" i="24"/>
  <c r="K6" i="24"/>
  <c r="AC15" i="24"/>
  <c r="H18" i="24"/>
  <c r="AC19" i="24"/>
  <c r="K26" i="24"/>
  <c r="K34" i="24"/>
  <c r="K38" i="24"/>
  <c r="H5" i="24"/>
  <c r="H29" i="24"/>
  <c r="K30" i="24"/>
  <c r="AC6" i="24"/>
  <c r="AC14" i="24"/>
  <c r="H17" i="24"/>
  <c r="K18" i="24"/>
  <c r="K33" i="24"/>
  <c r="AC18" i="24"/>
  <c r="AC21" i="24"/>
  <c r="K28" i="24"/>
  <c r="H32" i="24"/>
  <c r="AC33" i="24"/>
  <c r="AC9" i="24"/>
  <c r="K12" i="24"/>
  <c r="K20" i="24"/>
  <c r="K32" i="24"/>
  <c r="K36" i="24"/>
  <c r="K5" i="24"/>
  <c r="K10" i="24"/>
  <c r="H36" i="24"/>
  <c r="H41" i="24"/>
  <c r="K42" i="24"/>
  <c r="K41" i="24"/>
  <c r="K4" i="24"/>
  <c r="K25" i="24"/>
  <c r="H35" i="24"/>
  <c r="K35" i="24"/>
  <c r="K40" i="24"/>
  <c r="K29" i="24"/>
  <c r="K7" i="24"/>
  <c r="H12" i="24"/>
  <c r="K17" i="24"/>
  <c r="H27" i="24"/>
  <c r="K43" i="24"/>
  <c r="H11" i="24"/>
  <c r="K16" i="24"/>
  <c r="H26" i="24"/>
  <c r="K11" i="24"/>
  <c r="K31" i="24"/>
  <c r="K7" i="23"/>
  <c r="K14" i="23"/>
  <c r="K29" i="23"/>
  <c r="K36" i="23"/>
  <c r="K26" i="23"/>
  <c r="K17" i="23"/>
  <c r="H17" i="23"/>
  <c r="H19" i="23"/>
  <c r="H20" i="23"/>
  <c r="K24" i="23"/>
  <c r="K25" i="23"/>
  <c r="K27" i="23"/>
  <c r="H29" i="23"/>
  <c r="H31" i="23"/>
  <c r="H32" i="23"/>
  <c r="H44" i="23"/>
  <c r="K47" i="23"/>
  <c r="K48" i="23"/>
  <c r="K20" i="23"/>
  <c r="K32" i="23"/>
  <c r="H33" i="23"/>
  <c r="H34" i="23"/>
  <c r="H39" i="23"/>
  <c r="K44" i="23"/>
  <c r="H2" i="23"/>
  <c r="K11" i="23"/>
  <c r="K12" i="23"/>
  <c r="K13" i="23"/>
  <c r="K37" i="23"/>
  <c r="K39" i="23"/>
  <c r="K41" i="23"/>
  <c r="K2" i="23"/>
  <c r="K4" i="23"/>
  <c r="K6" i="23"/>
  <c r="H7" i="23"/>
  <c r="H9" i="23"/>
  <c r="H10" i="23"/>
  <c r="H15" i="23"/>
  <c r="H21" i="23"/>
  <c r="H22" i="23"/>
  <c r="H41" i="23"/>
  <c r="H43" i="23"/>
  <c r="H45" i="23"/>
  <c r="H46" i="23"/>
  <c r="H7" i="24"/>
  <c r="H19" i="24"/>
  <c r="H31" i="24"/>
  <c r="H43" i="24"/>
  <c r="H6" i="24"/>
  <c r="H4" i="23"/>
  <c r="H14" i="23"/>
  <c r="K21" i="23"/>
  <c r="H26" i="23"/>
  <c r="K33" i="23"/>
  <c r="K45" i="23"/>
  <c r="K49" i="23"/>
  <c r="K9" i="23"/>
  <c r="K18" i="23"/>
  <c r="K30" i="23"/>
  <c r="K42" i="23"/>
  <c r="AB126" i="7"/>
  <c r="AA126" i="7"/>
  <c r="AC130" i="7"/>
  <c r="Y126" i="7"/>
  <c r="AM126" i="7"/>
  <c r="W126" i="7"/>
  <c r="AK126" i="7"/>
  <c r="V126" i="7"/>
  <c r="AC126" i="7"/>
  <c r="X129" i="7"/>
  <c r="W129" i="7"/>
  <c r="AG126" i="7"/>
  <c r="AC125" i="7"/>
  <c r="AF126" i="7"/>
  <c r="X125" i="7"/>
  <c r="AD126" i="7"/>
  <c r="W125" i="7"/>
  <c r="W127" i="7"/>
  <c r="AG129" i="7"/>
  <c r="AG127" i="7"/>
  <c r="AG125" i="7"/>
  <c r="AF129" i="7"/>
  <c r="AF127" i="7"/>
  <c r="AL126" i="7"/>
  <c r="Z126" i="7"/>
  <c r="AF125" i="7"/>
  <c r="AE129" i="7"/>
  <c r="AE127" i="7"/>
  <c r="AE125" i="7"/>
  <c r="AD129" i="7"/>
  <c r="AD127" i="7"/>
  <c r="X126" i="7"/>
  <c r="AD125" i="7"/>
  <c r="AC129" i="7"/>
  <c r="V130" i="7"/>
  <c r="AB129" i="7"/>
  <c r="AB127" i="7"/>
  <c r="AB125" i="7"/>
  <c r="AC127" i="7"/>
  <c r="AM129" i="7"/>
  <c r="AA129" i="7"/>
  <c r="AM127" i="7"/>
  <c r="AA127" i="7"/>
  <c r="AM125" i="7"/>
  <c r="AA125" i="7"/>
  <c r="AF130" i="7"/>
  <c r="AL129" i="7"/>
  <c r="Z129" i="7"/>
  <c r="AL127" i="7"/>
  <c r="Z127" i="7"/>
  <c r="AL125" i="7"/>
  <c r="Z125" i="7"/>
  <c r="AK129" i="7"/>
  <c r="Y129" i="7"/>
  <c r="AK127" i="7"/>
  <c r="Y127" i="7"/>
  <c r="AK125" i="7"/>
  <c r="Y125" i="7"/>
  <c r="X127" i="7"/>
  <c r="Y127" i="6"/>
  <c r="AB127" i="6"/>
  <c r="AB136" i="6"/>
  <c r="Z134" i="6"/>
  <c r="AB132" i="6"/>
  <c r="Z130" i="6"/>
  <c r="AB128" i="6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AI122" i="1"/>
  <c r="AJ122" i="1"/>
  <c r="AK122" i="1"/>
  <c r="AL122" i="1"/>
  <c r="AM122" i="1"/>
  <c r="A120" i="14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C135" i="15" l="1"/>
  <c r="F135" i="15"/>
  <c r="G135" i="15" s="1"/>
  <c r="H136" i="15"/>
  <c r="J130" i="7"/>
  <c r="L130" i="7"/>
  <c r="N130" i="7"/>
  <c r="Q130" i="7"/>
  <c r="S130" i="7"/>
  <c r="AE130" i="7"/>
  <c r="Z130" i="7"/>
  <c r="X130" i="7"/>
  <c r="Y130" i="7"/>
  <c r="AL130" i="7"/>
  <c r="AA130" i="7"/>
  <c r="W130" i="7"/>
  <c r="AG130" i="7"/>
  <c r="AK130" i="7"/>
  <c r="AM130" i="7"/>
  <c r="O128" i="7"/>
  <c r="T128" i="7"/>
  <c r="R128" i="7"/>
  <c r="L128" i="7"/>
  <c r="M128" i="7"/>
  <c r="AH128" i="7"/>
  <c r="P128" i="7"/>
  <c r="U128" i="7"/>
  <c r="Q128" i="7"/>
  <c r="AI128" i="7"/>
  <c r="S128" i="7"/>
  <c r="J128" i="7"/>
  <c r="T127" i="7"/>
  <c r="M127" i="7"/>
  <c r="U127" i="7"/>
  <c r="J127" i="7"/>
  <c r="AI127" i="7"/>
  <c r="P127" i="7"/>
  <c r="O127" i="7"/>
  <c r="AJ127" i="7"/>
  <c r="Q127" i="7"/>
  <c r="R127" i="7"/>
  <c r="AH127" i="7"/>
  <c r="O129" i="19"/>
  <c r="O28" i="19"/>
  <c r="R28" i="19"/>
  <c r="R93" i="19"/>
  <c r="O93" i="19"/>
  <c r="O62" i="19"/>
  <c r="R62" i="19"/>
  <c r="O126" i="19"/>
  <c r="R126" i="19"/>
  <c r="R31" i="19"/>
  <c r="O31" i="19"/>
  <c r="R95" i="19"/>
  <c r="O95" i="19"/>
  <c r="O56" i="19"/>
  <c r="R56" i="19"/>
  <c r="O120" i="19"/>
  <c r="R120" i="19"/>
  <c r="R65" i="19"/>
  <c r="O65" i="19"/>
  <c r="O50" i="19"/>
  <c r="R50" i="19"/>
  <c r="O114" i="19"/>
  <c r="R114" i="19"/>
  <c r="R67" i="19"/>
  <c r="O67" i="19"/>
  <c r="O44" i="19"/>
  <c r="R44" i="19"/>
  <c r="O124" i="19"/>
  <c r="R124" i="19"/>
  <c r="R37" i="19"/>
  <c r="O37" i="19"/>
  <c r="O6" i="19"/>
  <c r="R6" i="19"/>
  <c r="O70" i="19"/>
  <c r="R70" i="19"/>
  <c r="R39" i="19"/>
  <c r="O39" i="19"/>
  <c r="R103" i="19"/>
  <c r="O103" i="19"/>
  <c r="R64" i="19"/>
  <c r="O64" i="19"/>
  <c r="R9" i="19"/>
  <c r="O9" i="19"/>
  <c r="R73" i="19"/>
  <c r="O73" i="19"/>
  <c r="O58" i="19"/>
  <c r="R58" i="19"/>
  <c r="O122" i="19"/>
  <c r="R122" i="19"/>
  <c r="R11" i="19"/>
  <c r="O11" i="19"/>
  <c r="R75" i="19"/>
  <c r="O75" i="19"/>
  <c r="O108" i="19"/>
  <c r="R108" i="19"/>
  <c r="O52" i="19"/>
  <c r="R52" i="19"/>
  <c r="R45" i="19"/>
  <c r="O45" i="19"/>
  <c r="O14" i="19"/>
  <c r="R14" i="19"/>
  <c r="O78" i="19"/>
  <c r="R78" i="19"/>
  <c r="R47" i="19"/>
  <c r="O47" i="19"/>
  <c r="R111" i="19"/>
  <c r="O111" i="19"/>
  <c r="O8" i="19"/>
  <c r="R8" i="19"/>
  <c r="O72" i="19"/>
  <c r="R72" i="19"/>
  <c r="R17" i="19"/>
  <c r="O17" i="19"/>
  <c r="R81" i="19"/>
  <c r="O81" i="19"/>
  <c r="O66" i="19"/>
  <c r="R66" i="19"/>
  <c r="I4" i="21"/>
  <c r="R19" i="19"/>
  <c r="O19" i="19"/>
  <c r="R83" i="19"/>
  <c r="O83" i="19"/>
  <c r="O116" i="19"/>
  <c r="R116" i="19"/>
  <c r="R29" i="19"/>
  <c r="O29" i="19"/>
  <c r="R101" i="19"/>
  <c r="O101" i="19"/>
  <c r="O60" i="19"/>
  <c r="R60" i="19"/>
  <c r="R53" i="19"/>
  <c r="O53" i="19"/>
  <c r="R117" i="19"/>
  <c r="O117" i="19"/>
  <c r="O22" i="19"/>
  <c r="R22" i="19"/>
  <c r="O86" i="19"/>
  <c r="R86" i="19"/>
  <c r="R55" i="19"/>
  <c r="O55" i="19"/>
  <c r="R119" i="19"/>
  <c r="O119" i="19"/>
  <c r="R16" i="19"/>
  <c r="O16" i="19"/>
  <c r="R80" i="19"/>
  <c r="O80" i="19"/>
  <c r="R25" i="19"/>
  <c r="O25" i="19"/>
  <c r="R89" i="19"/>
  <c r="O89" i="19"/>
  <c r="O10" i="19"/>
  <c r="R10" i="19"/>
  <c r="O74" i="19"/>
  <c r="R74" i="19"/>
  <c r="R27" i="19"/>
  <c r="O27" i="19"/>
  <c r="R91" i="19"/>
  <c r="O91" i="19"/>
  <c r="R109" i="19"/>
  <c r="O109" i="19"/>
  <c r="O76" i="19"/>
  <c r="R76" i="19"/>
  <c r="R61" i="19"/>
  <c r="O61" i="19"/>
  <c r="R125" i="19"/>
  <c r="D24" i="13" s="1"/>
  <c r="O125" i="19"/>
  <c r="D9" i="13"/>
  <c r="O30" i="19"/>
  <c r="R30" i="19"/>
  <c r="O94" i="19"/>
  <c r="R94" i="19"/>
  <c r="R63" i="19"/>
  <c r="O63" i="19"/>
  <c r="O24" i="19"/>
  <c r="R24" i="19"/>
  <c r="O88" i="19"/>
  <c r="R88" i="19"/>
  <c r="R33" i="19"/>
  <c r="O33" i="19"/>
  <c r="R97" i="19"/>
  <c r="O97" i="19"/>
  <c r="O18" i="19"/>
  <c r="R18" i="19"/>
  <c r="O82" i="19"/>
  <c r="R82" i="19"/>
  <c r="I3" i="21"/>
  <c r="R35" i="19"/>
  <c r="O35" i="19"/>
  <c r="R99" i="19"/>
  <c r="O99" i="19"/>
  <c r="O20" i="19"/>
  <c r="R20" i="19"/>
  <c r="O84" i="19"/>
  <c r="R84" i="19"/>
  <c r="R5" i="19"/>
  <c r="O5" i="19"/>
  <c r="I2" i="21"/>
  <c r="R69" i="19"/>
  <c r="O69" i="19"/>
  <c r="O38" i="19"/>
  <c r="R38" i="19"/>
  <c r="O102" i="19"/>
  <c r="R102" i="19"/>
  <c r="R7" i="19"/>
  <c r="O7" i="19"/>
  <c r="R71" i="19"/>
  <c r="O71" i="19"/>
  <c r="R32" i="19"/>
  <c r="O32" i="19"/>
  <c r="I6" i="21"/>
  <c r="R96" i="19"/>
  <c r="O96" i="19"/>
  <c r="I5" i="21"/>
  <c r="R41" i="19"/>
  <c r="O41" i="19"/>
  <c r="R105" i="19"/>
  <c r="O105" i="19"/>
  <c r="O26" i="19"/>
  <c r="R26" i="19"/>
  <c r="O90" i="19"/>
  <c r="R90" i="19"/>
  <c r="R43" i="19"/>
  <c r="O43" i="19"/>
  <c r="R107" i="19"/>
  <c r="O107" i="19"/>
  <c r="O92" i="19"/>
  <c r="R92" i="19"/>
  <c r="R13" i="19"/>
  <c r="O13" i="19"/>
  <c r="R77" i="19"/>
  <c r="O77" i="19"/>
  <c r="O46" i="19"/>
  <c r="R46" i="19"/>
  <c r="O110" i="19"/>
  <c r="R110" i="19"/>
  <c r="R15" i="19"/>
  <c r="O15" i="19"/>
  <c r="R79" i="19"/>
  <c r="O79" i="19"/>
  <c r="O40" i="19"/>
  <c r="R40" i="19"/>
  <c r="O104" i="19"/>
  <c r="R104" i="19"/>
  <c r="R49" i="19"/>
  <c r="O49" i="19"/>
  <c r="R113" i="19"/>
  <c r="O113" i="19"/>
  <c r="O34" i="19"/>
  <c r="R34" i="19"/>
  <c r="O98" i="19"/>
  <c r="R98" i="19"/>
  <c r="R51" i="19"/>
  <c r="O51" i="19"/>
  <c r="R115" i="19"/>
  <c r="O115" i="19"/>
  <c r="R21" i="19"/>
  <c r="O21" i="19"/>
  <c r="R85" i="19"/>
  <c r="O85" i="19"/>
  <c r="O54" i="19"/>
  <c r="R54" i="19"/>
  <c r="O118" i="19"/>
  <c r="R118" i="19"/>
  <c r="R23" i="19"/>
  <c r="O23" i="19"/>
  <c r="R87" i="19"/>
  <c r="O87" i="19"/>
  <c r="R48" i="19"/>
  <c r="O48" i="19"/>
  <c r="R112" i="19"/>
  <c r="O112" i="19"/>
  <c r="R57" i="19"/>
  <c r="O57" i="19"/>
  <c r="R121" i="19"/>
  <c r="O121" i="19"/>
  <c r="O42" i="19"/>
  <c r="R42" i="19"/>
  <c r="O106" i="19"/>
  <c r="R106" i="19"/>
  <c r="R59" i="19"/>
  <c r="O59" i="19"/>
  <c r="R123" i="19"/>
  <c r="O123" i="19"/>
  <c r="AB128" i="7"/>
  <c r="AE128" i="7"/>
  <c r="AF128" i="7"/>
  <c r="AG128" i="7"/>
  <c r="V128" i="7"/>
  <c r="W128" i="7"/>
  <c r="AC128" i="7"/>
  <c r="X128" i="7"/>
  <c r="Y128" i="7"/>
  <c r="AK128" i="7"/>
  <c r="Z128" i="7"/>
  <c r="AL128" i="7"/>
  <c r="AA128" i="7"/>
  <c r="AM128" i="7"/>
  <c r="AD128" i="7"/>
  <c r="A118" i="14"/>
  <c r="A118" i="15"/>
  <c r="C118" i="15"/>
  <c r="W118" i="14"/>
  <c r="F115" i="7"/>
  <c r="C115" i="7" s="1"/>
  <c r="G115" i="7"/>
  <c r="H115" i="7"/>
  <c r="A115" i="7" s="1"/>
  <c r="H116" i="7"/>
  <c r="F116" i="7" s="1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36" i="15" l="1"/>
  <c r="F136" i="15"/>
  <c r="G136" i="15" s="1"/>
  <c r="H137" i="15"/>
  <c r="D21" i="13"/>
  <c r="C116" i="7"/>
  <c r="G116" i="7"/>
  <c r="A116" i="7"/>
  <c r="H117" i="7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H36" i="16"/>
  <c r="H34" i="16"/>
  <c r="H35" i="16" s="1"/>
  <c r="H33" i="16"/>
  <c r="H32" i="16"/>
  <c r="W116" i="14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H138" i="15" l="1"/>
  <c r="C137" i="15"/>
  <c r="F137" i="15"/>
  <c r="G137" i="15" s="1"/>
  <c r="Y119" i="6"/>
  <c r="AH117" i="7"/>
  <c r="N117" i="7"/>
  <c r="AI116" i="7"/>
  <c r="O116" i="7"/>
  <c r="Z117" i="6"/>
  <c r="W115" i="7" s="1"/>
  <c r="AJ115" i="7"/>
  <c r="U117" i="7"/>
  <c r="Q117" i="7"/>
  <c r="M117" i="7"/>
  <c r="Y118" i="6"/>
  <c r="AH116" i="7" s="1"/>
  <c r="R116" i="7"/>
  <c r="J116" i="7"/>
  <c r="S115" i="7"/>
  <c r="K115" i="7"/>
  <c r="AJ117" i="7"/>
  <c r="T117" i="7"/>
  <c r="P117" i="7"/>
  <c r="L117" i="7"/>
  <c r="Z118" i="6"/>
  <c r="AA116" i="7" s="1"/>
  <c r="U116" i="7"/>
  <c r="Q116" i="7"/>
  <c r="M116" i="7"/>
  <c r="R117" i="7"/>
  <c r="J117" i="7"/>
  <c r="S116" i="7"/>
  <c r="K116" i="7"/>
  <c r="AA117" i="6"/>
  <c r="L115" i="7"/>
  <c r="Y120" i="6"/>
  <c r="AI117" i="7"/>
  <c r="S117" i="7"/>
  <c r="O117" i="7"/>
  <c r="K117" i="7"/>
  <c r="AJ116" i="7"/>
  <c r="T116" i="7"/>
  <c r="P116" i="7"/>
  <c r="L116" i="7"/>
  <c r="Y117" i="6"/>
  <c r="P115" i="7" s="1"/>
  <c r="U115" i="7"/>
  <c r="AB117" i="6"/>
  <c r="Z126" i="6"/>
  <c r="AL124" i="7" s="1"/>
  <c r="AH124" i="7"/>
  <c r="AI124" i="7"/>
  <c r="R124" i="7"/>
  <c r="N124" i="7"/>
  <c r="U124" i="7"/>
  <c r="Q124" i="7"/>
  <c r="M124" i="7"/>
  <c r="AJ124" i="7"/>
  <c r="T124" i="7"/>
  <c r="P124" i="7"/>
  <c r="L124" i="7"/>
  <c r="S124" i="7"/>
  <c r="O124" i="7"/>
  <c r="K124" i="7"/>
  <c r="AC124" i="7"/>
  <c r="AE124" i="7"/>
  <c r="AM124" i="7"/>
  <c r="AA126" i="6"/>
  <c r="J124" i="7"/>
  <c r="AI123" i="7"/>
  <c r="AJ123" i="7"/>
  <c r="U123" i="7"/>
  <c r="Q123" i="7"/>
  <c r="Z125" i="6"/>
  <c r="AE123" i="7" s="1"/>
  <c r="T123" i="7"/>
  <c r="P123" i="7"/>
  <c r="L123" i="7"/>
  <c r="AH123" i="7"/>
  <c r="R123" i="7"/>
  <c r="N123" i="7"/>
  <c r="M123" i="7"/>
  <c r="S123" i="7"/>
  <c r="O123" i="7"/>
  <c r="K123" i="7"/>
  <c r="AA125" i="6"/>
  <c r="J123" i="7"/>
  <c r="AB125" i="6"/>
  <c r="Y124" i="6"/>
  <c r="N122" i="7" s="1"/>
  <c r="AB124" i="6"/>
  <c r="AA124" i="6"/>
  <c r="Y123" i="6"/>
  <c r="U121" i="7" s="1"/>
  <c r="Z123" i="6"/>
  <c r="V121" i="7" s="1"/>
  <c r="AA123" i="6"/>
  <c r="AB123" i="6"/>
  <c r="Y122" i="6"/>
  <c r="AH120" i="7" s="1"/>
  <c r="Z122" i="6"/>
  <c r="AD120" i="7" s="1"/>
  <c r="U120" i="7"/>
  <c r="S120" i="7"/>
  <c r="O120" i="7"/>
  <c r="K120" i="7"/>
  <c r="AA122" i="6"/>
  <c r="J120" i="7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Z117" i="7" s="1"/>
  <c r="AB119" i="6"/>
  <c r="AA119" i="6"/>
  <c r="AA118" i="6"/>
  <c r="AB126" i="6"/>
  <c r="Z124" i="6"/>
  <c r="AB122" i="6"/>
  <c r="Z120" i="6"/>
  <c r="AB118" i="6"/>
  <c r="A113" i="15"/>
  <c r="C113" i="15"/>
  <c r="A113" i="14"/>
  <c r="W112" i="14"/>
  <c r="W113" i="14"/>
  <c r="AI114" i="1"/>
  <c r="AJ114" i="1"/>
  <c r="AK114" i="1"/>
  <c r="AM114" i="1"/>
  <c r="A112" i="15"/>
  <c r="C112" i="15"/>
  <c r="H112" i="15"/>
  <c r="H113" i="15" s="1"/>
  <c r="F112" i="15"/>
  <c r="G112" i="15" s="1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 s="1"/>
  <c r="N111" i="15"/>
  <c r="W111" i="14"/>
  <c r="AI112" i="1"/>
  <c r="AJ112" i="1"/>
  <c r="AK112" i="1"/>
  <c r="AL112" i="1"/>
  <c r="AM112" i="1"/>
  <c r="C138" i="15" l="1"/>
  <c r="F138" i="15"/>
  <c r="G138" i="15" s="1"/>
  <c r="AD124" i="7"/>
  <c r="Y119" i="7"/>
  <c r="AB116" i="7"/>
  <c r="Y116" i="7"/>
  <c r="Y115" i="7"/>
  <c r="W116" i="7"/>
  <c r="AA115" i="7"/>
  <c r="AG117" i="7"/>
  <c r="AM116" i="7"/>
  <c r="AC116" i="7"/>
  <c r="AE115" i="7"/>
  <c r="X116" i="7"/>
  <c r="V115" i="7"/>
  <c r="AK116" i="7"/>
  <c r="X115" i="7"/>
  <c r="AC115" i="7"/>
  <c r="AE116" i="7"/>
  <c r="AB115" i="7"/>
  <c r="Z116" i="7"/>
  <c r="AG115" i="7"/>
  <c r="AA117" i="7"/>
  <c r="AG116" i="7"/>
  <c r="AL115" i="7"/>
  <c r="AF115" i="7"/>
  <c r="AG124" i="7"/>
  <c r="V117" i="7"/>
  <c r="AM115" i="7"/>
  <c r="Z115" i="7"/>
  <c r="AD115" i="7"/>
  <c r="Y117" i="7"/>
  <c r="AB123" i="7"/>
  <c r="AF116" i="7"/>
  <c r="AK115" i="7"/>
  <c r="AD123" i="7"/>
  <c r="AA123" i="7"/>
  <c r="R115" i="7"/>
  <c r="AG123" i="7"/>
  <c r="W123" i="7"/>
  <c r="V124" i="7"/>
  <c r="Y124" i="7"/>
  <c r="W124" i="7"/>
  <c r="Z124" i="7"/>
  <c r="Q115" i="7"/>
  <c r="W117" i="7"/>
  <c r="AE117" i="7"/>
  <c r="AD117" i="7"/>
  <c r="AH115" i="7"/>
  <c r="O115" i="7"/>
  <c r="N116" i="7"/>
  <c r="AC117" i="7"/>
  <c r="AL116" i="7"/>
  <c r="AK117" i="7"/>
  <c r="AM121" i="7"/>
  <c r="AF121" i="7"/>
  <c r="AL117" i="7"/>
  <c r="J115" i="7"/>
  <c r="AB117" i="7"/>
  <c r="AM117" i="7"/>
  <c r="AI115" i="7"/>
  <c r="M120" i="7"/>
  <c r="AA121" i="7"/>
  <c r="Y123" i="7"/>
  <c r="X124" i="7"/>
  <c r="AK124" i="7"/>
  <c r="M115" i="7"/>
  <c r="T115" i="7"/>
  <c r="N115" i="7"/>
  <c r="X117" i="7"/>
  <c r="AF117" i="7"/>
  <c r="V116" i="7"/>
  <c r="AD116" i="7"/>
  <c r="AB124" i="7"/>
  <c r="AA124" i="7"/>
  <c r="AF124" i="7"/>
  <c r="V123" i="7"/>
  <c r="Z123" i="7"/>
  <c r="X123" i="7"/>
  <c r="AL123" i="7"/>
  <c r="AC123" i="7"/>
  <c r="AM123" i="7"/>
  <c r="AK123" i="7"/>
  <c r="AF123" i="7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L114" i="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F106" i="7"/>
  <c r="W105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AA100" i="6"/>
  <c r="Y106" i="6"/>
  <c r="AJ104" i="7" s="1"/>
  <c r="AB106" i="6"/>
  <c r="Y103" i="6"/>
  <c r="J101" i="7" s="1"/>
  <c r="AA103" i="6"/>
  <c r="Z101" i="6"/>
  <c r="AL99" i="7" s="1"/>
  <c r="AA104" i="6"/>
  <c r="AA105" i="6"/>
  <c r="Y102" i="6"/>
  <c r="AJ100" i="7" s="1"/>
  <c r="AB102" i="6"/>
  <c r="AA108" i="6"/>
  <c r="AB107" i="6"/>
  <c r="AA101" i="6"/>
  <c r="AI100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M102" i="7"/>
  <c r="Z107" i="6"/>
  <c r="AM105" i="7" s="1"/>
  <c r="AB105" i="6"/>
  <c r="Z103" i="6"/>
  <c r="AM101" i="7" s="1"/>
  <c r="AB101" i="6"/>
  <c r="P102" i="7"/>
  <c r="H101" i="15"/>
  <c r="Z99" i="7" l="1"/>
  <c r="AA104" i="7"/>
  <c r="AF99" i="7"/>
  <c r="AG102" i="7"/>
  <c r="T102" i="7"/>
  <c r="J102" i="7"/>
  <c r="AC99" i="7"/>
  <c r="U102" i="7"/>
  <c r="AG106" i="7"/>
  <c r="W99" i="7"/>
  <c r="AH102" i="7"/>
  <c r="S102" i="7"/>
  <c r="Q102" i="7"/>
  <c r="AD104" i="7"/>
  <c r="AK106" i="7"/>
  <c r="F124" i="7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AI128" i="1"/>
  <c r="AM128" i="1"/>
  <c r="H129" i="1"/>
  <c r="AI129" i="1"/>
  <c r="AM129" i="1"/>
  <c r="H130" i="1"/>
  <c r="AI130" i="1"/>
  <c r="AM130" i="1"/>
  <c r="H131" i="1"/>
  <c r="AI131" i="1"/>
  <c r="H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AI90" i="1"/>
  <c r="AJ90" i="1"/>
  <c r="AK90" i="1"/>
  <c r="AM90" i="1"/>
  <c r="W88" i="14"/>
  <c r="AI89" i="1"/>
  <c r="AJ89" i="1"/>
  <c r="AK89" i="1"/>
  <c r="AM89" i="1"/>
  <c r="A131" i="7" l="1"/>
  <c r="F131" i="7"/>
  <c r="H132" i="7"/>
  <c r="C130" i="7"/>
  <c r="G130" i="7"/>
  <c r="AL94" i="1"/>
  <c r="AL93" i="1"/>
  <c r="AL89" i="1"/>
  <c r="AL90" i="1"/>
  <c r="AL92" i="1"/>
  <c r="AL95" i="1"/>
  <c r="AL99" i="1"/>
  <c r="AL91" i="1"/>
  <c r="AL97" i="1"/>
  <c r="C31" i="16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R96" i="7"/>
  <c r="AA98" i="6"/>
  <c r="O95" i="7"/>
  <c r="Q95" i="7"/>
  <c r="L95" i="7"/>
  <c r="AB97" i="6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G90" i="7"/>
  <c r="AA91" i="6"/>
  <c r="Y90" i="6"/>
  <c r="M88" i="7" s="1"/>
  <c r="AB90" i="6"/>
  <c r="AA90" i="6"/>
  <c r="Y89" i="6"/>
  <c r="AI87" i="7" s="1"/>
  <c r="AA89" i="6"/>
  <c r="AB89" i="6"/>
  <c r="AA88" i="6"/>
  <c r="AK86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G81" i="15" s="1"/>
  <c r="F82" i="15"/>
  <c r="G82" i="15" s="1"/>
  <c r="F83" i="15"/>
  <c r="F84" i="15"/>
  <c r="G84" i="15" s="1"/>
  <c r="F85" i="15"/>
  <c r="G85" i="15" s="1"/>
  <c r="G78" i="15"/>
  <c r="G79" i="15"/>
  <c r="G80" i="15"/>
  <c r="G83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Y86" i="7" l="1"/>
  <c r="AF90" i="7"/>
  <c r="AK90" i="7"/>
  <c r="U96" i="7"/>
  <c r="AA90" i="7"/>
  <c r="P95" i="7"/>
  <c r="AI95" i="7"/>
  <c r="J95" i="7"/>
  <c r="M95" i="7"/>
  <c r="H134" i="7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C81" i="7"/>
  <c r="G81" i="7"/>
  <c r="A81" i="7"/>
  <c r="H82" i="7"/>
  <c r="F80" i="7"/>
  <c r="Y81" i="6"/>
  <c r="M79" i="7" s="1"/>
  <c r="Z81" i="6"/>
  <c r="X79" i="7" s="1"/>
  <c r="C23" i="16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W65" i="14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AI63" i="1"/>
  <c r="AJ63" i="1"/>
  <c r="AK63" i="1"/>
  <c r="AM63" i="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L65" i="1"/>
  <c r="AL66" i="1"/>
  <c r="AL63" i="1"/>
  <c r="F86" i="7"/>
  <c r="H87" i="7"/>
  <c r="A86" i="7"/>
  <c r="C85" i="7"/>
  <c r="G85" i="7"/>
  <c r="G76" i="7"/>
  <c r="G68" i="7"/>
  <c r="G60" i="7"/>
  <c r="G74" i="7"/>
  <c r="G70" i="7"/>
  <c r="G66" i="7"/>
  <c r="G62" i="7"/>
  <c r="G73" i="7"/>
  <c r="G69" i="7"/>
  <c r="G65" i="7"/>
  <c r="G61" i="7"/>
  <c r="AK60" i="1"/>
  <c r="AJ60" i="1"/>
  <c r="Y60" i="1"/>
  <c r="X60" i="1"/>
  <c r="W60" i="1"/>
  <c r="AI59" i="1"/>
  <c r="AJ59" i="1"/>
  <c r="AK59" i="1"/>
  <c r="AM59" i="1"/>
  <c r="C57" i="15"/>
  <c r="C58" i="15"/>
  <c r="W58" i="14"/>
  <c r="G138" i="7" l="1"/>
  <c r="C138" i="7"/>
  <c r="A139" i="7"/>
  <c r="F139" i="7"/>
  <c r="H140" i="7"/>
  <c r="AL59" i="1"/>
  <c r="H88" i="7"/>
  <c r="A87" i="7"/>
  <c r="F87" i="7"/>
  <c r="G86" i="7"/>
  <c r="C86" i="7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AI55" i="1"/>
  <c r="AJ55" i="1"/>
  <c r="AK55" i="1"/>
  <c r="AM55" i="1"/>
  <c r="N53" i="15"/>
  <c r="W53" i="14"/>
  <c r="AI54" i="1"/>
  <c r="AJ54" i="1"/>
  <c r="AK54" i="1"/>
  <c r="AM54" i="1"/>
  <c r="W52" i="14"/>
  <c r="AI53" i="1"/>
  <c r="AJ53" i="1"/>
  <c r="AK53" i="1"/>
  <c r="AM53" i="1"/>
  <c r="W51" i="14"/>
  <c r="AI52" i="1"/>
  <c r="AJ52" i="1"/>
  <c r="AK52" i="1"/>
  <c r="AM52" i="1"/>
  <c r="C142" i="7" l="1"/>
  <c r="G142" i="7"/>
  <c r="H144" i="7"/>
  <c r="A143" i="7"/>
  <c r="F143" i="7"/>
  <c r="AL56" i="1"/>
  <c r="H92" i="7"/>
  <c r="A91" i="7"/>
  <c r="F91" i="7"/>
  <c r="G90" i="7"/>
  <c r="C90" i="7"/>
  <c r="AL54" i="1"/>
  <c r="AL53" i="1"/>
  <c r="AL55" i="1"/>
  <c r="AL52" i="1"/>
  <c r="W50" i="14"/>
  <c r="C143" i="7" l="1"/>
  <c r="G143" i="7"/>
  <c r="F144" i="7"/>
  <c r="H145" i="7"/>
  <c r="A144" i="7"/>
  <c r="G91" i="7"/>
  <c r="C91" i="7"/>
  <c r="A92" i="7"/>
  <c r="F92" i="7"/>
  <c r="H93" i="7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Y57" i="6"/>
  <c r="U55" i="7" s="1"/>
  <c r="Z57" i="6"/>
  <c r="X55" i="7" s="1"/>
  <c r="AB57" i="6"/>
  <c r="AB56" i="6"/>
  <c r="AA56" i="6"/>
  <c r="Z54" i="6"/>
  <c r="AA52" i="7" s="1"/>
  <c r="AJ51" i="7"/>
  <c r="AB53" i="6"/>
  <c r="Y51" i="7"/>
  <c r="AM51" i="7"/>
  <c r="U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AA51" i="6"/>
  <c r="Y51" i="6"/>
  <c r="AB51" i="6"/>
  <c r="AA49" i="6"/>
  <c r="R55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A50" i="6"/>
  <c r="AB50" i="6"/>
  <c r="Q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W47" i="14"/>
  <c r="AI48" i="1"/>
  <c r="AJ48" i="1"/>
  <c r="AK48" i="1"/>
  <c r="AM48" i="1"/>
  <c r="AF51" i="7" l="1"/>
  <c r="AK51" i="7"/>
  <c r="W51" i="7"/>
  <c r="AG51" i="7"/>
  <c r="AG56" i="7"/>
  <c r="Z47" i="7"/>
  <c r="AK48" i="7"/>
  <c r="AL51" i="7"/>
  <c r="AB56" i="7"/>
  <c r="AD51" i="7"/>
  <c r="Z51" i="7"/>
  <c r="AG47" i="7"/>
  <c r="AH51" i="7"/>
  <c r="AB48" i="7"/>
  <c r="J51" i="7"/>
  <c r="AE48" i="7"/>
  <c r="L51" i="7"/>
  <c r="U51" i="7"/>
  <c r="K51" i="7"/>
  <c r="F148" i="7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L47" i="1"/>
  <c r="W43" i="14"/>
  <c r="AI44" i="1"/>
  <c r="AJ44" i="1"/>
  <c r="AK44" i="1"/>
  <c r="AM44" i="1"/>
  <c r="H100" i="7" l="1"/>
  <c r="A99" i="7"/>
  <c r="F99" i="7"/>
  <c r="G98" i="7"/>
  <c r="C98" i="7"/>
  <c r="AL44" i="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AI39" i="1"/>
  <c r="AJ39" i="1"/>
  <c r="AK39" i="1"/>
  <c r="AM39" i="1"/>
  <c r="AF40" i="7" l="1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AI28" i="1"/>
  <c r="AJ28" i="1"/>
  <c r="AK28" i="1"/>
  <c r="AM28" i="1"/>
  <c r="AI27" i="1"/>
  <c r="AJ27" i="1"/>
  <c r="AK27" i="1"/>
  <c r="AM27" i="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AL32" i="1"/>
  <c r="AL28" i="1"/>
  <c r="AL23" i="1"/>
  <c r="AL26" i="1"/>
  <c r="AL27" i="1"/>
  <c r="AL29" i="1"/>
  <c r="AL24" i="1"/>
  <c r="AL25" i="1"/>
  <c r="G35" i="14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AI18" i="1"/>
  <c r="AJ18" i="1"/>
  <c r="AK18" i="1"/>
  <c r="AM18" i="1"/>
  <c r="N16" i="15"/>
  <c r="AI17" i="1"/>
  <c r="AJ17" i="1"/>
  <c r="AK17" i="1"/>
  <c r="AM17" i="1"/>
  <c r="N15" i="15"/>
  <c r="AI16" i="1"/>
  <c r="AJ16" i="1"/>
  <c r="AK16" i="1"/>
  <c r="AM16" i="1"/>
  <c r="AI15" i="1"/>
  <c r="AJ15" i="1"/>
  <c r="AK15" i="1"/>
  <c r="AM15" i="1"/>
  <c r="AI14" i="1"/>
  <c r="AJ14" i="1"/>
  <c r="AK14" i="1"/>
  <c r="AM14" i="1"/>
  <c r="AI13" i="1"/>
  <c r="AJ13" i="1"/>
  <c r="AK13" i="1"/>
  <c r="N10" i="15"/>
  <c r="N11" i="15"/>
  <c r="N12" i="15"/>
  <c r="H112" i="7" l="1"/>
  <c r="A111" i="7"/>
  <c r="F111" i="7"/>
  <c r="G110" i="7"/>
  <c r="C110" i="7"/>
  <c r="AL13" i="1"/>
  <c r="AL16" i="1"/>
  <c r="AL17" i="1"/>
  <c r="AL18" i="1"/>
  <c r="AL15" i="1"/>
  <c r="AL14" i="1"/>
  <c r="AI12" i="1"/>
  <c r="AJ12" i="1"/>
  <c r="AK12" i="1"/>
  <c r="AM12" i="1"/>
  <c r="AI11" i="1"/>
  <c r="AJ11" i="1"/>
  <c r="AK11" i="1"/>
  <c r="AM11" i="1"/>
  <c r="G111" i="7" l="1"/>
  <c r="C111" i="7"/>
  <c r="A112" i="7"/>
  <c r="F112" i="7"/>
  <c r="H113" i="7"/>
  <c r="AL12" i="1"/>
  <c r="AL11" i="1"/>
  <c r="C112" i="7" l="1"/>
  <c r="G112" i="7"/>
  <c r="F113" i="7"/>
  <c r="A113" i="7"/>
  <c r="H114" i="7"/>
  <c r="C2" i="16"/>
  <c r="H3" i="16"/>
  <c r="AI10" i="1"/>
  <c r="AJ10" i="1"/>
  <c r="AK10" i="1"/>
  <c r="AM10" i="1"/>
  <c r="AI9" i="1"/>
  <c r="AJ9" i="1"/>
  <c r="AK9" i="1"/>
  <c r="AM9" i="1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27" i="20" s="1"/>
  <c r="M39" i="20" s="1"/>
  <c r="M51" i="20" s="1"/>
  <c r="M63" i="20" s="1"/>
  <c r="M75" i="20" s="1"/>
  <c r="M16" i="20"/>
  <c r="M28" i="20" s="1"/>
  <c r="M40" i="20" s="1"/>
  <c r="M52" i="20" s="1"/>
  <c r="M64" i="20" s="1"/>
  <c r="M76" i="20" s="1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31" i="20" s="1"/>
  <c r="M43" i="20" s="1"/>
  <c r="M55" i="20" s="1"/>
  <c r="M67" i="20" s="1"/>
  <c r="M79" i="20" s="1"/>
  <c r="M20" i="20"/>
  <c r="M32" i="20" s="1"/>
  <c r="M44" i="20" s="1"/>
  <c r="M56" i="20" s="1"/>
  <c r="M68" i="20" s="1"/>
  <c r="M80" i="20" s="1"/>
  <c r="M21" i="20"/>
  <c r="M22" i="20"/>
  <c r="M23" i="20"/>
  <c r="M24" i="20"/>
  <c r="M36" i="20" s="1"/>
  <c r="M48" i="20" s="1"/>
  <c r="M60" i="20" s="1"/>
  <c r="M72" i="20" s="1"/>
  <c r="M84" i="20" s="1"/>
  <c r="M25" i="20"/>
  <c r="M37" i="20" s="1"/>
  <c r="M49" i="20" s="1"/>
  <c r="M61" i="20" s="1"/>
  <c r="M73" i="20" s="1"/>
  <c r="M85" i="20" s="1"/>
  <c r="M33" i="20"/>
  <c r="M45" i="20" s="1"/>
  <c r="M57" i="20" s="1"/>
  <c r="M69" i="20" s="1"/>
  <c r="M81" i="20" s="1"/>
  <c r="M34" i="20"/>
  <c r="M46" i="20" s="1"/>
  <c r="M58" i="20" s="1"/>
  <c r="M70" i="20" s="1"/>
  <c r="M82" i="20" s="1"/>
  <c r="M35" i="20"/>
  <c r="M47" i="20" s="1"/>
  <c r="M59" i="20" s="1"/>
  <c r="M71" i="20" s="1"/>
  <c r="M83" i="20" s="1"/>
  <c r="M14" i="20"/>
  <c r="M26" i="20" s="1"/>
  <c r="M38" i="20" s="1"/>
  <c r="M50" i="20" s="1"/>
  <c r="M62" i="20" s="1"/>
  <c r="M74" i="20" s="1"/>
  <c r="E97" i="20" l="1"/>
  <c r="G97" i="20"/>
  <c r="T97" i="20" s="1"/>
  <c r="W97" i="20" s="1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G52" i="20"/>
  <c r="G53" i="20"/>
  <c r="T53" i="20" s="1"/>
  <c r="W53" i="20" s="1"/>
  <c r="G54" i="20"/>
  <c r="T54" i="20" s="1"/>
  <c r="W54" i="20" s="1"/>
  <c r="G55" i="20"/>
  <c r="G56" i="20"/>
  <c r="G57" i="20"/>
  <c r="G58" i="20"/>
  <c r="G59" i="20"/>
  <c r="T59" i="20" s="1"/>
  <c r="W59" i="20" s="1"/>
  <c r="G60" i="20"/>
  <c r="G61" i="20"/>
  <c r="G62" i="20"/>
  <c r="G63" i="20"/>
  <c r="T63" i="20" s="1"/>
  <c r="W63" i="20" s="1"/>
  <c r="G64" i="20"/>
  <c r="G65" i="20"/>
  <c r="G66" i="20"/>
  <c r="G67" i="20"/>
  <c r="G68" i="20"/>
  <c r="G69" i="20"/>
  <c r="G70" i="20"/>
  <c r="G71" i="20"/>
  <c r="G72" i="20"/>
  <c r="G73" i="20"/>
  <c r="G74" i="20"/>
  <c r="G75" i="20"/>
  <c r="T75" i="20" s="1"/>
  <c r="W75" i="20" s="1"/>
  <c r="G76" i="20"/>
  <c r="T76" i="20" s="1"/>
  <c r="W76" i="20" s="1"/>
  <c r="G77" i="20"/>
  <c r="T77" i="20" s="1"/>
  <c r="W77" i="20" s="1"/>
  <c r="G78" i="20"/>
  <c r="G79" i="20"/>
  <c r="G80" i="20"/>
  <c r="G81" i="20"/>
  <c r="G82" i="20"/>
  <c r="G83" i="20"/>
  <c r="G84" i="20"/>
  <c r="G85" i="20"/>
  <c r="G86" i="20"/>
  <c r="G87" i="20"/>
  <c r="G88" i="20"/>
  <c r="G89" i="20"/>
  <c r="T89" i="20" s="1"/>
  <c r="W89" i="20" s="1"/>
  <c r="G90" i="20"/>
  <c r="T90" i="20" s="1"/>
  <c r="W90" i="20" s="1"/>
  <c r="G91" i="20"/>
  <c r="G92" i="20"/>
  <c r="G93" i="20"/>
  <c r="G94" i="20"/>
  <c r="G95" i="20"/>
  <c r="G96" i="20"/>
  <c r="T55" i="20"/>
  <c r="W55" i="20" s="1"/>
  <c r="T56" i="20"/>
  <c r="W56" i="20" s="1"/>
  <c r="T57" i="20"/>
  <c r="W57" i="20" s="1"/>
  <c r="T58" i="20"/>
  <c r="W58" i="20" s="1"/>
  <c r="T67" i="20"/>
  <c r="W67" i="20" s="1"/>
  <c r="T68" i="20"/>
  <c r="W68" i="20" s="1"/>
  <c r="T69" i="20"/>
  <c r="W69" i="20" s="1"/>
  <c r="T70" i="20"/>
  <c r="W70" i="20" s="1"/>
  <c r="T71" i="20"/>
  <c r="W71" i="20" s="1"/>
  <c r="T72" i="20"/>
  <c r="W72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W84" i="20" s="1"/>
  <c r="T87" i="20"/>
  <c r="W87" i="20" s="1"/>
  <c r="T88" i="20"/>
  <c r="W88" i="20" s="1"/>
  <c r="T91" i="20"/>
  <c r="W91" i="20" s="1"/>
  <c r="T93" i="20"/>
  <c r="W93" i="20" s="1"/>
  <c r="T94" i="20"/>
  <c r="T95" i="20"/>
  <c r="T96" i="20"/>
  <c r="W96" i="20" s="1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0" i="20" l="1"/>
  <c r="W60" i="20" s="1"/>
  <c r="T66" i="20"/>
  <c r="W66" i="20" s="1"/>
  <c r="T65" i="20"/>
  <c r="W65" i="20" s="1"/>
  <c r="T51" i="20"/>
  <c r="W51" i="20" s="1"/>
  <c r="T52" i="20"/>
  <c r="W52" i="20" s="1"/>
  <c r="T92" i="20"/>
  <c r="W92" i="20" s="1"/>
  <c r="T78" i="20"/>
  <c r="W78" i="20" s="1"/>
  <c r="T64" i="20"/>
  <c r="W64" i="20" s="1"/>
  <c r="T61" i="20"/>
  <c r="W61" i="20" s="1"/>
  <c r="T73" i="20"/>
  <c r="W73" i="20" s="1"/>
  <c r="T85" i="20"/>
  <c r="W85" i="20" s="1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B59" i="20" s="1"/>
  <c r="B71" i="20" s="1"/>
  <c r="B83" i="20" s="1"/>
  <c r="B95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H61" i="20" s="1"/>
  <c r="H73" i="20" s="1"/>
  <c r="H85" i="20" s="1"/>
  <c r="H97" i="20" s="1"/>
  <c r="G25" i="20"/>
  <c r="T25" i="20" s="1"/>
  <c r="W25" i="20" s="1"/>
  <c r="C25" i="20"/>
  <c r="C37" i="20" s="1"/>
  <c r="C49" i="20" s="1"/>
  <c r="C61" i="20" s="1"/>
  <c r="C73" i="20" s="1"/>
  <c r="C85" i="20" s="1"/>
  <c r="C97" i="20" s="1"/>
  <c r="B25" i="20"/>
  <c r="B37" i="20" s="1"/>
  <c r="B49" i="20" s="1"/>
  <c r="B61" i="20" s="1"/>
  <c r="B73" i="20" s="1"/>
  <c r="B85" i="20" s="1"/>
  <c r="B97" i="20" s="1"/>
  <c r="AA24" i="20"/>
  <c r="I24" i="20"/>
  <c r="I36" i="20" s="1"/>
  <c r="I48" i="20" s="1"/>
  <c r="I60" i="20" s="1"/>
  <c r="H24" i="20"/>
  <c r="H36" i="20" s="1"/>
  <c r="H48" i="20" s="1"/>
  <c r="H60" i="20" s="1"/>
  <c r="H72" i="20" s="1"/>
  <c r="H84" i="20" s="1"/>
  <c r="H96" i="20" s="1"/>
  <c r="G24" i="20"/>
  <c r="T24" i="20" s="1"/>
  <c r="W24" i="20" s="1"/>
  <c r="C24" i="20"/>
  <c r="C36" i="20" s="1"/>
  <c r="C48" i="20" s="1"/>
  <c r="C60" i="20" s="1"/>
  <c r="C72" i="20" s="1"/>
  <c r="C84" i="20" s="1"/>
  <c r="C96" i="20" s="1"/>
  <c r="B24" i="20"/>
  <c r="B36" i="20" s="1"/>
  <c r="B48" i="20" s="1"/>
  <c r="B60" i="20" s="1"/>
  <c r="B72" i="20" s="1"/>
  <c r="B84" i="20" s="1"/>
  <c r="B96" i="20" s="1"/>
  <c r="AA23" i="20"/>
  <c r="I23" i="20"/>
  <c r="O23" i="20" s="1"/>
  <c r="H23" i="20"/>
  <c r="H35" i="20" s="1"/>
  <c r="H47" i="20" s="1"/>
  <c r="H59" i="20" s="1"/>
  <c r="H71" i="20" s="1"/>
  <c r="H83" i="20" s="1"/>
  <c r="H95" i="20" s="1"/>
  <c r="G23" i="20"/>
  <c r="C23" i="20"/>
  <c r="C35" i="20" s="1"/>
  <c r="C47" i="20" s="1"/>
  <c r="C59" i="20" s="1"/>
  <c r="C71" i="20" s="1"/>
  <c r="C83" i="20" s="1"/>
  <c r="C95" i="20" s="1"/>
  <c r="B23" i="20"/>
  <c r="AA22" i="20"/>
  <c r="I22" i="20"/>
  <c r="I34" i="20" s="1"/>
  <c r="H22" i="20"/>
  <c r="H34" i="20" s="1"/>
  <c r="H46" i="20" s="1"/>
  <c r="H58" i="20" s="1"/>
  <c r="H70" i="20" s="1"/>
  <c r="H82" i="20" s="1"/>
  <c r="H94" i="20" s="1"/>
  <c r="G22" i="20"/>
  <c r="T22" i="20" s="1"/>
  <c r="W22" i="20" s="1"/>
  <c r="C22" i="20"/>
  <c r="C34" i="20" s="1"/>
  <c r="C46" i="20" s="1"/>
  <c r="C58" i="20" s="1"/>
  <c r="C70" i="20" s="1"/>
  <c r="C82" i="20" s="1"/>
  <c r="C94" i="20" s="1"/>
  <c r="B22" i="20"/>
  <c r="B34" i="20" s="1"/>
  <c r="B46" i="20" s="1"/>
  <c r="B58" i="20" s="1"/>
  <c r="B70" i="20" s="1"/>
  <c r="B82" i="20" s="1"/>
  <c r="B94" i="20" s="1"/>
  <c r="AA21" i="20"/>
  <c r="T21" i="20"/>
  <c r="W21" i="20" s="1"/>
  <c r="I21" i="20"/>
  <c r="I33" i="20" s="1"/>
  <c r="H21" i="20"/>
  <c r="H33" i="20" s="1"/>
  <c r="H45" i="20" s="1"/>
  <c r="H57" i="20" s="1"/>
  <c r="H69" i="20" s="1"/>
  <c r="H81" i="20" s="1"/>
  <c r="H93" i="20" s="1"/>
  <c r="G21" i="20"/>
  <c r="C21" i="20"/>
  <c r="C33" i="20" s="1"/>
  <c r="C45" i="20" s="1"/>
  <c r="C57" i="20" s="1"/>
  <c r="C69" i="20" s="1"/>
  <c r="C81" i="20" s="1"/>
  <c r="C93" i="20" s="1"/>
  <c r="B21" i="20"/>
  <c r="B33" i="20" s="1"/>
  <c r="B45" i="20" s="1"/>
  <c r="B57" i="20" s="1"/>
  <c r="B69" i="20" s="1"/>
  <c r="B81" i="20" s="1"/>
  <c r="B93" i="20" s="1"/>
  <c r="AA20" i="20"/>
  <c r="I20" i="20"/>
  <c r="O20" i="20" s="1"/>
  <c r="H20" i="20"/>
  <c r="H32" i="20" s="1"/>
  <c r="H44" i="20" s="1"/>
  <c r="H56" i="20" s="1"/>
  <c r="H68" i="20" s="1"/>
  <c r="H80" i="20" s="1"/>
  <c r="H92" i="20" s="1"/>
  <c r="G20" i="20"/>
  <c r="T20" i="20" s="1"/>
  <c r="W20" i="20" s="1"/>
  <c r="C20" i="20"/>
  <c r="C32" i="20" s="1"/>
  <c r="C44" i="20" s="1"/>
  <c r="C56" i="20" s="1"/>
  <c r="C68" i="20" s="1"/>
  <c r="C80" i="20" s="1"/>
  <c r="C92" i="20" s="1"/>
  <c r="B20" i="20"/>
  <c r="B32" i="20" s="1"/>
  <c r="B44" i="20" s="1"/>
  <c r="B56" i="20" s="1"/>
  <c r="B68" i="20" s="1"/>
  <c r="B80" i="20" s="1"/>
  <c r="B92" i="20" s="1"/>
  <c r="AA19" i="20"/>
  <c r="I19" i="20"/>
  <c r="H19" i="20"/>
  <c r="H31" i="20" s="1"/>
  <c r="H43" i="20" s="1"/>
  <c r="H55" i="20" s="1"/>
  <c r="H67" i="20" s="1"/>
  <c r="H79" i="20" s="1"/>
  <c r="H91" i="20" s="1"/>
  <c r="G19" i="20"/>
  <c r="T19" i="20" s="1"/>
  <c r="W19" i="20" s="1"/>
  <c r="C19" i="20"/>
  <c r="C31" i="20" s="1"/>
  <c r="C43" i="20" s="1"/>
  <c r="C55" i="20" s="1"/>
  <c r="C67" i="20" s="1"/>
  <c r="C79" i="20" s="1"/>
  <c r="C91" i="20" s="1"/>
  <c r="B19" i="20"/>
  <c r="B31" i="20" s="1"/>
  <c r="B43" i="20" s="1"/>
  <c r="B55" i="20" s="1"/>
  <c r="B67" i="20" s="1"/>
  <c r="B79" i="20" s="1"/>
  <c r="B91" i="20" s="1"/>
  <c r="AA18" i="20"/>
  <c r="I18" i="20"/>
  <c r="O18" i="20" s="1"/>
  <c r="H18" i="20"/>
  <c r="H30" i="20" s="1"/>
  <c r="H42" i="20" s="1"/>
  <c r="H54" i="20" s="1"/>
  <c r="H66" i="20" s="1"/>
  <c r="H78" i="20" s="1"/>
  <c r="H90" i="20" s="1"/>
  <c r="G18" i="20"/>
  <c r="T18" i="20" s="1"/>
  <c r="W18" i="20" s="1"/>
  <c r="C18" i="20"/>
  <c r="C30" i="20" s="1"/>
  <c r="C42" i="20" s="1"/>
  <c r="C54" i="20" s="1"/>
  <c r="C66" i="20" s="1"/>
  <c r="C78" i="20" s="1"/>
  <c r="C90" i="20" s="1"/>
  <c r="B18" i="20"/>
  <c r="B30" i="20" s="1"/>
  <c r="B42" i="20" s="1"/>
  <c r="B54" i="20" s="1"/>
  <c r="B66" i="20" s="1"/>
  <c r="B78" i="20" s="1"/>
  <c r="B90" i="20" s="1"/>
  <c r="I17" i="20"/>
  <c r="O17" i="20" s="1"/>
  <c r="H17" i="20"/>
  <c r="H29" i="20" s="1"/>
  <c r="H41" i="20" s="1"/>
  <c r="H53" i="20" s="1"/>
  <c r="H65" i="20" s="1"/>
  <c r="H77" i="20" s="1"/>
  <c r="H89" i="20" s="1"/>
  <c r="G17" i="20"/>
  <c r="T17" i="20" s="1"/>
  <c r="W17" i="20" s="1"/>
  <c r="E17" i="20"/>
  <c r="C17" i="20"/>
  <c r="C29" i="20" s="1"/>
  <c r="C41" i="20" s="1"/>
  <c r="C53" i="20" s="1"/>
  <c r="C65" i="20" s="1"/>
  <c r="C77" i="20" s="1"/>
  <c r="C89" i="20" s="1"/>
  <c r="B17" i="20"/>
  <c r="B29" i="20" s="1"/>
  <c r="B41" i="20" s="1"/>
  <c r="B53" i="20" s="1"/>
  <c r="B65" i="20" s="1"/>
  <c r="B77" i="20" s="1"/>
  <c r="B89" i="20" s="1"/>
  <c r="AA16" i="20"/>
  <c r="I16" i="20"/>
  <c r="H16" i="20"/>
  <c r="H28" i="20" s="1"/>
  <c r="H40" i="20" s="1"/>
  <c r="H52" i="20" s="1"/>
  <c r="H64" i="20" s="1"/>
  <c r="H76" i="20" s="1"/>
  <c r="H88" i="20" s="1"/>
  <c r="G16" i="20"/>
  <c r="E16" i="20"/>
  <c r="C16" i="20"/>
  <c r="C28" i="20" s="1"/>
  <c r="C40" i="20" s="1"/>
  <c r="C52" i="20" s="1"/>
  <c r="C64" i="20" s="1"/>
  <c r="C76" i="20" s="1"/>
  <c r="C88" i="20" s="1"/>
  <c r="B16" i="20"/>
  <c r="B28" i="20" s="1"/>
  <c r="B40" i="20" s="1"/>
  <c r="B52" i="20" s="1"/>
  <c r="B64" i="20" s="1"/>
  <c r="B76" i="20" s="1"/>
  <c r="B88" i="20" s="1"/>
  <c r="AA15" i="20"/>
  <c r="I15" i="20"/>
  <c r="O15" i="20" s="1"/>
  <c r="H15" i="20"/>
  <c r="H27" i="20" s="1"/>
  <c r="H39" i="20" s="1"/>
  <c r="H51" i="20" s="1"/>
  <c r="H63" i="20" s="1"/>
  <c r="H75" i="20" s="1"/>
  <c r="H87" i="20" s="1"/>
  <c r="G15" i="20"/>
  <c r="E15" i="20"/>
  <c r="C15" i="20"/>
  <c r="C27" i="20" s="1"/>
  <c r="C39" i="20" s="1"/>
  <c r="C51" i="20" s="1"/>
  <c r="C63" i="20" s="1"/>
  <c r="C75" i="20" s="1"/>
  <c r="C87" i="20" s="1"/>
  <c r="B15" i="20"/>
  <c r="B27" i="20" s="1"/>
  <c r="B39" i="20" s="1"/>
  <c r="B51" i="20" s="1"/>
  <c r="B63" i="20" s="1"/>
  <c r="B75" i="20" s="1"/>
  <c r="B87" i="20" s="1"/>
  <c r="AA14" i="20"/>
  <c r="I14" i="20"/>
  <c r="O14" i="20" s="1"/>
  <c r="H14" i="20"/>
  <c r="H26" i="20" s="1"/>
  <c r="H38" i="20" s="1"/>
  <c r="H50" i="20" s="1"/>
  <c r="H62" i="20" s="1"/>
  <c r="H74" i="20" s="1"/>
  <c r="H86" i="20" s="1"/>
  <c r="G14" i="20"/>
  <c r="E14" i="20"/>
  <c r="C14" i="20"/>
  <c r="C26" i="20" s="1"/>
  <c r="C38" i="20" s="1"/>
  <c r="C50" i="20" s="1"/>
  <c r="C62" i="20" s="1"/>
  <c r="C74" i="20" s="1"/>
  <c r="C86" i="20" s="1"/>
  <c r="B14" i="20"/>
  <c r="B26" i="20" s="1"/>
  <c r="B38" i="20" s="1"/>
  <c r="B50" i="20" s="1"/>
  <c r="B62" i="20" s="1"/>
  <c r="B74" i="20" s="1"/>
  <c r="B86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O2" i="20"/>
  <c r="G2" i="20"/>
  <c r="T2" i="20" s="1"/>
  <c r="W2" i="20" s="1"/>
  <c r="E2" i="20"/>
  <c r="P23" i="20" l="1"/>
  <c r="I72" i="20"/>
  <c r="O60" i="20"/>
  <c r="P60" i="20"/>
  <c r="O21" i="20"/>
  <c r="O24" i="20"/>
  <c r="I27" i="20"/>
  <c r="I39" i="20" s="1"/>
  <c r="I51" i="20" s="1"/>
  <c r="P10" i="20"/>
  <c r="P25" i="20"/>
  <c r="P5" i="20"/>
  <c r="P33" i="20"/>
  <c r="I26" i="20"/>
  <c r="O26" i="20" s="1"/>
  <c r="I32" i="20"/>
  <c r="I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I57" i="20" s="1"/>
  <c r="O37" i="20"/>
  <c r="I49" i="20"/>
  <c r="I61" i="20" s="1"/>
  <c r="P37" i="20"/>
  <c r="P7" i="20"/>
  <c r="P34" i="20"/>
  <c r="O34" i="20"/>
  <c r="I46" i="20"/>
  <c r="I58" i="20" s="1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I70" i="20" l="1"/>
  <c r="P58" i="20"/>
  <c r="O58" i="20"/>
  <c r="I63" i="20"/>
  <c r="O51" i="20"/>
  <c r="P51" i="20"/>
  <c r="I73" i="20"/>
  <c r="O61" i="20"/>
  <c r="P61" i="20"/>
  <c r="I84" i="20"/>
  <c r="O72" i="20"/>
  <c r="P72" i="20"/>
  <c r="I69" i="20"/>
  <c r="P57" i="20"/>
  <c r="O57" i="20"/>
  <c r="P44" i="20"/>
  <c r="I56" i="20"/>
  <c r="P27" i="20"/>
  <c r="O27" i="20"/>
  <c r="O44" i="20"/>
  <c r="P26" i="20"/>
  <c r="O32" i="20"/>
  <c r="P32" i="20"/>
  <c r="I38" i="20"/>
  <c r="P30" i="20"/>
  <c r="O30" i="20"/>
  <c r="I42" i="20"/>
  <c r="I54" i="20" s="1"/>
  <c r="O49" i="20"/>
  <c r="P49" i="20"/>
  <c r="P39" i="20"/>
  <c r="O39" i="20"/>
  <c r="O28" i="20"/>
  <c r="I40" i="20"/>
  <c r="I52" i="20" s="1"/>
  <c r="P28" i="20"/>
  <c r="P35" i="20"/>
  <c r="O35" i="20"/>
  <c r="I47" i="20"/>
  <c r="I59" i="20" s="1"/>
  <c r="O45" i="20"/>
  <c r="P45" i="20"/>
  <c r="P31" i="20"/>
  <c r="O31" i="20"/>
  <c r="I43" i="20"/>
  <c r="I55" i="20" s="1"/>
  <c r="O29" i="20"/>
  <c r="I41" i="20"/>
  <c r="I53" i="20" s="1"/>
  <c r="P29" i="20"/>
  <c r="P46" i="20"/>
  <c r="O46" i="20"/>
  <c r="P38" i="20" l="1"/>
  <c r="I50" i="20"/>
  <c r="I96" i="20"/>
  <c r="O84" i="20"/>
  <c r="P84" i="20"/>
  <c r="I64" i="20"/>
  <c r="O52" i="20"/>
  <c r="P52" i="20"/>
  <c r="I65" i="20"/>
  <c r="O53" i="20"/>
  <c r="P53" i="20"/>
  <c r="I85" i="20"/>
  <c r="O73" i="20"/>
  <c r="P73" i="20"/>
  <c r="I67" i="20"/>
  <c r="O55" i="20"/>
  <c r="P55" i="20"/>
  <c r="I68" i="20"/>
  <c r="O56" i="20"/>
  <c r="P56" i="20"/>
  <c r="I75" i="20"/>
  <c r="O63" i="20"/>
  <c r="P63" i="20"/>
  <c r="I66" i="20"/>
  <c r="O54" i="20"/>
  <c r="P54" i="20"/>
  <c r="I71" i="20"/>
  <c r="O59" i="20"/>
  <c r="P59" i="20"/>
  <c r="I81" i="20"/>
  <c r="O69" i="20"/>
  <c r="P69" i="20"/>
  <c r="I82" i="20"/>
  <c r="O70" i="20"/>
  <c r="P70" i="20"/>
  <c r="O38" i="20"/>
  <c r="P47" i="20"/>
  <c r="O47" i="20"/>
  <c r="P43" i="20"/>
  <c r="O43" i="20"/>
  <c r="P40" i="20"/>
  <c r="O40" i="20"/>
  <c r="P42" i="20"/>
  <c r="O42" i="20"/>
  <c r="O41" i="20"/>
  <c r="P41" i="20"/>
  <c r="I78" i="20" l="1"/>
  <c r="O66" i="20"/>
  <c r="P66" i="20"/>
  <c r="I97" i="20"/>
  <c r="O85" i="20"/>
  <c r="P85" i="20"/>
  <c r="I94" i="20"/>
  <c r="P82" i="20"/>
  <c r="O82" i="20"/>
  <c r="I87" i="20"/>
  <c r="O75" i="20"/>
  <c r="P75" i="20"/>
  <c r="I77" i="20"/>
  <c r="O65" i="20"/>
  <c r="P65" i="20"/>
  <c r="I93" i="20"/>
  <c r="O81" i="20"/>
  <c r="P81" i="20"/>
  <c r="I80" i="20"/>
  <c r="O68" i="20"/>
  <c r="P68" i="20"/>
  <c r="I76" i="20"/>
  <c r="O64" i="20"/>
  <c r="P64" i="20"/>
  <c r="I83" i="20"/>
  <c r="O71" i="20"/>
  <c r="P71" i="20"/>
  <c r="I79" i="20"/>
  <c r="O67" i="20"/>
  <c r="P67" i="20"/>
  <c r="O96" i="20"/>
  <c r="P96" i="20"/>
  <c r="I62" i="20"/>
  <c r="O50" i="20"/>
  <c r="P50" i="20"/>
  <c r="N5" i="15"/>
  <c r="N3" i="15"/>
  <c r="N4" i="15"/>
  <c r="I88" i="20" l="1"/>
  <c r="O76" i="20"/>
  <c r="P76" i="20"/>
  <c r="O87" i="20"/>
  <c r="P87" i="20"/>
  <c r="I74" i="20"/>
  <c r="O62" i="20"/>
  <c r="P62" i="20"/>
  <c r="I92" i="20"/>
  <c r="O80" i="20"/>
  <c r="P80" i="20"/>
  <c r="O94" i="20"/>
  <c r="P94" i="20"/>
  <c r="I91" i="20"/>
  <c r="O79" i="20"/>
  <c r="P79" i="20"/>
  <c r="O93" i="20"/>
  <c r="P93" i="20"/>
  <c r="P97" i="20"/>
  <c r="O97" i="20"/>
  <c r="I95" i="20"/>
  <c r="O83" i="20"/>
  <c r="P83" i="20"/>
  <c r="I89" i="20"/>
  <c r="O77" i="20"/>
  <c r="P77" i="20"/>
  <c r="I90" i="20"/>
  <c r="O78" i="20"/>
  <c r="P78" i="20"/>
  <c r="O92" i="20" l="1"/>
  <c r="P92" i="20"/>
  <c r="O95" i="20"/>
  <c r="P95" i="20"/>
  <c r="O90" i="20"/>
  <c r="P90" i="20"/>
  <c r="I86" i="20"/>
  <c r="O74" i="20"/>
  <c r="P74" i="20"/>
  <c r="P91" i="20"/>
  <c r="O91" i="20"/>
  <c r="O89" i="20"/>
  <c r="P89" i="20"/>
  <c r="O88" i="20"/>
  <c r="P88" i="20"/>
  <c r="Z14" i="6"/>
  <c r="Y18" i="6"/>
  <c r="AB8" i="6"/>
  <c r="AB16" i="6"/>
  <c r="AB24" i="6"/>
  <c r="AB30" i="6"/>
  <c r="O86" i="20" l="1"/>
  <c r="P86" i="20"/>
  <c r="Z6" i="6"/>
  <c r="AL4" i="7" s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Y6" i="6"/>
  <c r="P4" i="7" s="1"/>
  <c r="AF12" i="7"/>
  <c r="S16" i="7"/>
  <c r="AC12" i="7"/>
  <c r="P16" i="7"/>
  <c r="AB4" i="7"/>
  <c r="Z12" i="7"/>
  <c r="M16" i="7"/>
  <c r="W12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G12" i="7"/>
  <c r="T16" i="7"/>
  <c r="AC4" i="7"/>
  <c r="Z21" i="6"/>
  <c r="V19" i="7" s="1"/>
  <c r="Y21" i="6"/>
  <c r="S19" i="7" s="1"/>
  <c r="Y29" i="6"/>
  <c r="Z29" i="6"/>
  <c r="AA25" i="6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W4" i="7" l="1"/>
  <c r="AK4" i="7"/>
  <c r="AF4" i="7"/>
  <c r="AE4" i="7"/>
  <c r="Z4" i="7"/>
  <c r="X4" i="7"/>
  <c r="Y4" i="7"/>
  <c r="AA4" i="7"/>
  <c r="AM4" i="7"/>
  <c r="V16" i="7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F14" i="16" l="1"/>
  <c r="G14" i="16" s="1"/>
  <c r="H15" i="16"/>
  <c r="B14" i="16"/>
  <c r="C14" i="16"/>
  <c r="H4" i="15"/>
  <c r="F3" i="15"/>
  <c r="G3" i="15" s="1"/>
  <c r="C3" i="15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A5" i="1" l="1"/>
  <c r="H30" i="15"/>
  <c r="C29" i="15"/>
  <c r="F29" i="15"/>
  <c r="G29" i="15" s="1"/>
  <c r="G6" i="1"/>
  <c r="E5" i="1"/>
  <c r="F5" i="1" s="1"/>
  <c r="A6" i="1" l="1"/>
  <c r="H31" i="15"/>
  <c r="C30" i="15"/>
  <c r="F30" i="15"/>
  <c r="G30" i="15" s="1"/>
  <c r="G7" i="1"/>
  <c r="E6" i="1"/>
  <c r="F6" i="1" s="1"/>
  <c r="A7" i="1" l="1"/>
  <c r="H32" i="15"/>
  <c r="F31" i="15"/>
  <c r="G31" i="15" s="1"/>
  <c r="C31" i="15"/>
  <c r="G8" i="1"/>
  <c r="E7" i="1"/>
  <c r="F7" i="1" s="1"/>
  <c r="A8" i="1" l="1"/>
  <c r="H33" i="15"/>
  <c r="C32" i="15"/>
  <c r="F32" i="15"/>
  <c r="G32" i="15" s="1"/>
  <c r="G9" i="1"/>
  <c r="E8" i="1"/>
  <c r="F8" i="1" s="1"/>
  <c r="A9" i="1" l="1"/>
  <c r="H34" i="15"/>
  <c r="C33" i="15"/>
  <c r="F33" i="15"/>
  <c r="G33" i="15" s="1"/>
  <c r="G10" i="1"/>
  <c r="E9" i="1"/>
  <c r="F9" i="1" s="1"/>
  <c r="A10" i="1" l="1"/>
  <c r="H35" i="15"/>
  <c r="C34" i="15"/>
  <c r="F34" i="15"/>
  <c r="G34" i="15" s="1"/>
  <c r="G11" i="1"/>
  <c r="E10" i="1"/>
  <c r="F10" i="1" s="1"/>
  <c r="A11" i="1" l="1"/>
  <c r="F35" i="15"/>
  <c r="G35" i="15" s="1"/>
  <c r="H36" i="15"/>
  <c r="C35" i="15"/>
  <c r="G12" i="1"/>
  <c r="E11" i="1"/>
  <c r="F11" i="1" s="1"/>
  <c r="A12" i="1" l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E48" i="1"/>
  <c r="F48" i="1" s="1"/>
  <c r="A48" i="1"/>
  <c r="G50" i="1" l="1"/>
  <c r="A49" i="1"/>
  <c r="E49" i="1"/>
  <c r="F49" i="1" s="1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U3" i="19"/>
  <c r="W3" i="19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W4" i="19"/>
  <c r="U4" i="19"/>
  <c r="Z5" i="19"/>
  <c r="K5" i="19"/>
  <c r="X5" i="19"/>
  <c r="A6" i="19"/>
  <c r="F5" i="19"/>
  <c r="I5" i="19"/>
  <c r="C5" i="19"/>
  <c r="M5" i="19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U5" i="19"/>
  <c r="W5" i="19"/>
  <c r="AE5" i="19"/>
  <c r="AH5" i="19"/>
  <c r="AC5" i="19"/>
  <c r="AG5" i="19"/>
  <c r="AF5" i="19"/>
  <c r="L6" i="19"/>
  <c r="I6" i="19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Z7" i="19"/>
  <c r="N7" i="19"/>
  <c r="X7" i="19"/>
  <c r="C7" i="19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K8" i="19"/>
  <c r="C8" i="19"/>
  <c r="AB8" i="19"/>
  <c r="L8" i="19"/>
  <c r="I8" i="19"/>
  <c r="E8" i="19"/>
  <c r="U7" i="19"/>
  <c r="W7" i="19"/>
  <c r="G65" i="1" l="1"/>
  <c r="E64" i="1"/>
  <c r="F64" i="1" s="1"/>
  <c r="A64" i="1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K9" i="19"/>
  <c r="C9" i="19"/>
  <c r="G66" i="1" l="1"/>
  <c r="E65" i="1"/>
  <c r="F65" i="1" s="1"/>
  <c r="A65" i="1"/>
  <c r="G10" i="19"/>
  <c r="B10" i="19"/>
  <c r="Y10" i="19"/>
  <c r="M10" i="19"/>
  <c r="F10" i="19"/>
  <c r="Z10" i="19"/>
  <c r="N10" i="19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U10" i="19"/>
  <c r="W10" i="19"/>
  <c r="Y11" i="19"/>
  <c r="M11" i="19"/>
  <c r="Z11" i="19"/>
  <c r="N11" i="19"/>
  <c r="D11" i="19"/>
  <c r="AD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K12" i="19"/>
  <c r="D12" i="19"/>
  <c r="AD12" i="19" s="1"/>
  <c r="G69" i="1" l="1"/>
  <c r="A68" i="1"/>
  <c r="E68" i="1"/>
  <c r="F68" i="1" s="1"/>
  <c r="W12" i="19"/>
  <c r="U12" i="19"/>
  <c r="AF12" i="19"/>
  <c r="AE12" i="19"/>
  <c r="AH12" i="19"/>
  <c r="AG12" i="19"/>
  <c r="AC12" i="19"/>
  <c r="Z13" i="19"/>
  <c r="L13" i="19"/>
  <c r="X13" i="19"/>
  <c r="C13" i="19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Y14" i="19"/>
  <c r="M14" i="19"/>
  <c r="G14" i="19"/>
  <c r="A15" i="19"/>
  <c r="E14" i="19"/>
  <c r="Z14" i="19"/>
  <c r="N14" i="19"/>
  <c r="X14" i="19"/>
  <c r="B14" i="19"/>
  <c r="F14" i="19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D16" i="19"/>
  <c r="AD16" i="19" s="1"/>
  <c r="G73" i="1" l="1"/>
  <c r="A72" i="1"/>
  <c r="E72" i="1"/>
  <c r="F72" i="1" s="1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N18" i="19"/>
  <c r="D18" i="19"/>
  <c r="AD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U18" i="19"/>
  <c r="W18" i="19"/>
  <c r="AE18" i="19"/>
  <c r="AF18" i="19"/>
  <c r="AH18" i="19"/>
  <c r="AC18" i="19"/>
  <c r="AG18" i="19"/>
  <c r="X19" i="19"/>
  <c r="C19" i="19"/>
  <c r="N19" i="19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U19" i="19"/>
  <c r="W19" i="19"/>
  <c r="Z20" i="19"/>
  <c r="N20" i="19"/>
  <c r="X20" i="19"/>
  <c r="C20" i="19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Y21" i="19"/>
  <c r="N21" i="19"/>
  <c r="G21" i="19"/>
  <c r="D21" i="19"/>
  <c r="AD21" i="19" s="1"/>
  <c r="Z21" i="19"/>
  <c r="L21" i="19"/>
  <c r="X21" i="19"/>
  <c r="A22" i="19"/>
  <c r="E21" i="19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L22" i="19"/>
  <c r="E22" i="19"/>
  <c r="Y22" i="19"/>
  <c r="M22" i="19"/>
  <c r="G22" i="19"/>
  <c r="B22" i="19"/>
  <c r="F22" i="19"/>
  <c r="Z22" i="19"/>
  <c r="N22" i="19"/>
  <c r="X22" i="19"/>
  <c r="C22" i="19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K25" i="19"/>
  <c r="D25" i="19"/>
  <c r="AD25" i="19" s="1"/>
  <c r="F25" i="19"/>
  <c r="L25" i="19"/>
  <c r="G82" i="1" l="1"/>
  <c r="E81" i="1"/>
  <c r="F81" i="1" s="1"/>
  <c r="A81" i="1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U26" i="19"/>
  <c r="W26" i="19"/>
  <c r="Y27" i="19"/>
  <c r="M27" i="19"/>
  <c r="G27" i="19"/>
  <c r="B27" i="19"/>
  <c r="F27" i="19"/>
  <c r="N27" i="19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Z28" i="19"/>
  <c r="X28" i="19"/>
  <c r="F28" i="19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AG28" i="19"/>
  <c r="AC28" i="19"/>
  <c r="AE28" i="19"/>
  <c r="AF28" i="19"/>
  <c r="AH28" i="19"/>
  <c r="Y29" i="19"/>
  <c r="N29" i="19"/>
  <c r="I29" i="19"/>
  <c r="B29" i="19"/>
  <c r="E29" i="19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Y30" i="19"/>
  <c r="G30" i="19"/>
  <c r="B30" i="19"/>
  <c r="Z30" i="19"/>
  <c r="N30" i="19"/>
  <c r="X30" i="19"/>
  <c r="D30" i="19"/>
  <c r="AD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AB31" i="19"/>
  <c r="L31" i="19"/>
  <c r="I31" i="19"/>
  <c r="B31" i="19"/>
  <c r="E31" i="19"/>
  <c r="N31" i="19"/>
  <c r="X31" i="19"/>
  <c r="Z31" i="19"/>
  <c r="D31" i="19"/>
  <c r="AD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U32" i="19"/>
  <c r="W32" i="19"/>
  <c r="AH32" i="19"/>
  <c r="AC32" i="19"/>
  <c r="AE32" i="19"/>
  <c r="AG32" i="19"/>
  <c r="AF32" i="19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AH33" i="19"/>
  <c r="AC33" i="19"/>
  <c r="AG33" i="19"/>
  <c r="AF33" i="19"/>
  <c r="AE33" i="19"/>
  <c r="F34" i="19"/>
  <c r="X34" i="19"/>
  <c r="Y34" i="19"/>
  <c r="G34" i="19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Y37" i="19"/>
  <c r="N37" i="19"/>
  <c r="I37" i="19"/>
  <c r="C37" i="19"/>
  <c r="Z37" i="19"/>
  <c r="L37" i="19"/>
  <c r="X37" i="19"/>
  <c r="D37" i="19"/>
  <c r="AD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AG38" i="19"/>
  <c r="AF38" i="19"/>
  <c r="AE38" i="19"/>
  <c r="AH38" i="19"/>
  <c r="AC38" i="19"/>
  <c r="U38" i="19"/>
  <c r="W38" i="19"/>
  <c r="Y39" i="19"/>
  <c r="M39" i="19"/>
  <c r="F39" i="19"/>
  <c r="Z39" i="19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Z40" i="19"/>
  <c r="N40" i="19"/>
  <c r="X40" i="19"/>
  <c r="B40" i="19"/>
  <c r="F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Y42" i="19"/>
  <c r="I42" i="19"/>
  <c r="E42" i="19"/>
  <c r="Z42" i="19"/>
  <c r="N42" i="19"/>
  <c r="X42" i="19"/>
  <c r="B42" i="19"/>
  <c r="F42" i="19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AE42" i="19"/>
  <c r="AF42" i="19"/>
  <c r="AH42" i="19"/>
  <c r="AC42" i="19"/>
  <c r="AG42" i="19"/>
  <c r="Z43" i="19"/>
  <c r="N43" i="19"/>
  <c r="X43" i="19"/>
  <c r="C43" i="19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K45" i="19"/>
  <c r="D45" i="19"/>
  <c r="AD45" i="19" s="1"/>
  <c r="A101" i="1" l="1"/>
  <c r="E101" i="1"/>
  <c r="F101" i="1" s="1"/>
  <c r="G102" i="1"/>
  <c r="Z46" i="19"/>
  <c r="N46" i="19"/>
  <c r="X46" i="19"/>
  <c r="C46" i="19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F47" i="19"/>
  <c r="L47" i="19"/>
  <c r="Y47" i="19"/>
  <c r="B47" i="19"/>
  <c r="G47" i="19"/>
  <c r="M47" i="19"/>
  <c r="Z47" i="19"/>
  <c r="C47" i="19"/>
  <c r="AB47" i="19"/>
  <c r="I47" i="19"/>
  <c r="N47" i="19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104" i="1" l="1"/>
  <c r="E104" i="1"/>
  <c r="F104" i="1" s="1"/>
  <c r="G105" i="1"/>
  <c r="G49" i="19"/>
  <c r="M49" i="19"/>
  <c r="Z49" i="19"/>
  <c r="A50" i="19"/>
  <c r="E49" i="19"/>
  <c r="I49" i="19"/>
  <c r="N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B51" i="19"/>
  <c r="AH50" i="19"/>
  <c r="AE50" i="19"/>
  <c r="AG50" i="19"/>
  <c r="AF50" i="19"/>
  <c r="AC50" i="19"/>
  <c r="A107" i="1" l="1"/>
  <c r="E107" i="1"/>
  <c r="F107" i="1" s="1"/>
  <c r="G108" i="1"/>
  <c r="M52" i="19"/>
  <c r="Z52" i="19"/>
  <c r="I52" i="19"/>
  <c r="B52" i="19"/>
  <c r="AB52" i="19"/>
  <c r="N52" i="19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N53" i="19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AF53" i="19"/>
  <c r="AH53" i="19"/>
  <c r="AC53" i="19"/>
  <c r="AG53" i="19"/>
  <c r="AE53" i="19"/>
  <c r="AB54" i="19"/>
  <c r="Y54" i="19"/>
  <c r="G54" i="19"/>
  <c r="B54" i="19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AB56" i="19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AB57" i="19"/>
  <c r="F57" i="19"/>
  <c r="L57" i="19"/>
  <c r="Y57" i="19"/>
  <c r="G57" i="19"/>
  <c r="M57" i="19"/>
  <c r="C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K58" i="19"/>
  <c r="B58" i="19"/>
  <c r="AH57" i="19"/>
  <c r="AG57" i="19"/>
  <c r="AF57" i="19"/>
  <c r="AC57" i="19"/>
  <c r="AE57" i="19"/>
  <c r="A114" i="1" l="1"/>
  <c r="E114" i="1"/>
  <c r="F114" i="1" s="1"/>
  <c r="G115" i="1"/>
  <c r="AB59" i="19"/>
  <c r="I59" i="19"/>
  <c r="N59" i="19"/>
  <c r="B59" i="19"/>
  <c r="F59" i="19"/>
  <c r="L59" i="19"/>
  <c r="Y59" i="19"/>
  <c r="D59" i="19"/>
  <c r="AD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W59" i="19"/>
  <c r="U59" i="19"/>
  <c r="F60" i="19"/>
  <c r="L60" i="19"/>
  <c r="Y60" i="19"/>
  <c r="B60" i="19"/>
  <c r="Z60" i="19"/>
  <c r="I60" i="19"/>
  <c r="N60" i="19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W60" i="19"/>
  <c r="U60" i="19"/>
  <c r="G61" i="19"/>
  <c r="M61" i="19"/>
  <c r="Z61" i="19"/>
  <c r="B61" i="19"/>
  <c r="K61" i="19"/>
  <c r="I61" i="19"/>
  <c r="N61" i="19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U63" i="19"/>
  <c r="W63" i="19"/>
  <c r="AF63" i="19"/>
  <c r="AG63" i="19"/>
  <c r="AH63" i="19"/>
  <c r="AC63" i="19"/>
  <c r="AE63" i="19"/>
  <c r="AB64" i="19"/>
  <c r="N64" i="19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N65" i="19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N66" i="19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AB68" i="19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AG68" i="19"/>
  <c r="AE68" i="19"/>
  <c r="AF68" i="19"/>
  <c r="AH68" i="19"/>
  <c r="AC68" i="19"/>
  <c r="U68" i="19"/>
  <c r="W68" i="19"/>
  <c r="Z69" i="19"/>
  <c r="N69" i="19"/>
  <c r="C69" i="19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U69" i="19"/>
  <c r="W69" i="19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W70" i="19"/>
  <c r="U70" i="19"/>
  <c r="L71" i="19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AC71" i="19"/>
  <c r="AE71" i="19"/>
  <c r="AG71" i="19"/>
  <c r="AF71" i="19"/>
  <c r="AH71" i="19"/>
  <c r="U71" i="19"/>
  <c r="W71" i="19"/>
  <c r="I72" i="19"/>
  <c r="N72" i="19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I73" i="19"/>
  <c r="N73" i="19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C74" i="19"/>
  <c r="A130" i="1" l="1"/>
  <c r="E130" i="1"/>
  <c r="F130" i="1" s="1"/>
  <c r="G131" i="1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E76" i="19"/>
  <c r="K76" i="19"/>
  <c r="X76" i="19"/>
  <c r="F76" i="19"/>
  <c r="A77" i="19"/>
  <c r="U75" i="19"/>
  <c r="W75" i="19"/>
  <c r="A132" i="1" l="1"/>
  <c r="E132" i="1"/>
  <c r="F132" i="1" s="1"/>
  <c r="G133" i="1"/>
  <c r="M77" i="19"/>
  <c r="Z77" i="19"/>
  <c r="I77" i="19"/>
  <c r="B77" i="19"/>
  <c r="N77" i="19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N78" i="19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K79" i="19"/>
  <c r="A80" i="19"/>
  <c r="E79" i="19"/>
  <c r="U78" i="19"/>
  <c r="W78" i="19"/>
  <c r="AH78" i="19"/>
  <c r="AC78" i="19"/>
  <c r="AE78" i="19"/>
  <c r="AG78" i="19"/>
  <c r="AF78" i="19"/>
  <c r="W79" i="19" l="1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E80" i="19"/>
  <c r="L80" i="19"/>
  <c r="B80" i="19"/>
  <c r="AF79" i="19"/>
  <c r="AH79" i="19"/>
  <c r="AG79" i="19"/>
  <c r="AC79" i="19"/>
  <c r="AE79" i="19"/>
  <c r="W80" i="19" l="1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K81" i="19"/>
  <c r="X81" i="19"/>
  <c r="C81" i="19"/>
  <c r="Y81" i="19"/>
  <c r="G81" i="19"/>
  <c r="M81" i="19"/>
  <c r="A82" i="19"/>
  <c r="E81" i="19"/>
  <c r="K82" i="19" l="1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F83" i="19" l="1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K83" i="19"/>
  <c r="X83" i="19"/>
  <c r="A84" i="19"/>
  <c r="E83" i="19"/>
  <c r="AH82" i="19"/>
  <c r="AG82" i="19"/>
  <c r="AF82" i="19"/>
  <c r="AC82" i="19"/>
  <c r="AE82" i="19"/>
  <c r="U82" i="19"/>
  <c r="W82" i="19"/>
  <c r="M84" i="19" l="1"/>
  <c r="AB84" i="19"/>
  <c r="K84" i="19"/>
  <c r="X84" i="19"/>
  <c r="D84" i="19"/>
  <c r="AD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AB85" i="19" l="1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86" i="19"/>
  <c r="E85" i="19"/>
  <c r="W84" i="19"/>
  <c r="U84" i="19"/>
  <c r="AG84" i="19"/>
  <c r="AE84" i="19"/>
  <c r="AF84" i="19"/>
  <c r="AH84" i="19"/>
  <c r="AC84" i="19"/>
  <c r="G86" i="19" l="1"/>
  <c r="B86" i="19"/>
  <c r="I86" i="19"/>
  <c r="N86" i="19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K87" i="19" l="1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88" i="19"/>
  <c r="E87" i="19"/>
  <c r="AH86" i="19"/>
  <c r="AC86" i="19"/>
  <c r="AE86" i="19"/>
  <c r="AG86" i="19"/>
  <c r="AF86" i="19"/>
  <c r="U86" i="19"/>
  <c r="W86" i="19"/>
  <c r="M88" i="19" l="1"/>
  <c r="Z88" i="19"/>
  <c r="I88" i="19"/>
  <c r="C88" i="19"/>
  <c r="K88" i="19"/>
  <c r="X88" i="19"/>
  <c r="F88" i="19"/>
  <c r="B88" i="19"/>
  <c r="L88" i="19"/>
  <c r="G88" i="19"/>
  <c r="AB88" i="19"/>
  <c r="N88" i="19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AB89" i="19" l="1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K89" i="19"/>
  <c r="B89" i="19"/>
  <c r="E89" i="19"/>
  <c r="AG88" i="19"/>
  <c r="AE88" i="19"/>
  <c r="AF88" i="19"/>
  <c r="AH88" i="19"/>
  <c r="AC88" i="19"/>
  <c r="U88" i="19"/>
  <c r="W88" i="19"/>
  <c r="AF89" i="19" l="1"/>
  <c r="AC89" i="19"/>
  <c r="AH89" i="19"/>
  <c r="AG89" i="19"/>
  <c r="AE89" i="19"/>
  <c r="N90" i="19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W90" i="19" l="1"/>
  <c r="U90" i="19"/>
  <c r="AB91" i="19"/>
  <c r="Z91" i="19"/>
  <c r="I91" i="19"/>
  <c r="B91" i="19"/>
  <c r="Y91" i="19"/>
  <c r="G91" i="19"/>
  <c r="M91" i="19"/>
  <c r="A92" i="19"/>
  <c r="E91" i="19"/>
  <c r="N91" i="19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AF91" i="19" l="1"/>
  <c r="AH91" i="19"/>
  <c r="AC91" i="19"/>
  <c r="AE91" i="19"/>
  <c r="AG91" i="19"/>
  <c r="Z92" i="19"/>
  <c r="I92" i="19"/>
  <c r="N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Z93" i="19" l="1"/>
  <c r="I93" i="19"/>
  <c r="N93" i="19"/>
  <c r="C93" i="19"/>
  <c r="Y93" i="19"/>
  <c r="G93" i="19"/>
  <c r="B93" i="19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U93" i="19" l="1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K94" i="19"/>
  <c r="X94" i="19"/>
  <c r="B94" i="19"/>
  <c r="AC93" i="19"/>
  <c r="AE93" i="19"/>
  <c r="AH93" i="19"/>
  <c r="AG93" i="19"/>
  <c r="AF93" i="19"/>
  <c r="W94" i="19" l="1"/>
  <c r="U94" i="19"/>
  <c r="F95" i="19"/>
  <c r="L95" i="19"/>
  <c r="Y95" i="19"/>
  <c r="B95" i="19"/>
  <c r="A96" i="19"/>
  <c r="G95" i="19"/>
  <c r="M95" i="19"/>
  <c r="Z95" i="19"/>
  <c r="C95" i="19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U95" i="19" l="1"/>
  <c r="W95" i="19"/>
  <c r="G96" i="19"/>
  <c r="I96" i="19"/>
  <c r="N96" i="19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AG96" i="19" l="1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98" i="19"/>
  <c r="D97" i="19"/>
  <c r="AD97" i="19" s="1"/>
  <c r="W96" i="19"/>
  <c r="U96" i="19"/>
  <c r="AF97" i="19" l="1"/>
  <c r="AC97" i="19"/>
  <c r="AG97" i="19"/>
  <c r="AE97" i="19"/>
  <c r="AH97" i="19"/>
  <c r="I98" i="19"/>
  <c r="N98" i="19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AH98" i="19" l="1"/>
  <c r="AC98" i="19"/>
  <c r="AE98" i="19"/>
  <c r="AG98" i="19"/>
  <c r="AF98" i="19"/>
  <c r="AB99" i="19"/>
  <c r="M99" i="19"/>
  <c r="Z99" i="19"/>
  <c r="B99" i="19"/>
  <c r="I99" i="19"/>
  <c r="N99" i="19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K100" i="19" l="1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E99" i="19"/>
  <c r="AF99" i="19"/>
  <c r="AH99" i="19"/>
  <c r="AC99" i="19"/>
  <c r="AG99" i="19"/>
  <c r="U99" i="19"/>
  <c r="W99" i="19"/>
  <c r="L101" i="19" l="1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K101" i="19"/>
  <c r="A102" i="19"/>
  <c r="C101" i="19"/>
  <c r="X101" i="19"/>
  <c r="AE100" i="19"/>
  <c r="AG100" i="19"/>
  <c r="AF100" i="19"/>
  <c r="AH100" i="19"/>
  <c r="AC100" i="19"/>
  <c r="W100" i="19"/>
  <c r="U100" i="19"/>
  <c r="AG101" i="19" l="1"/>
  <c r="AF101" i="19"/>
  <c r="AH101" i="19"/>
  <c r="AC101" i="19"/>
  <c r="AE101" i="19"/>
  <c r="X102" i="19"/>
  <c r="F102" i="19"/>
  <c r="L102" i="19"/>
  <c r="C102" i="19"/>
  <c r="N102" i="19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U102" i="19" l="1"/>
  <c r="W102" i="19"/>
  <c r="AB103" i="19"/>
  <c r="Z103" i="19"/>
  <c r="I103" i="19"/>
  <c r="B103" i="19"/>
  <c r="N103" i="19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U103" i="19" l="1"/>
  <c r="W103" i="19"/>
  <c r="AH103" i="19"/>
  <c r="AC103" i="19"/>
  <c r="AE103" i="19"/>
  <c r="AG103" i="19"/>
  <c r="AF103" i="19"/>
  <c r="Y104" i="19"/>
  <c r="G104" i="19"/>
  <c r="M104" i="19"/>
  <c r="B104" i="19"/>
  <c r="AB104" i="19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U104" i="19" l="1"/>
  <c r="W104" i="19"/>
  <c r="Z105" i="19"/>
  <c r="I105" i="19"/>
  <c r="N105" i="19"/>
  <c r="B105" i="19"/>
  <c r="Y105" i="19"/>
  <c r="M105" i="19"/>
  <c r="A106" i="19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W105" i="19" l="1"/>
  <c r="U105" i="19"/>
  <c r="AG105" i="19"/>
  <c r="AF105" i="19"/>
  <c r="AH105" i="19"/>
  <c r="AC105" i="19"/>
  <c r="AE105" i="19"/>
  <c r="F106" i="19"/>
  <c r="L106" i="19"/>
  <c r="Y106" i="19"/>
  <c r="C106" i="19"/>
  <c r="A107" i="19"/>
  <c r="K106" i="19"/>
  <c r="X106" i="19"/>
  <c r="B106" i="19"/>
  <c r="AB106" i="19"/>
  <c r="G106" i="19"/>
  <c r="M106" i="19"/>
  <c r="D106" i="19"/>
  <c r="AD106" i="19" s="1"/>
  <c r="Z106" i="19"/>
  <c r="I106" i="19"/>
  <c r="N106" i="19"/>
  <c r="E106" i="19"/>
  <c r="W106" i="19" l="1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K107" i="19"/>
  <c r="X107" i="19"/>
  <c r="A108" i="19"/>
  <c r="E107" i="19"/>
  <c r="G108" i="19" l="1"/>
  <c r="M108" i="19"/>
  <c r="Z108" i="19"/>
  <c r="B108" i="19"/>
  <c r="I108" i="19"/>
  <c r="N108" i="19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F109" i="19" l="1"/>
  <c r="L109" i="19"/>
  <c r="Y109" i="19"/>
  <c r="B109" i="19"/>
  <c r="G109" i="19"/>
  <c r="M109" i="19"/>
  <c r="Z109" i="19"/>
  <c r="C109" i="19"/>
  <c r="K109" i="19"/>
  <c r="A110" i="19"/>
  <c r="I109" i="19"/>
  <c r="N109" i="19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AF109" i="19" l="1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G110" i="19"/>
  <c r="M110" i="19"/>
  <c r="Z110" i="19"/>
  <c r="C110" i="19"/>
  <c r="I110" i="19"/>
  <c r="D110" i="19"/>
  <c r="AD110" i="19" s="1"/>
  <c r="F110" i="19"/>
  <c r="E110" i="19"/>
  <c r="U109" i="19"/>
  <c r="W109" i="19"/>
  <c r="W110" i="19" l="1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B111" i="19"/>
  <c r="K111" i="19"/>
  <c r="X111" i="19"/>
  <c r="C111" i="19"/>
  <c r="AB111" i="19"/>
  <c r="M111" i="19"/>
  <c r="Z111" i="19"/>
  <c r="A112" i="19"/>
  <c r="D111" i="19"/>
  <c r="AD111" i="19" s="1"/>
  <c r="L112" i="19" l="1"/>
  <c r="Y112" i="19"/>
  <c r="G112" i="19"/>
  <c r="B112" i="19"/>
  <c r="I112" i="19"/>
  <c r="AB112" i="19"/>
  <c r="N112" i="19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W112" i="19" l="1"/>
  <c r="U112" i="19"/>
  <c r="M113" i="19"/>
  <c r="Z113" i="19"/>
  <c r="I113" i="19"/>
  <c r="B113" i="19"/>
  <c r="L113" i="19"/>
  <c r="Y113" i="19"/>
  <c r="G113" i="19"/>
  <c r="A114" i="19"/>
  <c r="E113" i="19"/>
  <c r="N113" i="19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AG113" i="19" l="1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K114" i="19"/>
  <c r="D114" i="19"/>
  <c r="AD114" i="19" s="1"/>
  <c r="X114" i="19"/>
  <c r="L114" i="19"/>
  <c r="E114" i="19"/>
  <c r="AB114" i="19"/>
  <c r="Y114" i="19"/>
  <c r="G114" i="19"/>
  <c r="W113" i="19"/>
  <c r="U113" i="19"/>
  <c r="X115" i="19" l="1"/>
  <c r="F115" i="19"/>
  <c r="L115" i="19"/>
  <c r="A116" i="19"/>
  <c r="Y115" i="19"/>
  <c r="G115" i="19"/>
  <c r="M115" i="19"/>
  <c r="D115" i="19"/>
  <c r="AD115" i="19" s="1"/>
  <c r="N115" i="19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AH115" i="19" l="1"/>
  <c r="AC115" i="19"/>
  <c r="AE115" i="19"/>
  <c r="AF115" i="19"/>
  <c r="AG115" i="19"/>
  <c r="Y116" i="19"/>
  <c r="G116" i="19"/>
  <c r="M116" i="19"/>
  <c r="B116" i="19"/>
  <c r="AB116" i="19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W116" i="19" l="1"/>
  <c r="U116" i="19"/>
  <c r="AH116" i="19"/>
  <c r="AE116" i="19"/>
  <c r="AG116" i="19"/>
  <c r="AF116" i="19"/>
  <c r="AC116" i="19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AB118" i="19" l="1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F119" i="19" l="1"/>
  <c r="L119" i="19"/>
  <c r="Y119" i="19"/>
  <c r="B119" i="19"/>
  <c r="G119" i="19"/>
  <c r="M119" i="19"/>
  <c r="Z119" i="19"/>
  <c r="C119" i="19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AC119" i="19" l="1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B121" i="19" l="1"/>
  <c r="K121" i="19"/>
  <c r="X121" i="19"/>
  <c r="C121" i="19"/>
  <c r="G121" i="19"/>
  <c r="M121" i="19"/>
  <c r="Z121" i="19"/>
  <c r="D121" i="19"/>
  <c r="AD121" i="19" s="1"/>
  <c r="I121" i="19"/>
  <c r="N121" i="19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I122" i="19" l="1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B122" i="19"/>
  <c r="AE121" i="19"/>
  <c r="AF121" i="19"/>
  <c r="AH121" i="19"/>
  <c r="AG121" i="19"/>
  <c r="AC121" i="19"/>
  <c r="U121" i="19"/>
  <c r="W121" i="19"/>
  <c r="U122" i="19" l="1"/>
  <c r="W122" i="19"/>
  <c r="X123" i="19"/>
  <c r="B123" i="19"/>
  <c r="AB123" i="19"/>
  <c r="M123" i="19"/>
  <c r="Z123" i="19"/>
  <c r="D123" i="19"/>
  <c r="AD123" i="19" s="1"/>
  <c r="I123" i="19"/>
  <c r="N123" i="19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K124" i="19" l="1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F123" i="19"/>
  <c r="AH123" i="19"/>
  <c r="AE123" i="19"/>
  <c r="AG123" i="19"/>
  <c r="AC123" i="19"/>
  <c r="U123" i="19"/>
  <c r="W123" i="19"/>
  <c r="AE124" i="19" l="1"/>
  <c r="AH124" i="19"/>
  <c r="AF124" i="19"/>
  <c r="AC124" i="19"/>
  <c r="AG124" i="19"/>
  <c r="W124" i="19"/>
  <c r="U124" i="19"/>
  <c r="N125" i="19"/>
  <c r="E22" i="17"/>
  <c r="K125" i="19"/>
  <c r="C125" i="19"/>
  <c r="AB125" i="19"/>
  <c r="X125" i="19"/>
  <c r="F125" i="19"/>
  <c r="D125" i="19"/>
  <c r="AD125" i="19" s="1"/>
  <c r="C9" i="13" s="1"/>
  <c r="M125" i="19"/>
  <c r="Z125" i="19"/>
  <c r="I125" i="19"/>
  <c r="B125" i="19"/>
  <c r="L125" i="19"/>
  <c r="Y125" i="19"/>
  <c r="G125" i="19"/>
  <c r="A126" i="19"/>
  <c r="E125" i="19"/>
  <c r="E21" i="17" l="1"/>
  <c r="AB126" i="19"/>
  <c r="Y126" i="19"/>
  <c r="G126" i="19"/>
  <c r="B126" i="19"/>
  <c r="N126" i="19"/>
  <c r="K126" i="19"/>
  <c r="D126" i="19"/>
  <c r="AD126" i="19" s="1"/>
  <c r="M126" i="19"/>
  <c r="Z126" i="19"/>
  <c r="I126" i="19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X127" i="19" l="1"/>
  <c r="F127" i="19"/>
  <c r="L127" i="19"/>
  <c r="B127" i="19"/>
  <c r="D127" i="19"/>
  <c r="AD127" i="19" s="1"/>
  <c r="N127" i="19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W127" i="19" l="1"/>
  <c r="U127" i="19"/>
  <c r="AB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U128" i="19" l="1"/>
  <c r="W128" i="19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D18" i="13" l="1"/>
  <c r="AB130" i="19"/>
  <c r="G130" i="19"/>
  <c r="N130" i="19"/>
  <c r="D130" i="19"/>
  <c r="AD130" i="19" s="1"/>
  <c r="Z130" i="19"/>
  <c r="I130" i="19"/>
  <c r="X130" i="19"/>
  <c r="A131" i="19"/>
  <c r="E130" i="19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D12" i="13" l="1"/>
  <c r="D15" i="13"/>
  <c r="F131" i="19"/>
  <c r="L131" i="19"/>
  <c r="Z131" i="19"/>
  <c r="B131" i="19"/>
  <c r="G131" i="19"/>
  <c r="M131" i="19"/>
  <c r="N131" i="19"/>
  <c r="D131" i="19"/>
  <c r="AD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F132" i="19" l="1"/>
  <c r="L132" i="19"/>
  <c r="Z132" i="19"/>
  <c r="B132" i="19"/>
  <c r="AB132" i="19"/>
  <c r="K132" i="19"/>
  <c r="Y132" i="19"/>
  <c r="A133" i="19"/>
  <c r="D132" i="19"/>
  <c r="AD132" i="19" s="1"/>
  <c r="G132" i="19"/>
  <c r="M132" i="19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W132" i="19" l="1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B133" i="19"/>
  <c r="AF132" i="19"/>
  <c r="AE132" i="19"/>
  <c r="AH132" i="19"/>
  <c r="AG132" i="19"/>
  <c r="AC132" i="19"/>
  <c r="AF133" i="19" l="1"/>
  <c r="AH133" i="19"/>
  <c r="AC133" i="19"/>
  <c r="AG133" i="19"/>
  <c r="AE133" i="19"/>
  <c r="W133" i="19"/>
  <c r="U133" i="19"/>
  <c r="G134" i="19"/>
  <c r="M134" i="19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B135" i="19" l="1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C134" i="19"/>
  <c r="AH134" i="19"/>
  <c r="AG134" i="19"/>
  <c r="AE134" i="19"/>
  <c r="AF134" i="19"/>
  <c r="W134" i="19"/>
  <c r="U134" i="19"/>
  <c r="W135" i="19" l="1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D136" i="19"/>
  <c r="AD136" i="19" s="1"/>
  <c r="AH135" i="19"/>
  <c r="AC135" i="19"/>
  <c r="AE135" i="19"/>
  <c r="AG135" i="19"/>
  <c r="AF135" i="19"/>
  <c r="AE136" i="19" l="1"/>
  <c r="AG136" i="19"/>
  <c r="AF136" i="19"/>
  <c r="AH136" i="19"/>
  <c r="AC136" i="19"/>
  <c r="W136" i="19"/>
  <c r="U136" i="19"/>
  <c r="I137" i="19"/>
  <c r="C137" i="19"/>
  <c r="K137" i="19"/>
  <c r="N137" i="19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AG137" i="19" l="1"/>
  <c r="AC137" i="19"/>
  <c r="AE137" i="19"/>
  <c r="AF137" i="19"/>
  <c r="AH137" i="19"/>
  <c r="X138" i="19"/>
  <c r="F138" i="19"/>
  <c r="G138" i="19"/>
  <c r="B138" i="19"/>
  <c r="N138" i="19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W138" i="19" l="1"/>
  <c r="U138" i="19"/>
  <c r="AC138" i="19"/>
  <c r="AE138" i="19"/>
  <c r="AH138" i="19"/>
  <c r="AG138" i="19"/>
  <c r="AF138" i="19"/>
  <c r="N139" i="19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K140" i="19" l="1"/>
  <c r="X140" i="19"/>
  <c r="F140" i="19"/>
  <c r="M140" i="19"/>
  <c r="D140" i="19"/>
  <c r="AD140" i="19" s="1"/>
  <c r="N140" i="19"/>
  <c r="A141" i="19"/>
  <c r="I140" i="19"/>
  <c r="B140" i="19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AB141" i="19" l="1"/>
  <c r="F141" i="19"/>
  <c r="M141" i="19"/>
  <c r="B141" i="19"/>
  <c r="K141" i="19"/>
  <c r="A142" i="19"/>
  <c r="Y141" i="19"/>
  <c r="G141" i="19"/>
  <c r="N141" i="19"/>
  <c r="C141" i="19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F142" i="19" l="1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U142" i="19" l="1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K143" i="19"/>
  <c r="M143" i="19"/>
  <c r="C143" i="19"/>
  <c r="AH142" i="19"/>
  <c r="AG142" i="19"/>
  <c r="AE142" i="19"/>
  <c r="AF142" i="19"/>
  <c r="AC142" i="19"/>
  <c r="U143" i="19" l="1"/>
  <c r="W143" i="19"/>
  <c r="I144" i="19"/>
  <c r="Y144" i="19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F145" i="19" l="1"/>
  <c r="L145" i="19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I146" i="19" l="1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AC146" i="19" l="1"/>
  <c r="AH146" i="19"/>
  <c r="AG146" i="19"/>
  <c r="AE146" i="19"/>
  <c r="AF146" i="19"/>
  <c r="L147" i="19"/>
  <c r="Y147" i="19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L148" i="19" l="1"/>
  <c r="Y148" i="19"/>
  <c r="I148" i="19"/>
  <c r="C148" i="19"/>
  <c r="AB148" i="19"/>
  <c r="N148" i="19"/>
  <c r="F148" i="19"/>
  <c r="B148" i="19"/>
  <c r="M148" i="19"/>
  <c r="Z148" i="19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M149" i="19" l="1"/>
  <c r="Z149" i="19"/>
  <c r="F149" i="19"/>
  <c r="B149" i="19"/>
  <c r="N149" i="19"/>
  <c r="K149" i="19"/>
  <c r="L149" i="19"/>
  <c r="Y149" i="19"/>
  <c r="I149" i="19"/>
  <c r="A150" i="19"/>
  <c r="E149" i="19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W149" i="19" l="1"/>
  <c r="U149" i="19"/>
  <c r="M150" i="19"/>
  <c r="Z150" i="19"/>
  <c r="F150" i="19"/>
  <c r="C150" i="19"/>
  <c r="AB150" i="19"/>
  <c r="K150" i="19"/>
  <c r="N150" i="19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AB151" i="19" l="1"/>
  <c r="Z151" i="19"/>
  <c r="F151" i="19"/>
  <c r="B151" i="19"/>
  <c r="N151" i="19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X152" i="19" l="1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G152" i="19"/>
  <c r="B152" i="19"/>
  <c r="F152" i="19"/>
  <c r="I152" i="19"/>
  <c r="AH151" i="19"/>
  <c r="AC151" i="19"/>
  <c r="AG151" i="19"/>
  <c r="AF151" i="19"/>
  <c r="AE151" i="19"/>
  <c r="W151" i="19"/>
  <c r="U151" i="19"/>
  <c r="AF152" i="19" l="1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N153" i="19"/>
  <c r="I153" i="19"/>
  <c r="C153" i="19"/>
  <c r="W152" i="19"/>
  <c r="U152" i="19"/>
  <c r="U153" i="19" l="1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N154" i="19"/>
  <c r="M154" i="19"/>
  <c r="B154" i="19"/>
  <c r="AE153" i="19"/>
  <c r="AF153" i="19"/>
  <c r="AH153" i="19"/>
  <c r="AC153" i="19"/>
  <c r="AG153" i="19"/>
  <c r="U154" i="19" l="1"/>
  <c r="W154" i="19"/>
  <c r="F155" i="19"/>
  <c r="X155" i="19"/>
  <c r="N155" i="19"/>
  <c r="B155" i="19"/>
  <c r="G155" i="19"/>
  <c r="Y155" i="19"/>
  <c r="C155" i="19"/>
  <c r="Z155" i="19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AF155" i="19" l="1"/>
  <c r="AC155" i="19"/>
  <c r="AE155" i="19"/>
  <c r="AG155" i="19"/>
  <c r="AH155" i="19"/>
  <c r="W155" i="19"/>
  <c r="U155" i="19"/>
  <c r="G156" i="19"/>
  <c r="Y156" i="19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AE156" i="19" l="1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158" i="19"/>
  <c r="AB157" i="19"/>
  <c r="K157" i="19"/>
  <c r="N157" i="19"/>
  <c r="D157" i="19"/>
  <c r="AD157" i="19" s="1"/>
  <c r="U156" i="19"/>
  <c r="W156" i="19"/>
  <c r="AF157" i="19" l="1"/>
  <c r="AE157" i="19"/>
  <c r="AH157" i="19"/>
  <c r="AC157" i="19"/>
  <c r="AG157" i="19"/>
  <c r="K158" i="19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U158" i="19" l="1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I159" i="19"/>
  <c r="X159" i="19"/>
  <c r="Y159" i="19"/>
  <c r="A160" i="19"/>
  <c r="E159" i="19"/>
  <c r="K159" i="19"/>
  <c r="F159" i="19"/>
  <c r="Z159" i="19"/>
  <c r="L159" i="19"/>
  <c r="G159" i="19"/>
  <c r="C159" i="19"/>
  <c r="AF159" i="19" l="1"/>
  <c r="AG159" i="19"/>
  <c r="AE159" i="19"/>
  <c r="AC159" i="19"/>
  <c r="AH159" i="19"/>
  <c r="L160" i="19"/>
  <c r="G160" i="19"/>
  <c r="Y160" i="19"/>
  <c r="B160" i="19"/>
  <c r="C160" i="19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U160" i="19" l="1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C161" i="19"/>
  <c r="L161" i="19"/>
  <c r="F161" i="19"/>
  <c r="Y161" i="19"/>
  <c r="A162" i="19"/>
  <c r="E161" i="19"/>
  <c r="AE160" i="19"/>
  <c r="AF160" i="19"/>
  <c r="AC160" i="19"/>
  <c r="AH160" i="19"/>
  <c r="AG160" i="19"/>
  <c r="X162" i="19" l="1"/>
  <c r="D162" i="19"/>
  <c r="AD162" i="19" s="1"/>
  <c r="AB162" i="19"/>
  <c r="I162" i="19"/>
  <c r="F162" i="19"/>
  <c r="E162" i="19"/>
  <c r="Z162" i="19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AB163" i="19" l="1"/>
  <c r="F163" i="19"/>
  <c r="L163" i="19"/>
  <c r="C163" i="19"/>
  <c r="I163" i="19"/>
  <c r="Z163" i="19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Y164" i="19" l="1"/>
  <c r="K164" i="19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Y165" i="19" l="1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F166" i="19" l="1"/>
  <c r="L166" i="19"/>
  <c r="Y166" i="19"/>
  <c r="D166" i="19"/>
  <c r="AD166" i="19" s="1"/>
  <c r="AB166" i="19"/>
  <c r="G166" i="19"/>
  <c r="M166" i="19"/>
  <c r="C166" i="19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AC166" i="19" l="1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K167" i="19"/>
  <c r="X167" i="19"/>
  <c r="A168" i="19"/>
  <c r="E167" i="19"/>
  <c r="AB167" i="19"/>
  <c r="I167" i="19"/>
  <c r="N167" i="19"/>
  <c r="D167" i="19"/>
  <c r="AD167" i="19" s="1"/>
  <c r="W166" i="19"/>
  <c r="U166" i="19"/>
  <c r="AC167" i="19" l="1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D168" i="19"/>
  <c r="AD168" i="19" s="1"/>
  <c r="A169" i="19"/>
  <c r="F168" i="19"/>
  <c r="X168" i="19"/>
  <c r="I168" i="19"/>
  <c r="B168" i="19"/>
  <c r="E168" i="19"/>
  <c r="AB169" i="19" l="1"/>
  <c r="M169" i="19"/>
  <c r="F169" i="19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W169" i="19" l="1"/>
  <c r="U169" i="19"/>
  <c r="I170" i="19"/>
  <c r="M170" i="19"/>
  <c r="Z170" i="19"/>
  <c r="B170" i="19"/>
  <c r="AB170" i="19"/>
  <c r="K170" i="19"/>
  <c r="N170" i="19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AB171" i="19" l="1"/>
  <c r="M171" i="19"/>
  <c r="N171" i="19"/>
  <c r="C171" i="19"/>
  <c r="K171" i="19"/>
  <c r="X171" i="19"/>
  <c r="F171" i="19"/>
  <c r="E171" i="19"/>
  <c r="Z171" i="19"/>
  <c r="B171" i="19"/>
  <c r="I171" i="19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K172" i="19" l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M173" i="19" l="1"/>
  <c r="I173" i="19"/>
  <c r="Z173" i="19"/>
  <c r="B173" i="19"/>
  <c r="N173" i="19"/>
  <c r="K173" i="19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AB174" i="19" l="1"/>
  <c r="I174" i="19"/>
  <c r="Z174" i="19"/>
  <c r="B174" i="19"/>
  <c r="M174" i="19"/>
  <c r="K174" i="19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X175" i="19" l="1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K175" i="19"/>
  <c r="B175" i="19"/>
  <c r="W174" i="19"/>
  <c r="U174" i="19"/>
  <c r="AC174" i="19"/>
  <c r="AH174" i="19"/>
  <c r="AE174" i="19"/>
  <c r="AF174" i="19"/>
  <c r="AG174" i="19"/>
  <c r="Z176" i="19" l="1"/>
  <c r="K176" i="19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AB177" i="19" l="1"/>
  <c r="I177" i="19"/>
  <c r="N177" i="19"/>
  <c r="C177" i="19"/>
  <c r="Y177" i="19"/>
  <c r="K177" i="19"/>
  <c r="X177" i="19"/>
  <c r="B177" i="19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AB178" i="19" l="1"/>
  <c r="X178" i="19"/>
  <c r="I178" i="19"/>
  <c r="C178" i="19"/>
  <c r="Z178" i="19"/>
  <c r="Y178" i="19"/>
  <c r="K178" i="19"/>
  <c r="D178" i="19"/>
  <c r="AD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M179" i="19" l="1"/>
  <c r="G179" i="19"/>
  <c r="AB179" i="19"/>
  <c r="I179" i="19"/>
  <c r="N179" i="19"/>
  <c r="D179" i="19"/>
  <c r="AD179" i="19" s="1"/>
  <c r="Z179" i="19"/>
  <c r="C179" i="19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G180" i="19" l="1"/>
  <c r="M180" i="19"/>
  <c r="Z180" i="19"/>
  <c r="B180" i="19"/>
  <c r="I180" i="19"/>
  <c r="N180" i="19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G181" i="19" l="1"/>
  <c r="Y181" i="19"/>
  <c r="L181" i="19"/>
  <c r="C181" i="19"/>
  <c r="AB181" i="19"/>
  <c r="N181" i="19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AB182" i="19" l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I183" i="19" l="1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184" i="19"/>
  <c r="E183" i="19"/>
  <c r="AF182" i="19"/>
  <c r="AG182" i="19"/>
  <c r="AE182" i="19"/>
  <c r="AH182" i="19"/>
  <c r="AC182" i="19"/>
  <c r="W182" i="19"/>
  <c r="U182" i="19"/>
  <c r="AB184" i="19" l="1"/>
  <c r="N184" i="19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AB185" i="19" l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N186" i="19" l="1"/>
  <c r="I186" i="19"/>
  <c r="Z186" i="19"/>
  <c r="B186" i="19"/>
  <c r="X186" i="19"/>
  <c r="K186" i="19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X187" i="19" l="1"/>
  <c r="M187" i="19"/>
  <c r="G187" i="19"/>
  <c r="C187" i="19"/>
  <c r="Y187" i="19"/>
  <c r="Z187" i="19"/>
  <c r="I187" i="19"/>
  <c r="B187" i="19"/>
  <c r="AB187" i="19"/>
  <c r="K187" i="19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Y188" i="19" l="1"/>
  <c r="G188" i="19"/>
  <c r="M188" i="19"/>
  <c r="B188" i="19"/>
  <c r="AB188" i="19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Z189" i="19" l="1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C189" i="19"/>
  <c r="W188" i="19"/>
  <c r="U188" i="19"/>
  <c r="AH188" i="19"/>
  <c r="AC188" i="19"/>
  <c r="AE188" i="19"/>
  <c r="AF188" i="19"/>
  <c r="AG188" i="19"/>
  <c r="W189" i="19" l="1"/>
  <c r="U189" i="19"/>
  <c r="Z190" i="19"/>
  <c r="K190" i="19"/>
  <c r="X190" i="19"/>
  <c r="C190" i="19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AC190" i="19" l="1"/>
  <c r="AE190" i="19"/>
  <c r="AF190" i="19"/>
  <c r="AH190" i="19"/>
  <c r="AG190" i="19"/>
  <c r="U190" i="19"/>
  <c r="W190" i="19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X192" i="19" l="1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K192" i="19"/>
  <c r="A193" i="19"/>
  <c r="E192" i="19"/>
  <c r="AG191" i="19"/>
  <c r="AF191" i="19"/>
  <c r="AH191" i="19"/>
  <c r="AC191" i="19"/>
  <c r="AE191" i="19"/>
  <c r="W191" i="19"/>
  <c r="U191" i="19"/>
  <c r="U192" i="19" l="1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L193" i="19"/>
  <c r="D193" i="19"/>
  <c r="AD193" i="19" s="1"/>
  <c r="I193" i="19"/>
  <c r="AF192" i="19"/>
  <c r="AC192" i="19"/>
  <c r="AE192" i="19"/>
  <c r="AH192" i="19"/>
  <c r="AG192" i="19"/>
  <c r="W193" i="19" l="1"/>
  <c r="U193" i="19"/>
  <c r="AC193" i="19"/>
  <c r="AG193" i="19"/>
  <c r="AF193" i="19"/>
  <c r="AH193" i="19"/>
  <c r="AE193" i="19"/>
  <c r="G194" i="19"/>
  <c r="K194" i="19"/>
  <c r="X194" i="19"/>
  <c r="C194" i="19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AC194" i="19" l="1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196" i="19"/>
  <c r="E195" i="19"/>
  <c r="K195" i="19"/>
  <c r="I195" i="19"/>
  <c r="L195" i="19"/>
  <c r="Y195" i="19"/>
  <c r="W194" i="19"/>
  <c r="U194" i="19"/>
  <c r="G196" i="19" l="1"/>
  <c r="N196" i="19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AB197" i="19" l="1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C197" i="19"/>
  <c r="W196" i="19"/>
  <c r="U196" i="19"/>
  <c r="AG196" i="19"/>
  <c r="AH196" i="19"/>
  <c r="AC196" i="19"/>
  <c r="AF196" i="19"/>
  <c r="AE196" i="19"/>
  <c r="U197" i="19" l="1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H197" i="19"/>
  <c r="AC197" i="19"/>
  <c r="AE197" i="19"/>
  <c r="AG197" i="19"/>
  <c r="AF197" i="19"/>
  <c r="AC198" i="19" l="1"/>
  <c r="AE198" i="19"/>
  <c r="AG198" i="19"/>
  <c r="AF198" i="19"/>
  <c r="AH198" i="19"/>
  <c r="AB199" i="19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W199" i="19" l="1"/>
  <c r="U199" i="19"/>
  <c r="G200" i="19"/>
  <c r="X200" i="19"/>
  <c r="I200" i="19"/>
  <c r="N200" i="19"/>
  <c r="C200" i="19"/>
  <c r="B200" i="19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AF200" i="19" l="1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B201" i="19"/>
  <c r="AB201" i="19"/>
  <c r="I201" i="19"/>
  <c r="N201" i="19"/>
  <c r="D201" i="19"/>
  <c r="AD201" i="19" s="1"/>
  <c r="W200" i="19"/>
  <c r="U200" i="19"/>
  <c r="AC201" i="19" l="1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203" i="19"/>
  <c r="W202" i="19" l="1"/>
  <c r="U202" i="19"/>
  <c r="AF202" i="19"/>
  <c r="AH202" i="19"/>
  <c r="AC202" i="19"/>
  <c r="AG202" i="19"/>
  <c r="AE202" i="19"/>
  <c r="AB203" i="19"/>
  <c r="M203" i="19"/>
  <c r="Z203" i="19"/>
  <c r="B203" i="19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AG203" i="19" l="1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K204" i="19"/>
  <c r="A205" i="19"/>
  <c r="E204" i="19"/>
  <c r="U203" i="19"/>
  <c r="W203" i="19"/>
  <c r="U204" i="19" l="1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L205" i="19"/>
  <c r="A206" i="19"/>
  <c r="E205" i="19"/>
  <c r="X205" i="19"/>
  <c r="G205" i="19"/>
  <c r="C205" i="19"/>
  <c r="Y205" i="19"/>
  <c r="N205" i="19"/>
  <c r="Z206" i="19" l="1"/>
  <c r="K206" i="19"/>
  <c r="X206" i="19"/>
  <c r="B206" i="19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F207" i="19" l="1"/>
  <c r="M207" i="19"/>
  <c r="Z207" i="19"/>
  <c r="B207" i="19"/>
  <c r="C207" i="19"/>
  <c r="I207" i="19"/>
  <c r="Y207" i="19"/>
  <c r="E207" i="19"/>
  <c r="G207" i="19"/>
  <c r="N207" i="19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AG207" i="19" l="1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AF208" i="19" l="1"/>
  <c r="AC208" i="19"/>
  <c r="AE208" i="19"/>
  <c r="AH208" i="19"/>
  <c r="AG208" i="19"/>
  <c r="AB209" i="19"/>
  <c r="M209" i="19"/>
  <c r="Z209" i="19"/>
  <c r="B209" i="19"/>
  <c r="L209" i="19"/>
  <c r="N209" i="19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AE209" i="19" l="1"/>
  <c r="AG209" i="19"/>
  <c r="AF209" i="19"/>
  <c r="AC209" i="19"/>
  <c r="AH209" i="19"/>
  <c r="Y210" i="19"/>
  <c r="Z210" i="19"/>
  <c r="N210" i="19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AC210" i="19" l="1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K211" i="19"/>
  <c r="A212" i="19"/>
  <c r="E211" i="19"/>
  <c r="L211" i="19"/>
  <c r="B211" i="19"/>
  <c r="M211" i="19"/>
  <c r="W210" i="19"/>
  <c r="U210" i="19"/>
  <c r="Z212" i="19" l="1"/>
  <c r="I212" i="19"/>
  <c r="N212" i="19"/>
  <c r="E212" i="19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F213" i="19" l="1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B213" i="19"/>
  <c r="AG212" i="19"/>
  <c r="AH212" i="19"/>
  <c r="AC212" i="19"/>
  <c r="AE212" i="19"/>
  <c r="AF212" i="19"/>
  <c r="W212" i="19"/>
  <c r="U212" i="19"/>
  <c r="W213" i="19" l="1"/>
  <c r="U213" i="19"/>
  <c r="AB214" i="19"/>
  <c r="I214" i="19"/>
  <c r="N214" i="19"/>
  <c r="B214" i="19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I215" i="19" l="1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N216" i="19" l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N217" i="19" l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Z218" i="19" l="1"/>
  <c r="K218" i="19"/>
  <c r="X218" i="19"/>
  <c r="D218" i="19"/>
  <c r="AD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F219" i="19" l="1"/>
  <c r="M219" i="19"/>
  <c r="Z219" i="19"/>
  <c r="C219" i="19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AE219" i="19" l="1"/>
  <c r="AG219" i="19"/>
  <c r="AF219" i="19"/>
  <c r="AH219" i="19"/>
  <c r="AC219" i="19"/>
  <c r="W219" i="19"/>
  <c r="U219" i="19"/>
  <c r="G220" i="19"/>
  <c r="N220" i="19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N221" i="19" l="1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I221" i="19"/>
  <c r="X221" i="19"/>
  <c r="F221" i="19"/>
  <c r="C221" i="19"/>
  <c r="AH220" i="19"/>
  <c r="AC220" i="19"/>
  <c r="AE220" i="19"/>
  <c r="AF220" i="19"/>
  <c r="AG220" i="19"/>
  <c r="W220" i="19"/>
  <c r="U220" i="19"/>
  <c r="B222" i="19" l="1"/>
  <c r="L222" i="19"/>
  <c r="Z222" i="19"/>
  <c r="I222" i="19"/>
  <c r="C222" i="19"/>
  <c r="AB222" i="19"/>
  <c r="N222" i="19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F223" i="19" l="1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K223" i="19"/>
  <c r="C223" i="19"/>
  <c r="X223" i="19"/>
  <c r="L223" i="19"/>
  <c r="U222" i="19"/>
  <c r="W222" i="19"/>
  <c r="AC222" i="19"/>
  <c r="AE222" i="19"/>
  <c r="AG222" i="19"/>
  <c r="AF222" i="19"/>
  <c r="AH222" i="19"/>
  <c r="Y224" i="19" l="1"/>
  <c r="G224" i="19"/>
  <c r="M224" i="19"/>
  <c r="B224" i="19"/>
  <c r="Z224" i="19"/>
  <c r="I224" i="19"/>
  <c r="N224" i="19"/>
  <c r="C224" i="19"/>
  <c r="AB224" i="19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K225" i="19" l="1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G226" i="19" l="1"/>
  <c r="M226" i="19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M227" i="19" l="1"/>
  <c r="B227" i="19"/>
  <c r="AB227" i="19"/>
  <c r="K227" i="19"/>
  <c r="X227" i="19"/>
  <c r="E227" i="19"/>
  <c r="I227" i="19"/>
  <c r="N227" i="19"/>
  <c r="F227" i="19"/>
  <c r="C227" i="19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AE227" i="19" l="1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D228" i="19"/>
  <c r="AD228" i="19" s="1"/>
  <c r="L228" i="19"/>
  <c r="Y228" i="19"/>
  <c r="G228" i="19"/>
  <c r="K228" i="19"/>
  <c r="X228" i="19"/>
  <c r="F228" i="19"/>
  <c r="A229" i="19"/>
  <c r="E228" i="19"/>
  <c r="M229" i="19" l="1"/>
  <c r="Z229" i="19"/>
  <c r="K229" i="19"/>
  <c r="B229" i="19"/>
  <c r="N229" i="19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N230" i="19" l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AH230" i="19" l="1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K231" i="19"/>
  <c r="B231" i="19"/>
  <c r="X231" i="19"/>
  <c r="F231" i="19"/>
  <c r="C231" i="19"/>
  <c r="Y231" i="19"/>
  <c r="M231" i="19"/>
  <c r="Z232" i="19" l="1"/>
  <c r="I232" i="19"/>
  <c r="N232" i="19"/>
  <c r="E232" i="19"/>
  <c r="Y232" i="19"/>
  <c r="G232" i="19"/>
  <c r="M232" i="19"/>
  <c r="D232" i="19"/>
  <c r="AD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AF232" i="19" l="1"/>
  <c r="AH232" i="19"/>
  <c r="AG232" i="19"/>
  <c r="AE232" i="19"/>
  <c r="AC232" i="19"/>
  <c r="AB233" i="19"/>
  <c r="G233" i="19"/>
  <c r="M233" i="19"/>
  <c r="B233" i="19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W233" i="19" l="1"/>
  <c r="U233" i="19"/>
  <c r="G234" i="19"/>
  <c r="Z234" i="19"/>
  <c r="B234" i="19"/>
  <c r="N234" i="19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U234" i="19" l="1"/>
  <c r="W234" i="19"/>
  <c r="G235" i="19"/>
  <c r="M235" i="19"/>
  <c r="Z235" i="19"/>
  <c r="B235" i="19"/>
  <c r="I235" i="19"/>
  <c r="N235" i="19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AG235" i="19" l="1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237" i="19"/>
  <c r="E236" i="19"/>
  <c r="W235" i="19"/>
  <c r="U235" i="19"/>
  <c r="I237" i="19" l="1"/>
  <c r="N237" i="19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AB238" i="19" l="1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C238" i="19"/>
  <c r="U237" i="19"/>
  <c r="W237" i="19"/>
  <c r="AG237" i="19"/>
  <c r="AF237" i="19"/>
  <c r="AH237" i="19"/>
  <c r="AC237" i="19"/>
  <c r="AE237" i="19"/>
  <c r="W238" i="19" l="1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240" i="19"/>
  <c r="E239" i="19"/>
  <c r="AC238" i="19"/>
  <c r="AE238" i="19"/>
  <c r="AF238" i="19"/>
  <c r="AH238" i="19"/>
  <c r="AG238" i="19"/>
  <c r="U239" i="19" l="1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K240" i="19"/>
  <c r="C240" i="19"/>
  <c r="L240" i="19"/>
  <c r="G240" i="19"/>
  <c r="E240" i="19"/>
  <c r="AG239" i="19"/>
  <c r="AF239" i="19"/>
  <c r="AH239" i="19"/>
  <c r="AE239" i="19"/>
  <c r="AC239" i="19"/>
  <c r="AB241" i="19" l="1"/>
  <c r="Y241" i="19"/>
  <c r="G241" i="19"/>
  <c r="B241" i="19"/>
  <c r="X241" i="19"/>
  <c r="A242" i="19"/>
  <c r="M241" i="19"/>
  <c r="Z241" i="19"/>
  <c r="I241" i="19"/>
  <c r="C241" i="19"/>
  <c r="N241" i="19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W241" i="19" l="1"/>
  <c r="U241" i="19"/>
  <c r="AC241" i="19"/>
  <c r="AE241" i="19"/>
  <c r="AG241" i="19"/>
  <c r="AF241" i="19"/>
  <c r="AH241" i="19"/>
  <c r="N242" i="19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Z243" i="19" l="1"/>
  <c r="I243" i="19"/>
  <c r="N243" i="19"/>
  <c r="C243" i="19"/>
  <c r="AB243" i="19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AB244" i="19" l="1"/>
  <c r="F244" i="19"/>
  <c r="L244" i="19"/>
  <c r="E244" i="19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AB245" i="19" l="1"/>
  <c r="G245" i="19"/>
  <c r="M245" i="19"/>
  <c r="D245" i="19"/>
  <c r="AD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AH245" i="19" l="1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K246" i="19"/>
  <c r="X246" i="19"/>
  <c r="A247" i="19"/>
  <c r="C246" i="19"/>
  <c r="W245" i="19"/>
  <c r="U245" i="19"/>
  <c r="I247" i="19" l="1"/>
  <c r="N247" i="19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AB248" i="19" l="1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249" i="19"/>
  <c r="E248" i="19"/>
  <c r="AG247" i="19"/>
  <c r="AE247" i="19"/>
  <c r="AF247" i="19"/>
  <c r="AH247" i="19"/>
  <c r="AC247" i="19"/>
  <c r="W247" i="19"/>
  <c r="U247" i="19"/>
  <c r="I249" i="19" l="1"/>
  <c r="N249" i="19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AB250" i="19" l="1"/>
  <c r="Z250" i="19"/>
  <c r="B250" i="19"/>
  <c r="I250" i="19"/>
  <c r="N250" i="19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M251" i="19" l="1"/>
  <c r="Z251" i="19"/>
  <c r="I251" i="19"/>
  <c r="D251" i="19"/>
  <c r="AD251" i="19" s="1"/>
  <c r="AB251" i="19"/>
  <c r="N251" i="19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AB252" i="19" l="1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K252" i="19"/>
  <c r="A253" i="19"/>
  <c r="E252" i="19"/>
  <c r="AG251" i="19"/>
  <c r="AE251" i="19"/>
  <c r="AF251" i="19"/>
  <c r="AH251" i="19"/>
  <c r="AC251" i="19"/>
  <c r="W251" i="19"/>
  <c r="U251" i="19"/>
  <c r="M253" i="19" l="1"/>
  <c r="Z253" i="19"/>
  <c r="I253" i="19"/>
  <c r="C253" i="19"/>
  <c r="N253" i="19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AH253" i="19" l="1"/>
  <c r="AC253" i="19"/>
  <c r="AE253" i="19"/>
  <c r="AG253" i="19"/>
  <c r="AF253" i="19"/>
  <c r="AB254" i="19"/>
  <c r="Z254" i="19"/>
  <c r="I254" i="19"/>
  <c r="C254" i="19"/>
  <c r="N254" i="19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U254" i="19" l="1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K255" i="19"/>
  <c r="B255" i="19"/>
  <c r="AF254" i="19"/>
  <c r="AE254" i="19"/>
  <c r="AC254" i="19"/>
  <c r="AG254" i="19"/>
  <c r="AH254" i="19"/>
  <c r="Z256" i="19" l="1"/>
  <c r="I256" i="19"/>
  <c r="N256" i="19"/>
  <c r="B256" i="19"/>
  <c r="AB256" i="19"/>
  <c r="F256" i="19"/>
  <c r="L256" i="19"/>
  <c r="C256" i="19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K257" i="19" l="1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AB258" i="19" l="1"/>
  <c r="I258" i="19"/>
  <c r="N258" i="19"/>
  <c r="B258" i="19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Z259" i="19" l="1"/>
  <c r="AB259" i="19"/>
  <c r="K259" i="19"/>
  <c r="X259" i="19"/>
  <c r="D259" i="19"/>
  <c r="AD259" i="19" s="1"/>
  <c r="I259" i="19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F260" i="19" l="1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261" i="19"/>
  <c r="D260" i="19"/>
  <c r="AD260" i="19" s="1"/>
  <c r="W259" i="19"/>
  <c r="U259" i="19"/>
  <c r="AE259" i="19"/>
  <c r="AG259" i="19"/>
  <c r="AF259" i="19"/>
  <c r="AH259" i="19"/>
  <c r="AC259" i="19"/>
  <c r="I261" i="19" l="1"/>
  <c r="N261" i="19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AH261" i="19" l="1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263" i="19"/>
  <c r="E262" i="19"/>
  <c r="AB262" i="19"/>
  <c r="M262" i="19"/>
  <c r="Z262" i="19"/>
  <c r="D262" i="19"/>
  <c r="AD262" i="19" s="1"/>
  <c r="W262" i="19" l="1"/>
  <c r="U262" i="19"/>
  <c r="Y263" i="19"/>
  <c r="B263" i="19"/>
  <c r="AB263" i="19"/>
  <c r="N263" i="19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AG263" i="19" l="1"/>
  <c r="AC263" i="19"/>
  <c r="AE263" i="19"/>
  <c r="AH263" i="19"/>
  <c r="AF263" i="19"/>
  <c r="U263" i="19"/>
  <c r="W263" i="19"/>
  <c r="N264" i="19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AB265" i="19" l="1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X265" i="19"/>
  <c r="L265" i="19"/>
  <c r="E265" i="19"/>
  <c r="W264" i="19"/>
  <c r="U264" i="19"/>
  <c r="AF264" i="19"/>
  <c r="AG264" i="19"/>
  <c r="AH264" i="19"/>
  <c r="AC264" i="19"/>
  <c r="AE264" i="19"/>
  <c r="X266" i="19" l="1"/>
  <c r="F266" i="19"/>
  <c r="L266" i="19"/>
  <c r="B266" i="19"/>
  <c r="Y266" i="19"/>
  <c r="G266" i="19"/>
  <c r="M266" i="19"/>
  <c r="C266" i="19"/>
  <c r="N266" i="19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W266" i="19" l="1"/>
  <c r="U266" i="19"/>
  <c r="AB267" i="19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U267" i="19" l="1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K268" i="19"/>
  <c r="X268" i="19"/>
  <c r="C268" i="19"/>
  <c r="AB268" i="19"/>
  <c r="E268" i="19"/>
  <c r="AF267" i="19"/>
  <c r="AH267" i="19"/>
  <c r="AC267" i="19"/>
  <c r="AE267" i="19"/>
  <c r="AG267" i="19"/>
  <c r="U268" i="19" l="1"/>
  <c r="W268" i="19"/>
  <c r="AB269" i="19"/>
  <c r="G269" i="19"/>
  <c r="M269" i="19"/>
  <c r="C269" i="19"/>
  <c r="Z269" i="19"/>
  <c r="I269" i="19"/>
  <c r="N269" i="19"/>
  <c r="D269" i="19"/>
  <c r="AD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U269" i="19" l="1"/>
  <c r="W269" i="19"/>
  <c r="AB270" i="19"/>
  <c r="I270" i="19"/>
  <c r="N270" i="19"/>
  <c r="B270" i="19"/>
  <c r="G270" i="19"/>
  <c r="M270" i="19"/>
  <c r="Z270" i="19"/>
  <c r="A271" i="19"/>
  <c r="E270" i="19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U270" i="19" l="1"/>
  <c r="W270" i="19"/>
  <c r="AH270" i="19"/>
  <c r="AC270" i="19"/>
  <c r="AG270" i="19"/>
  <c r="AF270" i="19"/>
  <c r="AE270" i="19"/>
  <c r="G271" i="19"/>
  <c r="M271" i="19"/>
  <c r="X271" i="19"/>
  <c r="B271" i="19"/>
  <c r="N271" i="19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AB272" i="19" l="1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C272" i="19"/>
  <c r="U271" i="19"/>
  <c r="W271" i="19"/>
  <c r="AE271" i="19"/>
  <c r="AG271" i="19"/>
  <c r="AC271" i="19"/>
  <c r="AF271" i="19"/>
  <c r="AH271" i="19"/>
  <c r="U272" i="19" l="1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274" i="19"/>
  <c r="D273" i="19"/>
  <c r="AD273" i="19" s="1"/>
  <c r="K273" i="19"/>
  <c r="X273" i="19"/>
  <c r="AB273" i="19"/>
  <c r="L273" i="19"/>
  <c r="Y273" i="19"/>
  <c r="E273" i="19"/>
  <c r="K274" i="19" l="1"/>
  <c r="X274" i="19"/>
  <c r="G274" i="19"/>
  <c r="B274" i="19"/>
  <c r="L274" i="19"/>
  <c r="Y274" i="19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AB275" i="19" l="1"/>
  <c r="N275" i="19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AE275" i="19" l="1"/>
  <c r="AC275" i="19"/>
  <c r="AG275" i="19"/>
  <c r="AF275" i="19"/>
  <c r="AH275" i="19"/>
  <c r="U275" i="19"/>
  <c r="W275" i="19"/>
  <c r="M276" i="19"/>
  <c r="Z276" i="19"/>
  <c r="F276" i="19"/>
  <c r="B276" i="19"/>
  <c r="N276" i="19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U276" i="19" l="1"/>
  <c r="W276" i="19"/>
  <c r="AB277" i="19"/>
  <c r="Y277" i="19"/>
  <c r="I277" i="19"/>
  <c r="B277" i="19"/>
  <c r="N277" i="19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W277" i="19" l="1"/>
  <c r="U277" i="19"/>
  <c r="N278" i="19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W278" i="19" l="1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M279" i="19"/>
  <c r="D279" i="19"/>
  <c r="AD279" i="19" s="1"/>
  <c r="AE278" i="19"/>
  <c r="AC278" i="19"/>
  <c r="AH278" i="19"/>
  <c r="AF278" i="19"/>
  <c r="AG278" i="19"/>
  <c r="U279" i="19" l="1"/>
  <c r="W279" i="19"/>
  <c r="AE279" i="19"/>
  <c r="AG279" i="19"/>
  <c r="AF279" i="19"/>
  <c r="AH279" i="19"/>
  <c r="AC279" i="19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AB281" i="19" l="1"/>
  <c r="G281" i="19"/>
  <c r="X281" i="19"/>
  <c r="B281" i="19"/>
  <c r="Z281" i="19"/>
  <c r="I281" i="19"/>
  <c r="L281" i="19"/>
  <c r="C281" i="19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K282" i="19" l="1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G283" i="19" l="1"/>
  <c r="B283" i="19"/>
  <c r="AB283" i="19"/>
  <c r="K283" i="19"/>
  <c r="Z283" i="19"/>
  <c r="D283" i="19"/>
  <c r="AD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I284" i="19" l="1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285" i="19"/>
  <c r="E284" i="19"/>
  <c r="B284" i="19"/>
  <c r="W283" i="19"/>
  <c r="U283" i="19"/>
  <c r="AC283" i="19"/>
  <c r="AH283" i="19"/>
  <c r="AG283" i="19"/>
  <c r="AE283" i="19"/>
  <c r="AF283" i="19"/>
  <c r="K285" i="19" l="1"/>
  <c r="X285" i="19"/>
  <c r="Z285" i="19"/>
  <c r="B285" i="19"/>
  <c r="AB285" i="19"/>
  <c r="L285" i="19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K286" i="19" l="1"/>
  <c r="X286" i="19"/>
  <c r="Z286" i="19"/>
  <c r="B286" i="19"/>
  <c r="L286" i="19"/>
  <c r="Y286" i="19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AB287" i="19" l="1"/>
  <c r="N287" i="19"/>
  <c r="G287" i="19"/>
  <c r="B287" i="19"/>
  <c r="K287" i="19"/>
  <c r="X287" i="19"/>
  <c r="I287" i="19"/>
  <c r="C287" i="19"/>
  <c r="M287" i="19"/>
  <c r="F287" i="19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N288" i="19" l="1"/>
  <c r="G288" i="19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B289" i="19" l="1"/>
  <c r="N289" i="19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W289" i="19" l="1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G290" i="19"/>
  <c r="AC289" i="19"/>
  <c r="AG289" i="19"/>
  <c r="AF289" i="19"/>
  <c r="AH289" i="19"/>
  <c r="AE289" i="19"/>
  <c r="Y291" i="19" l="1"/>
  <c r="L291" i="19"/>
  <c r="K291" i="19"/>
  <c r="E291" i="19"/>
  <c r="Z291" i="19"/>
  <c r="M291" i="19"/>
  <c r="N291" i="19"/>
  <c r="A292" i="19"/>
  <c r="D291" i="19"/>
  <c r="AD291" i="19" s="1"/>
  <c r="AB291" i="19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N292" i="19" l="1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N293" i="19" l="1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AH293" i="19" l="1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W294" i="19" l="1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F294" i="19"/>
  <c r="AH294" i="19"/>
  <c r="AC294" i="19"/>
  <c r="AE294" i="19"/>
  <c r="AG294" i="19"/>
  <c r="W295" i="19" l="1"/>
  <c r="U295" i="19"/>
  <c r="I296" i="19"/>
  <c r="Z296" i="19"/>
  <c r="Y296" i="19"/>
  <c r="D296" i="19"/>
  <c r="AD296" i="19" s="1"/>
  <c r="G296" i="19"/>
  <c r="M296" i="19"/>
  <c r="AB296" i="19"/>
  <c r="K296" i="19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AB297" i="19" l="1"/>
  <c r="L297" i="19"/>
  <c r="N297" i="19"/>
  <c r="C297" i="19"/>
  <c r="I297" i="19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K298" i="19" l="1"/>
  <c r="F298" i="19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M299" i="19" l="1"/>
  <c r="G299" i="19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L300" i="19" l="1"/>
  <c r="Y300" i="19"/>
  <c r="K300" i="19"/>
  <c r="C300" i="19"/>
  <c r="M300" i="19"/>
  <c r="G300" i="19"/>
  <c r="Z300" i="19"/>
  <c r="E300" i="19"/>
  <c r="B300" i="19"/>
  <c r="N300" i="19"/>
  <c r="I300" i="19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W300" i="19" l="1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C301" i="19"/>
  <c r="W301" i="19" l="1"/>
  <c r="U301" i="19"/>
  <c r="M302" i="19"/>
  <c r="B302" i="19"/>
  <c r="F302" i="19"/>
  <c r="C302" i="19"/>
  <c r="AB302" i="19"/>
  <c r="Z302" i="19"/>
  <c r="G302" i="19"/>
  <c r="D302" i="19"/>
  <c r="AD302" i="19" s="1"/>
  <c r="Y302" i="19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Z303" i="19" l="1"/>
  <c r="I303" i="19"/>
  <c r="G303" i="19"/>
  <c r="C303" i="19"/>
  <c r="B303" i="19"/>
  <c r="AB303" i="19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Z304" i="19" l="1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X304" i="19"/>
  <c r="B304" i="19"/>
  <c r="W303" i="19"/>
  <c r="U303" i="19"/>
  <c r="AG303" i="19"/>
  <c r="AF303" i="19"/>
  <c r="AH303" i="19"/>
  <c r="AE303" i="19"/>
  <c r="AC303" i="19"/>
  <c r="AF304" i="19" l="1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L305" i="19"/>
  <c r="G305" i="19"/>
  <c r="B305" i="19"/>
  <c r="AH305" i="19" l="1"/>
  <c r="AG305" i="19"/>
  <c r="AF305" i="19"/>
  <c r="AC305" i="19"/>
  <c r="AE305" i="19"/>
  <c r="F306" i="19"/>
  <c r="B306" i="19"/>
  <c r="AB306" i="19"/>
  <c r="Z306" i="19"/>
  <c r="M306" i="19"/>
  <c r="D306" i="19"/>
  <c r="AD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AB307" i="19" l="1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C307" i="19"/>
  <c r="AH306" i="19"/>
  <c r="AC306" i="19"/>
  <c r="AE306" i="19"/>
  <c r="AG306" i="19"/>
  <c r="AF306" i="19"/>
  <c r="W306" i="19"/>
  <c r="U306" i="19"/>
  <c r="W307" i="19" l="1"/>
  <c r="U307" i="19"/>
  <c r="AB308" i="19"/>
  <c r="K308" i="19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AB309" i="19" l="1"/>
  <c r="B309" i="19"/>
  <c r="M309" i="19"/>
  <c r="G309" i="19"/>
  <c r="F309" i="19"/>
  <c r="Y309" i="19"/>
  <c r="K309" i="19"/>
  <c r="N309" i="19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K310" i="19" l="1"/>
  <c r="N310" i="19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W310" i="19" l="1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X311" i="19"/>
  <c r="B311" i="19"/>
  <c r="AF310" i="19"/>
  <c r="AH310" i="19"/>
  <c r="AC310" i="19"/>
  <c r="AE310" i="19"/>
  <c r="AG310" i="19"/>
  <c r="L312" i="19" l="1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B312" i="19"/>
  <c r="AB312" i="19"/>
  <c r="X312" i="19"/>
  <c r="K312" i="19"/>
  <c r="AG311" i="19"/>
  <c r="AF311" i="19"/>
  <c r="AH311" i="19"/>
  <c r="AC311" i="19"/>
  <c r="AE311" i="19"/>
  <c r="U311" i="19"/>
  <c r="W311" i="19"/>
  <c r="AC312" i="19" l="1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K313" i="19"/>
  <c r="D313" i="19"/>
  <c r="AD313" i="19" s="1"/>
  <c r="W312" i="19"/>
  <c r="U312" i="19"/>
  <c r="W313" i="19" l="1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315" i="19"/>
  <c r="E314" i="19"/>
  <c r="Y315" i="19" l="1"/>
  <c r="L315" i="19"/>
  <c r="F315" i="19"/>
  <c r="B315" i="19"/>
  <c r="Z315" i="19"/>
  <c r="C315" i="19"/>
  <c r="AB315" i="19"/>
  <c r="I315" i="19"/>
  <c r="N315" i="19"/>
  <c r="D315" i="19"/>
  <c r="AD315" i="19" s="1"/>
  <c r="K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U315" i="19" l="1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G316" i="19"/>
  <c r="M316" i="19"/>
  <c r="A317" i="19"/>
  <c r="E316" i="19"/>
  <c r="AB316" i="19"/>
  <c r="N316" i="19"/>
  <c r="I316" i="19"/>
  <c r="B316" i="19"/>
  <c r="K317" i="19" l="1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F318" i="19" l="1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L318" i="19"/>
  <c r="Y318" i="19"/>
  <c r="A319" i="19"/>
  <c r="E318" i="19"/>
  <c r="AF317" i="19"/>
  <c r="AH317" i="19"/>
  <c r="AC317" i="19"/>
  <c r="AG317" i="19"/>
  <c r="AE317" i="19"/>
  <c r="W317" i="19"/>
  <c r="U317" i="19"/>
  <c r="G319" i="19" l="1"/>
  <c r="Z319" i="19"/>
  <c r="L319" i="19"/>
  <c r="B319" i="19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F320" i="19" l="1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N320" i="19"/>
  <c r="A321" i="19"/>
  <c r="K320" i="19"/>
  <c r="C320" i="19"/>
  <c r="AH319" i="19"/>
  <c r="AC319" i="19"/>
  <c r="AF319" i="19"/>
  <c r="AG319" i="19"/>
  <c r="AE319" i="19"/>
  <c r="U319" i="19"/>
  <c r="W319" i="19"/>
  <c r="U320" i="19" l="1"/>
  <c r="W320" i="19"/>
  <c r="AB321" i="19"/>
  <c r="F321" i="19"/>
  <c r="X321" i="19"/>
  <c r="B321" i="19"/>
  <c r="G321" i="19"/>
  <c r="L321" i="19"/>
  <c r="Y321" i="19"/>
  <c r="E321" i="19"/>
  <c r="K321" i="19"/>
  <c r="N321" i="19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AG321" i="19" l="1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B322" i="19"/>
  <c r="E322" i="19"/>
  <c r="K322" i="19"/>
  <c r="Y322" i="19"/>
  <c r="G322" i="19"/>
  <c r="C322" i="19"/>
  <c r="W321" i="19"/>
  <c r="U321" i="19"/>
  <c r="U322" i="19" l="1"/>
  <c r="W322" i="19"/>
  <c r="M323" i="19"/>
  <c r="I323" i="19"/>
  <c r="Z323" i="19"/>
  <c r="C323" i="19"/>
  <c r="AB323" i="19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W323" i="19" l="1"/>
  <c r="U323" i="19"/>
  <c r="M324" i="19"/>
  <c r="K324" i="19"/>
  <c r="Z324" i="19"/>
  <c r="B324" i="19"/>
  <c r="F324" i="19"/>
  <c r="N324" i="19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I325" i="19" l="1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B325" i="19"/>
  <c r="C325" i="19"/>
  <c r="F325" i="19"/>
  <c r="AG324" i="19"/>
  <c r="AC324" i="19"/>
  <c r="AH324" i="19"/>
  <c r="AE324" i="19"/>
  <c r="AF324" i="19"/>
  <c r="U324" i="19"/>
  <c r="W324" i="19"/>
  <c r="AC325" i="19" l="1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K326" i="19"/>
  <c r="B326" i="19"/>
  <c r="N326" i="19"/>
  <c r="Z326" i="19"/>
  <c r="I326" i="19"/>
  <c r="A327" i="19"/>
  <c r="E326" i="19"/>
  <c r="W325" i="19"/>
  <c r="U325" i="19"/>
  <c r="U326" i="19" l="1"/>
  <c r="W326" i="19"/>
  <c r="Y327" i="19"/>
  <c r="I327" i="19"/>
  <c r="N327" i="19"/>
  <c r="B327" i="19"/>
  <c r="AB327" i="19"/>
  <c r="F327" i="19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G328" i="19" l="1"/>
  <c r="M328" i="19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AC328" i="19" l="1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D329" i="19"/>
  <c r="AD329" i="19" s="1"/>
  <c r="I329" i="19"/>
  <c r="N329" i="19"/>
  <c r="F329" i="19"/>
  <c r="A330" i="19"/>
  <c r="E329" i="19"/>
  <c r="N330" i="19" l="1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N331" i="19" l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W331" i="19" l="1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L332" i="19"/>
  <c r="A333" i="19"/>
  <c r="E332" i="19"/>
  <c r="X332" i="19"/>
  <c r="G332" i="19"/>
  <c r="M332" i="19"/>
  <c r="B332" i="19"/>
  <c r="AB333" i="19" l="1"/>
  <c r="F333" i="19"/>
  <c r="M333" i="19"/>
  <c r="C333" i="19"/>
  <c r="E333" i="19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AC333" i="19" l="1"/>
  <c r="AF333" i="19"/>
  <c r="AG333" i="19"/>
  <c r="AH333" i="19"/>
  <c r="AE333" i="19"/>
  <c r="U333" i="19"/>
  <c r="W333" i="19"/>
  <c r="G334" i="19"/>
  <c r="N334" i="19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AF334" i="19" l="1"/>
  <c r="AC334" i="19"/>
  <c r="AE334" i="19"/>
  <c r="AH334" i="19"/>
  <c r="AG334" i="19"/>
  <c r="G335" i="19"/>
  <c r="N335" i="19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I336" i="19" l="1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337" i="19"/>
  <c r="D336" i="19"/>
  <c r="AD336" i="19" s="1"/>
  <c r="AE335" i="19"/>
  <c r="AF335" i="19"/>
  <c r="AC335" i="19"/>
  <c r="AH335" i="19"/>
  <c r="AG335" i="19"/>
  <c r="W335" i="19"/>
  <c r="U335" i="19"/>
  <c r="L337" i="19" l="1"/>
  <c r="N337" i="19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W337" i="19" l="1"/>
  <c r="U337" i="19"/>
  <c r="X338" i="19"/>
  <c r="F338" i="19"/>
  <c r="L338" i="19"/>
  <c r="B338" i="19"/>
  <c r="Y338" i="19"/>
  <c r="G338" i="19"/>
  <c r="M338" i="19"/>
  <c r="D338" i="19"/>
  <c r="AD338" i="19" s="1"/>
  <c r="N338" i="19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U338" i="19" l="1"/>
  <c r="W338" i="19"/>
  <c r="Z339" i="19"/>
  <c r="N339" i="19"/>
  <c r="X339" i="19"/>
  <c r="G339" i="19"/>
  <c r="M339" i="19"/>
  <c r="A340" i="19"/>
  <c r="E339" i="19"/>
  <c r="I339" i="19"/>
  <c r="C339" i="19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U339" i="19" l="1"/>
  <c r="W339" i="19"/>
  <c r="F340" i="19"/>
  <c r="L340" i="19"/>
  <c r="Z340" i="19"/>
  <c r="C340" i="19"/>
  <c r="G340" i="19"/>
  <c r="M340" i="19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AG340" i="19" l="1"/>
  <c r="AF340" i="19"/>
  <c r="AC340" i="19"/>
  <c r="AH340" i="19"/>
  <c r="AE340" i="19"/>
  <c r="AB341" i="19"/>
  <c r="I341" i="19"/>
  <c r="N341" i="19"/>
  <c r="B341" i="19"/>
  <c r="G341" i="19"/>
  <c r="M341" i="19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AC341" i="19" l="1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M342" i="19"/>
  <c r="Z342" i="19"/>
  <c r="A343" i="19"/>
  <c r="E342" i="19"/>
  <c r="I342" i="19"/>
  <c r="N342" i="19"/>
  <c r="B342" i="19"/>
  <c r="W341" i="19"/>
  <c r="U341" i="19"/>
  <c r="W342" i="19" l="1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K343" i="19"/>
  <c r="C343" i="19"/>
  <c r="AB343" i="19"/>
  <c r="X343" i="19"/>
  <c r="F343" i="19"/>
  <c r="AG342" i="19"/>
  <c r="AH342" i="19"/>
  <c r="AF342" i="19"/>
  <c r="AC342" i="19"/>
  <c r="AE342" i="19"/>
  <c r="AB344" i="19" l="1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L344" i="19"/>
  <c r="D344" i="19"/>
  <c r="AD344" i="19" s="1"/>
  <c r="AG343" i="19"/>
  <c r="AE343" i="19"/>
  <c r="AF343" i="19"/>
  <c r="AC343" i="19"/>
  <c r="AH343" i="19"/>
  <c r="U343" i="19"/>
  <c r="W343" i="19"/>
  <c r="W344" i="19" l="1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L345" i="19"/>
  <c r="C345" i="19"/>
  <c r="Y345" i="19"/>
  <c r="G345" i="19"/>
  <c r="M345" i="19"/>
  <c r="D345" i="19"/>
  <c r="AD345" i="19" s="1"/>
  <c r="N345" i="19"/>
  <c r="E345" i="19"/>
  <c r="AH345" i="19" l="1"/>
  <c r="AC345" i="19"/>
  <c r="AF345" i="19"/>
  <c r="AE345" i="19"/>
  <c r="AG345" i="19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F347" i="19" l="1"/>
  <c r="M347" i="19"/>
  <c r="Z347" i="19"/>
  <c r="B347" i="19"/>
  <c r="AB347" i="19"/>
  <c r="I347" i="19"/>
  <c r="X347" i="19"/>
  <c r="E347" i="19"/>
  <c r="G347" i="19"/>
  <c r="N347" i="19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G348" i="19" l="1"/>
  <c r="N348" i="19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Y349" i="19"/>
  <c r="B349" i="19"/>
  <c r="L349" i="19"/>
  <c r="Z349" i="19"/>
  <c r="I349" i="19"/>
  <c r="C349" i="19"/>
  <c r="AB349" i="19"/>
  <c r="N349" i="19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N350" i="19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Z352" i="19"/>
  <c r="I352" i="19"/>
  <c r="N352" i="19"/>
  <c r="B352" i="19"/>
  <c r="D352" i="19"/>
  <c r="AD352" i="19" s="1"/>
  <c r="L352" i="19"/>
  <c r="Y352" i="19"/>
  <c r="G352" i="19"/>
  <c r="AB352" i="19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W352" i="19"/>
  <c r="U352" i="19"/>
  <c r="G353" i="19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U353" i="19"/>
  <c r="W353" i="19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I356" i="19"/>
  <c r="N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H11" i="6"/>
  <c r="C10" i="6"/>
  <c r="F10" i="6"/>
  <c r="G10" i="6" s="1"/>
  <c r="G357" i="19"/>
  <c r="M357" i="19"/>
  <c r="Z357" i="19"/>
  <c r="B357" i="19"/>
  <c r="I357" i="19"/>
  <c r="N357" i="19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K358" i="19"/>
  <c r="X358" i="19"/>
  <c r="F358" i="19"/>
  <c r="C358" i="19"/>
  <c r="B358" i="19"/>
  <c r="AB358" i="19"/>
  <c r="L358" i="19"/>
  <c r="Y358" i="19"/>
  <c r="D358" i="19"/>
  <c r="AD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K360" i="19"/>
  <c r="X360" i="19"/>
  <c r="F360" i="19"/>
  <c r="L360" i="19"/>
  <c r="Y360" i="19"/>
  <c r="G360" i="19"/>
  <c r="D360" i="19"/>
  <c r="AD360" i="19" s="1"/>
  <c r="AB360" i="19"/>
  <c r="N360" i="19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M361" i="19"/>
  <c r="Z361" i="19"/>
  <c r="I361" i="19"/>
  <c r="B361" i="19"/>
  <c r="N361" i="19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AB362" i="19"/>
  <c r="Y362" i="19"/>
  <c r="G362" i="19"/>
  <c r="D362" i="19"/>
  <c r="AD362" i="19" s="1"/>
  <c r="M362" i="19"/>
  <c r="Z362" i="19"/>
  <c r="I362" i="19"/>
  <c r="A363" i="19"/>
  <c r="E362" i="19"/>
  <c r="N362" i="19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X363" i="19"/>
  <c r="F363" i="19"/>
  <c r="L363" i="19"/>
  <c r="D363" i="19"/>
  <c r="AD363" i="19" s="1"/>
  <c r="N363" i="19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I365" i="19"/>
  <c r="AB365" i="19"/>
  <c r="F365" i="19"/>
  <c r="L365" i="19"/>
  <c r="D365" i="19"/>
  <c r="AD365" i="19" s="1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H20" i="6"/>
  <c r="C19" i="6"/>
  <c r="F19" i="6"/>
  <c r="G19" i="6" s="1"/>
  <c r="W365" i="19"/>
  <c r="U365" i="19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E30" i="17"/>
  <c r="H21" i="7"/>
  <c r="F20" i="7"/>
  <c r="G20" i="7" l="1"/>
  <c r="C20" i="7"/>
  <c r="H21" i="6"/>
  <c r="C20" i="6"/>
  <c r="F20" i="6"/>
  <c r="G20" i="6" s="1"/>
  <c r="U366" i="19"/>
  <c r="W366" i="19"/>
  <c r="F367" i="19"/>
  <c r="L367" i="19"/>
  <c r="Y367" i="19"/>
  <c r="B367" i="19"/>
  <c r="AB367" i="19"/>
  <c r="I367" i="19"/>
  <c r="N367" i="19"/>
  <c r="E367" i="19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AE367" i="19"/>
  <c r="AH367" i="19"/>
  <c r="AG367" i="19"/>
  <c r="AC367" i="19"/>
  <c r="AF367" i="19"/>
  <c r="U367" i="19"/>
  <c r="W367" i="19"/>
  <c r="I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F24" i="7"/>
  <c r="H25" i="7"/>
  <c r="H23" i="6"/>
  <c r="C22" i="6"/>
  <c r="F22" i="6"/>
  <c r="G22" i="6" s="1"/>
  <c r="G369" i="19"/>
  <c r="M369" i="19"/>
  <c r="Z369" i="19"/>
  <c r="I369" i="19"/>
  <c r="N369" i="19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" i="21" l="1"/>
  <c r="G3" i="21"/>
  <c r="G4" i="21"/>
  <c r="G5" i="21"/>
  <c r="G6" i="21"/>
  <c r="G23" i="7"/>
  <c r="C23" i="7"/>
  <c r="G24" i="7"/>
  <c r="C24" i="7"/>
  <c r="H26" i="7"/>
  <c r="F25" i="7"/>
  <c r="H24" i="6"/>
  <c r="F23" i="6"/>
  <c r="G23" i="6" s="1"/>
  <c r="C23" i="6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B14" i="12" s="1"/>
  <c r="Z61" i="20"/>
  <c r="F13" i="12"/>
  <c r="Z38" i="20"/>
  <c r="Q67" i="20"/>
  <c r="L15" i="12"/>
  <c r="Q12" i="20"/>
  <c r="Q43" i="20"/>
  <c r="Z47" i="20"/>
  <c r="Z51" i="20"/>
  <c r="Z8" i="20"/>
  <c r="Q96" i="20"/>
  <c r="B20" i="12" s="1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B18" i="12" s="1"/>
  <c r="Q82" i="20"/>
  <c r="F17" i="12"/>
  <c r="Q95" i="20"/>
  <c r="B19" i="12" s="1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B11" i="12" s="1"/>
  <c r="L19" i="12"/>
  <c r="Q40" i="20"/>
  <c r="Q88" i="20"/>
  <c r="B12" i="12" s="1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B16" i="12" s="1"/>
  <c r="Q53" i="20"/>
  <c r="Q89" i="20"/>
  <c r="B13" i="12" s="1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B10" i="12" s="1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B17" i="12" s="1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B15" i="12" s="1"/>
  <c r="Q97" i="20"/>
  <c r="B21" i="12" s="1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H127" i="6" s="1"/>
  <c r="F127" i="6" l="1"/>
  <c r="G127" i="6" s="1"/>
  <c r="H128" i="6"/>
  <c r="C127" i="6"/>
  <c r="F126" i="6"/>
  <c r="G126" i="6" s="1"/>
  <c r="C126" i="6"/>
  <c r="H129" i="6" l="1"/>
  <c r="F128" i="6"/>
  <c r="G128" i="6" s="1"/>
  <c r="C128" i="6"/>
  <c r="H130" i="6" l="1"/>
  <c r="C129" i="6"/>
  <c r="F129" i="6"/>
  <c r="G129" i="6" s="1"/>
  <c r="C130" i="6" l="1"/>
  <c r="H131" i="6"/>
  <c r="F130" i="6"/>
  <c r="G130" i="6" s="1"/>
  <c r="F131" i="6" l="1"/>
  <c r="G131" i="6" s="1"/>
  <c r="H132" i="6"/>
  <c r="C131" i="6"/>
  <c r="H133" i="6" l="1"/>
  <c r="C132" i="6"/>
  <c r="F132" i="6"/>
  <c r="G132" i="6" s="1"/>
  <c r="F133" i="6" l="1"/>
  <c r="G133" i="6" s="1"/>
  <c r="H134" i="6"/>
  <c r="C133" i="6"/>
  <c r="C134" i="6" l="1"/>
  <c r="H135" i="6"/>
  <c r="F134" i="6"/>
  <c r="G134" i="6" s="1"/>
  <c r="F135" i="6" l="1"/>
  <c r="G135" i="6" s="1"/>
  <c r="H136" i="6"/>
  <c r="C135" i="6"/>
  <c r="H137" i="6" l="1"/>
  <c r="F136" i="6"/>
  <c r="G136" i="6" s="1"/>
  <c r="C136" i="6"/>
  <c r="F137" i="6" l="1"/>
  <c r="G137" i="6" s="1"/>
  <c r="C13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<sst xmlns="http://schemas.openxmlformats.org/spreadsheetml/2006/main" count="3923" uniqueCount="1158">
  <si>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</si>
  <si>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</si>
  <si>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</si>
  <si>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</si>
  <si>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</si>
  <si>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</si>
  <si>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</si>
  <si>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</si>
  <si>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</si>
  <si>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</si>
  <si>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</si>
  <si>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</si>
  <si>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</si>
  <si>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</si>
  <si>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</si>
  <si>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</si>
  <si>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</si>
  <si>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</si>
  <si>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</si>
  <si>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</si>
  <si>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</si>
  <si>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</si>
  <si>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</si>
  <si>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</si>
  <si>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</si>
  <si>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</si>
  <si>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</si>
  <si>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</si>
  <si>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</si>
  <si>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</si>
  <si>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</si>
  <si>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</si>
  <si>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</si>
  <si>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</si>
  <si>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</si>
  <si>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</si>
  <si>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</si>
  <si>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</si>
  <si>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</si>
  <si>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</si>
  <si>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</si>
  <si>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</si>
  <si>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</si>
  <si>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</si>
  <si>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</si>
  <si>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</si>
  <si>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</si>
  <si>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</si>
  <si>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</si>
  <si>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</si>
  <si>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</si>
  <si>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</si>
  <si>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</si>
  <si>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</si>
  <si>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</si>
  <si>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</si>
  <si>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</si>
  <si>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</si>
  <si>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</si>
  <si>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</si>
  <si>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</si>
  <si>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</si>
  <si>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</si>
  <si>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</si>
  <si>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</si>
  <si>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</si>
  <si>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</si>
  <si>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</si>
  <si>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</si>
  <si>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</si>
  <si>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</si>
  <si>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</si>
  <si>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</si>
  <si>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</si>
  <si>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</si>
  <si>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</si>
  <si>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</si>
  <si>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</si>
  <si>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</si>
  <si>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</si>
  <si>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</si>
  <si>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</si>
  <si>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</si>
  <si>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</si>
  <si>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</si>
  <si>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</si>
  <si>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</si>
  <si>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</si>
  <si>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</si>
  <si>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</si>
  <si>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</si>
  <si>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</si>
  <si>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</si>
  <si>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</si>
  <si>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</si>
  <si>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</si>
  <si>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</si>
  <si>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</si>
  <si>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</si>
  <si>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</si>
  <si>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</si>
  <si>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</si>
  <si>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</si>
  <si>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</si>
  <si>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</si>
  <si>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</si>
  <si>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</si>
  <si>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</si>
  <si>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</si>
  <si>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</si>
  <si>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</si>
  <si>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</si>
  <si>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</si>
  <si>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</si>
  <si>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</si>
  <si>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</si>
  <si>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</si>
  <si>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</si>
  <si>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</si>
  <si>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</si>
  <si>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</si>
  <si>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</si>
  <si>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</si>
  <si>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</si>
  <si>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</si>
  <si>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</si>
  <si>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</si>
  <si>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</si>
  <si>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</si>
  <si>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</si>
  <si>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</si>
  <si>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</si>
  <si>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</si>
  <si>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</si>
  <si>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</si>
  <si>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</si>
  <si>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</si>
  <si>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</si>
  <si>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</si>
  <si>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</si>
  <si>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</si>
  <si>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</si>
  <si>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</si>
  <si>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</si>
  <si>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</si>
  <si>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</si>
  <si>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</si>
  <si>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</si>
  <si>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</si>
  <si>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</si>
  <si>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</si>
  <si>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</si>
  <si>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</si>
  <si>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</si>
  <si>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</si>
  <si>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</si>
  <si>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</si>
  <si>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</si>
  <si>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</si>
  <si>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</si>
  <si>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</si>
  <si>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</si>
  <si>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</si>
  <si>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</si>
  <si>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</si>
  <si>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</si>
  <si>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</si>
  <si>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</si>
  <si>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</si>
  <si>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</si>
  <si>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</si>
  <si>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</si>
  <si>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</si>
  <si>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</si>
  <si>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</si>
  <si>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</si>
  <si>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</si>
  <si>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</si>
  <si>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</si>
  <si>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</si>
  <si>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</si>
  <si>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</si>
  <si>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</si>
  <si>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</si>
  <si>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</si>
  <si>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</si>
  <si>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</si>
  <si>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</si>
  <si>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</si>
  <si>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</si>
  <si>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</si>
  <si>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</si>
  <si>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</si>
  <si>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</si>
  <si>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</si>
  <si>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</si>
  <si>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</si>
  <si>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</si>
  <si>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</si>
  <si>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</si>
  <si>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</si>
  <si>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</si>
  <si>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</si>
  <si>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</si>
  <si>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</si>
  <si>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</si>
  <si>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</si>
  <si>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</si>
  <si>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</si>
  <si>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</si>
  <si>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</si>
  <si>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</si>
  <si>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</si>
  <si>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</si>
  <si>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</si>
  <si>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</si>
  <si>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</si>
  <si>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</si>
  <si>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</si>
  <si>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</si>
  <si>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</si>
  <si>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</si>
  <si>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</si>
  <si>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</si>
  <si>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</si>
  <si>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</si>
  <si>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</si>
  <si>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</si>
  <si>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</si>
  <si>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</si>
  <si>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</si>
  <si>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</si>
  <si>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</si>
  <si>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</si>
  <si>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</si>
  <si>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</si>
  <si>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</si>
  <si>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</si>
  <si>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</si>
  <si>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</si>
  <si>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</si>
  <si>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</si>
  <si>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</si>
  <si>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</si>
  <si>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</si>
  <si>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</si>
  <si>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</si>
  <si>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</si>
  <si>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</si>
  <si>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</si>
  <si>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</si>
  <si>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</si>
  <si>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</si>
  <si>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</si>
  <si>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</si>
  <si>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</si>
  <si>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</si>
  <si>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</si>
  <si>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</si>
  <si>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</si>
  <si>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</si>
  <si>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</si>
  <si>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</si>
  <si>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</si>
  <si>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</si>
  <si>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</si>
  <si>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</si>
  <si>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</si>
  <si>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</si>
  <si>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</si>
  <si>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</si>
  <si>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</si>
  <si>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</si>
  <si>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</si>
  <si>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</si>
  <si>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</si>
  <si>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</si>
  <si>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</si>
  <si>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</si>
  <si>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</si>
  <si>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</si>
  <si>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</si>
  <si>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</si>
  <si>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</si>
  <si>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</si>
  <si>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</si>
  <si>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</si>
  <si>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</si>
  <si>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</si>
  <si>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</si>
  <si>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</si>
  <si>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</si>
  <si>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</si>
  <si>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</si>
  <si>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</si>
  <si>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</si>
  <si>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</si>
  <si>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</si>
  <si>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</si>
  <si>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</si>
  <si>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</si>
  <si>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</si>
  <si>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</si>
  <si>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</si>
  <si>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</si>
  <si>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</si>
  <si>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</si>
  <si>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</si>
  <si>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</si>
  <si>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</si>
  <si>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</si>
  <si>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</si>
  <si>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</si>
  <si>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</si>
  <si>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</si>
  <si>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</si>
  <si>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</si>
  <si>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</si>
  <si>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</si>
  <si>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</si>
  <si>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</si>
  <si>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</si>
  <si>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</si>
  <si>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</si>
  <si>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</si>
  <si>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</si>
  <si>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</si>
  <si>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</si>
  <si>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</si>
  <si>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</si>
  <si>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</si>
  <si>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</si>
  <si>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</si>
  <si>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</si>
  <si>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</si>
  <si>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</si>
  <si>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</si>
  <si>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</si>
  <si>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</si>
  <si>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</si>
  <si>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</si>
  <si>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</si>
  <si>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</si>
  <si>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</si>
  <si>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</si>
  <si>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</si>
  <si>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</si>
  <si>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</si>
  <si>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</si>
  <si>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</si>
  <si>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</si>
  <si>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</si>
  <si>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</si>
  <si>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</si>
  <si>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</si>
  <si>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</si>
  <si>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</si>
  <si>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</si>
  <si>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</si>
  <si>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</si>
  <si>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</si>
  <si>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</si>
  <si>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</si>
  <si>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</si>
  <si>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</si>
  <si>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</si>
  <si>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</si>
  <si>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</si>
  <si>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</si>
  <si>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</si>
  <si>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</si>
  <si>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</si>
  <si>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</si>
  <si>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</si>
  <si>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</si>
  <si>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</si>
  <si>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</si>
  <si>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</si>
  <si>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</si>
  <si>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</si>
  <si>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</si>
  <si>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</si>
  <si>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</si>
  <si>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</si>
  <si>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</si>
  <si>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</si>
  <si>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</si>
  <si>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</si>
  <si>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</si>
  <si>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</si>
  <si>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</si>
  <si>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</si>
  <si>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</si>
  <si>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</si>
  <si>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</si>
  <si>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</si>
  <si>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</si>
  <si>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</si>
  <si>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</si>
  <si>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</si>
  <si>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</si>
  <si>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</si>
  <si>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</si>
  <si>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</si>
  <si>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</si>
  <si>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</si>
  <si>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</si>
  <si>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</si>
  <si>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</si>
  <si>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</si>
  <si>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</si>
  <si>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</si>
  <si>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</si>
  <si>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</si>
  <si>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</si>
  <si>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</si>
  <si>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</si>
  <si>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</si>
  <si>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</si>
  <si>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</si>
  <si>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</si>
  <si>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</si>
  <si>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</si>
  <si>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</si>
  <si>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</si>
  <si>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</si>
  <si>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</si>
  <si>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</si>
  <si>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</si>
  <si>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</si>
  <si>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</si>
  <si>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</si>
  <si>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</si>
  <si>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</si>
  <si>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</si>
  <si>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</si>
  <si>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</si>
  <si>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</si>
  <si>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</si>
  <si>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</si>
  <si>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</si>
  <si>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</si>
  <si>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</si>
  <si>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</si>
  <si>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</si>
  <si>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</si>
  <si>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</si>
  <si>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</si>
  <si>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</si>
  <si>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</si>
  <si>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</si>
  <si>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</si>
  <si>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</si>
  <si>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</si>
  <si>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</si>
  <si>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</si>
  <si>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</si>
  <si>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</si>
  <si>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</si>
  <si>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</si>
  <si>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</si>
  <si>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</si>
  <si>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</si>
  <si>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</si>
  <si>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</si>
  <si>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</si>
  <si>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</si>
  <si>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</si>
  <si>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</si>
  <si>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</si>
  <si>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</si>
  <si>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</si>
  <si>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</si>
  <si>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</si>
  <si>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</si>
  <si>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</si>
  <si>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</si>
  <si>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</si>
  <si>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</si>
  <si>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</si>
  <si>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</si>
  <si>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</si>
  <si>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</si>
  <si>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</si>
  <si>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</si>
  <si>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</si>
  <si>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</si>
  <si>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</si>
  <si>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</si>
  <si>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</si>
  <si>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</si>
  <si>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</si>
  <si>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</si>
  <si>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</si>
  <si>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</si>
  <si>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</si>
  <si>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</si>
  <si>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</si>
  <si>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</si>
  <si>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</si>
  <si>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</si>
  <si>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</si>
  <si>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</si>
  <si>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</si>
  <si>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</si>
  <si>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</si>
  <si>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</si>
  <si>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</si>
  <si>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</si>
  <si>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</si>
  <si>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</si>
  <si>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</si>
  <si>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</si>
  <si>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</si>
  <si>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</si>
  <si>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</si>
  <si>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</si>
  <si>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</si>
  <si>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</si>
  <si>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</si>
  <si>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</si>
  <si>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</si>
  <si>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</si>
  <si>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</si>
  <si>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</si>
  <si>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</si>
  <si>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</si>
  <si>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</si>
  <si>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</si>
  <si>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</si>
  <si>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</si>
  <si>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</si>
  <si>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</si>
  <si>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</si>
  <si>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</si>
  <si>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</si>
  <si>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</si>
  <si>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</si>
  <si>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</si>
  <si>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</si>
  <si>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</si>
  <si>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</si>
  <si>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</si>
  <si>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</si>
  <si>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</si>
  <si>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</si>
  <si>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</si>
  <si>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</si>
  <si>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</si>
  <si>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</si>
  <si>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</si>
  <si>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</si>
  <si>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</si>
  <si>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</si>
  <si>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</si>
  <si>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</si>
  <si>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</si>
  <si>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</si>
  <si>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</si>
  <si>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</si>
  <si>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</si>
  <si>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</si>
  <si>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</si>
  <si>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</si>
  <si>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</si>
  <si>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</si>
  <si>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</si>
  <si>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</si>
  <si>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</si>
  <si>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</si>
  <si>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</si>
  <si>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</si>
  <si>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</si>
  <si>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</si>
  <si>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</si>
  <si>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</si>
  <si>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</si>
  <si>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</si>
  <si>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</si>
  <si>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</si>
  <si>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</si>
  <si>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</si>
  <si>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</si>
  <si>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</si>
  <si>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</si>
  <si>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</si>
  <si>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</si>
  <si>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</si>
  <si>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</si>
  <si>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</si>
  <si>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</si>
  <si>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</si>
  <si>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</si>
  <si>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</si>
  <si>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</si>
  <si>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</si>
  <si>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</si>
  <si>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</si>
  <si>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</si>
  <si>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</si>
  <si>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</si>
  <si>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</si>
  <si>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</si>
  <si>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</si>
  <si>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</si>
  <si>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</si>
  <si>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</si>
  <si>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</si>
  <si>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</si>
  <si>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</si>
  <si>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</si>
  <si>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</si>
  <si>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</si>
  <si>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</si>
  <si>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</si>
  <si>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</si>
  <si>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</si>
  <si>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</si>
  <si>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</si>
  <si>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</si>
  <si>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</si>
  <si>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</si>
  <si>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</si>
  <si>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</si>
  <si>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</si>
  <si>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</si>
  <si>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</si>
  <si>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</si>
  <si>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</si>
  <si>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</si>
  <si>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</si>
  <si>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</si>
  <si>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</si>
  <si>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</si>
  <si>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</si>
  <si>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</si>
  <si>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</si>
  <si>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</si>
  <si>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</si>
  <si>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</si>
  <si>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</si>
  <si>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</si>
  <si>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</si>
  <si>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</si>
  <si>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</si>
  <si>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</si>
  <si>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</si>
  <si>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</si>
  <si>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</si>
  <si>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</si>
  <si>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</si>
  <si>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</si>
  <si>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</si>
  <si>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</si>
  <si>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</si>
  <si>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</si>
  <si>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</si>
  <si>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</si>
  <si>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</si>
  <si>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</si>
  <si>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</si>
  <si>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</si>
  <si>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</si>
  <si>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</si>
  <si>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</si>
  <si>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</si>
  <si>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</si>
  <si>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</si>
  <si>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</si>
  <si>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</si>
  <si>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</si>
  <si>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</si>
  <si>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</si>
  <si>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</si>
  <si>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</si>
  <si>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</si>
  <si>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</si>
  <si>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</si>
  <si>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</si>
  <si>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</si>
  <si>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</si>
  <si>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</si>
  <si>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</si>
  <si>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</si>
  <si>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</si>
  <si>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</si>
  <si>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</si>
  <si>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</si>
  <si>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</si>
  <si>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</si>
  <si>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</si>
  <si>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</si>
  <si>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</si>
  <si>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</si>
  <si>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</si>
  <si>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</si>
  <si>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</si>
  <si>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</si>
  <si>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</si>
  <si>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</si>
  <si>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</si>
  <si>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</si>
  <si>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</si>
  <si>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</si>
  <si>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</si>
  <si>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</si>
  <si>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</si>
  <si>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</si>
  <si>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</si>
  <si>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</si>
  <si>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</si>
  <si>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</si>
  <si>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</si>
  <si>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</si>
  <si>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</si>
  <si>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</si>
  <si>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</si>
  <si>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</si>
  <si>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</si>
  <si>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</si>
  <si>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</si>
  <si>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</si>
  <si>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</si>
  <si>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</si>
  <si>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</si>
  <si>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</si>
  <si>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</si>
  <si>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</si>
  <si>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</si>
  <si>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</si>
  <si>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</si>
  <si>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</si>
  <si>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</si>
  <si>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</si>
  <si>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</si>
  <si>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</si>
  <si>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</si>
  <si>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</si>
  <si>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</si>
  <si>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</si>
  <si>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</si>
  <si>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</si>
  <si>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</si>
  <si>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</si>
  <si>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</si>
  <si>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</si>
  <si>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</si>
  <si>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</si>
  <si>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</si>
  <si>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</si>
  <si>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</si>
  <si>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</si>
  <si>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</si>
  <si>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</si>
  <si>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</si>
  <si>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</si>
  <si>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</si>
  <si>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</si>
  <si>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</si>
  <si>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</si>
  <si>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</si>
  <si>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</si>
  <si>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</si>
  <si>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</si>
  <si>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</si>
  <si>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</si>
  <si>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</si>
  <si>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</si>
  <si>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</si>
  <si>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</si>
  <si>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</si>
  <si>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</si>
  <si>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</si>
  <si>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</si>
  <si>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</si>
  <si>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</si>
  <si>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</si>
  <si>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</si>
  <si>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</si>
  <si>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</si>
  <si>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</si>
  <si>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</si>
  <si>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</si>
  <si>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</si>
  <si>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</si>
  <si>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</si>
  <si>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</si>
  <si>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</si>
  <si>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</si>
  <si>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</si>
  <si>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</si>
  <si>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</si>
  <si>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</si>
  <si>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</si>
  <si>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</si>
  <si>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</si>
  <si>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</si>
  <si>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</si>
  <si>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</si>
  <si>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</si>
  <si>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</si>
  <si>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</si>
  <si>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</si>
  <si>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</si>
  <si>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</si>
  <si>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</si>
  <si>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</si>
  <si>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</si>
  <si>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</si>
  <si>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</si>
  <si>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</si>
  <si>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</si>
  <si>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</si>
  <si>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</si>
  <si>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</si>
  <si>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</si>
  <si>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</si>
  <si>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</si>
  <si>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</si>
  <si>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</si>
  <si>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</si>
  <si>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</si>
  <si>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</si>
  <si>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</si>
  <si>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</si>
  <si>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</si>
  <si>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</si>
  <si>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</si>
  <si>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</si>
  <si>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</si>
  <si>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</si>
  <si>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</si>
  <si>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</si>
  <si>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</si>
  <si>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</si>
  <si>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</si>
  <si>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</si>
  <si>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</si>
  <si>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</si>
  <si>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</si>
  <si>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</si>
  <si>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</si>
  <si>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</si>
  <si>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</si>
  <si>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</si>
  <si>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</si>
  <si>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</si>
  <si>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</si>
  <si>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</si>
  <si>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</si>
  <si>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</si>
  <si>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</si>
  <si>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</si>
  <si>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</si>
  <si>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</si>
  <si>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</si>
  <si>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</si>
  <si>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</si>
  <si>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</si>
  <si>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</si>
  <si>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</si>
  <si>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</si>
  <si>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</si>
  <si>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</si>
  <si>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</si>
  <si>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</si>
  <si>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</si>
  <si>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</si>
  <si>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</si>
  <si>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</si>
  <si>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</si>
  <si>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</si>
  <si>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</si>
  <si>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</si>
  <si>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</si>
  <si>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</si>
  <si>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</si>
  <si>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</si>
  <si>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</si>
  <si>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</si>
  <si>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</si>
  <si>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</si>
  <si>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</si>
  <si>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</si>
  <si>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</si>
  <si>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</si>
  <si>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</si>
  <si>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</si>
  <si>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</si>
  <si>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</si>
  <si>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</si>
  <si>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</si>
  <si>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</si>
  <si>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</si>
  <si>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</si>
  <si>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</si>
  <si>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</si>
  <si>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</si>
  <si>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</si>
  <si>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</si>
  <si>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</si>
  <si>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</si>
  <si>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</si>
  <si>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</si>
  <si>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</si>
  <si>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</si>
  <si>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</si>
  <si>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</si>
  <si>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</si>
  <si>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</si>
  <si>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</si>
  <si>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</si>
  <si>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</si>
  <si>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</si>
  <si>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</si>
  <si>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</si>
  <si>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</si>
  <si>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</si>
  <si>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</si>
  <si>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</si>
  <si>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</si>
  <si>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</si>
  <si>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</si>
  <si>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</si>
  <si>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</si>
  <si>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</si>
  <si>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</si>
  <si>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</si>
  <si>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</si>
  <si>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</si>
  <si>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</si>
  <si>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</si>
  <si>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</si>
  <si>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</si>
  <si>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</si>
  <si>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</si>
  <si>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</si>
  <si>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</si>
  <si>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</si>
  <si>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</si>
  <si>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</si>
  <si>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</si>
  <si>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</si>
  <si>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</si>
  <si>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</si>
  <si>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</si>
  <si>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</si>
  <si>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</si>
  <si>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</si>
  <si>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</si>
  <si>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</si>
  <si>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</si>
  <si>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</si>
  <si>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</si>
  <si>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</si>
  <si>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</si>
  <si>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</si>
  <si>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</si>
  <si>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</si>
  <si>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</si>
  <si>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</si>
  <si>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</si>
  <si>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</si>
  <si>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</si>
  <si>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</si>
  <si>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</si>
  <si>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</si>
  <si>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</si>
  <si>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</si>
  <si>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</si>
  <si>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</si>
  <si>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</si>
  <si>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</si>
  <si>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</si>
  <si>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</si>
  <si>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</si>
  <si>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</si>
  <si>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</si>
  <si>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</si>
  <si>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</si>
  <si>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</si>
  <si>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</si>
  <si>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</si>
  <si>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</si>
  <si>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</si>
  <si>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</si>
  <si>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</si>
  <si>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</si>
  <si>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</si>
  <si>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</si>
  <si>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</si>
  <si>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</si>
  <si>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</si>
  <si>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</si>
  <si>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</si>
  <si>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</si>
  <si>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</si>
  <si>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</si>
  <si>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</si>
  <si>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</si>
  <si>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</si>
  <si>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</si>
  <si>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</si>
  <si>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Fault Code (As per HMI)</t>
  </si>
  <si>
    <t>Breakdown Description</t>
  </si>
  <si>
    <t>Fault Time</t>
  </si>
  <si>
    <t>Work Start time on Fault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</si>
  <si>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</si>
  <si>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</si>
  <si>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</si>
  <si>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</si>
  <si>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</si>
  <si>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</si>
  <si>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</si>
  <si>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</si>
  <si>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</si>
  <si>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</si>
  <si>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</si>
  <si>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</si>
  <si>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</si>
  <si>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</si>
  <si>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</si>
  <si>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</si>
  <si>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</si>
  <si>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</si>
  <si>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</si>
  <si>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</si>
  <si>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</si>
  <si>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</si>
  <si>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</si>
  <si>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</si>
  <si>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</si>
  <si>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</si>
  <si>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</si>
  <si>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</si>
  <si>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</si>
  <si>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</si>
  <si>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</si>
  <si>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</si>
  <si>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</si>
  <si>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</si>
  <si>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</si>
  <si>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</si>
  <si>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</si>
  <si>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</si>
  <si>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</si>
  <si>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</si>
  <si>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</si>
  <si>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</si>
  <si>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</si>
  <si>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</si>
  <si>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</si>
  <si>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</si>
  <si>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</si>
  <si>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</si>
  <si>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</si>
  <si>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</si>
  <si>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</si>
  <si>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</si>
  <si>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</si>
  <si>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</si>
  <si>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</si>
  <si>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</si>
  <si>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</si>
  <si>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</si>
  <si>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</si>
  <si>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</si>
  <si>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</si>
  <si>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</si>
  <si>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</si>
  <si>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</si>
  <si>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</si>
  <si>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</si>
  <si>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</si>
  <si>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</si>
  <si>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</si>
  <si>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</si>
  <si>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</si>
  <si>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</si>
  <si>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</si>
  <si>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</si>
  <si>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</si>
  <si>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</si>
  <si>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</si>
  <si>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</si>
  <si>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</si>
  <si>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</si>
  <si>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</si>
  <si>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</si>
  <si>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</si>
  <si>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</si>
  <si>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</si>
  <si>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</si>
  <si>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</si>
  <si>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</si>
  <si>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</si>
  <si>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</si>
  <si>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</si>
  <si>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</si>
  <si>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</si>
  <si>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</si>
  <si>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</si>
  <si>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</si>
  <si>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</si>
  <si>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</si>
  <si>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</si>
  <si>
    <t>String Cable Ground Short</t>
  </si>
  <si>
    <t>DC Cap</t>
  </si>
  <si>
    <t>Bugt AC Capacity (MW)</t>
  </si>
  <si>
    <t>Operational AC Capacity (MW)</t>
  </si>
  <si>
    <t>Curtailment Gen Loss (MWh)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</si>
  <si>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</si>
  <si>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</si>
  <si>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</si>
  <si>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</si>
  <si>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</si>
  <si>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</si>
  <si>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</si>
  <si>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Sr. No</t>
  </si>
  <si>
    <t>Category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</si>
  <si>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</si>
  <si>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</si>
  <si>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</si>
  <si>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</si>
  <si>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</si>
  <si>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</si>
  <si>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</si>
  <si>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</si>
  <si>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</si>
  <si>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</si>
  <si>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</si>
  <si>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</si>
  <si>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</si>
  <si>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</si>
  <si>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</si>
  <si>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</si>
  <si>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Contractual Year</t>
  </si>
  <si>
    <t>Affected Equipment</t>
  </si>
  <si>
    <t>DC Capacity Affected (kW)</t>
  </si>
  <si>
    <t>Affected Equipment Location</t>
  </si>
  <si>
    <t>Fault Category</t>
  </si>
  <si>
    <t xml:space="preserve">Acknowledgement Time </t>
  </si>
  <si>
    <t>Work Completion time on fault</t>
  </si>
  <si>
    <t>Acknowledgement time</t>
  </si>
  <si>
    <t>Approximate Energy Loss (KWh)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</si>
  <si>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</si>
  <si>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</si>
  <si>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</si>
  <si>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</si>
  <si>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</si>
  <si>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</si>
  <si>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</si>
  <si>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</si>
  <si>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Scope</t>
  </si>
  <si>
    <t xml:space="preserve">Affected Equipment </t>
  </si>
  <si>
    <t>NA</t>
  </si>
  <si>
    <t>Due to 33kv Substation Maintanance Work</t>
  </si>
  <si>
    <t xml:space="preserve">Due to 220KV Substation Maintanance 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</si>
</sst>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d/mmm/yy;@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</fills>
  <borders count="6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4039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19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8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0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1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3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8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8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1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0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19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3" fillId="0" borderId="0"/>
  </cellStyleXfs>
  <cellXfs count="272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166" fontId="24" fillId="23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166" fontId="24" fillId="23" borderId="13" xfId="0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29" fillId="3" borderId="17" xfId="0" applyFont="1" applyFill="1" applyBorder="1"/>
    <xf numFmtId="166" fontId="30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1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39" borderId="21" xfId="0" applyFill="1" applyBorder="1" applyAlignment="1">
      <alignment horizontal="center"/>
    </xf>
    <xf numFmtId="0" fontId="0" fillId="39" borderId="23" xfId="0" applyFill="1" applyBorder="1" applyAlignment="1">
      <alignment horizontal="center"/>
    </xf>
    <xf numFmtId="166" fontId="31" fillId="39" borderId="22" xfId="0" applyNumberFormat="1" applyFont="1" applyFill="1" applyBorder="1" applyAlignment="1">
      <alignment horizontal="center"/>
    </xf>
    <xf numFmtId="166" fontId="31" fillId="39" borderId="24" xfId="0" applyNumberFormat="1" applyFont="1" applyFill="1" applyBorder="1" applyAlignment="1">
      <alignment horizontal="center"/>
    </xf>
    <xf numFmtId="0" fontId="32" fillId="23" borderId="12" xfId="0" applyFont="1" applyFill="1" applyBorder="1" applyAlignment="1">
      <alignment horizontal="center" vertical="center" wrapText="1"/>
    </xf>
    <xf numFmtId="0" fontId="16" fillId="0" borderId="0" xfId="0" applyFont="1"/>
    <xf numFmtId="166" fontId="31" fillId="39" borderId="20" xfId="0" applyNumberFormat="1" applyFont="1" applyFill="1" applyBorder="1" applyAlignment="1">
      <alignment horizontal="center"/>
    </xf>
    <xf numFmtId="166" fontId="32" fillId="23" borderId="12" xfId="0" applyNumberFormat="1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 wrapText="1"/>
    </xf>
    <xf numFmtId="0" fontId="24" fillId="23" borderId="19" xfId="0" applyFont="1" applyFill="1" applyBorder="1" applyAlignment="1">
      <alignment horizontal="center" vertical="center" wrapText="1"/>
    </xf>
    <xf numFmtId="0" fontId="24" fillId="23" borderId="1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center"/>
    </xf>
    <xf numFmtId="0" fontId="27" fillId="37" borderId="26" xfId="0" applyFont="1" applyFill="1" applyBorder="1" applyAlignment="1">
      <alignment horizontal="center" vertical="center" wrapText="1"/>
    </xf>
    <xf numFmtId="0" fontId="27" fillId="37" borderId="27" xfId="0" applyFont="1" applyFill="1" applyBorder="1" applyAlignment="1">
      <alignment horizontal="center" vertical="center" wrapText="1"/>
    </xf>
    <xf numFmtId="0" fontId="27" fillId="37" borderId="28" xfId="0" applyFont="1" applyFill="1" applyBorder="1" applyAlignment="1">
      <alignment horizontal="center" vertical="center" wrapText="1"/>
    </xf>
    <xf numFmtId="0" fontId="29" fillId="3" borderId="30" xfId="0" applyFont="1" applyFill="1" applyBorder="1"/>
    <xf numFmtId="0" fontId="29" fillId="3" borderId="33" xfId="0" applyFont="1" applyFill="1" applyBorder="1"/>
    <xf numFmtId="0" fontId="29" fillId="3" borderId="36" xfId="0" applyFont="1" applyFill="1" applyBorder="1"/>
    <xf numFmtId="0" fontId="27" fillId="37" borderId="29" xfId="0" applyFont="1" applyFill="1" applyBorder="1"/>
    <xf numFmtId="0" fontId="27" fillId="37" borderId="35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1" applyFont="1"/>
    <xf numFmtId="3" fontId="0" fillId="0" borderId="9" xfId="0" applyNumberFormat="1" applyBorder="1"/>
    <xf numFmtId="2" fontId="0" fillId="0" borderId="9" xfId="0" applyNumberFormat="1" applyBorder="1"/>
    <xf numFmtId="20" fontId="0" fillId="39" borderId="23" xfId="0" applyNumberFormat="1" applyFill="1" applyBorder="1" applyAlignment="1">
      <alignment horizontal="center"/>
    </xf>
    <xf numFmtId="10" fontId="0" fillId="0" borderId="0" xfId="2" applyNumberFormat="1" applyFon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34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0" fontId="35" fillId="0" borderId="0" xfId="2" applyNumberFormat="1" applyFont="1" applyFill="1" applyAlignment="1">
      <alignment horizontal="center" vertical="center"/>
    </xf>
    <xf numFmtId="0" fontId="12" fillId="0" borderId="39" xfId="0" applyFont="1" applyBorder="1" applyAlignment="1">
      <alignment horizontal="center" vertical="center" wrapText="1"/>
    </xf>
    <xf numFmtId="9" fontId="12" fillId="0" borderId="39" xfId="2" applyFont="1" applyFill="1" applyBorder="1" applyAlignment="1">
      <alignment horizontal="center" vertical="center" wrapText="1"/>
    </xf>
    <xf numFmtId="0" fontId="24" fillId="0" borderId="39" xfId="0" applyFont="1" applyBorder="1" applyAlignment="1">
      <alignment horizontal="center" vertical="center" wrapText="1"/>
    </xf>
    <xf numFmtId="166" fontId="24" fillId="0" borderId="39" xfId="0" applyNumberFormat="1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41" xfId="1" applyNumberFormat="1" applyFont="1" applyFill="1" applyBorder="1" applyAlignment="1">
      <alignment horizontal="center" vertical="center"/>
    </xf>
    <xf numFmtId="1" fontId="0" fillId="0" borderId="42" xfId="1" applyNumberFormat="1" applyFont="1" applyFill="1" applyBorder="1" applyAlignment="1">
      <alignment horizontal="center" vertical="center"/>
    </xf>
    <xf numFmtId="17" fontId="0" fillId="0" borderId="41" xfId="1" applyNumberFormat="1" applyFont="1" applyFill="1" applyBorder="1" applyAlignment="1">
      <alignment horizontal="center" vertical="center"/>
    </xf>
    <xf numFmtId="0" fontId="0" fillId="0" borderId="41" xfId="1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0" fillId="0" borderId="42" xfId="0" applyNumberFormat="1" applyBorder="1" applyAlignment="1">
      <alignment horizontal="center" vertical="center"/>
    </xf>
    <xf numFmtId="164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2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0" fontId="0" fillId="0" borderId="4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1" fontId="0" fillId="0" borderId="42" xfId="0" applyNumberFormat="1" applyBorder="1" applyAlignment="1">
      <alignment horizontal="center" vertical="center"/>
    </xf>
    <xf numFmtId="10" fontId="0" fillId="0" borderId="42" xfId="2" applyNumberFormat="1" applyFont="1" applyFill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29" fillId="3" borderId="49" xfId="25095" applyNumberFormat="1" applyFont="1" applyFill="1" applyBorder="1" applyAlignment="1">
      <alignment horizontal="center"/>
    </xf>
    <xf numFmtId="10" fontId="29" fillId="3" borderId="50" xfId="25095" applyNumberFormat="1" applyFont="1" applyFill="1" applyBorder="1" applyAlignment="1">
      <alignment horizontal="center"/>
    </xf>
    <xf numFmtId="10" fontId="29" fillId="3" borderId="51" xfId="25095" applyNumberFormat="1" applyFont="1" applyFill="1" applyBorder="1" applyAlignment="1">
      <alignment horizontal="center"/>
    </xf>
    <xf numFmtId="17" fontId="1" fillId="36" borderId="38" xfId="0" applyNumberFormat="1" applyFont="1" applyFill="1" applyBorder="1" applyAlignment="1">
      <alignment horizontal="center"/>
    </xf>
    <xf numFmtId="0" fontId="1" fillId="36" borderId="38" xfId="0" applyFont="1" applyFill="1" applyBorder="1" applyAlignment="1">
      <alignment horizontal="center"/>
    </xf>
    <xf numFmtId="15" fontId="1" fillId="36" borderId="38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0" fillId="39" borderId="14" xfId="0" applyFill="1" applyBorder="1" applyAlignment="1">
      <alignment horizont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0" xfId="2" applyNumberFormat="1" applyFont="1" applyFill="1" applyBorder="1" applyAlignment="1">
      <alignment horizontal="center" vertical="center"/>
    </xf>
    <xf numFmtId="10" fontId="12" fillId="0" borderId="41" xfId="2" applyNumberFormat="1" applyFont="1" applyFill="1" applyBorder="1" applyAlignment="1">
      <alignment horizontal="center" vertical="center"/>
    </xf>
    <xf numFmtId="0" fontId="12" fillId="0" borderId="52" xfId="0" applyFont="1" applyBorder="1" applyAlignment="1">
      <alignment horizontal="center" vertical="center" wrapText="1"/>
    </xf>
    <xf numFmtId="17" fontId="36" fillId="36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29" fillId="3" borderId="46" xfId="0" applyFont="1" applyFill="1" applyBorder="1" applyProtection="1">
      <protection locked="0"/>
    </xf>
    <xf numFmtId="0" fontId="29" fillId="3" borderId="47" xfId="0" applyFont="1" applyFill="1" applyBorder="1" applyProtection="1">
      <protection locked="0"/>
    </xf>
    <xf numFmtId="0" fontId="29" fillId="3" borderId="48" xfId="0" applyFont="1" applyFill="1" applyBorder="1" applyProtection="1">
      <protection locked="0"/>
    </xf>
    <xf numFmtId="1" fontId="29" fillId="3" borderId="46" xfId="0" applyNumberFormat="1" applyFont="1" applyFill="1" applyBorder="1" applyProtection="1">
      <protection locked="0"/>
    </xf>
    <xf numFmtId="0" fontId="29" fillId="3" borderId="34" xfId="0" applyFont="1" applyFill="1" applyBorder="1" applyProtection="1">
      <protection locked="0"/>
    </xf>
    <xf numFmtId="0" fontId="29" fillId="3" borderId="31" xfId="0" applyFont="1" applyFill="1" applyBorder="1" applyAlignment="1" applyProtection="1">
      <alignment wrapText="1"/>
      <protection locked="0"/>
    </xf>
    <xf numFmtId="0" fontId="29" fillId="3" borderId="37" xfId="0" applyFont="1" applyFill="1" applyBorder="1" applyProtection="1">
      <protection locked="0"/>
    </xf>
    <xf numFmtId="0" fontId="29" fillId="3" borderId="34" xfId="0" applyFont="1" applyFill="1" applyBorder="1" applyAlignment="1" applyProtection="1">
      <alignment wrapText="1"/>
      <protection locked="0"/>
    </xf>
    <xf numFmtId="0" fontId="29" fillId="3" borderId="37" xfId="0" applyFont="1" applyFill="1" applyBorder="1" applyAlignment="1" applyProtection="1">
      <alignment wrapText="1"/>
      <protection locked="0"/>
    </xf>
    <xf numFmtId="0" fontId="29" fillId="3" borderId="31" xfId="0" applyFont="1" applyFill="1" applyBorder="1" applyProtection="1">
      <protection locked="0"/>
    </xf>
    <xf numFmtId="1" fontId="28" fillId="3" borderId="33" xfId="27312" applyNumberFormat="1" applyFont="1" applyFill="1" applyBorder="1" applyAlignment="1">
      <alignment horizontal="center" vertical="center"/>
    </xf>
    <xf numFmtId="3" fontId="29" fillId="3" borderId="43" xfId="0" applyNumberFormat="1" applyFont="1" applyFill="1" applyBorder="1" applyAlignment="1">
      <alignment horizontal="center"/>
    </xf>
    <xf numFmtId="1" fontId="28" fillId="3" borderId="30" xfId="27312" applyNumberFormat="1" applyFont="1" applyFill="1" applyBorder="1" applyAlignment="1">
      <alignment horizontal="center" vertical="center"/>
    </xf>
    <xf numFmtId="1" fontId="29" fillId="3" borderId="44" xfId="0" applyNumberFormat="1" applyFont="1" applyFill="1" applyBorder="1" applyAlignment="1">
      <alignment horizontal="center"/>
    </xf>
    <xf numFmtId="1" fontId="29" fillId="3" borderId="45" xfId="0" applyNumberFormat="1" applyFont="1" applyFill="1" applyBorder="1" applyAlignment="1">
      <alignment horizontal="center"/>
    </xf>
    <xf numFmtId="165" fontId="28" fillId="3" borderId="33" xfId="2" applyNumberFormat="1" applyFont="1" applyFill="1" applyBorder="1" applyAlignment="1">
      <alignment horizontal="center" vertical="center"/>
    </xf>
    <xf numFmtId="165" fontId="29" fillId="3" borderId="43" xfId="2" applyNumberFormat="1" applyFont="1" applyFill="1" applyBorder="1" applyAlignment="1">
      <alignment horizontal="center"/>
    </xf>
    <xf numFmtId="165" fontId="28" fillId="3" borderId="30" xfId="2" applyNumberFormat="1" applyFont="1" applyFill="1" applyBorder="1" applyAlignment="1">
      <alignment horizontal="center" vertical="center"/>
    </xf>
    <xf numFmtId="165" fontId="29" fillId="3" borderId="44" xfId="2" applyNumberFormat="1" applyFont="1" applyFill="1" applyBorder="1" applyAlignment="1">
      <alignment horizontal="center"/>
    </xf>
    <xf numFmtId="165" fontId="28" fillId="3" borderId="36" xfId="2" applyNumberFormat="1" applyFont="1" applyFill="1" applyBorder="1" applyAlignment="1">
      <alignment horizontal="center" vertical="center"/>
    </xf>
    <xf numFmtId="165" fontId="29" fillId="3" borderId="45" xfId="2" applyNumberFormat="1" applyFont="1" applyFill="1" applyBorder="1" applyAlignment="1">
      <alignment horizontal="center"/>
    </xf>
    <xf numFmtId="165" fontId="29" fillId="3" borderId="33" xfId="2" applyNumberFormat="1" applyFont="1" applyFill="1" applyBorder="1" applyAlignment="1">
      <alignment horizontal="center"/>
    </xf>
    <xf numFmtId="165" fontId="29" fillId="3" borderId="30" xfId="2" applyNumberFormat="1" applyFont="1" applyFill="1" applyBorder="1" applyAlignment="1">
      <alignment horizontal="center"/>
    </xf>
    <xf numFmtId="165" fontId="29" fillId="3" borderId="36" xfId="2" applyNumberFormat="1" applyFont="1" applyFill="1" applyBorder="1" applyAlignment="1">
      <alignment horizontal="center"/>
    </xf>
    <xf numFmtId="2" fontId="28" fillId="3" borderId="33" xfId="1" applyNumberFormat="1" applyFont="1" applyFill="1" applyBorder="1" applyAlignment="1">
      <alignment horizontal="center" vertical="center"/>
    </xf>
    <xf numFmtId="2" fontId="29" fillId="3" borderId="33" xfId="1" applyNumberFormat="1" applyFont="1" applyFill="1" applyBorder="1" applyAlignment="1">
      <alignment horizontal="center"/>
    </xf>
    <xf numFmtId="2" fontId="28" fillId="3" borderId="30" xfId="1" applyNumberFormat="1" applyFont="1" applyFill="1" applyBorder="1" applyAlignment="1">
      <alignment horizontal="center" vertical="center"/>
    </xf>
    <xf numFmtId="2" fontId="29" fillId="3" borderId="30" xfId="1" applyNumberFormat="1" applyFont="1" applyFill="1" applyBorder="1" applyAlignment="1">
      <alignment horizontal="center"/>
    </xf>
    <xf numFmtId="2" fontId="28" fillId="3" borderId="36" xfId="1" applyNumberFormat="1" applyFont="1" applyFill="1" applyBorder="1" applyAlignment="1">
      <alignment horizontal="center" vertical="center"/>
    </xf>
    <xf numFmtId="2" fontId="29" fillId="3" borderId="36" xfId="1" applyNumberFormat="1" applyFont="1" applyFill="1" applyBorder="1" applyAlignment="1">
      <alignment horizontal="center"/>
    </xf>
    <xf numFmtId="165" fontId="28" fillId="3" borderId="33" xfId="25095" applyNumberFormat="1" applyFont="1" applyFill="1" applyBorder="1" applyAlignment="1">
      <alignment horizontal="center" vertical="center"/>
    </xf>
    <xf numFmtId="165" fontId="28" fillId="3" borderId="30" xfId="25095" applyNumberFormat="1" applyFont="1" applyFill="1" applyBorder="1" applyAlignment="1">
      <alignment horizontal="center" vertical="center"/>
    </xf>
    <xf numFmtId="0" fontId="37" fillId="40" borderId="12" xfId="0" applyFont="1" applyFill="1" applyBorder="1" applyAlignment="1">
      <alignment horizontal="center" vertical="center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15" fontId="37" fillId="40" borderId="12" xfId="0" applyNumberFormat="1" applyFont="1" applyFill="1" applyBorder="1" applyAlignment="1">
      <alignment horizontal="center" vertical="center"/>
    </xf>
    <xf numFmtId="0" fontId="37" fillId="36" borderId="38" xfId="0" applyFont="1" applyFill="1" applyBorder="1" applyAlignment="1">
      <alignment horizontal="center"/>
    </xf>
    <xf numFmtId="17" fontId="37" fillId="36" borderId="38" xfId="0" applyNumberFormat="1" applyFont="1" applyFill="1" applyBorder="1" applyAlignment="1">
      <alignment horizontal="center"/>
    </xf>
    <xf numFmtId="15" fontId="37" fillId="36" borderId="38" xfId="0" applyNumberFormat="1" applyFont="1" applyFill="1" applyBorder="1"/>
    <xf numFmtId="164" fontId="37" fillId="36" borderId="38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165" fontId="38" fillId="0" borderId="12" xfId="2" applyNumberFormat="1" applyFont="1" applyBorder="1" applyAlignment="1">
      <alignment horizontal="center" vertical="center"/>
    </xf>
    <xf numFmtId="2" fontId="38" fillId="40" borderId="12" xfId="0" applyNumberFormat="1" applyFont="1" applyFill="1" applyBorder="1" applyAlignment="1">
      <alignment horizontal="center" vertical="center"/>
    </xf>
    <xf numFmtId="0" fontId="38" fillId="36" borderId="38" xfId="0" applyFont="1" applyFill="1" applyBorder="1" applyAlignment="1">
      <alignment horizontal="center"/>
    </xf>
    <xf numFmtId="17" fontId="38" fillId="36" borderId="38" xfId="0" applyNumberFormat="1" applyFont="1" applyFill="1" applyBorder="1" applyAlignment="1">
      <alignment horizontal="center"/>
    </xf>
    <xf numFmtId="15" fontId="38" fillId="36" borderId="38" xfId="0" applyNumberFormat="1" applyFont="1" applyFill="1" applyBorder="1"/>
    <xf numFmtId="164" fontId="38" fillId="36" borderId="38" xfId="0" applyNumberFormat="1" applyFont="1" applyFill="1" applyBorder="1" applyAlignment="1">
      <alignment horizontal="center"/>
    </xf>
    <xf numFmtId="0" fontId="0" fillId="36" borderId="38" xfId="0" applyFill="1" applyBorder="1" applyAlignment="1">
      <alignment horizontal="center"/>
    </xf>
    <xf numFmtId="17" fontId="0" fillId="36" borderId="38" xfId="0" applyNumberFormat="1" applyFill="1" applyBorder="1" applyAlignment="1">
      <alignment horizontal="center"/>
    </xf>
    <xf numFmtId="15" fontId="0" fillId="36" borderId="38" xfId="0" applyNumberFormat="1" applyFill="1" applyBorder="1"/>
    <xf numFmtId="164" fontId="0" fillId="36" borderId="38" xfId="0" applyNumberFormat="1" applyFill="1" applyBorder="1" applyAlignment="1">
      <alignment horizontal="center"/>
    </xf>
    <xf numFmtId="0" fontId="39" fillId="36" borderId="38" xfId="0" applyFont="1" applyFill="1" applyBorder="1" applyAlignment="1">
      <alignment horizontal="center"/>
    </xf>
    <xf numFmtId="17" fontId="39" fillId="36" borderId="38" xfId="0" applyNumberFormat="1" applyFont="1" applyFill="1" applyBorder="1" applyAlignment="1">
      <alignment horizontal="center"/>
    </xf>
    <xf numFmtId="15" fontId="39" fillId="36" borderId="38" xfId="0" applyNumberFormat="1" applyFont="1" applyFill="1" applyBorder="1"/>
    <xf numFmtId="164" fontId="39" fillId="36" borderId="38" xfId="0" applyNumberFormat="1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 wrapText="1"/>
    </xf>
    <xf numFmtId="17" fontId="0" fillId="0" borderId="54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8" xfId="0" applyNumberFormat="1" applyBorder="1" applyAlignment="1">
      <alignment horizontal="center" vertical="center"/>
    </xf>
    <xf numFmtId="10" fontId="0" fillId="0" borderId="55" xfId="2" applyNumberFormat="1" applyFont="1" applyFill="1" applyBorder="1" applyAlignment="1">
      <alignment horizontal="center" vertical="center"/>
    </xf>
    <xf numFmtId="17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" fontId="0" fillId="0" borderId="58" xfId="0" applyNumberFormat="1" applyBorder="1" applyAlignment="1">
      <alignment horizontal="center" vertical="center"/>
    </xf>
    <xf numFmtId="10" fontId="0" fillId="0" borderId="59" xfId="2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0" fillId="0" borderId="14" xfId="0" applyBorder="1" applyAlignment="1">
      <alignment horizontal="left"/>
    </xf>
    <xf numFmtId="17" fontId="0" fillId="0" borderId="9" xfId="0" applyNumberFormat="1" applyBorder="1" applyAlignment="1">
      <alignment horizontal="center" vertical="center"/>
    </xf>
    <xf numFmtId="171" fontId="0" fillId="0" borderId="9" xfId="0" applyNumberForma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9" xfId="0" applyNumberFormat="1" applyBorder="1" applyAlignment="1">
      <alignment horizontal="left"/>
    </xf>
    <xf numFmtId="2" fontId="0" fillId="0" borderId="9" xfId="0" applyNumberFormat="1" applyBorder="1" applyAlignment="1">
      <alignment horizontal="left"/>
    </xf>
    <xf numFmtId="10" fontId="0" fillId="0" borderId="9" xfId="2" applyNumberFormat="1" applyFont="1" applyFill="1" applyBorder="1" applyAlignment="1">
      <alignment horizontal="left"/>
    </xf>
    <xf numFmtId="43" fontId="0" fillId="0" borderId="9" xfId="1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53" xfId="0" applyBorder="1" applyAlignment="1">
      <alignment horizontal="left"/>
    </xf>
    <xf numFmtId="17" fontId="0" fillId="0" borderId="60" xfId="0" applyNumberFormat="1" applyBorder="1" applyAlignment="1">
      <alignment horizontal="center" vertical="center"/>
    </xf>
    <xf numFmtId="171" fontId="0" fillId="0" borderId="60" xfId="0" applyNumberFormat="1" applyBorder="1" applyAlignment="1">
      <alignment horizontal="left"/>
    </xf>
    <xf numFmtId="0" fontId="0" fillId="0" borderId="60" xfId="0" applyBorder="1" applyAlignment="1">
      <alignment horizontal="left"/>
    </xf>
    <xf numFmtId="167" fontId="0" fillId="0" borderId="60" xfId="0" applyNumberFormat="1" applyBorder="1" applyAlignment="1">
      <alignment horizontal="left"/>
    </xf>
    <xf numFmtId="2" fontId="0" fillId="0" borderId="60" xfId="0" applyNumberFormat="1" applyBorder="1" applyAlignment="1">
      <alignment horizontal="left"/>
    </xf>
    <xf numFmtId="10" fontId="0" fillId="0" borderId="60" xfId="2" applyNumberFormat="1" applyFont="1" applyFill="1" applyBorder="1" applyAlignment="1">
      <alignment horizontal="left"/>
    </xf>
    <xf numFmtId="43" fontId="0" fillId="0" borderId="60" xfId="1" applyFont="1" applyFill="1" applyBorder="1" applyAlignment="1">
      <alignment horizontal="left"/>
    </xf>
    <xf numFmtId="0" fontId="40" fillId="23" borderId="16" xfId="0" applyFont="1" applyFill="1" applyBorder="1" applyAlignment="1">
      <alignment horizontal="center" vertical="center" wrapText="1"/>
    </xf>
    <xf numFmtId="0" fontId="40" fillId="23" borderId="13" xfId="0" applyFont="1" applyFill="1" applyBorder="1" applyAlignment="1">
      <alignment horizontal="center" vertical="center" wrapText="1"/>
    </xf>
    <xf numFmtId="0" fontId="40" fillId="23" borderId="61" xfId="0" applyFont="1" applyFill="1" applyBorder="1" applyAlignment="1">
      <alignment horizontal="center" vertical="center" wrapText="1"/>
    </xf>
    <xf numFmtId="166" fontId="41" fillId="41" borderId="9" xfId="0" applyNumberFormat="1" applyFont="1" applyFill="1" applyBorder="1" applyAlignment="1">
      <alignment vertical="center"/>
    </xf>
    <xf numFmtId="1" fontId="0" fillId="39" borderId="9" xfId="0" applyNumberFormat="1" applyFill="1" applyBorder="1" applyAlignment="1">
      <alignment horizontal="center" vertical="center"/>
    </xf>
    <xf numFmtId="17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vertical="center"/>
    </xf>
    <xf numFmtId="16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left"/>
    </xf>
    <xf numFmtId="10" fontId="0" fillId="0" borderId="9" xfId="0" applyNumberFormat="1" applyBorder="1" applyAlignment="1">
      <alignment horizontal="center" vertical="center"/>
    </xf>
    <xf numFmtId="0" fontId="42" fillId="41" borderId="9" xfId="0" applyFont="1" applyFill="1" applyBorder="1" applyAlignment="1">
      <alignment horizontal="center"/>
    </xf>
    <xf numFmtId="20" fontId="42" fillId="41" borderId="9" xfId="0" applyNumberFormat="1" applyFont="1" applyFill="1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170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7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6" fontId="0" fillId="39" borderId="9" xfId="0" applyNumberFormat="1" applyFill="1" applyBorder="1" applyAlignment="1">
      <alignment vertical="center"/>
    </xf>
    <xf numFmtId="1" fontId="0" fillId="39" borderId="9" xfId="0" applyNumberFormat="1" applyFill="1" applyBorder="1" applyAlignment="1">
      <alignment vertical="center"/>
    </xf>
    <xf numFmtId="0" fontId="42" fillId="41" borderId="9" xfId="0" applyFont="1" applyFill="1" applyBorder="1" applyAlignment="1">
      <alignment horizontal="center" vertical="center"/>
    </xf>
    <xf numFmtId="20" fontId="42" fillId="41" borderId="9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7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4" fontId="0" fillId="0" borderId="22" xfId="0" applyNumberFormat="1" applyBorder="1" applyAlignment="1">
      <alignment horizontal="center"/>
    </xf>
    <xf numFmtId="0" fontId="29" fillId="3" borderId="32" xfId="0" applyFont="1" applyFill="1" applyBorder="1" applyAlignment="1">
      <alignment horizontal="center" vertical="center"/>
    </xf>
    <xf numFmtId="0" fontId="29" fillId="3" borderId="29" xfId="0" applyFont="1" applyFill="1" applyBorder="1" applyAlignment="1">
      <alignment horizontal="center" vertical="center"/>
    </xf>
    <xf numFmtId="0" fontId="29" fillId="3" borderId="35" xfId="0" applyFont="1" applyFill="1" applyBorder="1" applyAlignment="1">
      <alignment horizontal="center" vertical="center"/>
    </xf>
    <xf numFmtId="166" fontId="28" fillId="3" borderId="36" xfId="27312" applyNumberFormat="1" applyFont="1" applyFill="1" applyBorder="1" applyAlignment="1">
      <alignment horizontal="left" vertical="center"/>
    </xf>
    <xf numFmtId="166" fontId="28" fillId="3" borderId="37" xfId="27312" applyNumberFormat="1" applyFont="1" applyFill="1" applyBorder="1" applyAlignment="1">
      <alignment horizontal="left" vertical="center"/>
    </xf>
    <xf numFmtId="0" fontId="26" fillId="37" borderId="26" xfId="0" applyFont="1" applyFill="1" applyBorder="1" applyAlignment="1">
      <alignment horizontal="center"/>
    </xf>
    <xf numFmtId="0" fontId="26" fillId="37" borderId="27" xfId="0" applyFont="1" applyFill="1" applyBorder="1" applyAlignment="1">
      <alignment horizontal="center"/>
    </xf>
    <xf numFmtId="0" fontId="26" fillId="37" borderId="28" xfId="0" applyFont="1" applyFill="1" applyBorder="1" applyAlignment="1">
      <alignment horizontal="center"/>
    </xf>
    <xf numFmtId="169" fontId="28" fillId="3" borderId="30" xfId="27312" applyNumberFormat="1" applyFont="1" applyFill="1" applyBorder="1" applyAlignment="1" applyProtection="1">
      <alignment horizontal="left" vertical="center"/>
      <protection locked="0"/>
    </xf>
    <xf numFmtId="169" fontId="28" fillId="3" borderId="31" xfId="27312" applyNumberFormat="1" applyFont="1" applyFill="1" applyBorder="1" applyAlignment="1" applyProtection="1">
      <alignment horizontal="left" vertical="center"/>
      <protection locked="0"/>
    </xf>
    <xf numFmtId="166" fontId="28" fillId="3" borderId="30" xfId="27312" applyNumberFormat="1" applyFont="1" applyFill="1" applyBorder="1" applyAlignment="1" applyProtection="1">
      <alignment horizontal="left" vertical="center"/>
      <protection locked="0"/>
    </xf>
    <xf numFmtId="166" fontId="28" fillId="3" borderId="31" xfId="27312" applyNumberFormat="1" applyFont="1" applyFill="1" applyBorder="1" applyAlignment="1" applyProtection="1">
      <alignment horizontal="left" vertical="center"/>
      <protection locked="0"/>
    </xf>
    <xf numFmtId="0" fontId="29" fillId="3" borderId="30" xfId="0" applyFont="1" applyFill="1" applyBorder="1" applyAlignment="1">
      <alignment horizontal="left"/>
    </xf>
    <xf numFmtId="0" fontId="29" fillId="3" borderId="31" xfId="0" applyFont="1" applyFill="1" applyBorder="1" applyAlignment="1">
      <alignment horizontal="left"/>
    </xf>
    <xf numFmtId="166" fontId="28" fillId="3" borderId="30" xfId="27312" applyNumberFormat="1" applyFont="1" applyFill="1" applyBorder="1" applyAlignment="1">
      <alignment horizontal="left" vertical="center"/>
    </xf>
    <xf numFmtId="166" fontId="28" fillId="3" borderId="31" xfId="27312" applyNumberFormat="1" applyFont="1" applyFill="1" applyBorder="1" applyAlignment="1">
      <alignment horizontal="left" vertical="center"/>
    </xf>
    <xf numFmtId="0" fontId="25" fillId="34" borderId="9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34039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" xfId="1" builtinId="3"/>
    <cellStyle name="Comma 2" xfId="13194" xr:uid="{00000000-0005-0000-0000-000016600000}"/>
    <cellStyle name="Comma 3" xfId="20777" xr:uid="{00000000-0005-0000-0000-000017600000}"/>
    <cellStyle name="Comma 4" xfId="20795" xr:uid="{00000000-0005-0000-0000-000018600000}"/>
    <cellStyle name="Comma 5" xfId="20804" xr:uid="{00000000-0005-0000-0000-000019600000}"/>
    <cellStyle name="Comma 6" xfId="33912" xr:uid="{00000000-0005-0000-0000-00001A600000}"/>
    <cellStyle name="Comma 7" xfId="34037" xr:uid="{00000000-0005-0000-0000-00001B600000}"/>
    <cellStyle name="Excel Built-in Normal" xfId="26537" xr:uid="{00000000-0005-0000-0000-00001C600000}"/>
    <cellStyle name="Excel Built-in Normal 2" xfId="30009" xr:uid="{00000000-0005-0000-0000-00001D600000}"/>
    <cellStyle name="Explanatory Text 2" xfId="11424" xr:uid="{00000000-0005-0000-0000-00001E600000}"/>
    <cellStyle name="Good 2" xfId="7967" xr:uid="{00000000-0005-0000-0000-00001F600000}"/>
    <cellStyle name="Heading 1 2" xfId="27946" xr:uid="{00000000-0005-0000-0000-000020600000}"/>
    <cellStyle name="Heading 2 2" xfId="27948" xr:uid="{00000000-0005-0000-0000-000021600000}"/>
    <cellStyle name="Heading 3 2" xfId="29982" xr:uid="{00000000-0005-0000-0000-000022600000}"/>
    <cellStyle name="Heading 4 2" xfId="3107" xr:uid="{00000000-0005-0000-0000-000023600000}"/>
    <cellStyle name="Input 2" xfId="22624" xr:uid="{00000000-0005-0000-0000-000024600000}"/>
    <cellStyle name="Linked Cell 2" xfId="7874" xr:uid="{00000000-0005-0000-0000-000025600000}"/>
    <cellStyle name="Neutral 2" xfId="18023" xr:uid="{00000000-0005-0000-0000-000026600000}"/>
    <cellStyle name="Neutral 3" xfId="26167" xr:uid="{00000000-0005-0000-0000-000027600000}"/>
    <cellStyle name="Normal" xfId="0" builtinId="0"/>
    <cellStyle name="Normal 10" xfId="17313" xr:uid="{00000000-0005-0000-0000-000029600000}"/>
    <cellStyle name="Normal 10 2" xfId="17039" xr:uid="{00000000-0005-0000-0000-00002A600000}"/>
    <cellStyle name="Normal 11" xfId="11205" xr:uid="{00000000-0005-0000-0000-00002B600000}"/>
    <cellStyle name="Normal 11 2" xfId="30021" xr:uid="{00000000-0005-0000-0000-00002C600000}"/>
    <cellStyle name="Normal 11 2 2" xfId="14480" xr:uid="{00000000-0005-0000-0000-00002D600000}"/>
    <cellStyle name="Normal 11 2 2 2" xfId="33647" xr:uid="{00000000-0005-0000-0000-00002E600000}"/>
    <cellStyle name="Normal 11 2 2 2 2" xfId="2182" xr:uid="{00000000-0005-0000-0000-00002F600000}"/>
    <cellStyle name="Normal 11 2 2 2 2 2" xfId="24841" xr:uid="{00000000-0005-0000-0000-000030600000}"/>
    <cellStyle name="Normal 11 2 2 2 2 2 2" xfId="27139" xr:uid="{00000000-0005-0000-0000-000031600000}"/>
    <cellStyle name="Normal 11 2 2 2 2 2 2 2" xfId="19133" xr:uid="{00000000-0005-0000-0000-000032600000}"/>
    <cellStyle name="Normal 11 2 2 2 2 2 3" xfId="27144" xr:uid="{00000000-0005-0000-0000-000033600000}"/>
    <cellStyle name="Normal 11 2 2 2 2 3" xfId="24850" xr:uid="{00000000-0005-0000-0000-000034600000}"/>
    <cellStyle name="Normal 11 2 2 2 2 3 2" xfId="27147" xr:uid="{00000000-0005-0000-0000-000035600000}"/>
    <cellStyle name="Normal 11 2 2 2 2 4" xfId="26886" xr:uid="{00000000-0005-0000-0000-000036600000}"/>
    <cellStyle name="Normal 11 2 2 2 3" xfId="18882" xr:uid="{00000000-0005-0000-0000-000037600000}"/>
    <cellStyle name="Normal 11 2 2 2 3 2" xfId="18887" xr:uid="{00000000-0005-0000-0000-000038600000}"/>
    <cellStyle name="Normal 11 2 2 2 3 2 2" xfId="14712" xr:uid="{00000000-0005-0000-0000-000039600000}"/>
    <cellStyle name="Normal 11 2 2 2 3 3" xfId="18902" xr:uid="{00000000-0005-0000-0000-00003A600000}"/>
    <cellStyle name="Normal 11 2 2 2 4" xfId="12989" xr:uid="{00000000-0005-0000-0000-00003B600000}"/>
    <cellStyle name="Normal 11 2 2 2 4 2" xfId="24042" xr:uid="{00000000-0005-0000-0000-00003C600000}"/>
    <cellStyle name="Normal 11 2 2 2 5" xfId="19162" xr:uid="{00000000-0005-0000-0000-00003D600000}"/>
    <cellStyle name="Normal 11 2 2 3" xfId="9767" xr:uid="{00000000-0005-0000-0000-00003E600000}"/>
    <cellStyle name="Normal 11 2 2 3 2" xfId="27149" xr:uid="{00000000-0005-0000-0000-00003F600000}"/>
    <cellStyle name="Normal 11 2 2 3 2 2" xfId="24184" xr:uid="{00000000-0005-0000-0000-000040600000}"/>
    <cellStyle name="Normal 11 2 2 3 2 2 2" xfId="17563" xr:uid="{00000000-0005-0000-0000-000041600000}"/>
    <cellStyle name="Normal 11 2 2 3 2 3" xfId="8753" xr:uid="{00000000-0005-0000-0000-000042600000}"/>
    <cellStyle name="Normal 11 2 2 3 3" xfId="18920" xr:uid="{00000000-0005-0000-0000-000043600000}"/>
    <cellStyle name="Normal 11 2 2 3 3 2" xfId="24071" xr:uid="{00000000-0005-0000-0000-000044600000}"/>
    <cellStyle name="Normal 11 2 2 3 4" xfId="22602" xr:uid="{00000000-0005-0000-0000-000045600000}"/>
    <cellStyle name="Normal 11 2 2 4" xfId="25092" xr:uid="{00000000-0005-0000-0000-000046600000}"/>
    <cellStyle name="Normal 11 2 2 4 2" xfId="26697" xr:uid="{00000000-0005-0000-0000-000047600000}"/>
    <cellStyle name="Normal 11 2 2 4 2 2" xfId="26456" xr:uid="{00000000-0005-0000-0000-000048600000}"/>
    <cellStyle name="Normal 11 2 2 4 3" xfId="18936" xr:uid="{00000000-0005-0000-0000-000049600000}"/>
    <cellStyle name="Normal 11 2 2 5" xfId="26805" xr:uid="{00000000-0005-0000-0000-00004A600000}"/>
    <cellStyle name="Normal 11 2 2 5 2" xfId="14829" xr:uid="{00000000-0005-0000-0000-00004B600000}"/>
    <cellStyle name="Normal 11 2 2 6" xfId="11759" xr:uid="{00000000-0005-0000-0000-00004C600000}"/>
    <cellStyle name="Normal 11 2 3" xfId="947" xr:uid="{00000000-0005-0000-0000-00004D600000}"/>
    <cellStyle name="Normal 11 2 3 2" xfId="33306" xr:uid="{00000000-0005-0000-0000-00004E600000}"/>
    <cellStyle name="Normal 11 2 3 2 2" xfId="27151" xr:uid="{00000000-0005-0000-0000-00004F600000}"/>
    <cellStyle name="Normal 11 2 3 2 2 2" xfId="10086" xr:uid="{00000000-0005-0000-0000-000050600000}"/>
    <cellStyle name="Normal 11 2 3 2 2 2 2" xfId="27157" xr:uid="{00000000-0005-0000-0000-000051600000}"/>
    <cellStyle name="Normal 11 2 3 2 2 3" xfId="27162" xr:uid="{00000000-0005-0000-0000-000052600000}"/>
    <cellStyle name="Normal 11 2 3 2 3" xfId="19118" xr:uid="{00000000-0005-0000-0000-000053600000}"/>
    <cellStyle name="Normal 11 2 3 2 3 2" xfId="1689" xr:uid="{00000000-0005-0000-0000-000054600000}"/>
    <cellStyle name="Normal 11 2 3 2 4" xfId="22803" xr:uid="{00000000-0005-0000-0000-000055600000}"/>
    <cellStyle name="Normal 11 2 3 3" xfId="30732" xr:uid="{00000000-0005-0000-0000-000056600000}"/>
    <cellStyle name="Normal 11 2 3 3 2" xfId="27874" xr:uid="{00000000-0005-0000-0000-000057600000}"/>
    <cellStyle name="Normal 11 2 3 3 2 2" xfId="24493" xr:uid="{00000000-0005-0000-0000-000058600000}"/>
    <cellStyle name="Normal 11 2 3 3 3" xfId="19868" xr:uid="{00000000-0005-0000-0000-000059600000}"/>
    <cellStyle name="Normal 11 2 3 4" xfId="30332" xr:uid="{00000000-0005-0000-0000-00005A600000}"/>
    <cellStyle name="Normal 11 2 3 4 2" xfId="20311" xr:uid="{00000000-0005-0000-0000-00005B600000}"/>
    <cellStyle name="Normal 11 2 3 5" xfId="29533" xr:uid="{00000000-0005-0000-0000-00005C600000}"/>
    <cellStyle name="Normal 11 2 4" xfId="31974" xr:uid="{00000000-0005-0000-0000-00005D600000}"/>
    <cellStyle name="Normal 11 2 4 2" xfId="17458" xr:uid="{00000000-0005-0000-0000-00005E600000}"/>
    <cellStyle name="Normal 11 2 4 2 2" xfId="6418" xr:uid="{00000000-0005-0000-0000-00005F600000}"/>
    <cellStyle name="Normal 11 2 4 2 2 2" xfId="6425" xr:uid="{00000000-0005-0000-0000-000060600000}"/>
    <cellStyle name="Normal 11 2 4 2 3" xfId="6429" xr:uid="{00000000-0005-0000-0000-000061600000}"/>
    <cellStyle name="Normal 11 2 4 3" xfId="17461" xr:uid="{00000000-0005-0000-0000-000062600000}"/>
    <cellStyle name="Normal 11 2 4 3 2" xfId="24946" xr:uid="{00000000-0005-0000-0000-000063600000}"/>
    <cellStyle name="Normal 11 2 4 4" xfId="5695" xr:uid="{00000000-0005-0000-0000-000064600000}"/>
    <cellStyle name="Normal 11 2 5" xfId="27167" xr:uid="{00000000-0005-0000-0000-000065600000}"/>
    <cellStyle name="Normal 11 2 5 2" xfId="17883" xr:uid="{00000000-0005-0000-0000-000066600000}"/>
    <cellStyle name="Normal 11 2 5 2 2" xfId="4860" xr:uid="{00000000-0005-0000-0000-000067600000}"/>
    <cellStyle name="Normal 11 2 5 3" xfId="6076" xr:uid="{00000000-0005-0000-0000-000068600000}"/>
    <cellStyle name="Normal 11 2 6" xfId="14038" xr:uid="{00000000-0005-0000-0000-000069600000}"/>
    <cellStyle name="Normal 11 2 6 2" xfId="18240" xr:uid="{00000000-0005-0000-0000-00006A600000}"/>
    <cellStyle name="Normal 11 2 7" xfId="11326" xr:uid="{00000000-0005-0000-0000-00006B600000}"/>
    <cellStyle name="Normal 11 2 8" xfId="10398" xr:uid="{00000000-0005-0000-0000-00006C600000}"/>
    <cellStyle name="Normal 11 3" xfId="33682" xr:uid="{00000000-0005-0000-0000-00006D600000}"/>
    <cellStyle name="Normal 11 3 2" xfId="27169" xr:uid="{00000000-0005-0000-0000-00006E600000}"/>
    <cellStyle name="Normal 11 3 2 2" xfId="27170" xr:uid="{00000000-0005-0000-0000-00006F600000}"/>
    <cellStyle name="Normal 11 3 2 2 2" xfId="27431" xr:uid="{00000000-0005-0000-0000-000070600000}"/>
    <cellStyle name="Normal 11 3 2 2 2 2" xfId="24862" xr:uid="{00000000-0005-0000-0000-000071600000}"/>
    <cellStyle name="Normal 11 3 2 2 2 2 2" xfId="27173" xr:uid="{00000000-0005-0000-0000-000072600000}"/>
    <cellStyle name="Normal 11 3 2 2 2 3" xfId="27726" xr:uid="{00000000-0005-0000-0000-000073600000}"/>
    <cellStyle name="Normal 11 3 2 2 3" xfId="19550" xr:uid="{00000000-0005-0000-0000-000074600000}"/>
    <cellStyle name="Normal 11 3 2 2 3 2" xfId="22625" xr:uid="{00000000-0005-0000-0000-000075600000}"/>
    <cellStyle name="Normal 11 3 2 2 4" xfId="19554" xr:uid="{00000000-0005-0000-0000-000076600000}"/>
    <cellStyle name="Normal 11 3 2 3" xfId="25099" xr:uid="{00000000-0005-0000-0000-000077600000}"/>
    <cellStyle name="Normal 11 3 2 3 2" xfId="27179" xr:uid="{00000000-0005-0000-0000-000078600000}"/>
    <cellStyle name="Normal 11 3 2 3 2 2" xfId="27183" xr:uid="{00000000-0005-0000-0000-000079600000}"/>
    <cellStyle name="Normal 11 3 2 3 3" xfId="19579" xr:uid="{00000000-0005-0000-0000-00007A600000}"/>
    <cellStyle name="Normal 11 3 2 4" xfId="28243" xr:uid="{00000000-0005-0000-0000-00007B600000}"/>
    <cellStyle name="Normal 11 3 2 4 2" xfId="9754" xr:uid="{00000000-0005-0000-0000-00007C600000}"/>
    <cellStyle name="Normal 11 3 2 5" xfId="29076" xr:uid="{00000000-0005-0000-0000-00007D600000}"/>
    <cellStyle name="Normal 11 3 3" xfId="31030" xr:uid="{00000000-0005-0000-0000-00007E600000}"/>
    <cellStyle name="Normal 11 3 3 2" xfId="28640" xr:uid="{00000000-0005-0000-0000-00007F600000}"/>
    <cellStyle name="Normal 11 3 3 2 2" xfId="27190" xr:uid="{00000000-0005-0000-0000-000080600000}"/>
    <cellStyle name="Normal 11 3 3 2 2 2" xfId="16420" xr:uid="{00000000-0005-0000-0000-000081600000}"/>
    <cellStyle name="Normal 11 3 3 2 3" xfId="19674" xr:uid="{00000000-0005-0000-0000-000082600000}"/>
    <cellStyle name="Normal 11 3 3 3" xfId="32000" xr:uid="{00000000-0005-0000-0000-000083600000}"/>
    <cellStyle name="Normal 11 3 3 3 2" xfId="29611" xr:uid="{00000000-0005-0000-0000-000084600000}"/>
    <cellStyle name="Normal 11 3 3 4" xfId="32004" xr:uid="{00000000-0005-0000-0000-000085600000}"/>
    <cellStyle name="Normal 11 3 4" xfId="27194" xr:uid="{00000000-0005-0000-0000-000086600000}"/>
    <cellStyle name="Normal 11 3 4 2" xfId="20690" xr:uid="{00000000-0005-0000-0000-000087600000}"/>
    <cellStyle name="Normal 11 3 4 2 2" xfId="6543" xr:uid="{00000000-0005-0000-0000-000088600000}"/>
    <cellStyle name="Normal 11 3 4 3" xfId="19316" xr:uid="{00000000-0005-0000-0000-000089600000}"/>
    <cellStyle name="Normal 11 3 5" xfId="25821" xr:uid="{00000000-0005-0000-0000-00008A600000}"/>
    <cellStyle name="Normal 11 3 5 2" xfId="19787" xr:uid="{00000000-0005-0000-0000-00008B600000}"/>
    <cellStyle name="Normal 11 3 6" xfId="18857" xr:uid="{00000000-0005-0000-0000-00008C600000}"/>
    <cellStyle name="Normal 11 4" xfId="30286" xr:uid="{00000000-0005-0000-0000-00008D600000}"/>
    <cellStyle name="Normal 11 4 2" xfId="32545" xr:uid="{00000000-0005-0000-0000-00008E600000}"/>
    <cellStyle name="Normal 11 4 2 2" xfId="24188" xr:uid="{00000000-0005-0000-0000-00008F600000}"/>
    <cellStyle name="Normal 11 4 2 2 2" xfId="6031" xr:uid="{00000000-0005-0000-0000-000090600000}"/>
    <cellStyle name="Normal 11 4 2 2 2 2" xfId="28460" xr:uid="{00000000-0005-0000-0000-000091600000}"/>
    <cellStyle name="Normal 11 4 2 2 3" xfId="19898" xr:uid="{00000000-0005-0000-0000-000092600000}"/>
    <cellStyle name="Normal 11 4 2 3" xfId="6667" xr:uid="{00000000-0005-0000-0000-000093600000}"/>
    <cellStyle name="Normal 11 4 2 3 2" xfId="27514" xr:uid="{00000000-0005-0000-0000-000094600000}"/>
    <cellStyle name="Normal 11 4 2 4" xfId="28468" xr:uid="{00000000-0005-0000-0000-000095600000}"/>
    <cellStyle name="Normal 11 4 3" xfId="713" xr:uid="{00000000-0005-0000-0000-000096600000}"/>
    <cellStyle name="Normal 11 4 3 2" xfId="6693" xr:uid="{00000000-0005-0000-0000-000097600000}"/>
    <cellStyle name="Normal 11 4 3 2 2" xfId="33412" xr:uid="{00000000-0005-0000-0000-000098600000}"/>
    <cellStyle name="Normal 11 4 3 3" xfId="31652" xr:uid="{00000000-0005-0000-0000-000099600000}"/>
    <cellStyle name="Normal 11 4 4" xfId="14179" xr:uid="{00000000-0005-0000-0000-00009A600000}"/>
    <cellStyle name="Normal 11 4 4 2" xfId="19489" xr:uid="{00000000-0005-0000-0000-00009B600000}"/>
    <cellStyle name="Normal 11 4 5" xfId="18859" xr:uid="{00000000-0005-0000-0000-00009C600000}"/>
    <cellStyle name="Normal 11 5" xfId="32330" xr:uid="{00000000-0005-0000-0000-00009D600000}"/>
    <cellStyle name="Normal 11 5 2" xfId="20078" xr:uid="{00000000-0005-0000-0000-00009E600000}"/>
    <cellStyle name="Normal 11 5 2 2" xfId="24292" xr:uid="{00000000-0005-0000-0000-00009F600000}"/>
    <cellStyle name="Normal 11 5 2 2 2" xfId="18382" xr:uid="{00000000-0005-0000-0000-0000A0600000}"/>
    <cellStyle name="Normal 11 5 2 3" xfId="16954" xr:uid="{00000000-0005-0000-0000-0000A1600000}"/>
    <cellStyle name="Normal 11 5 3" xfId="14192" xr:uid="{00000000-0005-0000-0000-0000A2600000}"/>
    <cellStyle name="Normal 11 5 3 2" xfId="24629" xr:uid="{00000000-0005-0000-0000-0000A3600000}"/>
    <cellStyle name="Normal 11 5 4" xfId="7955" xr:uid="{00000000-0005-0000-0000-0000A4600000}"/>
    <cellStyle name="Normal 11 6" xfId="13036" xr:uid="{00000000-0005-0000-0000-0000A5600000}"/>
    <cellStyle name="Normal 11 6 2" xfId="14196" xr:uid="{00000000-0005-0000-0000-0000A6600000}"/>
    <cellStyle name="Normal 11 6 2 2" xfId="24405" xr:uid="{00000000-0005-0000-0000-0000A7600000}"/>
    <cellStyle name="Normal 11 6 3" xfId="1731" xr:uid="{00000000-0005-0000-0000-0000A8600000}"/>
    <cellStyle name="Normal 11 7" xfId="11016" xr:uid="{00000000-0005-0000-0000-0000A9600000}"/>
    <cellStyle name="Normal 11 7 2" xfId="5116" xr:uid="{00000000-0005-0000-0000-0000AA600000}"/>
    <cellStyle name="Normal 11 8" xfId="10140" xr:uid="{00000000-0005-0000-0000-0000AB600000}"/>
    <cellStyle name="Normal 11 9" xfId="27199" xr:uid="{00000000-0005-0000-0000-0000AC600000}"/>
    <cellStyle name="Normal 12" xfId="11713" xr:uid="{00000000-0005-0000-0000-0000AD600000}"/>
    <cellStyle name="Normal 13" xfId="28010" xr:uid="{00000000-0005-0000-0000-0000AE600000}"/>
    <cellStyle name="Normal 13 2" xfId="1143" xr:uid="{00000000-0005-0000-0000-0000AF600000}"/>
    <cellStyle name="Normal 13 2 2" xfId="20881" xr:uid="{00000000-0005-0000-0000-0000B0600000}"/>
    <cellStyle name="Normal 13 2 2 2" xfId="29631" xr:uid="{00000000-0005-0000-0000-0000B1600000}"/>
    <cellStyle name="Normal 13 2 2 2 2" xfId="29744" xr:uid="{00000000-0005-0000-0000-0000B2600000}"/>
    <cellStyle name="Normal 13 2 2 2 2 2" xfId="24674" xr:uid="{00000000-0005-0000-0000-0000B3600000}"/>
    <cellStyle name="Normal 13 2 2 2 2 2 2" xfId="20928" xr:uid="{00000000-0005-0000-0000-0000B4600000}"/>
    <cellStyle name="Normal 13 2 2 2 2 3" xfId="27202" xr:uid="{00000000-0005-0000-0000-0000B5600000}"/>
    <cellStyle name="Normal 13 2 2 2 3" xfId="23782" xr:uid="{00000000-0005-0000-0000-0000B6600000}"/>
    <cellStyle name="Normal 13 2 2 2 3 2" xfId="19732" xr:uid="{00000000-0005-0000-0000-0000B7600000}"/>
    <cellStyle name="Normal 13 2 2 2 4" xfId="23821" xr:uid="{00000000-0005-0000-0000-0000B8600000}"/>
    <cellStyle name="Normal 13 2 2 3" xfId="3717" xr:uid="{00000000-0005-0000-0000-0000B9600000}"/>
    <cellStyle name="Normal 13 2 2 3 2" xfId="27206" xr:uid="{00000000-0005-0000-0000-0000BA600000}"/>
    <cellStyle name="Normal 13 2 2 3 2 2" xfId="19933" xr:uid="{00000000-0005-0000-0000-0000BB600000}"/>
    <cellStyle name="Normal 13 2 2 3 3" xfId="8768" xr:uid="{00000000-0005-0000-0000-0000BC600000}"/>
    <cellStyle name="Normal 13 2 2 4" xfId="19431" xr:uid="{00000000-0005-0000-0000-0000BD600000}"/>
    <cellStyle name="Normal 13 2 2 4 2" xfId="26259" xr:uid="{00000000-0005-0000-0000-0000BE600000}"/>
    <cellStyle name="Normal 13 2 2 5" xfId="29479" xr:uid="{00000000-0005-0000-0000-0000BF600000}"/>
    <cellStyle name="Normal 13 2 3" xfId="27061" xr:uid="{00000000-0005-0000-0000-0000C0600000}"/>
    <cellStyle name="Normal 13 2 3 2" xfId="29754" xr:uid="{00000000-0005-0000-0000-0000C1600000}"/>
    <cellStyle name="Normal 13 2 3 2 2" xfId="26266" xr:uid="{00000000-0005-0000-0000-0000C2600000}"/>
    <cellStyle name="Normal 13 2 3 2 2 2" xfId="13107" xr:uid="{00000000-0005-0000-0000-0000C3600000}"/>
    <cellStyle name="Normal 13 2 3 2 3" xfId="19828" xr:uid="{00000000-0005-0000-0000-0000C4600000}"/>
    <cellStyle name="Normal 13 2 3 3" xfId="27352" xr:uid="{00000000-0005-0000-0000-0000C5600000}"/>
    <cellStyle name="Normal 13 2 3 3 2" xfId="28992" xr:uid="{00000000-0005-0000-0000-0000C6600000}"/>
    <cellStyle name="Normal 13 2 3 4" xfId="21604" xr:uid="{00000000-0005-0000-0000-0000C7600000}"/>
    <cellStyle name="Normal 13 2 4" xfId="26106" xr:uid="{00000000-0005-0000-0000-0000C8600000}"/>
    <cellStyle name="Normal 13 2 4 2" xfId="27211" xr:uid="{00000000-0005-0000-0000-0000C9600000}"/>
    <cellStyle name="Normal 13 2 4 2 2" xfId="1546" xr:uid="{00000000-0005-0000-0000-0000CA600000}"/>
    <cellStyle name="Normal 13 2 4 3" xfId="27212" xr:uid="{00000000-0005-0000-0000-0000CB600000}"/>
    <cellStyle name="Normal 13 2 5" xfId="26114" xr:uid="{00000000-0005-0000-0000-0000CC600000}"/>
    <cellStyle name="Normal 13 2 5 2" xfId="27213" xr:uid="{00000000-0005-0000-0000-0000CD600000}"/>
    <cellStyle name="Normal 13 2 6" xfId="11353" xr:uid="{00000000-0005-0000-0000-0000CE600000}"/>
    <cellStyle name="Normal 13 3" xfId="1023" xr:uid="{00000000-0005-0000-0000-0000CF600000}"/>
    <cellStyle name="Normal 13 3 2" xfId="20836" xr:uid="{00000000-0005-0000-0000-0000D0600000}"/>
    <cellStyle name="Normal 13 3 2 2" xfId="30028" xr:uid="{00000000-0005-0000-0000-0000D1600000}"/>
    <cellStyle name="Normal 13 3 2 2 2" xfId="31806" xr:uid="{00000000-0005-0000-0000-0000D2600000}"/>
    <cellStyle name="Normal 13 3 2 2 2 2" xfId="11393" xr:uid="{00000000-0005-0000-0000-0000D3600000}"/>
    <cellStyle name="Normal 13 3 2 2 3" xfId="24815" xr:uid="{00000000-0005-0000-0000-0000D4600000}"/>
    <cellStyle name="Normal 13 3 2 3" xfId="30044" xr:uid="{00000000-0005-0000-0000-0000D5600000}"/>
    <cellStyle name="Normal 13 3 2 3 2" xfId="30049" xr:uid="{00000000-0005-0000-0000-0000D6600000}"/>
    <cellStyle name="Normal 13 3 2 4" xfId="30054" xr:uid="{00000000-0005-0000-0000-0000D7600000}"/>
    <cellStyle name="Normal 13 3 3" xfId="27219" xr:uid="{00000000-0005-0000-0000-0000D8600000}"/>
    <cellStyle name="Normal 13 3 3 2" xfId="30094" xr:uid="{00000000-0005-0000-0000-0000D9600000}"/>
    <cellStyle name="Normal 13 3 3 2 2" xfId="17968" xr:uid="{00000000-0005-0000-0000-0000DA600000}"/>
    <cellStyle name="Normal 13 3 3 3" xfId="31012" xr:uid="{00000000-0005-0000-0000-0000DB600000}"/>
    <cellStyle name="Normal 13 3 4" xfId="26333" xr:uid="{00000000-0005-0000-0000-0000DC600000}"/>
    <cellStyle name="Normal 13 3 4 2" xfId="27221" xr:uid="{00000000-0005-0000-0000-0000DD600000}"/>
    <cellStyle name="Normal 13 3 5" xfId="26122" xr:uid="{00000000-0005-0000-0000-0000DE600000}"/>
    <cellStyle name="Normal 13 4" xfId="26233" xr:uid="{00000000-0005-0000-0000-0000DF600000}"/>
    <cellStyle name="Normal 13 4 2" xfId="6886" xr:uid="{00000000-0005-0000-0000-0000E0600000}"/>
    <cellStyle name="Normal 13 4 2 2" xfId="30188" xr:uid="{00000000-0005-0000-0000-0000E1600000}"/>
    <cellStyle name="Normal 13 4 2 2 2" xfId="30190" xr:uid="{00000000-0005-0000-0000-0000E2600000}"/>
    <cellStyle name="Normal 13 4 2 3" xfId="9519" xr:uid="{00000000-0005-0000-0000-0000E3600000}"/>
    <cellStyle name="Normal 13 4 3" xfId="27223" xr:uid="{00000000-0005-0000-0000-0000E4600000}"/>
    <cellStyle name="Normal 13 4 3 2" xfId="29988" xr:uid="{00000000-0005-0000-0000-0000E5600000}"/>
    <cellStyle name="Normal 13 4 4" xfId="29814" xr:uid="{00000000-0005-0000-0000-0000E6600000}"/>
    <cellStyle name="Normal 13 5" xfId="16026" xr:uid="{00000000-0005-0000-0000-0000E7600000}"/>
    <cellStyle name="Normal 13 5 2" xfId="33101" xr:uid="{00000000-0005-0000-0000-0000E8600000}"/>
    <cellStyle name="Normal 13 5 2 2" xfId="22611" xr:uid="{00000000-0005-0000-0000-0000E9600000}"/>
    <cellStyle name="Normal 13 5 3" xfId="22792" xr:uid="{00000000-0005-0000-0000-0000EA600000}"/>
    <cellStyle name="Normal 13 6" xfId="24144" xr:uid="{00000000-0005-0000-0000-0000EB600000}"/>
    <cellStyle name="Normal 13 6 2" xfId="27224" xr:uid="{00000000-0005-0000-0000-0000EC600000}"/>
    <cellStyle name="Normal 13 7" xfId="22815" xr:uid="{00000000-0005-0000-0000-0000ED600000}"/>
    <cellStyle name="Normal 14" xfId="31883" xr:uid="{00000000-0005-0000-0000-0000EE600000}"/>
    <cellStyle name="Normal 15" xfId="31645" xr:uid="{00000000-0005-0000-0000-0000EF600000}"/>
    <cellStyle name="Normal 15 2" xfId="23038" xr:uid="{00000000-0005-0000-0000-0000F0600000}"/>
    <cellStyle name="Normal 15 2 2" xfId="27233" xr:uid="{00000000-0005-0000-0000-0000F1600000}"/>
    <cellStyle name="Normal 15 2 2 2" xfId="281" xr:uid="{00000000-0005-0000-0000-0000F2600000}"/>
    <cellStyle name="Normal 15 2 2 2 2" xfId="27557" xr:uid="{00000000-0005-0000-0000-0000F3600000}"/>
    <cellStyle name="Normal 15 2 2 2 2 2" xfId="27239" xr:uid="{00000000-0005-0000-0000-0000F4600000}"/>
    <cellStyle name="Normal 15 2 2 2 3" xfId="14053" xr:uid="{00000000-0005-0000-0000-0000F5600000}"/>
    <cellStyle name="Normal 15 2 2 3" xfId="8501" xr:uid="{00000000-0005-0000-0000-0000F6600000}"/>
    <cellStyle name="Normal 15 2 2 3 2" xfId="3620" xr:uid="{00000000-0005-0000-0000-0000F7600000}"/>
    <cellStyle name="Normal 15 2 2 4" xfId="31369" xr:uid="{00000000-0005-0000-0000-0000F8600000}"/>
    <cellStyle name="Normal 15 2 3" xfId="27242" xr:uid="{00000000-0005-0000-0000-0000F9600000}"/>
    <cellStyle name="Normal 15 2 3 2" xfId="26914" xr:uid="{00000000-0005-0000-0000-0000FA600000}"/>
    <cellStyle name="Normal 15 2 3 2 2" xfId="27545" xr:uid="{00000000-0005-0000-0000-0000FB600000}"/>
    <cellStyle name="Normal 15 2 3 3" xfId="26766" xr:uid="{00000000-0005-0000-0000-0000FC600000}"/>
    <cellStyle name="Normal 15 2 4" xfId="26135" xr:uid="{00000000-0005-0000-0000-0000FD600000}"/>
    <cellStyle name="Normal 15 2 4 2" xfId="26772" xr:uid="{00000000-0005-0000-0000-0000FE600000}"/>
    <cellStyle name="Normal 15 2 5" xfId="27252" xr:uid="{00000000-0005-0000-0000-0000FF600000}"/>
    <cellStyle name="Normal 15 3" xfId="27260" xr:uid="{00000000-0005-0000-0000-000000610000}"/>
    <cellStyle name="Normal 15 3 2" xfId="27281" xr:uid="{00000000-0005-0000-0000-000001610000}"/>
    <cellStyle name="Normal 15 3 2 2" xfId="33341" xr:uid="{00000000-0005-0000-0000-000002610000}"/>
    <cellStyle name="Normal 15 3 2 2 2" xfId="16653" xr:uid="{00000000-0005-0000-0000-000003610000}"/>
    <cellStyle name="Normal 15 3 2 3" xfId="31380" xr:uid="{00000000-0005-0000-0000-000004610000}"/>
    <cellStyle name="Normal 15 3 3" xfId="27765" xr:uid="{00000000-0005-0000-0000-000005610000}"/>
    <cellStyle name="Normal 15 3 3 2" xfId="19392" xr:uid="{00000000-0005-0000-0000-000006610000}"/>
    <cellStyle name="Normal 15 3 4" xfId="27284" xr:uid="{00000000-0005-0000-0000-000007610000}"/>
    <cellStyle name="Normal 15 4" xfId="27286" xr:uid="{00000000-0005-0000-0000-000008610000}"/>
    <cellStyle name="Normal 15 4 2" xfId="27288" xr:uid="{00000000-0005-0000-0000-000009610000}"/>
    <cellStyle name="Normal 15 4 2 2" xfId="15420" xr:uid="{00000000-0005-0000-0000-00000A610000}"/>
    <cellStyle name="Normal 15 4 3" xfId="27290" xr:uid="{00000000-0005-0000-0000-00000B610000}"/>
    <cellStyle name="Normal 15 5" xfId="16054" xr:uid="{00000000-0005-0000-0000-00000C610000}"/>
    <cellStyle name="Normal 15 5 2" xfId="33616" xr:uid="{00000000-0005-0000-0000-00000D610000}"/>
    <cellStyle name="Normal 15 6" xfId="27295" xr:uid="{00000000-0005-0000-0000-00000E610000}"/>
    <cellStyle name="Normal 16" xfId="32584" xr:uid="{00000000-0005-0000-0000-00000F610000}"/>
    <cellStyle name="Normal 17" xfId="30105" xr:uid="{00000000-0005-0000-0000-000010610000}"/>
    <cellStyle name="Normal 17 2" xfId="28365" xr:uid="{00000000-0005-0000-0000-000011610000}"/>
    <cellStyle name="Normal 17 2 2" xfId="25624" xr:uid="{00000000-0005-0000-0000-000012610000}"/>
    <cellStyle name="Normal 17 2 2 2" xfId="22765" xr:uid="{00000000-0005-0000-0000-000013610000}"/>
    <cellStyle name="Normal 17 2 2 2 2" xfId="1066" xr:uid="{00000000-0005-0000-0000-000014610000}"/>
    <cellStyle name="Normal 17 2 2 3" xfId="27451" xr:uid="{00000000-0005-0000-0000-000015610000}"/>
    <cellStyle name="Normal 17 2 3" xfId="22779" xr:uid="{00000000-0005-0000-0000-000016610000}"/>
    <cellStyle name="Normal 17 2 3 2" xfId="22510" xr:uid="{00000000-0005-0000-0000-000017610000}"/>
    <cellStyle name="Normal 17 2 4" xfId="27896" xr:uid="{00000000-0005-0000-0000-000018610000}"/>
    <cellStyle name="Normal 17 3" xfId="20245" xr:uid="{00000000-0005-0000-0000-000019610000}"/>
    <cellStyle name="Normal 17 3 2" xfId="1246" xr:uid="{00000000-0005-0000-0000-00001A610000}"/>
    <cellStyle name="Normal 17 3 2 2" xfId="5181" xr:uid="{00000000-0005-0000-0000-00001B610000}"/>
    <cellStyle name="Normal 17 3 3" xfId="20763" xr:uid="{00000000-0005-0000-0000-00001C610000}"/>
    <cellStyle name="Normal 17 4" xfId="28785" xr:uid="{00000000-0005-0000-0000-00001D610000}"/>
    <cellStyle name="Normal 17 4 2" xfId="20802" xr:uid="{00000000-0005-0000-0000-00001E610000}"/>
    <cellStyle name="Normal 17 5" xfId="27308" xr:uid="{00000000-0005-0000-0000-00001F610000}"/>
    <cellStyle name="Normal 18" xfId="3011" xr:uid="{00000000-0005-0000-0000-000020610000}"/>
    <cellStyle name="Normal 19" xfId="22924" xr:uid="{00000000-0005-0000-0000-000021610000}"/>
    <cellStyle name="Normal 19 2" xfId="27973" xr:uid="{00000000-0005-0000-0000-000022610000}"/>
    <cellStyle name="Normal 19 2 2" xfId="13474" xr:uid="{00000000-0005-0000-0000-000023610000}"/>
    <cellStyle name="Normal 19 2 2 2" xfId="21114" xr:uid="{00000000-0005-0000-0000-000024610000}"/>
    <cellStyle name="Normal 19 2 3" xfId="9808" xr:uid="{00000000-0005-0000-0000-000025610000}"/>
    <cellStyle name="Normal 19 3" xfId="25546" xr:uid="{00000000-0005-0000-0000-000026610000}"/>
    <cellStyle name="Normal 19 3 2" xfId="13490" xr:uid="{00000000-0005-0000-0000-000027610000}"/>
    <cellStyle name="Normal 19 4" xfId="27652" xr:uid="{00000000-0005-0000-0000-000028610000}"/>
    <cellStyle name="Normal 2" xfId="27312" xr:uid="{00000000-0005-0000-0000-000029610000}"/>
    <cellStyle name="Normal 2 2" xfId="27313" xr:uid="{00000000-0005-0000-0000-00002A610000}"/>
    <cellStyle name="Normal 2 2 2" xfId="27314" xr:uid="{00000000-0005-0000-0000-00002B610000}"/>
    <cellStyle name="Normal 2 3" xfId="16860" xr:uid="{00000000-0005-0000-0000-00002C610000}"/>
    <cellStyle name="Normal 2 3 2" xfId="16863" xr:uid="{00000000-0005-0000-0000-00002D610000}"/>
    <cellStyle name="Normal 2 4" xfId="20827" xr:uid="{00000000-0005-0000-0000-00002E610000}"/>
    <cellStyle name="Normal 20" xfId="31646" xr:uid="{00000000-0005-0000-0000-00002F610000}"/>
    <cellStyle name="Normal 20 2" xfId="23039" xr:uid="{00000000-0005-0000-0000-000030610000}"/>
    <cellStyle name="Normal 20 2 2" xfId="27234" xr:uid="{00000000-0005-0000-0000-000031610000}"/>
    <cellStyle name="Normal 20 3" xfId="27261" xr:uid="{00000000-0005-0000-0000-000032610000}"/>
    <cellStyle name="Normal 21" xfId="32585" xr:uid="{00000000-0005-0000-0000-000033610000}"/>
    <cellStyle name="Normal 21 2" xfId="21493" xr:uid="{00000000-0005-0000-0000-000034610000}"/>
    <cellStyle name="Normal 22" xfId="30106" xr:uid="{00000000-0005-0000-0000-000035610000}"/>
    <cellStyle name="Normal 23" xfId="3012" xr:uid="{00000000-0005-0000-0000-000036610000}"/>
    <cellStyle name="Normal 24" xfId="22923" xr:uid="{00000000-0005-0000-0000-000037610000}"/>
    <cellStyle name="Normal 25" xfId="22928" xr:uid="{00000000-0005-0000-0000-000038610000}"/>
    <cellStyle name="Normal 3" xfId="27318" xr:uid="{00000000-0005-0000-0000-00003A610000}"/>
    <cellStyle name="Normal 3 10" xfId="8470" xr:uid="{00000000-0005-0000-0000-00003B610000}"/>
    <cellStyle name="Normal 3 10 2" xfId="21537" xr:uid="{00000000-0005-0000-0000-00003C610000}"/>
    <cellStyle name="Normal 3 10 2 2" xfId="10575" xr:uid="{00000000-0005-0000-0000-00003D610000}"/>
    <cellStyle name="Normal 3 10 2 2 2" xfId="27324" xr:uid="{00000000-0005-0000-0000-00003E610000}"/>
    <cellStyle name="Normal 3 10 2 3" xfId="28620" xr:uid="{00000000-0005-0000-0000-00003F610000}"/>
    <cellStyle name="Normal 3 10 2 3 2" xfId="5872" xr:uid="{00000000-0005-0000-0000-000040610000}"/>
    <cellStyle name="Normal 3 10 2 4" xfId="11992" xr:uid="{00000000-0005-0000-0000-000041610000}"/>
    <cellStyle name="Normal 3 10 2 4 2" xfId="5887" xr:uid="{00000000-0005-0000-0000-000042610000}"/>
    <cellStyle name="Normal 3 10 2 5" xfId="11893" xr:uid="{00000000-0005-0000-0000-000043610000}"/>
    <cellStyle name="Normal 3 10 2 5 2" xfId="7295" xr:uid="{00000000-0005-0000-0000-000044610000}"/>
    <cellStyle name="Normal 3 10 2 6" xfId="11996" xr:uid="{00000000-0005-0000-0000-000045610000}"/>
    <cellStyle name="Normal 3 10 2 6 2" xfId="3626" xr:uid="{00000000-0005-0000-0000-000046610000}"/>
    <cellStyle name="Normal 3 10 2 7" xfId="19886" xr:uid="{00000000-0005-0000-0000-000047610000}"/>
    <cellStyle name="Normal 3 10 3" xfId="27985" xr:uid="{00000000-0005-0000-0000-000048610000}"/>
    <cellStyle name="Normal 3 10 3 2" xfId="16880" xr:uid="{00000000-0005-0000-0000-000049610000}"/>
    <cellStyle name="Normal 3 10 4" xfId="24284" xr:uid="{00000000-0005-0000-0000-00004A610000}"/>
    <cellStyle name="Normal 3 10 4 2" xfId="14741" xr:uid="{00000000-0005-0000-0000-00004B610000}"/>
    <cellStyle name="Normal 3 10 5" xfId="27325" xr:uid="{00000000-0005-0000-0000-00004C610000}"/>
    <cellStyle name="Normal 3 10 5 2" xfId="27328" xr:uid="{00000000-0005-0000-0000-00004D610000}"/>
    <cellStyle name="Normal 3 10 6" xfId="28463" xr:uid="{00000000-0005-0000-0000-00004E610000}"/>
    <cellStyle name="Normal 3 10 6 2" xfId="11357" xr:uid="{00000000-0005-0000-0000-00004F610000}"/>
    <cellStyle name="Normal 3 10 7" xfId="22758" xr:uid="{00000000-0005-0000-0000-000050610000}"/>
    <cellStyle name="Normal 3 10 7 2" xfId="11588" xr:uid="{00000000-0005-0000-0000-000051610000}"/>
    <cellStyle name="Normal 3 10 8" xfId="26319" xr:uid="{00000000-0005-0000-0000-000052610000}"/>
    <cellStyle name="Normal 3 11" xfId="1779" xr:uid="{00000000-0005-0000-0000-000053610000}"/>
    <cellStyle name="Normal 3 11 2" xfId="27331" xr:uid="{00000000-0005-0000-0000-000054610000}"/>
    <cellStyle name="Normal 3 11 2 2" xfId="22641" xr:uid="{00000000-0005-0000-0000-000055610000}"/>
    <cellStyle name="Normal 3 11 2 2 2" xfId="27335" xr:uid="{00000000-0005-0000-0000-000056610000}"/>
    <cellStyle name="Normal 3 11 2 3" xfId="31549" xr:uid="{00000000-0005-0000-0000-000057610000}"/>
    <cellStyle name="Normal 3 11 2 3 2" xfId="4696" xr:uid="{00000000-0005-0000-0000-000058610000}"/>
    <cellStyle name="Normal 3 11 2 4" xfId="11687" xr:uid="{00000000-0005-0000-0000-000059610000}"/>
    <cellStyle name="Normal 3 11 2 4 2" xfId="7385" xr:uid="{00000000-0005-0000-0000-00005A610000}"/>
    <cellStyle name="Normal 3 11 2 5" xfId="29816" xr:uid="{00000000-0005-0000-0000-00005B610000}"/>
    <cellStyle name="Normal 3 11 2 5 2" xfId="3850" xr:uid="{00000000-0005-0000-0000-00005C610000}"/>
    <cellStyle name="Normal 3 11 2 6" xfId="17697" xr:uid="{00000000-0005-0000-0000-00005D610000}"/>
    <cellStyle name="Normal 3 11 2 6 2" xfId="27337" xr:uid="{00000000-0005-0000-0000-00005E610000}"/>
    <cellStyle name="Normal 3 11 2 7" xfId="27339" xr:uid="{00000000-0005-0000-0000-00005F610000}"/>
    <cellStyle name="Normal 3 11 3" xfId="27340" xr:uid="{00000000-0005-0000-0000-000060610000}"/>
    <cellStyle name="Normal 3 11 3 2" xfId="1268" xr:uid="{00000000-0005-0000-0000-000061610000}"/>
    <cellStyle name="Normal 3 11 4" xfId="27341" xr:uid="{00000000-0005-0000-0000-000062610000}"/>
    <cellStyle name="Normal 3 11 4 2" xfId="27346" xr:uid="{00000000-0005-0000-0000-000063610000}"/>
    <cellStyle name="Normal 3 11 5" xfId="29579" xr:uid="{00000000-0005-0000-0000-000064610000}"/>
    <cellStyle name="Normal 3 11 5 2" xfId="27347" xr:uid="{00000000-0005-0000-0000-000065610000}"/>
    <cellStyle name="Normal 3 11 6" xfId="22762" xr:uid="{00000000-0005-0000-0000-000066610000}"/>
    <cellStyle name="Normal 3 11 6 2" xfId="11988" xr:uid="{00000000-0005-0000-0000-000067610000}"/>
    <cellStyle name="Normal 3 11 7" xfId="28597" xr:uid="{00000000-0005-0000-0000-000068610000}"/>
    <cellStyle name="Normal 3 11 7 2" xfId="12120" xr:uid="{00000000-0005-0000-0000-000069610000}"/>
    <cellStyle name="Normal 3 11 8" xfId="1491" xr:uid="{00000000-0005-0000-0000-00006A610000}"/>
    <cellStyle name="Normal 3 12" xfId="27351" xr:uid="{00000000-0005-0000-0000-00006B610000}"/>
    <cellStyle name="Normal 3 12 2" xfId="33293" xr:uid="{00000000-0005-0000-0000-00006C610000}"/>
    <cellStyle name="Normal 3 12 2 2" xfId="26376" xr:uid="{00000000-0005-0000-0000-00006D610000}"/>
    <cellStyle name="Normal 3 12 2 2 2" xfId="28324" xr:uid="{00000000-0005-0000-0000-00006E610000}"/>
    <cellStyle name="Normal 3 12 2 3" xfId="11275" xr:uid="{00000000-0005-0000-0000-00006F610000}"/>
    <cellStyle name="Normal 3 12 2 3 2" xfId="7436" xr:uid="{00000000-0005-0000-0000-000070610000}"/>
    <cellStyle name="Normal 3 12 2 4" xfId="29334" xr:uid="{00000000-0005-0000-0000-000071610000}"/>
    <cellStyle name="Normal 3 12 2 4 2" xfId="4975" xr:uid="{00000000-0005-0000-0000-000072610000}"/>
    <cellStyle name="Normal 3 12 2 5" xfId="27355" xr:uid="{00000000-0005-0000-0000-000073610000}"/>
    <cellStyle name="Normal 3 12 2 5 2" xfId="695" xr:uid="{00000000-0005-0000-0000-000074610000}"/>
    <cellStyle name="Normal 3 12 2 6" xfId="27356" xr:uid="{00000000-0005-0000-0000-000075610000}"/>
    <cellStyle name="Normal 3 12 2 6 2" xfId="1976" xr:uid="{00000000-0005-0000-0000-000076610000}"/>
    <cellStyle name="Normal 3 12 2 7" xfId="27357" xr:uid="{00000000-0005-0000-0000-000077610000}"/>
    <cellStyle name="Normal 3 12 3" xfId="27359" xr:uid="{00000000-0005-0000-0000-000078610000}"/>
    <cellStyle name="Normal 3 12 3 2" xfId="27379" xr:uid="{00000000-0005-0000-0000-000079610000}"/>
    <cellStyle name="Normal 3 12 4" xfId="9899" xr:uid="{00000000-0005-0000-0000-00007A610000}"/>
    <cellStyle name="Normal 3 12 4 2" xfId="29572" xr:uid="{00000000-0005-0000-0000-00007B610000}"/>
    <cellStyle name="Normal 3 12 5" xfId="33510" xr:uid="{00000000-0005-0000-0000-00007C610000}"/>
    <cellStyle name="Normal 3 12 5 2" xfId="21639" xr:uid="{00000000-0005-0000-0000-00007D610000}"/>
    <cellStyle name="Normal 3 12 6" xfId="30602" xr:uid="{00000000-0005-0000-0000-00007E610000}"/>
    <cellStyle name="Normal 3 12 6 2" xfId="12277" xr:uid="{00000000-0005-0000-0000-00007F610000}"/>
    <cellStyle name="Normal 3 12 7" xfId="5442" xr:uid="{00000000-0005-0000-0000-000080610000}"/>
    <cellStyle name="Normal 3 12 7 2" xfId="10583" xr:uid="{00000000-0005-0000-0000-000081610000}"/>
    <cellStyle name="Normal 3 12 8" xfId="27380" xr:uid="{00000000-0005-0000-0000-000082610000}"/>
    <cellStyle name="Normal 3 13" xfId="33905" xr:uid="{00000000-0005-0000-0000-000083610000}"/>
    <cellStyle name="Normal 3 13 2" xfId="27381" xr:uid="{00000000-0005-0000-0000-000084610000}"/>
    <cellStyle name="Normal 3 13 2 2" xfId="26452" xr:uid="{00000000-0005-0000-0000-000085610000}"/>
    <cellStyle name="Normal 3 13 2 2 2" xfId="29225" xr:uid="{00000000-0005-0000-0000-000086610000}"/>
    <cellStyle name="Normal 3 13 2 3" xfId="11290" xr:uid="{00000000-0005-0000-0000-000087610000}"/>
    <cellStyle name="Normal 3 13 2 3 2" xfId="5112" xr:uid="{00000000-0005-0000-0000-000088610000}"/>
    <cellStyle name="Normal 3 13 2 4" xfId="27382" xr:uid="{00000000-0005-0000-0000-000089610000}"/>
    <cellStyle name="Normal 3 13 2 4 2" xfId="32278" xr:uid="{00000000-0005-0000-0000-00008A610000}"/>
    <cellStyle name="Normal 3 13 2 5" xfId="27181" xr:uid="{00000000-0005-0000-0000-00008B610000}"/>
    <cellStyle name="Normal 3 13 2 5 2" xfId="31613" xr:uid="{00000000-0005-0000-0000-00008C610000}"/>
    <cellStyle name="Normal 3 13 2 6" xfId="19577" xr:uid="{00000000-0005-0000-0000-00008D610000}"/>
    <cellStyle name="Normal 3 13 2 6 2" xfId="23098" xr:uid="{00000000-0005-0000-0000-00008E610000}"/>
    <cellStyle name="Normal 3 13 2 7" xfId="19583" xr:uid="{00000000-0005-0000-0000-00008F610000}"/>
    <cellStyle name="Normal 3 13 3" xfId="9739" xr:uid="{00000000-0005-0000-0000-000090610000}"/>
    <cellStyle name="Normal 3 13 3 2" xfId="8018" xr:uid="{00000000-0005-0000-0000-000091610000}"/>
    <cellStyle name="Normal 3 13 4" xfId="9906" xr:uid="{00000000-0005-0000-0000-000092610000}"/>
    <cellStyle name="Normal 3 13 4 2" xfId="9758" xr:uid="{00000000-0005-0000-0000-000093610000}"/>
    <cellStyle name="Normal 3 13 5" xfId="25451" xr:uid="{00000000-0005-0000-0000-000094610000}"/>
    <cellStyle name="Normal 3 13 5 2" xfId="29255" xr:uid="{00000000-0005-0000-0000-000095610000}"/>
    <cellStyle name="Normal 3 13 6" xfId="22500" xr:uid="{00000000-0005-0000-0000-000096610000}"/>
    <cellStyle name="Normal 3 13 6 2" xfId="12405" xr:uid="{00000000-0005-0000-0000-000097610000}"/>
    <cellStyle name="Normal 3 13 7" xfId="8910" xr:uid="{00000000-0005-0000-0000-000098610000}"/>
    <cellStyle name="Normal 3 13 7 2" xfId="12437" xr:uid="{00000000-0005-0000-0000-000099610000}"/>
    <cellStyle name="Normal 3 13 8" xfId="27386" xr:uid="{00000000-0005-0000-0000-00009A610000}"/>
    <cellStyle name="Normal 3 13 9" xfId="27388" xr:uid="{00000000-0005-0000-0000-00009B610000}"/>
    <cellStyle name="Normal 3 14" xfId="5146" xr:uid="{00000000-0005-0000-0000-00009C610000}"/>
    <cellStyle name="Normal 3 14 2" xfId="26675" xr:uid="{00000000-0005-0000-0000-00009D610000}"/>
    <cellStyle name="Normal 3 14 2 2" xfId="89" xr:uid="{00000000-0005-0000-0000-00009E610000}"/>
    <cellStyle name="Normal 3 14 3" xfId="1605" xr:uid="{00000000-0005-0000-0000-00009F610000}"/>
    <cellStyle name="Normal 3 14 3 2" xfId="28942" xr:uid="{00000000-0005-0000-0000-0000A0610000}"/>
    <cellStyle name="Normal 3 14 4" xfId="1820" xr:uid="{00000000-0005-0000-0000-0000A1610000}"/>
    <cellStyle name="Normal 3 14 4 2" xfId="9773" xr:uid="{00000000-0005-0000-0000-0000A2610000}"/>
    <cellStyle name="Normal 3 14 5" xfId="1837" xr:uid="{00000000-0005-0000-0000-0000A3610000}"/>
    <cellStyle name="Normal 3 14 5 2" xfId="11764" xr:uid="{00000000-0005-0000-0000-0000A4610000}"/>
    <cellStyle name="Normal 3 14 6" xfId="16071" xr:uid="{00000000-0005-0000-0000-0000A5610000}"/>
    <cellStyle name="Normal 3 14 6 2" xfId="12471" xr:uid="{00000000-0005-0000-0000-0000A6610000}"/>
    <cellStyle name="Normal 3 14 7" xfId="27397" xr:uid="{00000000-0005-0000-0000-0000A7610000}"/>
    <cellStyle name="Normal 3 15" xfId="26679" xr:uid="{00000000-0005-0000-0000-0000A8610000}"/>
    <cellStyle name="Normal 3 15 2" xfId="2488" xr:uid="{00000000-0005-0000-0000-0000A9610000}"/>
    <cellStyle name="Normal 3 15 2 2" xfId="2494" xr:uid="{00000000-0005-0000-0000-0000AA610000}"/>
    <cellStyle name="Normal 3 15 3" xfId="1410" xr:uid="{00000000-0005-0000-0000-0000AB610000}"/>
    <cellStyle name="Normal 3 15 3 2" xfId="32009" xr:uid="{00000000-0005-0000-0000-0000AC610000}"/>
    <cellStyle name="Normal 3 15 4" xfId="1423" xr:uid="{00000000-0005-0000-0000-0000AD610000}"/>
    <cellStyle name="Normal 3 15 4 2" xfId="6276" xr:uid="{00000000-0005-0000-0000-0000AE610000}"/>
    <cellStyle name="Normal 3 15 5" xfId="12351" xr:uid="{00000000-0005-0000-0000-0000AF610000}"/>
    <cellStyle name="Normal 3 15 5 2" xfId="21740" xr:uid="{00000000-0005-0000-0000-0000B0610000}"/>
    <cellStyle name="Normal 3 15 6" xfId="996" xr:uid="{00000000-0005-0000-0000-0000B1610000}"/>
    <cellStyle name="Normal 3 15 6 2" xfId="12513" xr:uid="{00000000-0005-0000-0000-0000B2610000}"/>
    <cellStyle name="Normal 3 15 7" xfId="2602" xr:uid="{00000000-0005-0000-0000-0000B3610000}"/>
    <cellStyle name="Normal 3 16" xfId="26682" xr:uid="{00000000-0005-0000-0000-0000B4610000}"/>
    <cellStyle name="Normal 3 16 2" xfId="2689" xr:uid="{00000000-0005-0000-0000-0000B5610000}"/>
    <cellStyle name="Normal 3 16 2 2" xfId="2149" xr:uid="{00000000-0005-0000-0000-0000B6610000}"/>
    <cellStyle name="Normal 3 16 3" xfId="1438" xr:uid="{00000000-0005-0000-0000-0000B7610000}"/>
    <cellStyle name="Normal 3 16 3 2" xfId="30375" xr:uid="{00000000-0005-0000-0000-0000B8610000}"/>
    <cellStyle name="Normal 3 16 4" xfId="30381" xr:uid="{00000000-0005-0000-0000-0000B9610000}"/>
    <cellStyle name="Normal 3 16 4 2" xfId="221" xr:uid="{00000000-0005-0000-0000-0000BA610000}"/>
    <cellStyle name="Normal 3 16 5" xfId="1041" xr:uid="{00000000-0005-0000-0000-0000BB610000}"/>
    <cellStyle name="Normal 3 16 5 2" xfId="6654" xr:uid="{00000000-0005-0000-0000-0000BC610000}"/>
    <cellStyle name="Normal 3 16 6" xfId="1044" xr:uid="{00000000-0005-0000-0000-0000BD610000}"/>
    <cellStyle name="Normal 3 16 6 2" xfId="6848" xr:uid="{00000000-0005-0000-0000-0000BE610000}"/>
    <cellStyle name="Normal 3 16 7" xfId="15989" xr:uid="{00000000-0005-0000-0000-0000BF610000}"/>
    <cellStyle name="Normal 3 17" xfId="21214" xr:uid="{00000000-0005-0000-0000-0000C0610000}"/>
    <cellStyle name="Normal 3 17 2" xfId="2789" xr:uid="{00000000-0005-0000-0000-0000C1610000}"/>
    <cellStyle name="Normal 3 18" xfId="27958" xr:uid="{00000000-0005-0000-0000-0000C2610000}"/>
    <cellStyle name="Normal 3 18 2" xfId="2844" xr:uid="{00000000-0005-0000-0000-0000C3610000}"/>
    <cellStyle name="Normal 3 19" xfId="26478" xr:uid="{00000000-0005-0000-0000-0000C4610000}"/>
    <cellStyle name="Normal 3 19 2" xfId="2863" xr:uid="{00000000-0005-0000-0000-0000C5610000}"/>
    <cellStyle name="Normal 3 2" xfId="27402" xr:uid="{00000000-0005-0000-0000-0000C6610000}"/>
    <cellStyle name="Normal 3 2 10" xfId="26820" xr:uid="{00000000-0005-0000-0000-0000C7610000}"/>
    <cellStyle name="Normal 3 2 10 2" xfId="27406" xr:uid="{00000000-0005-0000-0000-0000C8610000}"/>
    <cellStyle name="Normal 3 2 10 2 2" xfId="29643" xr:uid="{00000000-0005-0000-0000-0000C9610000}"/>
    <cellStyle name="Normal 3 2 10 2 2 2" xfId="27415" xr:uid="{00000000-0005-0000-0000-0000CA610000}"/>
    <cellStyle name="Normal 3 2 10 2 3" xfId="14144" xr:uid="{00000000-0005-0000-0000-0000CB610000}"/>
    <cellStyle name="Normal 3 2 10 2 3 2" xfId="15548" xr:uid="{00000000-0005-0000-0000-0000CC610000}"/>
    <cellStyle name="Normal 3 2 10 2 4" xfId="21755" xr:uid="{00000000-0005-0000-0000-0000CD610000}"/>
    <cellStyle name="Normal 3 2 10 2 4 2" xfId="17423" xr:uid="{00000000-0005-0000-0000-0000CE610000}"/>
    <cellStyle name="Normal 3 2 10 2 5" xfId="15566" xr:uid="{00000000-0005-0000-0000-0000CF610000}"/>
    <cellStyle name="Normal 3 2 10 2 5 2" xfId="17852" xr:uid="{00000000-0005-0000-0000-0000D0610000}"/>
    <cellStyle name="Normal 3 2 10 2 6" xfId="15985" xr:uid="{00000000-0005-0000-0000-0000D1610000}"/>
    <cellStyle name="Normal 3 2 10 2 6 2" xfId="28262" xr:uid="{00000000-0005-0000-0000-0000D2610000}"/>
    <cellStyle name="Normal 3 2 10 2 7" xfId="14765" xr:uid="{00000000-0005-0000-0000-0000D3610000}"/>
    <cellStyle name="Normal 3 2 10 3" xfId="26602" xr:uid="{00000000-0005-0000-0000-0000D4610000}"/>
    <cellStyle name="Normal 3 2 10 3 2" xfId="18725" xr:uid="{00000000-0005-0000-0000-0000D5610000}"/>
    <cellStyle name="Normal 3 2 10 4" xfId="22901" xr:uid="{00000000-0005-0000-0000-0000D6610000}"/>
    <cellStyle name="Normal 3 2 10 4 2" xfId="21859" xr:uid="{00000000-0005-0000-0000-0000D7610000}"/>
    <cellStyle name="Normal 3 2 10 5" xfId="26419" xr:uid="{00000000-0005-0000-0000-0000D8610000}"/>
    <cellStyle name="Normal 3 2 10 5 2" xfId="5370" xr:uid="{00000000-0005-0000-0000-0000D9610000}"/>
    <cellStyle name="Normal 3 2 10 6" xfId="21053" xr:uid="{00000000-0005-0000-0000-0000DA610000}"/>
    <cellStyle name="Normal 3 2 10 6 2" xfId="31023" xr:uid="{00000000-0005-0000-0000-0000DB610000}"/>
    <cellStyle name="Normal 3 2 10 7" xfId="27423" xr:uid="{00000000-0005-0000-0000-0000DC610000}"/>
    <cellStyle name="Normal 3 2 10 7 2" xfId="28994" xr:uid="{00000000-0005-0000-0000-0000DD610000}"/>
    <cellStyle name="Normal 3 2 10 8" xfId="27432" xr:uid="{00000000-0005-0000-0000-0000DE610000}"/>
    <cellStyle name="Normal 3 2 11" xfId="8241" xr:uid="{00000000-0005-0000-0000-0000DF610000}"/>
    <cellStyle name="Normal 3 2 11 2" xfId="27442" xr:uid="{00000000-0005-0000-0000-0000E0610000}"/>
    <cellStyle name="Normal 3 2 11 2 2" xfId="27454" xr:uid="{00000000-0005-0000-0000-0000E1610000}"/>
    <cellStyle name="Normal 3 2 11 3" xfId="27498" xr:uid="{00000000-0005-0000-0000-0000E2610000}"/>
    <cellStyle name="Normal 3 2 11 3 2" xfId="22652" xr:uid="{00000000-0005-0000-0000-0000E3610000}"/>
    <cellStyle name="Normal 3 2 11 4" xfId="31356" xr:uid="{00000000-0005-0000-0000-0000E4610000}"/>
    <cellStyle name="Normal 3 2 11 4 2" xfId="3325" xr:uid="{00000000-0005-0000-0000-0000E5610000}"/>
    <cellStyle name="Normal 3 2 11 5" xfId="27458" xr:uid="{00000000-0005-0000-0000-0000E6610000}"/>
    <cellStyle name="Normal 3 2 11 5 2" xfId="27468" xr:uid="{00000000-0005-0000-0000-0000E7610000}"/>
    <cellStyle name="Normal 3 2 11 6" xfId="27476" xr:uid="{00000000-0005-0000-0000-0000E8610000}"/>
    <cellStyle name="Normal 3 2 11 6 2" xfId="8980" xr:uid="{00000000-0005-0000-0000-0000E9610000}"/>
    <cellStyle name="Normal 3 2 11 7" xfId="27480" xr:uid="{00000000-0005-0000-0000-0000EA610000}"/>
    <cellStyle name="Normal 3 2 12" xfId="14029" xr:uid="{00000000-0005-0000-0000-0000EB610000}"/>
    <cellStyle name="Normal 3 2 12 2" xfId="32734" xr:uid="{00000000-0005-0000-0000-0000EC610000}"/>
    <cellStyle name="Normal 3 2 12 2 2" xfId="26725" xr:uid="{00000000-0005-0000-0000-0000ED610000}"/>
    <cellStyle name="Normal 3 2 12 3" xfId="27485" xr:uid="{00000000-0005-0000-0000-0000EE610000}"/>
    <cellStyle name="Normal 3 2 12 3 2" xfId="16405" xr:uid="{00000000-0005-0000-0000-0000EF610000}"/>
    <cellStyle name="Normal 3 2 12 4" xfId="24465" xr:uid="{00000000-0005-0000-0000-0000F0610000}"/>
    <cellStyle name="Normal 3 2 12 4 2" xfId="25000" xr:uid="{00000000-0005-0000-0000-0000F1610000}"/>
    <cellStyle name="Normal 3 2 12 5" xfId="27939" xr:uid="{00000000-0005-0000-0000-0000F2610000}"/>
    <cellStyle name="Normal 3 2 12 5 2" xfId="25006" xr:uid="{00000000-0005-0000-0000-0000F3610000}"/>
    <cellStyle name="Normal 3 2 12 6" xfId="5326" xr:uid="{00000000-0005-0000-0000-0000F4610000}"/>
    <cellStyle name="Normal 3 2 12 6 2" xfId="26763" xr:uid="{00000000-0005-0000-0000-0000F5610000}"/>
    <cellStyle name="Normal 3 2 12 7" xfId="21725" xr:uid="{00000000-0005-0000-0000-0000F6610000}"/>
    <cellStyle name="Normal 3 2 13" xfId="14030" xr:uid="{00000000-0005-0000-0000-0000F7610000}"/>
    <cellStyle name="Normal 3 2 13 2" xfId="3403" xr:uid="{00000000-0005-0000-0000-0000F8610000}"/>
    <cellStyle name="Normal 3 2 14" xfId="28915" xr:uid="{00000000-0005-0000-0000-0000F9610000}"/>
    <cellStyle name="Normal 3 2 14 2" xfId="8048" xr:uid="{00000000-0005-0000-0000-0000FA610000}"/>
    <cellStyle name="Normal 3 2 15" xfId="26857" xr:uid="{00000000-0005-0000-0000-0000FB610000}"/>
    <cellStyle name="Normal 3 2 15 2" xfId="8051" xr:uid="{00000000-0005-0000-0000-0000FC610000}"/>
    <cellStyle name="Normal 3 2 16" xfId="29131" xr:uid="{00000000-0005-0000-0000-0000FD610000}"/>
    <cellStyle name="Normal 3 2 16 2" xfId="4325" xr:uid="{00000000-0005-0000-0000-0000FE610000}"/>
    <cellStyle name="Normal 3 2 17" xfId="20127" xr:uid="{00000000-0005-0000-0000-0000FF610000}"/>
    <cellStyle name="Normal 3 2 17 2" xfId="27447" xr:uid="{00000000-0005-0000-0000-000000620000}"/>
    <cellStyle name="Normal 3 2 18" xfId="9461" xr:uid="{00000000-0005-0000-0000-000001620000}"/>
    <cellStyle name="Normal 3 2 2" xfId="26152" xr:uid="{00000000-0005-0000-0000-000002620000}"/>
    <cellStyle name="Normal 3 2 2 10" xfId="27289" xr:uid="{00000000-0005-0000-0000-000003620000}"/>
    <cellStyle name="Normal 3 2 2 2" xfId="16962" xr:uid="{00000000-0005-0000-0000-000004620000}"/>
    <cellStyle name="Normal 3 2 2 2 2" xfId="22870" xr:uid="{00000000-0005-0000-0000-000005620000}"/>
    <cellStyle name="Normal 3 2 2 2 2 2" xfId="22877" xr:uid="{00000000-0005-0000-0000-000006620000}"/>
    <cellStyle name="Normal 3 2 2 2 2 2 2" xfId="140" xr:uid="{00000000-0005-0000-0000-000007620000}"/>
    <cellStyle name="Normal 3 2 2 2 2 2 2 2" xfId="28690" xr:uid="{00000000-0005-0000-0000-000008620000}"/>
    <cellStyle name="Normal 3 2 2 2 2 2 2 2 2" xfId="22879" xr:uid="{00000000-0005-0000-0000-000009620000}"/>
    <cellStyle name="Normal 3 2 2 2 2 2 2 2 2 2" xfId="31470" xr:uid="{00000000-0005-0000-0000-00000A620000}"/>
    <cellStyle name="Normal 3 2 2 2 2 2 2 2 2 2 2" xfId="32986" xr:uid="{00000000-0005-0000-0000-00000B620000}"/>
    <cellStyle name="Normal 3 2 2 2 2 2 2 2 2 2 2 2" xfId="5118" xr:uid="{00000000-0005-0000-0000-00000C620000}"/>
    <cellStyle name="Normal 3 2 2 2 2 2 2 2 2 2 3" xfId="21914" xr:uid="{00000000-0005-0000-0000-00000D620000}"/>
    <cellStyle name="Normal 3 2 2 2 2 2 2 2 2 3" xfId="26741" xr:uid="{00000000-0005-0000-0000-00000E620000}"/>
    <cellStyle name="Normal 3 2 2 2 2 2 2 2 2 3 2" xfId="26438" xr:uid="{00000000-0005-0000-0000-00000F620000}"/>
    <cellStyle name="Normal 3 2 2 2 2 2 2 2 2 4" xfId="30758" xr:uid="{00000000-0005-0000-0000-000010620000}"/>
    <cellStyle name="Normal 3 2 2 2 2 2 2 2 3" xfId="3530" xr:uid="{00000000-0005-0000-0000-000011620000}"/>
    <cellStyle name="Normal 3 2 2 2 2 2 2 2 3 2" xfId="26746" xr:uid="{00000000-0005-0000-0000-000012620000}"/>
    <cellStyle name="Normal 3 2 2 2 2 2 2 2 3 2 2" xfId="26474" xr:uid="{00000000-0005-0000-0000-000013620000}"/>
    <cellStyle name="Normal 3 2 2 2 2 2 2 2 3 3" xfId="26548" xr:uid="{00000000-0005-0000-0000-000014620000}"/>
    <cellStyle name="Normal 3 2 2 2 2 2 2 2 4" xfId="19893" xr:uid="{00000000-0005-0000-0000-000015620000}"/>
    <cellStyle name="Normal 3 2 2 2 2 2 2 2 4 2" xfId="27491" xr:uid="{00000000-0005-0000-0000-000016620000}"/>
    <cellStyle name="Normal 3 2 2 2 2 2 2 2 5" xfId="21295" xr:uid="{00000000-0005-0000-0000-000017620000}"/>
    <cellStyle name="Normal 3 2 2 2 2 2 2 3" xfId="23277" xr:uid="{00000000-0005-0000-0000-000018620000}"/>
    <cellStyle name="Normal 3 2 2 2 2 2 2 3 2" xfId="22880" xr:uid="{00000000-0005-0000-0000-000019620000}"/>
    <cellStyle name="Normal 3 2 2 2 2 2 2 3 2 2" xfId="3607" xr:uid="{00000000-0005-0000-0000-00001A620000}"/>
    <cellStyle name="Normal 3 2 2 2 2 2 2 3 2 2 2" xfId="26193" xr:uid="{00000000-0005-0000-0000-00001B620000}"/>
    <cellStyle name="Normal 3 2 2 2 2 2 2 3 2 3" xfId="3698" xr:uid="{00000000-0005-0000-0000-00001C620000}"/>
    <cellStyle name="Normal 3 2 2 2 2 2 2 3 3" xfId="22883" xr:uid="{00000000-0005-0000-0000-00001D620000}"/>
    <cellStyle name="Normal 3 2 2 2 2 2 2 3 3 2" xfId="16781" xr:uid="{00000000-0005-0000-0000-00001E620000}"/>
    <cellStyle name="Normal 3 2 2 2 2 2 2 3 4" xfId="25158" xr:uid="{00000000-0005-0000-0000-00001F620000}"/>
    <cellStyle name="Normal 3 2 2 2 2 2 2 4" xfId="22889" xr:uid="{00000000-0005-0000-0000-000020620000}"/>
    <cellStyle name="Normal 3 2 2 2 2 2 2 4 2" xfId="22893" xr:uid="{00000000-0005-0000-0000-000021620000}"/>
    <cellStyle name="Normal 3 2 2 2 2 2 2 4 2 2" xfId="495" xr:uid="{00000000-0005-0000-0000-000022620000}"/>
    <cellStyle name="Normal 3 2 2 2 2 2 2 4 3" xfId="27496" xr:uid="{00000000-0005-0000-0000-000023620000}"/>
    <cellStyle name="Normal 3 2 2 2 2 2 2 5" xfId="22899" xr:uid="{00000000-0005-0000-0000-000024620000}"/>
    <cellStyle name="Normal 3 2 2 2 2 2 2 5 2" xfId="27501" xr:uid="{00000000-0005-0000-0000-000025620000}"/>
    <cellStyle name="Normal 3 2 2 2 2 2 2 6" xfId="27504" xr:uid="{00000000-0005-0000-0000-000026620000}"/>
    <cellStyle name="Normal 3 2 2 2 2 2 3" xfId="33290" xr:uid="{00000000-0005-0000-0000-000027620000}"/>
    <cellStyle name="Normal 3 2 2 2 2 2 3 2" xfId="21196" xr:uid="{00000000-0005-0000-0000-000028620000}"/>
    <cellStyle name="Normal 3 2 2 2 2 2 3 2 2" xfId="22903" xr:uid="{00000000-0005-0000-0000-000029620000}"/>
    <cellStyle name="Normal 3 2 2 2 2 2 3 2 2 2" xfId="594" xr:uid="{00000000-0005-0000-0000-00002A620000}"/>
    <cellStyle name="Normal 3 2 2 2 2 2 3 2 2 2 2" xfId="27472" xr:uid="{00000000-0005-0000-0000-00002B620000}"/>
    <cellStyle name="Normal 3 2 2 2 2 2 3 2 2 3" xfId="42" xr:uid="{00000000-0005-0000-0000-00002C620000}"/>
    <cellStyle name="Normal 3 2 2 2 2 2 3 2 3" xfId="22911" xr:uid="{00000000-0005-0000-0000-00002D620000}"/>
    <cellStyle name="Normal 3 2 2 2 2 2 3 2 3 2" xfId="11521" xr:uid="{00000000-0005-0000-0000-00002E620000}"/>
    <cellStyle name="Normal 3 2 2 2 2 2 3 2 4" xfId="25167" xr:uid="{00000000-0005-0000-0000-00002F620000}"/>
    <cellStyle name="Normal 3 2 2 2 2 2 3 3" xfId="21204" xr:uid="{00000000-0005-0000-0000-000030620000}"/>
    <cellStyle name="Normal 3 2 2 2 2 2 3 3 2" xfId="31250" xr:uid="{00000000-0005-0000-0000-000031620000}"/>
    <cellStyle name="Normal 3 2 2 2 2 2 3 3 2 2" xfId="1920" xr:uid="{00000000-0005-0000-0000-000032620000}"/>
    <cellStyle name="Normal 3 2 2 2 2 2 3 3 3" xfId="26870" xr:uid="{00000000-0005-0000-0000-000033620000}"/>
    <cellStyle name="Normal 3 2 2 2 2 2 3 4" xfId="21681" xr:uid="{00000000-0005-0000-0000-000034620000}"/>
    <cellStyle name="Normal 3 2 2 2 2 2 3 4 2" xfId="30999" xr:uid="{00000000-0005-0000-0000-000035620000}"/>
    <cellStyle name="Normal 3 2 2 2 2 2 3 5" xfId="21216" xr:uid="{00000000-0005-0000-0000-000036620000}"/>
    <cellStyle name="Normal 3 2 2 2 2 2 4" xfId="31118" xr:uid="{00000000-0005-0000-0000-000037620000}"/>
    <cellStyle name="Normal 3 2 2 2 2 2 4 2" xfId="21218" xr:uid="{00000000-0005-0000-0000-000038620000}"/>
    <cellStyle name="Normal 3 2 2 2 2 2 4 2 2" xfId="33309" xr:uid="{00000000-0005-0000-0000-000039620000}"/>
    <cellStyle name="Normal 3 2 2 2 2 2 4 2 2 2" xfId="1461" xr:uid="{00000000-0005-0000-0000-00003A620000}"/>
    <cellStyle name="Normal 3 2 2 2 2 2 4 2 3" xfId="19398" xr:uid="{00000000-0005-0000-0000-00003B620000}"/>
    <cellStyle name="Normal 3 2 2 2 2 2 4 3" xfId="21232" xr:uid="{00000000-0005-0000-0000-00003C620000}"/>
    <cellStyle name="Normal 3 2 2 2 2 2 4 3 2" xfId="21181" xr:uid="{00000000-0005-0000-0000-00003D620000}"/>
    <cellStyle name="Normal 3 2 2 2 2 2 4 4" xfId="22858" xr:uid="{00000000-0005-0000-0000-00003E620000}"/>
    <cellStyle name="Normal 3 2 2 2 2 2 5" xfId="26003" xr:uid="{00000000-0005-0000-0000-00003F620000}"/>
    <cellStyle name="Normal 3 2 2 2 2 2 5 2" xfId="21239" xr:uid="{00000000-0005-0000-0000-000040620000}"/>
    <cellStyle name="Normal 3 2 2 2 2 2 5 2 2" xfId="27506" xr:uid="{00000000-0005-0000-0000-000041620000}"/>
    <cellStyle name="Normal 3 2 2 2 2 2 5 3" xfId="21247" xr:uid="{00000000-0005-0000-0000-000042620000}"/>
    <cellStyle name="Normal 3 2 2 2 2 2 6" xfId="21250" xr:uid="{00000000-0005-0000-0000-000043620000}"/>
    <cellStyle name="Normal 3 2 2 2 2 2 6 2" xfId="21252" xr:uid="{00000000-0005-0000-0000-000044620000}"/>
    <cellStyle name="Normal 3 2 2 2 2 2 7" xfId="21254" xr:uid="{00000000-0005-0000-0000-000045620000}"/>
    <cellStyle name="Normal 3 2 2 2 2 3" xfId="2705" xr:uid="{00000000-0005-0000-0000-000046620000}"/>
    <cellStyle name="Normal 3 2 2 2 2 3 2" xfId="28716" xr:uid="{00000000-0005-0000-0000-000047620000}"/>
    <cellStyle name="Normal 3 2 2 2 2 3 2 2" xfId="22914" xr:uid="{00000000-0005-0000-0000-000048620000}"/>
    <cellStyle name="Normal 3 2 2 2 2 3 2 2 2" xfId="22925" xr:uid="{00000000-0005-0000-0000-000049620000}"/>
    <cellStyle name="Normal 3 2 2 2 2 3 2 2 2 2" xfId="25497" xr:uid="{00000000-0005-0000-0000-00004A620000}"/>
    <cellStyle name="Normal 3 2 2 2 2 3 2 2 2 2 2" xfId="11924" xr:uid="{00000000-0005-0000-0000-00004B620000}"/>
    <cellStyle name="Normal 3 2 2 2 2 3 2 2 2 3" xfId="11448" xr:uid="{00000000-0005-0000-0000-00004C620000}"/>
    <cellStyle name="Normal 3 2 2 2 2 3 2 2 3" xfId="22930" xr:uid="{00000000-0005-0000-0000-00004D620000}"/>
    <cellStyle name="Normal 3 2 2 2 2 3 2 2 3 2" xfId="25511" xr:uid="{00000000-0005-0000-0000-00004E620000}"/>
    <cellStyle name="Normal 3 2 2 2 2 3 2 2 4" xfId="21440" xr:uid="{00000000-0005-0000-0000-00004F620000}"/>
    <cellStyle name="Normal 3 2 2 2 2 3 2 3" xfId="22934" xr:uid="{00000000-0005-0000-0000-000050620000}"/>
    <cellStyle name="Normal 3 2 2 2 2 3 2 3 2" xfId="22942" xr:uid="{00000000-0005-0000-0000-000051620000}"/>
    <cellStyle name="Normal 3 2 2 2 2 3 2 3 2 2" xfId="7764" xr:uid="{00000000-0005-0000-0000-000052620000}"/>
    <cellStyle name="Normal 3 2 2 2 2 3 2 3 3" xfId="26101" xr:uid="{00000000-0005-0000-0000-000053620000}"/>
    <cellStyle name="Normal 3 2 2 2 2 3 2 4" xfId="23051" xr:uid="{00000000-0005-0000-0000-000054620000}"/>
    <cellStyle name="Normal 3 2 2 2 2 3 2 4 2" xfId="26140" xr:uid="{00000000-0005-0000-0000-000055620000}"/>
    <cellStyle name="Normal 3 2 2 2 2 3 2 5" xfId="27095" xr:uid="{00000000-0005-0000-0000-000056620000}"/>
    <cellStyle name="Normal 3 2 2 2 2 3 3" xfId="2724" xr:uid="{00000000-0005-0000-0000-000057620000}"/>
    <cellStyle name="Normal 3 2 2 2 2 3 3 2" xfId="21265" xr:uid="{00000000-0005-0000-0000-000058620000}"/>
    <cellStyle name="Normal 3 2 2 2 2 3 3 2 2" xfId="22757" xr:uid="{00000000-0005-0000-0000-000059620000}"/>
    <cellStyle name="Normal 3 2 2 2 2 3 3 2 2 2" xfId="208" xr:uid="{00000000-0005-0000-0000-00005A620000}"/>
    <cellStyle name="Normal 3 2 2 2 2 3 3 2 3" xfId="26318" xr:uid="{00000000-0005-0000-0000-00005B620000}"/>
    <cellStyle name="Normal 3 2 2 2 2 3 3 3" xfId="21270" xr:uid="{00000000-0005-0000-0000-00005C620000}"/>
    <cellStyle name="Normal 3 2 2 2 2 3 3 3 2" xfId="28598" xr:uid="{00000000-0005-0000-0000-00005D620000}"/>
    <cellStyle name="Normal 3 2 2 2 2 3 3 4" xfId="21845" xr:uid="{00000000-0005-0000-0000-00005E620000}"/>
    <cellStyle name="Normal 3 2 2 2 2 3 4" xfId="1520" xr:uid="{00000000-0005-0000-0000-00005F620000}"/>
    <cellStyle name="Normal 3 2 2 2 2 3 4 2" xfId="15657" xr:uid="{00000000-0005-0000-0000-000060620000}"/>
    <cellStyle name="Normal 3 2 2 2 2 3 4 2 2" xfId="15661" xr:uid="{00000000-0005-0000-0000-000061620000}"/>
    <cellStyle name="Normal 3 2 2 2 2 3 4 3" xfId="15668" xr:uid="{00000000-0005-0000-0000-000062620000}"/>
    <cellStyle name="Normal 3 2 2 2 2 3 5" xfId="21273" xr:uid="{00000000-0005-0000-0000-000063620000}"/>
    <cellStyle name="Normal 3 2 2 2 2 3 5 2" xfId="15697" xr:uid="{00000000-0005-0000-0000-000064620000}"/>
    <cellStyle name="Normal 3 2 2 2 2 3 6" xfId="21275" xr:uid="{00000000-0005-0000-0000-000065620000}"/>
    <cellStyle name="Normal 3 2 2 2 2 4" xfId="2730" xr:uid="{00000000-0005-0000-0000-000066620000}"/>
    <cellStyle name="Normal 3 2 2 2 2 4 2" xfId="2742" xr:uid="{00000000-0005-0000-0000-000067620000}"/>
    <cellStyle name="Normal 3 2 2 2 2 4 2 2" xfId="18502" xr:uid="{00000000-0005-0000-0000-000068620000}"/>
    <cellStyle name="Normal 3 2 2 2 2 4 2 2 2" xfId="22951" xr:uid="{00000000-0005-0000-0000-000069620000}"/>
    <cellStyle name="Normal 3 2 2 2 2 4 2 2 2 2" xfId="19424" xr:uid="{00000000-0005-0000-0000-00006A620000}"/>
    <cellStyle name="Normal 3 2 2 2 2 4 2 2 3" xfId="26657" xr:uid="{00000000-0005-0000-0000-00006B620000}"/>
    <cellStyle name="Normal 3 2 2 2 2 4 2 3" xfId="18505" xr:uid="{00000000-0005-0000-0000-00006C620000}"/>
    <cellStyle name="Normal 3 2 2 2 2 4 2 3 2" xfId="18251" xr:uid="{00000000-0005-0000-0000-00006D620000}"/>
    <cellStyle name="Normal 3 2 2 2 2 4 2 4" xfId="25909" xr:uid="{00000000-0005-0000-0000-00006E620000}"/>
    <cellStyle name="Normal 3 2 2 2 2 4 3" xfId="21279" xr:uid="{00000000-0005-0000-0000-00006F620000}"/>
    <cellStyle name="Normal 3 2 2 2 2 4 3 2" xfId="28309" xr:uid="{00000000-0005-0000-0000-000070620000}"/>
    <cellStyle name="Normal 3 2 2 2 2 4 3 2 2" xfId="14426" xr:uid="{00000000-0005-0000-0000-000071620000}"/>
    <cellStyle name="Normal 3 2 2 2 2 4 3 3" xfId="21292" xr:uid="{00000000-0005-0000-0000-000072620000}"/>
    <cellStyle name="Normal 3 2 2 2 2 4 4" xfId="21301" xr:uid="{00000000-0005-0000-0000-000073620000}"/>
    <cellStyle name="Normal 3 2 2 2 2 4 4 2" xfId="15752" xr:uid="{00000000-0005-0000-0000-000074620000}"/>
    <cellStyle name="Normal 3 2 2 2 2 4 5" xfId="21307" xr:uid="{00000000-0005-0000-0000-000075620000}"/>
    <cellStyle name="Normal 3 2 2 2 2 5" xfId="2746" xr:uid="{00000000-0005-0000-0000-000076620000}"/>
    <cellStyle name="Normal 3 2 2 2 2 5 2" xfId="22956" xr:uid="{00000000-0005-0000-0000-000077620000}"/>
    <cellStyle name="Normal 3 2 2 2 2 5 2 2" xfId="18536" xr:uid="{00000000-0005-0000-0000-000078620000}"/>
    <cellStyle name="Normal 3 2 2 2 2 5 2 2 2" xfId="20586" xr:uid="{00000000-0005-0000-0000-000079620000}"/>
    <cellStyle name="Normal 3 2 2 2 2 5 2 3" xfId="26912" xr:uid="{00000000-0005-0000-0000-00007A620000}"/>
    <cellStyle name="Normal 3 2 2 2 2 5 3" xfId="10414" xr:uid="{00000000-0005-0000-0000-00007B620000}"/>
    <cellStyle name="Normal 3 2 2 2 2 5 3 2" xfId="21312" xr:uid="{00000000-0005-0000-0000-00007C620000}"/>
    <cellStyle name="Normal 3 2 2 2 2 5 4" xfId="13375" xr:uid="{00000000-0005-0000-0000-00007D620000}"/>
    <cellStyle name="Normal 3 2 2 2 2 6" xfId="10473" xr:uid="{00000000-0005-0000-0000-00007E620000}"/>
    <cellStyle name="Normal 3 2 2 2 2 6 2" xfId="22962" xr:uid="{00000000-0005-0000-0000-00007F620000}"/>
    <cellStyle name="Normal 3 2 2 2 2 6 2 2" xfId="31666" xr:uid="{00000000-0005-0000-0000-000080620000}"/>
    <cellStyle name="Normal 3 2 2 2 2 6 3" xfId="25651" xr:uid="{00000000-0005-0000-0000-000081620000}"/>
    <cellStyle name="Normal 3 2 2 2 2 7" xfId="4473" xr:uid="{00000000-0005-0000-0000-000082620000}"/>
    <cellStyle name="Normal 3 2 2 2 2 7 2" xfId="25661" xr:uid="{00000000-0005-0000-0000-000083620000}"/>
    <cellStyle name="Normal 3 2 2 2 2 8" xfId="4479" xr:uid="{00000000-0005-0000-0000-000084620000}"/>
    <cellStyle name="Normal 3 2 2 2 3" xfId="20176" xr:uid="{00000000-0005-0000-0000-000085620000}"/>
    <cellStyle name="Normal 3 2 2 2 3 2" xfId="22968" xr:uid="{00000000-0005-0000-0000-000086620000}"/>
    <cellStyle name="Normal 3 2 2 2 3 2 2" xfId="9698" xr:uid="{00000000-0005-0000-0000-000087620000}"/>
    <cellStyle name="Normal 3 2 2 2 3 2 2 2" xfId="22974" xr:uid="{00000000-0005-0000-0000-000088620000}"/>
    <cellStyle name="Normal 3 2 2 2 3 2 2 2 2" xfId="148" xr:uid="{00000000-0005-0000-0000-000089620000}"/>
    <cellStyle name="Normal 3 2 2 2 3 2 2 2 2 2" xfId="6036" xr:uid="{00000000-0005-0000-0000-00008A620000}"/>
    <cellStyle name="Normal 3 2 2 2 3 2 2 2 2 2 2" xfId="27523" xr:uid="{00000000-0005-0000-0000-00008B620000}"/>
    <cellStyle name="Normal 3 2 2 2 3 2 2 2 2 3" xfId="29213" xr:uid="{00000000-0005-0000-0000-00008C620000}"/>
    <cellStyle name="Normal 3 2 2 2 3 2 2 2 3" xfId="22979" xr:uid="{00000000-0005-0000-0000-00008D620000}"/>
    <cellStyle name="Normal 3 2 2 2 3 2 2 2 3 2" xfId="27536" xr:uid="{00000000-0005-0000-0000-00008E620000}"/>
    <cellStyle name="Normal 3 2 2 2 3 2 2 2 4" xfId="23210" xr:uid="{00000000-0005-0000-0000-00008F620000}"/>
    <cellStyle name="Normal 3 2 2 2 3 2 2 3" xfId="22983" xr:uid="{00000000-0005-0000-0000-000090620000}"/>
    <cellStyle name="Normal 3 2 2 2 3 2 2 3 2" xfId="22992" xr:uid="{00000000-0005-0000-0000-000091620000}"/>
    <cellStyle name="Normal 3 2 2 2 3 2 2 3 2 2" xfId="17435" xr:uid="{00000000-0005-0000-0000-000092620000}"/>
    <cellStyle name="Normal 3 2 2 2 3 2 2 3 3" xfId="27025" xr:uid="{00000000-0005-0000-0000-000093620000}"/>
    <cellStyle name="Normal 3 2 2 2 3 2 2 4" xfId="22315" xr:uid="{00000000-0005-0000-0000-000094620000}"/>
    <cellStyle name="Normal 3 2 2 2 3 2 2 4 2" xfId="19926" xr:uid="{00000000-0005-0000-0000-000095620000}"/>
    <cellStyle name="Normal 3 2 2 2 3 2 2 5" xfId="27550" xr:uid="{00000000-0005-0000-0000-000096620000}"/>
    <cellStyle name="Normal 3 2 2 2 3 2 3" xfId="21352" xr:uid="{00000000-0005-0000-0000-000097620000}"/>
    <cellStyle name="Normal 3 2 2 2 3 2 3 2" xfId="21358" xr:uid="{00000000-0005-0000-0000-000098620000}"/>
    <cellStyle name="Normal 3 2 2 2 3 2 3 2 2" xfId="27969" xr:uid="{00000000-0005-0000-0000-000099620000}"/>
    <cellStyle name="Normal 3 2 2 2 3 2 3 2 2 2" xfId="1792" xr:uid="{00000000-0005-0000-0000-00009A620000}"/>
    <cellStyle name="Normal 3 2 2 2 3 2 3 2 3" xfId="26882" xr:uid="{00000000-0005-0000-0000-00009B620000}"/>
    <cellStyle name="Normal 3 2 2 2 3 2 3 3" xfId="21370" xr:uid="{00000000-0005-0000-0000-00009C620000}"/>
    <cellStyle name="Normal 3 2 2 2 3 2 3 3 2" xfId="27556" xr:uid="{00000000-0005-0000-0000-00009D620000}"/>
    <cellStyle name="Normal 3 2 2 2 3 2 3 4" xfId="5104" xr:uid="{00000000-0005-0000-0000-00009E620000}"/>
    <cellStyle name="Normal 3 2 2 2 3 2 4" xfId="21374" xr:uid="{00000000-0005-0000-0000-00009F620000}"/>
    <cellStyle name="Normal 3 2 2 2 3 2 4 2" xfId="21378" xr:uid="{00000000-0005-0000-0000-0000A0620000}"/>
    <cellStyle name="Normal 3 2 2 2 3 2 4 2 2" xfId="27846" xr:uid="{00000000-0005-0000-0000-0000A1620000}"/>
    <cellStyle name="Normal 3 2 2 2 3 2 4 3" xfId="21388" xr:uid="{00000000-0005-0000-0000-0000A2620000}"/>
    <cellStyle name="Normal 3 2 2 2 3 2 5" xfId="21391" xr:uid="{00000000-0005-0000-0000-0000A3620000}"/>
    <cellStyle name="Normal 3 2 2 2 3 2 5 2" xfId="21399" xr:uid="{00000000-0005-0000-0000-0000A4620000}"/>
    <cellStyle name="Normal 3 2 2 2 3 2 6" xfId="21400" xr:uid="{00000000-0005-0000-0000-0000A5620000}"/>
    <cellStyle name="Normal 3 2 2 2 3 3" xfId="2762" xr:uid="{00000000-0005-0000-0000-0000A6620000}"/>
    <cellStyle name="Normal 3 2 2 2 3 3 2" xfId="2765" xr:uid="{00000000-0005-0000-0000-0000A7620000}"/>
    <cellStyle name="Normal 3 2 2 2 3 3 2 2" xfId="22999" xr:uid="{00000000-0005-0000-0000-0000A8620000}"/>
    <cellStyle name="Normal 3 2 2 2 3 3 2 2 2" xfId="23005" xr:uid="{00000000-0005-0000-0000-0000A9620000}"/>
    <cellStyle name="Normal 3 2 2 2 3 3 2 2 2 2" xfId="27559" xr:uid="{00000000-0005-0000-0000-0000AA620000}"/>
    <cellStyle name="Normal 3 2 2 2 3 3 2 2 3" xfId="18995" xr:uid="{00000000-0005-0000-0000-0000AB620000}"/>
    <cellStyle name="Normal 3 2 2 2 3 3 2 3" xfId="23008" xr:uid="{00000000-0005-0000-0000-0000AC620000}"/>
    <cellStyle name="Normal 3 2 2 2 3 3 2 3 2" xfId="27569" xr:uid="{00000000-0005-0000-0000-0000AD620000}"/>
    <cellStyle name="Normal 3 2 2 2 3 3 2 4" xfId="17449" xr:uid="{00000000-0005-0000-0000-0000AE620000}"/>
    <cellStyle name="Normal 3 2 2 2 3 3 3" xfId="18244" xr:uid="{00000000-0005-0000-0000-0000AF620000}"/>
    <cellStyle name="Normal 3 2 2 2 3 3 3 2" xfId="21408" xr:uid="{00000000-0005-0000-0000-0000B0620000}"/>
    <cellStyle name="Normal 3 2 2 2 3 3 3 2 2" xfId="27879" xr:uid="{00000000-0005-0000-0000-0000B1620000}"/>
    <cellStyle name="Normal 3 2 2 2 3 3 3 3" xfId="21416" xr:uid="{00000000-0005-0000-0000-0000B2620000}"/>
    <cellStyle name="Normal 3 2 2 2 3 3 4" xfId="21420" xr:uid="{00000000-0005-0000-0000-0000B3620000}"/>
    <cellStyle name="Normal 3 2 2 2 3 3 4 2" xfId="15829" xr:uid="{00000000-0005-0000-0000-0000B4620000}"/>
    <cellStyle name="Normal 3 2 2 2 3 3 5" xfId="21425" xr:uid="{00000000-0005-0000-0000-0000B5620000}"/>
    <cellStyle name="Normal 3 2 2 2 3 4" xfId="2775" xr:uid="{00000000-0005-0000-0000-0000B6620000}"/>
    <cellStyle name="Normal 3 2 2 2 3 4 2" xfId="17553" xr:uid="{00000000-0005-0000-0000-0000B7620000}"/>
    <cellStyle name="Normal 3 2 2 2 3 4 2 2" xfId="18576" xr:uid="{00000000-0005-0000-0000-0000B8620000}"/>
    <cellStyle name="Normal 3 2 2 2 3 4 2 2 2" xfId="27573" xr:uid="{00000000-0005-0000-0000-0000B9620000}"/>
    <cellStyle name="Normal 3 2 2 2 3 4 2 3" xfId="27580" xr:uid="{00000000-0005-0000-0000-0000BA620000}"/>
    <cellStyle name="Normal 3 2 2 2 3 4 3" xfId="21433" xr:uid="{00000000-0005-0000-0000-0000BB620000}"/>
    <cellStyle name="Normal 3 2 2 2 3 4 3 2" xfId="21436" xr:uid="{00000000-0005-0000-0000-0000BC620000}"/>
    <cellStyle name="Normal 3 2 2 2 3 4 4" xfId="20198" xr:uid="{00000000-0005-0000-0000-0000BD620000}"/>
    <cellStyle name="Normal 3 2 2 2 3 5" xfId="23010" xr:uid="{00000000-0005-0000-0000-0000BE620000}"/>
    <cellStyle name="Normal 3 2 2 2 3 5 2" xfId="23016" xr:uid="{00000000-0005-0000-0000-0000BF620000}"/>
    <cellStyle name="Normal 3 2 2 2 3 5 2 2" xfId="27591" xr:uid="{00000000-0005-0000-0000-0000C0620000}"/>
    <cellStyle name="Normal 3 2 2 2 3 5 3" xfId="25671" xr:uid="{00000000-0005-0000-0000-0000C1620000}"/>
    <cellStyle name="Normal 3 2 2 2 3 6" xfId="23020" xr:uid="{00000000-0005-0000-0000-0000C2620000}"/>
    <cellStyle name="Normal 3 2 2 2 3 6 2" xfId="25636" xr:uid="{00000000-0005-0000-0000-0000C3620000}"/>
    <cellStyle name="Normal 3 2 2 2 3 7" xfId="3528" xr:uid="{00000000-0005-0000-0000-0000C4620000}"/>
    <cellStyle name="Normal 3 2 2 2 4" xfId="23027" xr:uid="{00000000-0005-0000-0000-0000C5620000}"/>
    <cellStyle name="Normal 3 2 2 2 4 2" xfId="21323" xr:uid="{00000000-0005-0000-0000-0000C6620000}"/>
    <cellStyle name="Normal 3 2 2 2 4 2 2" xfId="30403" xr:uid="{00000000-0005-0000-0000-0000C7620000}"/>
    <cellStyle name="Normal 3 2 2 2 4 2 2 2" xfId="16139" xr:uid="{00000000-0005-0000-0000-0000C8620000}"/>
    <cellStyle name="Normal 3 2 2 2 4 2 2 2 2" xfId="23298" xr:uid="{00000000-0005-0000-0000-0000C9620000}"/>
    <cellStyle name="Normal 3 2 2 2 4 2 2 2 2 2" xfId="18195" xr:uid="{00000000-0005-0000-0000-0000CA620000}"/>
    <cellStyle name="Normal 3 2 2 2 4 2 2 2 3" xfId="27595" xr:uid="{00000000-0005-0000-0000-0000CB620000}"/>
    <cellStyle name="Normal 3 2 2 2 4 2 2 3" xfId="23034" xr:uid="{00000000-0005-0000-0000-0000CC620000}"/>
    <cellStyle name="Normal 3 2 2 2 4 2 2 3 2" xfId="27232" xr:uid="{00000000-0005-0000-0000-0000CD620000}"/>
    <cellStyle name="Normal 3 2 2 2 4 2 2 4" xfId="27257" xr:uid="{00000000-0005-0000-0000-0000CE620000}"/>
    <cellStyle name="Normal 3 2 2 2 4 2 3" xfId="21472" xr:uid="{00000000-0005-0000-0000-0000CF620000}"/>
    <cellStyle name="Normal 3 2 2 2 4 2 3 2" xfId="21480" xr:uid="{00000000-0005-0000-0000-0000D0620000}"/>
    <cellStyle name="Normal 3 2 2 2 4 2 3 2 2" xfId="26706" xr:uid="{00000000-0005-0000-0000-0000D1620000}"/>
    <cellStyle name="Normal 3 2 2 2 4 2 3 3" xfId="21491" xr:uid="{00000000-0005-0000-0000-0000D2620000}"/>
    <cellStyle name="Normal 3 2 2 2 4 2 4" xfId="21502" xr:uid="{00000000-0005-0000-0000-0000D3620000}"/>
    <cellStyle name="Normal 3 2 2 2 4 2 4 2" xfId="21508" xr:uid="{00000000-0005-0000-0000-0000D4620000}"/>
    <cellStyle name="Normal 3 2 2 2 4 2 5" xfId="18984" xr:uid="{00000000-0005-0000-0000-0000D5620000}"/>
    <cellStyle name="Normal 3 2 2 2 4 3" xfId="2782" xr:uid="{00000000-0005-0000-0000-0000D6620000}"/>
    <cellStyle name="Normal 3 2 2 2 4 3 2" xfId="17559" xr:uid="{00000000-0005-0000-0000-0000D7620000}"/>
    <cellStyle name="Normal 3 2 2 2 4 3 2 2" xfId="23044" xr:uid="{00000000-0005-0000-0000-0000D8620000}"/>
    <cellStyle name="Normal 3 2 2 2 4 3 2 2 2" xfId="27601" xr:uid="{00000000-0005-0000-0000-0000D9620000}"/>
    <cellStyle name="Normal 3 2 2 2 4 3 2 3" xfId="27605" xr:uid="{00000000-0005-0000-0000-0000DA620000}"/>
    <cellStyle name="Normal 3 2 2 2 4 3 3" xfId="21517" xr:uid="{00000000-0005-0000-0000-0000DB620000}"/>
    <cellStyle name="Normal 3 2 2 2 4 3 3 2" xfId="21524" xr:uid="{00000000-0005-0000-0000-0000DC620000}"/>
    <cellStyle name="Normal 3 2 2 2 4 3 4" xfId="21527" xr:uid="{00000000-0005-0000-0000-0000DD620000}"/>
    <cellStyle name="Normal 3 2 2 2 4 4" xfId="14094" xr:uid="{00000000-0005-0000-0000-0000DE620000}"/>
    <cellStyle name="Normal 3 2 2 2 4 4 2" xfId="23048" xr:uid="{00000000-0005-0000-0000-0000DF620000}"/>
    <cellStyle name="Normal 3 2 2 2 4 4 2 2" xfId="26108" xr:uid="{00000000-0005-0000-0000-0000E0620000}"/>
    <cellStyle name="Normal 3 2 2 2 4 4 3" xfId="21536" xr:uid="{00000000-0005-0000-0000-0000E1620000}"/>
    <cellStyle name="Normal 3 2 2 2 4 5" xfId="6683" xr:uid="{00000000-0005-0000-0000-0000E2620000}"/>
    <cellStyle name="Normal 3 2 2 2 4 5 2" xfId="27613" xr:uid="{00000000-0005-0000-0000-0000E3620000}"/>
    <cellStyle name="Normal 3 2 2 2 4 6" xfId="29393" xr:uid="{00000000-0005-0000-0000-0000E4620000}"/>
    <cellStyle name="Normal 3 2 2 2 5" xfId="26754" xr:uid="{00000000-0005-0000-0000-0000E5620000}"/>
    <cellStyle name="Normal 3 2 2 2 5 2" xfId="23053" xr:uid="{00000000-0005-0000-0000-0000E6620000}"/>
    <cellStyle name="Normal 3 2 2 2 5 2 2" xfId="23056" xr:uid="{00000000-0005-0000-0000-0000E7620000}"/>
    <cellStyle name="Normal 3 2 2 2 5 2 2 2" xfId="13817" xr:uid="{00000000-0005-0000-0000-0000E8620000}"/>
    <cellStyle name="Normal 3 2 2 2 5 2 2 2 2" xfId="27617" xr:uid="{00000000-0005-0000-0000-0000E9620000}"/>
    <cellStyle name="Normal 3 2 2 2 5 2 2 3" xfId="27620" xr:uid="{00000000-0005-0000-0000-0000EA620000}"/>
    <cellStyle name="Normal 3 2 2 2 5 2 3" xfId="23414" xr:uid="{00000000-0005-0000-0000-0000EB620000}"/>
    <cellStyle name="Normal 3 2 2 2 5 2 3 2" xfId="21544" xr:uid="{00000000-0005-0000-0000-0000EC620000}"/>
    <cellStyle name="Normal 3 2 2 2 5 2 4" xfId="21548" xr:uid="{00000000-0005-0000-0000-0000ED620000}"/>
    <cellStyle name="Normal 3 2 2 2 5 3" xfId="20090" xr:uid="{00000000-0005-0000-0000-0000EE620000}"/>
    <cellStyle name="Normal 3 2 2 2 5 3 2" xfId="19224" xr:uid="{00000000-0005-0000-0000-0000EF620000}"/>
    <cellStyle name="Normal 3 2 2 2 5 3 2 2" xfId="27521" xr:uid="{00000000-0005-0000-0000-0000F0620000}"/>
    <cellStyle name="Normal 3 2 2 2 5 3 3" xfId="21554" xr:uid="{00000000-0005-0000-0000-0000F1620000}"/>
    <cellStyle name="Normal 3 2 2 2 5 4" xfId="14099" xr:uid="{00000000-0005-0000-0000-0000F2620000}"/>
    <cellStyle name="Normal 3 2 2 2 5 4 2" xfId="23863" xr:uid="{00000000-0005-0000-0000-0000F3620000}"/>
    <cellStyle name="Normal 3 2 2 2 5 5" xfId="25355" xr:uid="{00000000-0005-0000-0000-0000F4620000}"/>
    <cellStyle name="Normal 3 2 2 2 6" xfId="23059" xr:uid="{00000000-0005-0000-0000-0000F5620000}"/>
    <cellStyle name="Normal 3 2 2 2 6 2" xfId="23062" xr:uid="{00000000-0005-0000-0000-0000F6620000}"/>
    <cellStyle name="Normal 3 2 2 2 6 2 2" xfId="23069" xr:uid="{00000000-0005-0000-0000-0000F7620000}"/>
    <cellStyle name="Normal 3 2 2 2 6 2 2 2" xfId="10260" xr:uid="{00000000-0005-0000-0000-0000F8620000}"/>
    <cellStyle name="Normal 3 2 2 2 6 2 3" xfId="21572" xr:uid="{00000000-0005-0000-0000-0000F9620000}"/>
    <cellStyle name="Normal 3 2 2 2 6 3" xfId="23077" xr:uid="{00000000-0005-0000-0000-0000FA620000}"/>
    <cellStyle name="Normal 3 2 2 2 6 3 2" xfId="27216" xr:uid="{00000000-0005-0000-0000-0000FB620000}"/>
    <cellStyle name="Normal 3 2 2 2 6 4" xfId="17032" xr:uid="{00000000-0005-0000-0000-0000FC620000}"/>
    <cellStyle name="Normal 3 2 2 2 7" xfId="23080" xr:uid="{00000000-0005-0000-0000-0000FD620000}"/>
    <cellStyle name="Normal 3 2 2 2 7 2" xfId="23083" xr:uid="{00000000-0005-0000-0000-0000FE620000}"/>
    <cellStyle name="Normal 3 2 2 2 7 2 2" xfId="27639" xr:uid="{00000000-0005-0000-0000-0000FF620000}"/>
    <cellStyle name="Normal 3 2 2 2 7 3" xfId="29826" xr:uid="{00000000-0005-0000-0000-000000630000}"/>
    <cellStyle name="Normal 3 2 2 2 8" xfId="23087" xr:uid="{00000000-0005-0000-0000-000001630000}"/>
    <cellStyle name="Normal 3 2 2 2 8 2" xfId="25332" xr:uid="{00000000-0005-0000-0000-000002630000}"/>
    <cellStyle name="Normal 3 2 2 2 9" xfId="15743" xr:uid="{00000000-0005-0000-0000-000003630000}"/>
    <cellStyle name="Normal 3 2 2 3" xfId="24823" xr:uid="{00000000-0005-0000-0000-000004630000}"/>
    <cellStyle name="Normal 3 2 2 3 2" xfId="23090" xr:uid="{00000000-0005-0000-0000-000005630000}"/>
    <cellStyle name="Normal 3 2 2 3 2 2" xfId="23095" xr:uid="{00000000-0005-0000-0000-000006630000}"/>
    <cellStyle name="Normal 3 2 2 3 2 2 2" xfId="10131" xr:uid="{00000000-0005-0000-0000-000007630000}"/>
    <cellStyle name="Normal 3 2 2 3 2 2 2 2" xfId="23109" xr:uid="{00000000-0005-0000-0000-000008630000}"/>
    <cellStyle name="Normal 3 2 2 3 2 2 2 2 2" xfId="23111" xr:uid="{00000000-0005-0000-0000-000009630000}"/>
    <cellStyle name="Normal 3 2 2 3 2 2 2 2 2 2" xfId="28725" xr:uid="{00000000-0005-0000-0000-00000A630000}"/>
    <cellStyle name="Normal 3 2 2 3 2 2 2 2 2 2 2" xfId="27642" xr:uid="{00000000-0005-0000-0000-00000B630000}"/>
    <cellStyle name="Normal 3 2 2 3 2 2 2 2 2 3" xfId="27528" xr:uid="{00000000-0005-0000-0000-00000C630000}"/>
    <cellStyle name="Normal 3 2 2 3 2 2 2 2 3" xfId="23113" xr:uid="{00000000-0005-0000-0000-00000D630000}"/>
    <cellStyle name="Normal 3 2 2 3 2 2 2 2 3 2" xfId="1296" xr:uid="{00000000-0005-0000-0000-00000E630000}"/>
    <cellStyle name="Normal 3 2 2 3 2 2 2 2 4" xfId="22367" xr:uid="{00000000-0005-0000-0000-00000F630000}"/>
    <cellStyle name="Normal 3 2 2 3 2 2 2 3" xfId="23752" xr:uid="{00000000-0005-0000-0000-000010630000}"/>
    <cellStyle name="Normal 3 2 2 3 2 2 2 3 2" xfId="23119" xr:uid="{00000000-0005-0000-0000-000011630000}"/>
    <cellStyle name="Normal 3 2 2 3 2 2 2 3 2 2" xfId="29614" xr:uid="{00000000-0005-0000-0000-000012630000}"/>
    <cellStyle name="Normal 3 2 2 3 2 2 2 3 3" xfId="23324" xr:uid="{00000000-0005-0000-0000-000013630000}"/>
    <cellStyle name="Normal 3 2 2 3 2 2 2 4" xfId="22402" xr:uid="{00000000-0005-0000-0000-000014630000}"/>
    <cellStyle name="Normal 3 2 2 3 2 2 2 4 2" xfId="29257" xr:uid="{00000000-0005-0000-0000-000015630000}"/>
    <cellStyle name="Normal 3 2 2 3 2 2 2 5" xfId="29258" xr:uid="{00000000-0005-0000-0000-000016630000}"/>
    <cellStyle name="Normal 3 2 2 3 2 2 3" xfId="24200" xr:uid="{00000000-0005-0000-0000-000017630000}"/>
    <cellStyle name="Normal 3 2 2 3 2 2 3 2" xfId="19415" xr:uid="{00000000-0005-0000-0000-000018630000}"/>
    <cellStyle name="Normal 3 2 2 3 2 2 3 2 2" xfId="23125" xr:uid="{00000000-0005-0000-0000-000019630000}"/>
    <cellStyle name="Normal 3 2 2 3 2 2 3 2 2 2" xfId="3521" xr:uid="{00000000-0005-0000-0000-00001A630000}"/>
    <cellStyle name="Normal 3 2 2 3 2 2 3 2 3" xfId="26894" xr:uid="{00000000-0005-0000-0000-00001B630000}"/>
    <cellStyle name="Normal 3 2 2 3 2 2 3 3" xfId="21564" xr:uid="{00000000-0005-0000-0000-00001C630000}"/>
    <cellStyle name="Normal 3 2 2 3 2 2 3 3 2" xfId="32333" xr:uid="{00000000-0005-0000-0000-00001D630000}"/>
    <cellStyle name="Normal 3 2 2 3 2 2 3 4" xfId="21598" xr:uid="{00000000-0005-0000-0000-00001E630000}"/>
    <cellStyle name="Normal 3 2 2 3 2 2 4" xfId="22442" xr:uid="{00000000-0005-0000-0000-00001F630000}"/>
    <cellStyle name="Normal 3 2 2 3 2 2 4 2" xfId="19441" xr:uid="{00000000-0005-0000-0000-000020630000}"/>
    <cellStyle name="Normal 3 2 2 3 2 2 4 2 2" xfId="28217" xr:uid="{00000000-0005-0000-0000-000021630000}"/>
    <cellStyle name="Normal 3 2 2 3 2 2 4 3" xfId="21607" xr:uid="{00000000-0005-0000-0000-000022630000}"/>
    <cellStyle name="Normal 3 2 2 3 2 2 5" xfId="21613" xr:uid="{00000000-0005-0000-0000-000023630000}"/>
    <cellStyle name="Normal 3 2 2 3 2 2 5 2" xfId="18092" xr:uid="{00000000-0005-0000-0000-000024630000}"/>
    <cellStyle name="Normal 3 2 2 3 2 2 6" xfId="21622" xr:uid="{00000000-0005-0000-0000-000025630000}"/>
    <cellStyle name="Normal 3 2 2 3 2 3" xfId="22507" xr:uid="{00000000-0005-0000-0000-000026630000}"/>
    <cellStyle name="Normal 3 2 2 3 2 3 2" xfId="18625" xr:uid="{00000000-0005-0000-0000-000027630000}"/>
    <cellStyle name="Normal 3 2 2 3 2 3 2 2" xfId="23128" xr:uid="{00000000-0005-0000-0000-000028630000}"/>
    <cellStyle name="Normal 3 2 2 3 2 3 2 2 2" xfId="23134" xr:uid="{00000000-0005-0000-0000-000029630000}"/>
    <cellStyle name="Normal 3 2 2 3 2 3 2 2 2 2" xfId="21530" xr:uid="{00000000-0005-0000-0000-00002A630000}"/>
    <cellStyle name="Normal 3 2 2 3 2 3 2 2 3" xfId="11270" xr:uid="{00000000-0005-0000-0000-00002B630000}"/>
    <cellStyle name="Normal 3 2 2 3 2 3 2 3" xfId="25452" xr:uid="{00000000-0005-0000-0000-00002C630000}"/>
    <cellStyle name="Normal 3 2 2 3 2 3 2 3 2" xfId="25699" xr:uid="{00000000-0005-0000-0000-00002D630000}"/>
    <cellStyle name="Normal 3 2 2 3 2 3 2 4" xfId="26867" xr:uid="{00000000-0005-0000-0000-00002E630000}"/>
    <cellStyle name="Normal 3 2 2 3 2 3 3" xfId="24118" xr:uid="{00000000-0005-0000-0000-00002F630000}"/>
    <cellStyle name="Normal 3 2 2 3 2 3 3 2" xfId="24125" xr:uid="{00000000-0005-0000-0000-000030630000}"/>
    <cellStyle name="Normal 3 2 2 3 2 3 3 2 2" xfId="28238" xr:uid="{00000000-0005-0000-0000-000031630000}"/>
    <cellStyle name="Normal 3 2 2 3 2 3 3 3" xfId="27420" xr:uid="{00000000-0005-0000-0000-000032630000}"/>
    <cellStyle name="Normal 3 2 2 3 2 3 4" xfId="21635" xr:uid="{00000000-0005-0000-0000-000033630000}"/>
    <cellStyle name="Normal 3 2 2 3 2 3 4 2" xfId="16153" xr:uid="{00000000-0005-0000-0000-000034630000}"/>
    <cellStyle name="Normal 3 2 2 3 2 3 5" xfId="21644" xr:uid="{00000000-0005-0000-0000-000035630000}"/>
    <cellStyle name="Normal 3 2 2 3 2 4" xfId="8729" xr:uid="{00000000-0005-0000-0000-000036630000}"/>
    <cellStyle name="Normal 3 2 2 3 2 4 2" xfId="23150" xr:uid="{00000000-0005-0000-0000-000037630000}"/>
    <cellStyle name="Normal 3 2 2 3 2 4 2 2" xfId="18692" xr:uid="{00000000-0005-0000-0000-000038630000}"/>
    <cellStyle name="Normal 3 2 2 3 2 4 2 2 2" xfId="27654" xr:uid="{00000000-0005-0000-0000-000039630000}"/>
    <cellStyle name="Normal 3 2 2 3 2 4 2 3" xfId="28814" xr:uid="{00000000-0005-0000-0000-00003A630000}"/>
    <cellStyle name="Normal 3 2 2 3 2 4 3" xfId="21652" xr:uid="{00000000-0005-0000-0000-00003B630000}"/>
    <cellStyle name="Normal 3 2 2 3 2 4 3 2" xfId="21659" xr:uid="{00000000-0005-0000-0000-00003C630000}"/>
    <cellStyle name="Normal 3 2 2 3 2 4 4" xfId="21666" xr:uid="{00000000-0005-0000-0000-00003D630000}"/>
    <cellStyle name="Normal 3 2 2 3 2 5" xfId="655" xr:uid="{00000000-0005-0000-0000-00003E630000}"/>
    <cellStyle name="Normal 3 2 2 3 2 5 2" xfId="23154" xr:uid="{00000000-0005-0000-0000-00003F630000}"/>
    <cellStyle name="Normal 3 2 2 3 2 5 2 2" xfId="11833" xr:uid="{00000000-0005-0000-0000-000040630000}"/>
    <cellStyle name="Normal 3 2 2 3 2 5 3" xfId="25701" xr:uid="{00000000-0005-0000-0000-000041630000}"/>
    <cellStyle name="Normal 3 2 2 3 2 6" xfId="16155" xr:uid="{00000000-0005-0000-0000-000042630000}"/>
    <cellStyle name="Normal 3 2 2 3 2 6 2" xfId="27658" xr:uid="{00000000-0005-0000-0000-000043630000}"/>
    <cellStyle name="Normal 3 2 2 3 2 7" xfId="2469" xr:uid="{00000000-0005-0000-0000-000044630000}"/>
    <cellStyle name="Normal 3 2 2 3 3" xfId="14199" xr:uid="{00000000-0005-0000-0000-000045630000}"/>
    <cellStyle name="Normal 3 2 2 3 3 2" xfId="23157" xr:uid="{00000000-0005-0000-0000-000046630000}"/>
    <cellStyle name="Normal 3 2 2 3 3 2 2" xfId="23163" xr:uid="{00000000-0005-0000-0000-000047630000}"/>
    <cellStyle name="Normal 3 2 2 3 3 2 2 2" xfId="24751" xr:uid="{00000000-0005-0000-0000-000048630000}"/>
    <cellStyle name="Normal 3 2 2 3 3 2 2 2 2" xfId="23171" xr:uid="{00000000-0005-0000-0000-000049630000}"/>
    <cellStyle name="Normal 3 2 2 3 3 2 2 2 2 2" xfId="27660" xr:uid="{00000000-0005-0000-0000-00004A630000}"/>
    <cellStyle name="Normal 3 2 2 3 3 2 2 2 3" xfId="27663" xr:uid="{00000000-0005-0000-0000-00004B630000}"/>
    <cellStyle name="Normal 3 2 2 3 3 2 2 3" xfId="23174" xr:uid="{00000000-0005-0000-0000-00004C630000}"/>
    <cellStyle name="Normal 3 2 2 3 3 2 2 3 2" xfId="27668" xr:uid="{00000000-0005-0000-0000-00004D630000}"/>
    <cellStyle name="Normal 3 2 2 3 3 2 2 4" xfId="27671" xr:uid="{00000000-0005-0000-0000-00004E630000}"/>
    <cellStyle name="Normal 3 2 2 3 3 2 3" xfId="21695" xr:uid="{00000000-0005-0000-0000-00004F630000}"/>
    <cellStyle name="Normal 3 2 2 3 3 2 3 2" xfId="19515" xr:uid="{00000000-0005-0000-0000-000050630000}"/>
    <cellStyle name="Normal 3 2 2 3 3 2 3 2 2" xfId="28369" xr:uid="{00000000-0005-0000-0000-000051630000}"/>
    <cellStyle name="Normal 3 2 2 3 3 2 3 3" xfId="21698" xr:uid="{00000000-0005-0000-0000-000052630000}"/>
    <cellStyle name="Normal 3 2 2 3 3 2 4" xfId="23990" xr:uid="{00000000-0005-0000-0000-000053630000}"/>
    <cellStyle name="Normal 3 2 2 3 3 2 4 2" xfId="26143" xr:uid="{00000000-0005-0000-0000-000054630000}"/>
    <cellStyle name="Normal 3 2 2 3 3 2 5" xfId="21703" xr:uid="{00000000-0005-0000-0000-000055630000}"/>
    <cellStyle name="Normal 3 2 2 3 3 3" xfId="31456" xr:uid="{00000000-0005-0000-0000-000056630000}"/>
    <cellStyle name="Normal 3 2 2 3 3 3 2" xfId="32041" xr:uid="{00000000-0005-0000-0000-000057630000}"/>
    <cellStyle name="Normal 3 2 2 3 3 3 2 2" xfId="557" xr:uid="{00000000-0005-0000-0000-000058630000}"/>
    <cellStyle name="Normal 3 2 2 3 3 3 2 2 2" xfId="27676" xr:uid="{00000000-0005-0000-0000-000059630000}"/>
    <cellStyle name="Normal 3 2 2 3 3 3 2 3" xfId="2224" xr:uid="{00000000-0005-0000-0000-00005A630000}"/>
    <cellStyle name="Normal 3 2 2 3 3 3 3" xfId="28776" xr:uid="{00000000-0005-0000-0000-00005B630000}"/>
    <cellStyle name="Normal 3 2 2 3 3 3 3 2" xfId="758" xr:uid="{00000000-0005-0000-0000-00005C630000}"/>
    <cellStyle name="Normal 3 2 2 3 3 3 4" xfId="21710" xr:uid="{00000000-0005-0000-0000-00005D630000}"/>
    <cellStyle name="Normal 3 2 2 3 3 4" xfId="32810" xr:uid="{00000000-0005-0000-0000-00005E630000}"/>
    <cellStyle name="Normal 3 2 2 3 3 4 2" xfId="23177" xr:uid="{00000000-0005-0000-0000-00005F630000}"/>
    <cellStyle name="Normal 3 2 2 3 3 4 2 2" xfId="505" xr:uid="{00000000-0005-0000-0000-000060630000}"/>
    <cellStyle name="Normal 3 2 2 3 3 4 3" xfId="21717" xr:uid="{00000000-0005-0000-0000-000061630000}"/>
    <cellStyle name="Normal 3 2 2 3 3 5" xfId="32763" xr:uid="{00000000-0005-0000-0000-000062630000}"/>
    <cellStyle name="Normal 3 2 2 3 3 5 2" xfId="24901" xr:uid="{00000000-0005-0000-0000-000063630000}"/>
    <cellStyle name="Normal 3 2 2 3 3 6" xfId="25170" xr:uid="{00000000-0005-0000-0000-000064630000}"/>
    <cellStyle name="Normal 3 2 2 3 4" xfId="18878" xr:uid="{00000000-0005-0000-0000-000065630000}"/>
    <cellStyle name="Normal 3 2 2 3 4 2" xfId="29369" xr:uid="{00000000-0005-0000-0000-000066630000}"/>
    <cellStyle name="Normal 3 2 2 3 4 2 2" xfId="23187" xr:uid="{00000000-0005-0000-0000-000067630000}"/>
    <cellStyle name="Normal 3 2 2 3 4 2 2 2" xfId="23196" xr:uid="{00000000-0005-0000-0000-000068630000}"/>
    <cellStyle name="Normal 3 2 2 3 4 2 2 2 2" xfId="28664" xr:uid="{00000000-0005-0000-0000-000069630000}"/>
    <cellStyle name="Normal 3 2 2 3 4 2 2 3" xfId="27702" xr:uid="{00000000-0005-0000-0000-00006A630000}"/>
    <cellStyle name="Normal 3 2 2 3 4 2 3" xfId="5345" xr:uid="{00000000-0005-0000-0000-00006B630000}"/>
    <cellStyle name="Normal 3 2 2 3 4 2 3 2" xfId="21737" xr:uid="{00000000-0005-0000-0000-00006C630000}"/>
    <cellStyle name="Normal 3 2 2 3 4 2 4" xfId="21743" xr:uid="{00000000-0005-0000-0000-00006D630000}"/>
    <cellStyle name="Normal 3 2 2 3 4 3" xfId="23317" xr:uid="{00000000-0005-0000-0000-00006E630000}"/>
    <cellStyle name="Normal 3 2 2 3 4 3 2" xfId="28490" xr:uid="{00000000-0005-0000-0000-00006F630000}"/>
    <cellStyle name="Normal 3 2 2 3 4 3 2 2" xfId="2540" xr:uid="{00000000-0005-0000-0000-000070630000}"/>
    <cellStyle name="Normal 3 2 2 3 4 3 3" xfId="17817" xr:uid="{00000000-0005-0000-0000-000071630000}"/>
    <cellStyle name="Normal 3 2 2 3 4 4" xfId="29973" xr:uid="{00000000-0005-0000-0000-000072630000}"/>
    <cellStyle name="Normal 3 2 2 3 4 4 2" xfId="25686" xr:uid="{00000000-0005-0000-0000-000073630000}"/>
    <cellStyle name="Normal 3 2 2 3 4 5" xfId="15345" xr:uid="{00000000-0005-0000-0000-000074630000}"/>
    <cellStyle name="Normal 3 2 2 3 5" xfId="11386" xr:uid="{00000000-0005-0000-0000-000075630000}"/>
    <cellStyle name="Normal 3 2 2 3 5 2" xfId="27511" xr:uid="{00000000-0005-0000-0000-000076630000}"/>
    <cellStyle name="Normal 3 2 2 3 5 2 2" xfId="23205" xr:uid="{00000000-0005-0000-0000-000077630000}"/>
    <cellStyle name="Normal 3 2 2 3 5 2 2 2" xfId="16869" xr:uid="{00000000-0005-0000-0000-000078630000}"/>
    <cellStyle name="Normal 3 2 2 3 5 2 3" xfId="26776" xr:uid="{00000000-0005-0000-0000-000079630000}"/>
    <cellStyle name="Normal 3 2 2 3 5 3" xfId="14567" xr:uid="{00000000-0005-0000-0000-00007A630000}"/>
    <cellStyle name="Normal 3 2 2 3 5 3 2" xfId="25731" xr:uid="{00000000-0005-0000-0000-00007B630000}"/>
    <cellStyle name="Normal 3 2 2 3 5 4" xfId="27678" xr:uid="{00000000-0005-0000-0000-00007C630000}"/>
    <cellStyle name="Normal 3 2 2 3 6" xfId="23213" xr:uid="{00000000-0005-0000-0000-00007D630000}"/>
    <cellStyle name="Normal 3 2 2 3 6 2" xfId="14583" xr:uid="{00000000-0005-0000-0000-00007E630000}"/>
    <cellStyle name="Normal 3 2 2 3 6 2 2" xfId="25752" xr:uid="{00000000-0005-0000-0000-00007F630000}"/>
    <cellStyle name="Normal 3 2 2 3 6 3" xfId="27685" xr:uid="{00000000-0005-0000-0000-000080630000}"/>
    <cellStyle name="Normal 3 2 2 3 7" xfId="23221" xr:uid="{00000000-0005-0000-0000-000081630000}"/>
    <cellStyle name="Normal 3 2 2 3 7 2" xfId="27699" xr:uid="{00000000-0005-0000-0000-000082630000}"/>
    <cellStyle name="Normal 3 2 2 3 8" xfId="27366" xr:uid="{00000000-0005-0000-0000-000083630000}"/>
    <cellStyle name="Normal 3 2 2 4" xfId="1229" xr:uid="{00000000-0005-0000-0000-000084630000}"/>
    <cellStyle name="Normal 3 2 2 4 2" xfId="23233" xr:uid="{00000000-0005-0000-0000-000085630000}"/>
    <cellStyle name="Normal 3 2 2 4 2 2" xfId="23238" xr:uid="{00000000-0005-0000-0000-000086630000}"/>
    <cellStyle name="Normal 3 2 2 4 2 2 2" xfId="14640" xr:uid="{00000000-0005-0000-0000-000087630000}"/>
    <cellStyle name="Normal 3 2 2 4 2 2 2 2" xfId="6342" xr:uid="{00000000-0005-0000-0000-000088630000}"/>
    <cellStyle name="Normal 3 2 2 4 2 2 2 2 2" xfId="1356" xr:uid="{00000000-0005-0000-0000-000089630000}"/>
    <cellStyle name="Normal 3 2 2 4 2 2 2 2 2 2" xfId="27703" xr:uid="{00000000-0005-0000-0000-00008A630000}"/>
    <cellStyle name="Normal 3 2 2 4 2 2 2 2 3" xfId="8855" xr:uid="{00000000-0005-0000-0000-00008B630000}"/>
    <cellStyle name="Normal 3 2 2 4 2 2 2 3" xfId="12594" xr:uid="{00000000-0005-0000-0000-00008C630000}"/>
    <cellStyle name="Normal 3 2 2 4 2 2 2 3 2" xfId="4611" xr:uid="{00000000-0005-0000-0000-00008D630000}"/>
    <cellStyle name="Normal 3 2 2 4 2 2 2 4" xfId="12602" xr:uid="{00000000-0005-0000-0000-00008E630000}"/>
    <cellStyle name="Normal 3 2 2 4 2 2 3" xfId="20344" xr:uid="{00000000-0005-0000-0000-00008F630000}"/>
    <cellStyle name="Normal 3 2 2 4 2 2 3 2" xfId="2572" xr:uid="{00000000-0005-0000-0000-000090630000}"/>
    <cellStyle name="Normal 3 2 2 4 2 2 3 2 2" xfId="2575" xr:uid="{00000000-0005-0000-0000-000091630000}"/>
    <cellStyle name="Normal 3 2 2 4 2 2 3 3" xfId="6315" xr:uid="{00000000-0005-0000-0000-000092630000}"/>
    <cellStyle name="Normal 3 2 2 4 2 2 4" xfId="21773" xr:uid="{00000000-0005-0000-0000-000093630000}"/>
    <cellStyle name="Normal 3 2 2 4 2 2 4 2" xfId="989" xr:uid="{00000000-0005-0000-0000-000094630000}"/>
    <cellStyle name="Normal 3 2 2 4 2 2 5" xfId="21775" xr:uid="{00000000-0005-0000-0000-000095630000}"/>
    <cellStyle name="Normal 3 2 2 4 2 3" xfId="8736" xr:uid="{00000000-0005-0000-0000-000096630000}"/>
    <cellStyle name="Normal 3 2 2 4 2 3 2" xfId="19283" xr:uid="{00000000-0005-0000-0000-000097630000}"/>
    <cellStyle name="Normal 3 2 2 4 2 3 2 2" xfId="115" xr:uid="{00000000-0005-0000-0000-000098630000}"/>
    <cellStyle name="Normal 3 2 2 4 2 3 2 2 2" xfId="23253" xr:uid="{00000000-0005-0000-0000-000099630000}"/>
    <cellStyle name="Normal 3 2 2 4 2 3 2 3" xfId="8389" xr:uid="{00000000-0005-0000-0000-00009A630000}"/>
    <cellStyle name="Normal 3 2 2 4 2 3 3" xfId="21782" xr:uid="{00000000-0005-0000-0000-00009B630000}"/>
    <cellStyle name="Normal 3 2 2 4 2 3 3 2" xfId="1032" xr:uid="{00000000-0005-0000-0000-00009C630000}"/>
    <cellStyle name="Normal 3 2 2 4 2 3 4" xfId="21786" xr:uid="{00000000-0005-0000-0000-00009D630000}"/>
    <cellStyle name="Normal 3 2 2 4 2 4" xfId="8742" xr:uid="{00000000-0005-0000-0000-00009E630000}"/>
    <cellStyle name="Normal 3 2 2 4 2 4 2" xfId="23240" xr:uid="{00000000-0005-0000-0000-00009F630000}"/>
    <cellStyle name="Normal 3 2 2 4 2 4 2 2" xfId="232" xr:uid="{00000000-0005-0000-0000-0000A0630000}"/>
    <cellStyle name="Normal 3 2 2 4 2 4 3" xfId="21788" xr:uid="{00000000-0005-0000-0000-0000A1630000}"/>
    <cellStyle name="Normal 3 2 2 4 2 5" xfId="18562" xr:uid="{00000000-0005-0000-0000-0000A2630000}"/>
    <cellStyle name="Normal 3 2 2 4 2 5 2" xfId="22249" xr:uid="{00000000-0005-0000-0000-0000A3630000}"/>
    <cellStyle name="Normal 3 2 2 4 2 6" xfId="14062" xr:uid="{00000000-0005-0000-0000-0000A4630000}"/>
    <cellStyle name="Normal 3 2 2 4 3" xfId="3798" xr:uid="{00000000-0005-0000-0000-0000A5630000}"/>
    <cellStyle name="Normal 3 2 2 4 3 2" xfId="23248" xr:uid="{00000000-0005-0000-0000-0000A6630000}"/>
    <cellStyle name="Normal 3 2 2 4 3 2 2" xfId="32060" xr:uid="{00000000-0005-0000-0000-0000A7630000}"/>
    <cellStyle name="Normal 3 2 2 4 3 2 2 2" xfId="10069" xr:uid="{00000000-0005-0000-0000-0000A8630000}"/>
    <cellStyle name="Normal 3 2 2 4 3 2 2 2 2" xfId="10074" xr:uid="{00000000-0005-0000-0000-0000A9630000}"/>
    <cellStyle name="Normal 3 2 2 4 3 2 2 3" xfId="12641" xr:uid="{00000000-0005-0000-0000-0000AA630000}"/>
    <cellStyle name="Normal 3 2 2 4 3 2 3" xfId="20005" xr:uid="{00000000-0005-0000-0000-0000AB630000}"/>
    <cellStyle name="Normal 3 2 2 4 3 2 3 2" xfId="16585" xr:uid="{00000000-0005-0000-0000-0000AC630000}"/>
    <cellStyle name="Normal 3 2 2 4 3 2 4" xfId="23999" xr:uid="{00000000-0005-0000-0000-0000AD630000}"/>
    <cellStyle name="Normal 3 2 2 4 3 3" xfId="8746" xr:uid="{00000000-0005-0000-0000-0000AE630000}"/>
    <cellStyle name="Normal 3 2 2 4 3 3 2" xfId="23249" xr:uid="{00000000-0005-0000-0000-0000AF630000}"/>
    <cellStyle name="Normal 3 2 2 4 3 3 2 2" xfId="10444" xr:uid="{00000000-0005-0000-0000-0000B0630000}"/>
    <cellStyle name="Normal 3 2 2 4 3 3 3" xfId="21802" xr:uid="{00000000-0005-0000-0000-0000B1630000}"/>
    <cellStyle name="Normal 3 2 2 4 3 4" xfId="29235" xr:uid="{00000000-0005-0000-0000-0000B2630000}"/>
    <cellStyle name="Normal 3 2 2 4 3 4 2" xfId="27704" xr:uid="{00000000-0005-0000-0000-0000B3630000}"/>
    <cellStyle name="Normal 3 2 2 4 3 5" xfId="27705" xr:uid="{00000000-0005-0000-0000-0000B4630000}"/>
    <cellStyle name="Normal 3 2 2 4 4" xfId="11391" xr:uid="{00000000-0005-0000-0000-0000B5630000}"/>
    <cellStyle name="Normal 3 2 2 4 4 2" xfId="23260" xr:uid="{00000000-0005-0000-0000-0000B6630000}"/>
    <cellStyle name="Normal 3 2 2 4 4 2 2" xfId="23263" xr:uid="{00000000-0005-0000-0000-0000B7630000}"/>
    <cellStyle name="Normal 3 2 2 4 4 2 2 2" xfId="11926" xr:uid="{00000000-0005-0000-0000-0000B8630000}"/>
    <cellStyle name="Normal 3 2 2 4 4 2 3" xfId="21818" xr:uid="{00000000-0005-0000-0000-0000B9630000}"/>
    <cellStyle name="Normal 3 2 2 4 4 3" xfId="3285" xr:uid="{00000000-0005-0000-0000-0000BA630000}"/>
    <cellStyle name="Normal 3 2 2 4 4 3 2" xfId="1917" xr:uid="{00000000-0005-0000-0000-0000BB630000}"/>
    <cellStyle name="Normal 3 2 2 4 4 4" xfId="27709" xr:uid="{00000000-0005-0000-0000-0000BC630000}"/>
    <cellStyle name="Normal 3 2 2 4 5" xfId="23272" xr:uid="{00000000-0005-0000-0000-0000BD630000}"/>
    <cellStyle name="Normal 3 2 2 4 5 2" xfId="23845" xr:uid="{00000000-0005-0000-0000-0000BE630000}"/>
    <cellStyle name="Normal 3 2 2 4 5 2 2" xfId="26785" xr:uid="{00000000-0005-0000-0000-0000BF630000}"/>
    <cellStyle name="Normal 3 2 2 4 5 3" xfId="27473" xr:uid="{00000000-0005-0000-0000-0000C0630000}"/>
    <cellStyle name="Normal 3 2 2 4 6" xfId="23283" xr:uid="{00000000-0005-0000-0000-0000C1630000}"/>
    <cellStyle name="Normal 3 2 2 4 6 2" xfId="27717" xr:uid="{00000000-0005-0000-0000-0000C2630000}"/>
    <cellStyle name="Normal 3 2 2 4 7" xfId="22218" xr:uid="{00000000-0005-0000-0000-0000C3630000}"/>
    <cellStyle name="Normal 3 2 2 5" xfId="19151" xr:uid="{00000000-0005-0000-0000-0000C4630000}"/>
    <cellStyle name="Normal 3 2 2 5 2" xfId="23287" xr:uid="{00000000-0005-0000-0000-0000C5630000}"/>
    <cellStyle name="Normal 3 2 2 5 2 2" xfId="22766" xr:uid="{00000000-0005-0000-0000-0000C6630000}"/>
    <cellStyle name="Normal 3 2 2 5 2 2 2" xfId="17359" xr:uid="{00000000-0005-0000-0000-0000C7630000}"/>
    <cellStyle name="Normal 3 2 2 5 2 2 2 2" xfId="23290" xr:uid="{00000000-0005-0000-0000-0000C8630000}"/>
    <cellStyle name="Normal 3 2 2 5 2 2 2 2 2" xfId="33601" xr:uid="{00000000-0005-0000-0000-0000C9630000}"/>
    <cellStyle name="Normal 3 2 2 5 2 2 2 3" xfId="27720" xr:uid="{00000000-0005-0000-0000-0000CA630000}"/>
    <cellStyle name="Normal 3 2 2 5 2 2 3" xfId="21834" xr:uid="{00000000-0005-0000-0000-0000CB630000}"/>
    <cellStyle name="Normal 3 2 2 5 2 2 3 2" xfId="21837" xr:uid="{00000000-0005-0000-0000-0000CC630000}"/>
    <cellStyle name="Normal 3 2 2 5 2 2 4" xfId="21841" xr:uid="{00000000-0005-0000-0000-0000CD630000}"/>
    <cellStyle name="Normal 3 2 2 5 2 3" xfId="8695" xr:uid="{00000000-0005-0000-0000-0000CE630000}"/>
    <cellStyle name="Normal 3 2 2 5 2 3 2" xfId="28572" xr:uid="{00000000-0005-0000-0000-0000CF630000}"/>
    <cellStyle name="Normal 3 2 2 5 2 3 2 2" xfId="27732" xr:uid="{00000000-0005-0000-0000-0000D0630000}"/>
    <cellStyle name="Normal 3 2 2 5 2 3 3" xfId="21849" xr:uid="{00000000-0005-0000-0000-0000D1630000}"/>
    <cellStyle name="Normal 3 2 2 5 2 4" xfId="28575" xr:uid="{00000000-0005-0000-0000-0000D2630000}"/>
    <cellStyle name="Normal 3 2 2 5 2 4 2" xfId="33402" xr:uid="{00000000-0005-0000-0000-0000D3630000}"/>
    <cellStyle name="Normal 3 2 2 5 2 5" xfId="27734" xr:uid="{00000000-0005-0000-0000-0000D4630000}"/>
    <cellStyle name="Normal 3 2 2 5 3" xfId="19189" xr:uid="{00000000-0005-0000-0000-0000D5630000}"/>
    <cellStyle name="Normal 3 2 2 5 3 2" xfId="23291" xr:uid="{00000000-0005-0000-0000-0000D6630000}"/>
    <cellStyle name="Normal 3 2 2 5 3 2 2" xfId="27163" xr:uid="{00000000-0005-0000-0000-0000D7630000}"/>
    <cellStyle name="Normal 3 2 2 5 3 2 2 2" xfId="14033" xr:uid="{00000000-0005-0000-0000-0000D8630000}"/>
    <cellStyle name="Normal 3 2 2 5 3 2 3" xfId="22176" xr:uid="{00000000-0005-0000-0000-0000D9630000}"/>
    <cellStyle name="Normal 3 2 2 5 3 3" xfId="19689" xr:uid="{00000000-0005-0000-0000-0000DA630000}"/>
    <cellStyle name="Normal 3 2 2 5 3 3 2" xfId="33193" xr:uid="{00000000-0005-0000-0000-0000DB630000}"/>
    <cellStyle name="Normal 3 2 2 5 3 4" xfId="28972" xr:uid="{00000000-0005-0000-0000-0000DC630000}"/>
    <cellStyle name="Normal 3 2 2 5 4" xfId="19207" xr:uid="{00000000-0005-0000-0000-0000DD630000}"/>
    <cellStyle name="Normal 3 2 2 5 4 2" xfId="23292" xr:uid="{00000000-0005-0000-0000-0000DE630000}"/>
    <cellStyle name="Normal 3 2 2 5 4 2 2" xfId="25856" xr:uid="{00000000-0005-0000-0000-0000DF630000}"/>
    <cellStyle name="Normal 3 2 2 5 4 3" xfId="27736" xr:uid="{00000000-0005-0000-0000-0000E0630000}"/>
    <cellStyle name="Normal 3 2 2 5 5" xfId="14633" xr:uid="{00000000-0005-0000-0000-0000E1630000}"/>
    <cellStyle name="Normal 3 2 2 5 5 2" xfId="25130" xr:uid="{00000000-0005-0000-0000-0000E2630000}"/>
    <cellStyle name="Normal 3 2 2 5 6" xfId="14638" xr:uid="{00000000-0005-0000-0000-0000E3630000}"/>
    <cellStyle name="Normal 3 2 2 6" xfId="23294" xr:uid="{00000000-0005-0000-0000-0000E4630000}"/>
    <cellStyle name="Normal 3 2 2 6 2" xfId="32698" xr:uid="{00000000-0005-0000-0000-0000E5630000}"/>
    <cellStyle name="Normal 3 2 2 6 2 2" xfId="31606" xr:uid="{00000000-0005-0000-0000-0000E6630000}"/>
    <cellStyle name="Normal 3 2 2 6 2 2 2" xfId="7006" xr:uid="{00000000-0005-0000-0000-0000E7630000}"/>
    <cellStyle name="Normal 3 2 2 6 2 2 2 2" xfId="5792" xr:uid="{00000000-0005-0000-0000-0000E8630000}"/>
    <cellStyle name="Normal 3 2 2 6 2 2 3" xfId="7753" xr:uid="{00000000-0005-0000-0000-0000E9630000}"/>
    <cellStyle name="Normal 3 2 2 6 2 3" xfId="17850" xr:uid="{00000000-0005-0000-0000-0000EA630000}"/>
    <cellStyle name="Normal 3 2 2 6 2 3 2" xfId="33364" xr:uid="{00000000-0005-0000-0000-0000EB630000}"/>
    <cellStyle name="Normal 3 2 2 6 2 4" xfId="28985" xr:uid="{00000000-0005-0000-0000-0000EC630000}"/>
    <cellStyle name="Normal 3 2 2 6 3" xfId="31564" xr:uid="{00000000-0005-0000-0000-0000ED630000}"/>
    <cellStyle name="Normal 3 2 2 6 3 2" xfId="22117" xr:uid="{00000000-0005-0000-0000-0000EE630000}"/>
    <cellStyle name="Normal 3 2 2 6 3 2 2" xfId="15091" xr:uid="{00000000-0005-0000-0000-0000EF630000}"/>
    <cellStyle name="Normal 3 2 2 6 3 3" xfId="30576" xr:uid="{00000000-0005-0000-0000-0000F0630000}"/>
    <cellStyle name="Normal 3 2 2 6 4" xfId="3225" xr:uid="{00000000-0005-0000-0000-0000F1630000}"/>
    <cellStyle name="Normal 3 2 2 6 4 2" xfId="27263" xr:uid="{00000000-0005-0000-0000-0000F2630000}"/>
    <cellStyle name="Normal 3 2 2 6 5" xfId="11368" xr:uid="{00000000-0005-0000-0000-0000F3630000}"/>
    <cellStyle name="Normal 3 2 2 7" xfId="17915" xr:uid="{00000000-0005-0000-0000-0000F4630000}"/>
    <cellStyle name="Normal 3 2 2 7 2" xfId="27746" xr:uid="{00000000-0005-0000-0000-0000F5630000}"/>
    <cellStyle name="Normal 3 2 2 7 2 2" xfId="27754" xr:uid="{00000000-0005-0000-0000-0000F6630000}"/>
    <cellStyle name="Normal 3 2 2 7 2 2 2" xfId="33249" xr:uid="{00000000-0005-0000-0000-0000F7630000}"/>
    <cellStyle name="Normal 3 2 2 7 2 3" xfId="15342" xr:uid="{00000000-0005-0000-0000-0000F8630000}"/>
    <cellStyle name="Normal 3 2 2 7 3" xfId="24359" xr:uid="{00000000-0005-0000-0000-0000F9630000}"/>
    <cellStyle name="Normal 3 2 2 7 3 2" xfId="27764" xr:uid="{00000000-0005-0000-0000-0000FA630000}"/>
    <cellStyle name="Normal 3 2 2 7 4" xfId="3236" xr:uid="{00000000-0005-0000-0000-0000FB630000}"/>
    <cellStyle name="Normal 3 2 2 8" xfId="17919" xr:uid="{00000000-0005-0000-0000-0000FC630000}"/>
    <cellStyle name="Normal 3 2 2 8 2" xfId="22560" xr:uid="{00000000-0005-0000-0000-0000FD630000}"/>
    <cellStyle name="Normal 3 2 2 8 2 2" xfId="5211" xr:uid="{00000000-0005-0000-0000-0000FE630000}"/>
    <cellStyle name="Normal 3 2 2 8 3" xfId="22567" xr:uid="{00000000-0005-0000-0000-0000FF630000}"/>
    <cellStyle name="Normal 3 2 2 9" xfId="22568" xr:uid="{00000000-0005-0000-0000-000000640000}"/>
    <cellStyle name="Normal 3 2 2 9 2" xfId="22580" xr:uid="{00000000-0005-0000-0000-000001640000}"/>
    <cellStyle name="Normal 3 2 3" xfId="1205" xr:uid="{00000000-0005-0000-0000-000002640000}"/>
    <cellStyle name="Normal 3 2 3 2" xfId="16978" xr:uid="{00000000-0005-0000-0000-000003640000}"/>
    <cellStyle name="Normal 3 2 3 2 2" xfId="25251" xr:uid="{00000000-0005-0000-0000-000004640000}"/>
    <cellStyle name="Normal 3 2 3 2 2 2" xfId="25254" xr:uid="{00000000-0005-0000-0000-000005640000}"/>
    <cellStyle name="Normal 3 2 3 2 2 2 2" xfId="6009" xr:uid="{00000000-0005-0000-0000-000006640000}"/>
    <cellStyle name="Normal 3 2 3 2 2 2 2 2" xfId="15501" xr:uid="{00000000-0005-0000-0000-000007640000}"/>
    <cellStyle name="Normal 3 2 3 2 2 2 2 2 2" xfId="25255" xr:uid="{00000000-0005-0000-0000-000008640000}"/>
    <cellStyle name="Normal 3 2 3 2 2 2 2 2 2 2" xfId="27767" xr:uid="{00000000-0005-0000-0000-000009640000}"/>
    <cellStyle name="Normal 3 2 3 2 2 2 2 2 2 2 2" xfId="27768" xr:uid="{00000000-0005-0000-0000-00000A640000}"/>
    <cellStyle name="Normal 3 2 3 2 2 2 2 2 2 3" xfId="10520" xr:uid="{00000000-0005-0000-0000-00000B640000}"/>
    <cellStyle name="Normal 3 2 3 2 2 2 2 2 3" xfId="25258" xr:uid="{00000000-0005-0000-0000-00000C640000}"/>
    <cellStyle name="Normal 3 2 3 2 2 2 2 2 3 2" xfId="27771" xr:uid="{00000000-0005-0000-0000-00000D640000}"/>
    <cellStyle name="Normal 3 2 3 2 2 2 2 2 4" xfId="25259" xr:uid="{00000000-0005-0000-0000-00000E640000}"/>
    <cellStyle name="Normal 3 2 3 2 2 2 2 3" xfId="25266" xr:uid="{00000000-0005-0000-0000-00000F640000}"/>
    <cellStyle name="Normal 3 2 3 2 2 2 2 3 2" xfId="25272" xr:uid="{00000000-0005-0000-0000-000010640000}"/>
    <cellStyle name="Normal 3 2 3 2 2 2 2 3 2 2" xfId="29464" xr:uid="{00000000-0005-0000-0000-000011640000}"/>
    <cellStyle name="Normal 3 2 3 2 2 2 2 3 3" xfId="25276" xr:uid="{00000000-0005-0000-0000-000012640000}"/>
    <cellStyle name="Normal 3 2 3 2 2 2 2 4" xfId="26542" xr:uid="{00000000-0005-0000-0000-000013640000}"/>
    <cellStyle name="Normal 3 2 3 2 2 2 2 4 2" xfId="25281" xr:uid="{00000000-0005-0000-0000-000014640000}"/>
    <cellStyle name="Normal 3 2 3 2 2 2 2 5" xfId="455" xr:uid="{00000000-0005-0000-0000-000015640000}"/>
    <cellStyle name="Normal 3 2 3 2 2 2 3" xfId="1019" xr:uid="{00000000-0005-0000-0000-000016640000}"/>
    <cellStyle name="Normal 3 2 3 2 2 2 3 2" xfId="22271" xr:uid="{00000000-0005-0000-0000-000017640000}"/>
    <cellStyle name="Normal 3 2 3 2 2 2 3 2 2" xfId="25282" xr:uid="{00000000-0005-0000-0000-000018640000}"/>
    <cellStyle name="Normal 3 2 3 2 2 2 3 2 2 2" xfId="28625" xr:uid="{00000000-0005-0000-0000-000019640000}"/>
    <cellStyle name="Normal 3 2 3 2 2 2 3 2 3" xfId="4539" xr:uid="{00000000-0005-0000-0000-00001A640000}"/>
    <cellStyle name="Normal 3 2 3 2 2 2 3 3" xfId="22291" xr:uid="{00000000-0005-0000-0000-00001B640000}"/>
    <cellStyle name="Normal 3 2 3 2 2 2 3 3 2" xfId="25290" xr:uid="{00000000-0005-0000-0000-00001C640000}"/>
    <cellStyle name="Normal 3 2 3 2 2 2 3 4" xfId="3003" xr:uid="{00000000-0005-0000-0000-00001D640000}"/>
    <cellStyle name="Normal 3 2 3 2 2 2 4" xfId="22298" xr:uid="{00000000-0005-0000-0000-00001E640000}"/>
    <cellStyle name="Normal 3 2 3 2 2 2 4 2" xfId="22311" xr:uid="{00000000-0005-0000-0000-00001F640000}"/>
    <cellStyle name="Normal 3 2 3 2 2 2 4 2 2" xfId="4030" xr:uid="{00000000-0005-0000-0000-000020640000}"/>
    <cellStyle name="Normal 3 2 3 2 2 2 4 3" xfId="22323" xr:uid="{00000000-0005-0000-0000-000021640000}"/>
    <cellStyle name="Normal 3 2 3 2 2 2 5" xfId="23610" xr:uid="{00000000-0005-0000-0000-000022640000}"/>
    <cellStyle name="Normal 3 2 3 2 2 2 5 2" xfId="10339" xr:uid="{00000000-0005-0000-0000-000023640000}"/>
    <cellStyle name="Normal 3 2 3 2 2 2 6" xfId="22327" xr:uid="{00000000-0005-0000-0000-000024640000}"/>
    <cellStyle name="Normal 3 2 3 2 2 3" xfId="2822" xr:uid="{00000000-0005-0000-0000-000025640000}"/>
    <cellStyle name="Normal 3 2 3 2 2 3 2" xfId="11410" xr:uid="{00000000-0005-0000-0000-000026640000}"/>
    <cellStyle name="Normal 3 2 3 2 2 3 2 2" xfId="25293" xr:uid="{00000000-0005-0000-0000-000027640000}"/>
    <cellStyle name="Normal 3 2 3 2 2 3 2 2 2" xfId="25298" xr:uid="{00000000-0005-0000-0000-000028640000}"/>
    <cellStyle name="Normal 3 2 3 2 2 3 2 2 2 2" xfId="8817" xr:uid="{00000000-0005-0000-0000-000029640000}"/>
    <cellStyle name="Normal 3 2 3 2 2 3 2 2 3" xfId="25301" xr:uid="{00000000-0005-0000-0000-00002A640000}"/>
    <cellStyle name="Normal 3 2 3 2 2 3 2 3" xfId="25306" xr:uid="{00000000-0005-0000-0000-00002B640000}"/>
    <cellStyle name="Normal 3 2 3 2 2 3 2 3 2" xfId="9592" xr:uid="{00000000-0005-0000-0000-00002C640000}"/>
    <cellStyle name="Normal 3 2 3 2 2 3 2 4" xfId="26926" xr:uid="{00000000-0005-0000-0000-00002D640000}"/>
    <cellStyle name="Normal 3 2 3 2 2 3 3" xfId="23614" xr:uid="{00000000-0005-0000-0000-00002E640000}"/>
    <cellStyle name="Normal 3 2 3 2 2 3 3 2" xfId="22341" xr:uid="{00000000-0005-0000-0000-00002F640000}"/>
    <cellStyle name="Normal 3 2 3 2 2 3 3 2 2" xfId="31910" xr:uid="{00000000-0005-0000-0000-000030640000}"/>
    <cellStyle name="Normal 3 2 3 2 2 3 3 3" xfId="26301" xr:uid="{00000000-0005-0000-0000-000031640000}"/>
    <cellStyle name="Normal 3 2 3 2 2 3 4" xfId="22347" xr:uid="{00000000-0005-0000-0000-000032640000}"/>
    <cellStyle name="Normal 3 2 3 2 2 3 4 2" xfId="17590" xr:uid="{00000000-0005-0000-0000-000033640000}"/>
    <cellStyle name="Normal 3 2 3 2 2 3 5" xfId="22350" xr:uid="{00000000-0005-0000-0000-000034640000}"/>
    <cellStyle name="Normal 3 2 3 2 2 4" xfId="3020" xr:uid="{00000000-0005-0000-0000-000035640000}"/>
    <cellStyle name="Normal 3 2 3 2 2 4 2" xfId="25314" xr:uid="{00000000-0005-0000-0000-000036640000}"/>
    <cellStyle name="Normal 3 2 3 2 2 4 2 2" xfId="18771" xr:uid="{00000000-0005-0000-0000-000037640000}"/>
    <cellStyle name="Normal 3 2 3 2 2 4 2 2 2" xfId="25320" xr:uid="{00000000-0005-0000-0000-000038640000}"/>
    <cellStyle name="Normal 3 2 3 2 2 4 2 3" xfId="25325" xr:uid="{00000000-0005-0000-0000-000039640000}"/>
    <cellStyle name="Normal 3 2 3 2 2 4 3" xfId="22360" xr:uid="{00000000-0005-0000-0000-00003A640000}"/>
    <cellStyle name="Normal 3 2 3 2 2 4 3 2" xfId="22369" xr:uid="{00000000-0005-0000-0000-00003B640000}"/>
    <cellStyle name="Normal 3 2 3 2 2 4 4" xfId="22377" xr:uid="{00000000-0005-0000-0000-00003C640000}"/>
    <cellStyle name="Normal 3 2 3 2 2 5" xfId="25328" xr:uid="{00000000-0005-0000-0000-00003D640000}"/>
    <cellStyle name="Normal 3 2 3 2 2 5 2" xfId="25791" xr:uid="{00000000-0005-0000-0000-00003E640000}"/>
    <cellStyle name="Normal 3 2 3 2 2 5 2 2" xfId="25342" xr:uid="{00000000-0005-0000-0000-00003F640000}"/>
    <cellStyle name="Normal 3 2 3 2 2 5 3" xfId="25796" xr:uid="{00000000-0005-0000-0000-000040640000}"/>
    <cellStyle name="Normal 3 2 3 2 2 6" xfId="25343" xr:uid="{00000000-0005-0000-0000-000041640000}"/>
    <cellStyle name="Normal 3 2 3 2 2 6 2" xfId="25346" xr:uid="{00000000-0005-0000-0000-000042640000}"/>
    <cellStyle name="Normal 3 2 3 2 2 7" xfId="20514" xr:uid="{00000000-0005-0000-0000-000043640000}"/>
    <cellStyle name="Normal 3 2 3 2 3" xfId="9951" xr:uid="{00000000-0005-0000-0000-000044640000}"/>
    <cellStyle name="Normal 3 2 3 2 3 2" xfId="25351" xr:uid="{00000000-0005-0000-0000-000045640000}"/>
    <cellStyle name="Normal 3 2 3 2 3 2 2" xfId="11587" xr:uid="{00000000-0005-0000-0000-000046640000}"/>
    <cellStyle name="Normal 3 2 3 2 3 2 2 2" xfId="25360" xr:uid="{00000000-0005-0000-0000-000047640000}"/>
    <cellStyle name="Normal 3 2 3 2 3 2 2 2 2" xfId="8119" xr:uid="{00000000-0005-0000-0000-000048640000}"/>
    <cellStyle name="Normal 3 2 3 2 3 2 2 2 2 2" xfId="27775" xr:uid="{00000000-0005-0000-0000-000049640000}"/>
    <cellStyle name="Normal 3 2 3 2 3 2 2 2 3" xfId="25362" xr:uid="{00000000-0005-0000-0000-00004A640000}"/>
    <cellStyle name="Normal 3 2 3 2 3 2 2 3" xfId="25366" xr:uid="{00000000-0005-0000-0000-00004B640000}"/>
    <cellStyle name="Normal 3 2 3 2 3 2 2 3 2" xfId="9396" xr:uid="{00000000-0005-0000-0000-00004C640000}"/>
    <cellStyle name="Normal 3 2 3 2 3 2 2 4" xfId="25347" xr:uid="{00000000-0005-0000-0000-00004D640000}"/>
    <cellStyle name="Normal 3 2 3 2 3 2 3" xfId="22409" xr:uid="{00000000-0005-0000-0000-00004E640000}"/>
    <cellStyle name="Normal 3 2 3 2 3 2 3 2" xfId="22417" xr:uid="{00000000-0005-0000-0000-00004F640000}"/>
    <cellStyle name="Normal 3 2 3 2 3 2 3 2 2" xfId="1598" xr:uid="{00000000-0005-0000-0000-000050640000}"/>
    <cellStyle name="Normal 3 2 3 2 3 2 3 3" xfId="27782" xr:uid="{00000000-0005-0000-0000-000051640000}"/>
    <cellStyle name="Normal 3 2 3 2 3 2 4" xfId="27813" xr:uid="{00000000-0005-0000-0000-000052640000}"/>
    <cellStyle name="Normal 3 2 3 2 3 2 4 2" xfId="22426" xr:uid="{00000000-0005-0000-0000-000053640000}"/>
    <cellStyle name="Normal 3 2 3 2 3 2 5" xfId="29340" xr:uid="{00000000-0005-0000-0000-000054640000}"/>
    <cellStyle name="Normal 3 2 3 2 3 3" xfId="29088" xr:uid="{00000000-0005-0000-0000-000055640000}"/>
    <cellStyle name="Normal 3 2 3 2 3 3 2" xfId="25036" xr:uid="{00000000-0005-0000-0000-000056640000}"/>
    <cellStyle name="Normal 3 2 3 2 3 3 2 2" xfId="25375" xr:uid="{00000000-0005-0000-0000-000057640000}"/>
    <cellStyle name="Normal 3 2 3 2 3 3 2 2 2" xfId="25382" xr:uid="{00000000-0005-0000-0000-000058640000}"/>
    <cellStyle name="Normal 3 2 3 2 3 3 2 3" xfId="25386" xr:uid="{00000000-0005-0000-0000-000059640000}"/>
    <cellStyle name="Normal 3 2 3 2 3 3 3" xfId="23628" xr:uid="{00000000-0005-0000-0000-00005A640000}"/>
    <cellStyle name="Normal 3 2 3 2 3 3 3 2" xfId="22443" xr:uid="{00000000-0005-0000-0000-00005B640000}"/>
    <cellStyle name="Normal 3 2 3 2 3 3 4" xfId="15309" xr:uid="{00000000-0005-0000-0000-00005C640000}"/>
    <cellStyle name="Normal 3 2 3 2 3 4" xfId="25395" xr:uid="{00000000-0005-0000-0000-00005D640000}"/>
    <cellStyle name="Normal 3 2 3 2 3 4 2" xfId="25399" xr:uid="{00000000-0005-0000-0000-00005E640000}"/>
    <cellStyle name="Normal 3 2 3 2 3 4 2 2" xfId="25403" xr:uid="{00000000-0005-0000-0000-00005F640000}"/>
    <cellStyle name="Normal 3 2 3 2 3 4 3" xfId="28547" xr:uid="{00000000-0005-0000-0000-000060640000}"/>
    <cellStyle name="Normal 3 2 3 2 3 5" xfId="25405" xr:uid="{00000000-0005-0000-0000-000061640000}"/>
    <cellStyle name="Normal 3 2 3 2 3 5 2" xfId="24314" xr:uid="{00000000-0005-0000-0000-000062640000}"/>
    <cellStyle name="Normal 3 2 3 2 3 6" xfId="28674" xr:uid="{00000000-0005-0000-0000-000063640000}"/>
    <cellStyle name="Normal 3 2 3 2 4" xfId="6439" xr:uid="{00000000-0005-0000-0000-000064640000}"/>
    <cellStyle name="Normal 3 2 3 2 4 2" xfId="25410" xr:uid="{00000000-0005-0000-0000-000065640000}"/>
    <cellStyle name="Normal 3 2 3 2 4 2 2" xfId="25412" xr:uid="{00000000-0005-0000-0000-000066640000}"/>
    <cellStyle name="Normal 3 2 3 2 4 2 2 2" xfId="25414" xr:uid="{00000000-0005-0000-0000-000067640000}"/>
    <cellStyle name="Normal 3 2 3 2 4 2 2 2 2" xfId="15792" xr:uid="{00000000-0005-0000-0000-000068640000}"/>
    <cellStyle name="Normal 3 2 3 2 4 2 2 3" xfId="25422" xr:uid="{00000000-0005-0000-0000-000069640000}"/>
    <cellStyle name="Normal 3 2 3 2 4 2 3" xfId="22479" xr:uid="{00000000-0005-0000-0000-00006A640000}"/>
    <cellStyle name="Normal 3 2 3 2 4 2 3 2" xfId="22484" xr:uid="{00000000-0005-0000-0000-00006B640000}"/>
    <cellStyle name="Normal 3 2 3 2 4 2 4" xfId="23650" xr:uid="{00000000-0005-0000-0000-00006C640000}"/>
    <cellStyle name="Normal 3 2 3 2 4 3" xfId="29399" xr:uid="{00000000-0005-0000-0000-00006D640000}"/>
    <cellStyle name="Normal 3 2 3 2 4 3 2" xfId="25431" xr:uid="{00000000-0005-0000-0000-00006E640000}"/>
    <cellStyle name="Normal 3 2 3 2 4 3 2 2" xfId="5918" xr:uid="{00000000-0005-0000-0000-00006F640000}"/>
    <cellStyle name="Normal 3 2 3 2 4 3 3" xfId="27850" xr:uid="{00000000-0005-0000-0000-000070640000}"/>
    <cellStyle name="Normal 3 2 3 2 4 4" xfId="27788" xr:uid="{00000000-0005-0000-0000-000071640000}"/>
    <cellStyle name="Normal 3 2 3 2 4 4 2" xfId="27795" xr:uid="{00000000-0005-0000-0000-000072640000}"/>
    <cellStyle name="Normal 3 2 3 2 4 5" xfId="25437" xr:uid="{00000000-0005-0000-0000-000073640000}"/>
    <cellStyle name="Normal 3 2 3 2 5" xfId="9858" xr:uid="{00000000-0005-0000-0000-000074640000}"/>
    <cellStyle name="Normal 3 2 3 2 5 2" xfId="25446" xr:uid="{00000000-0005-0000-0000-000075640000}"/>
    <cellStyle name="Normal 3 2 3 2 5 2 2" xfId="25089" xr:uid="{00000000-0005-0000-0000-000076640000}"/>
    <cellStyle name="Normal 3 2 3 2 5 2 2 2" xfId="25455" xr:uid="{00000000-0005-0000-0000-000077640000}"/>
    <cellStyle name="Normal 3 2 3 2 5 2 3" xfId="23661" xr:uid="{00000000-0005-0000-0000-000078640000}"/>
    <cellStyle name="Normal 3 2 3 2 5 3" xfId="25617" xr:uid="{00000000-0005-0000-0000-000079640000}"/>
    <cellStyle name="Normal 3 2 3 2 5 3 2" xfId="25464" xr:uid="{00000000-0005-0000-0000-00007A640000}"/>
    <cellStyle name="Normal 3 2 3 2 5 4" xfId="10732" xr:uid="{00000000-0005-0000-0000-00007B640000}"/>
    <cellStyle name="Normal 3 2 3 2 6" xfId="24294" xr:uid="{00000000-0005-0000-0000-00007C640000}"/>
    <cellStyle name="Normal 3 2 3 2 6 2" xfId="16223" xr:uid="{00000000-0005-0000-0000-00007D640000}"/>
    <cellStyle name="Normal 3 2 3 2 6 2 2" xfId="16228" xr:uid="{00000000-0005-0000-0000-00007E640000}"/>
    <cellStyle name="Normal 3 2 3 2 6 3" xfId="16230" xr:uid="{00000000-0005-0000-0000-00007F640000}"/>
    <cellStyle name="Normal 3 2 3 2 7" xfId="25475" xr:uid="{00000000-0005-0000-0000-000080640000}"/>
    <cellStyle name="Normal 3 2 3 2 7 2" xfId="16245" xr:uid="{00000000-0005-0000-0000-000081640000}"/>
    <cellStyle name="Normal 3 2 3 2 8" xfId="23500" xr:uid="{00000000-0005-0000-0000-000082640000}"/>
    <cellStyle name="Normal 3 2 3 3" xfId="19210" xr:uid="{00000000-0005-0000-0000-000083640000}"/>
    <cellStyle name="Normal 3 2 3 3 2" xfId="19324" xr:uid="{00000000-0005-0000-0000-000084640000}"/>
    <cellStyle name="Normal 3 2 3 3 2 2" xfId="22528" xr:uid="{00000000-0005-0000-0000-000085640000}"/>
    <cellStyle name="Normal 3 2 3 3 2 2 2" xfId="11824" xr:uid="{00000000-0005-0000-0000-000086640000}"/>
    <cellStyle name="Normal 3 2 3 3 2 2 2 2" xfId="25478" xr:uid="{00000000-0005-0000-0000-000087640000}"/>
    <cellStyle name="Normal 3 2 3 3 2 2 2 2 2" xfId="24933" xr:uid="{00000000-0005-0000-0000-000088640000}"/>
    <cellStyle name="Normal 3 2 3 3 2 2 2 2 2 2" xfId="27807" xr:uid="{00000000-0005-0000-0000-000089640000}"/>
    <cellStyle name="Normal 3 2 3 3 2 2 2 2 3" xfId="24947" xr:uid="{00000000-0005-0000-0000-00008A640000}"/>
    <cellStyle name="Normal 3 2 3 3 2 2 2 3" xfId="25485" xr:uid="{00000000-0005-0000-0000-00008B640000}"/>
    <cellStyle name="Normal 3 2 3 3 2 2 2 3 2" xfId="24965" xr:uid="{00000000-0005-0000-0000-00008C640000}"/>
    <cellStyle name="Normal 3 2 3 3 2 2 2 4" xfId="25486" xr:uid="{00000000-0005-0000-0000-00008D640000}"/>
    <cellStyle name="Normal 3 2 3 3 2 2 3" xfId="22525" xr:uid="{00000000-0005-0000-0000-00008E640000}"/>
    <cellStyle name="Normal 3 2 3 3 2 2 3 2" xfId="27811" xr:uid="{00000000-0005-0000-0000-00008F640000}"/>
    <cellStyle name="Normal 3 2 3 3 2 2 3 2 2" xfId="25197" xr:uid="{00000000-0005-0000-0000-000090640000}"/>
    <cellStyle name="Normal 3 2 3 3 2 2 3 3" xfId="22538" xr:uid="{00000000-0005-0000-0000-000091640000}"/>
    <cellStyle name="Normal 3 2 3 3 2 2 4" xfId="9584" xr:uid="{00000000-0005-0000-0000-000092640000}"/>
    <cellStyle name="Normal 3 2 3 3 2 2 4 2" xfId="27932" xr:uid="{00000000-0005-0000-0000-000093640000}"/>
    <cellStyle name="Normal 3 2 3 3 2 2 5" xfId="11878" xr:uid="{00000000-0005-0000-0000-000094640000}"/>
    <cellStyle name="Normal 3 2 3 3 2 3" xfId="22400" xr:uid="{00000000-0005-0000-0000-000095640000}"/>
    <cellStyle name="Normal 3 2 3 3 2 3 2" xfId="25491" xr:uid="{00000000-0005-0000-0000-000096640000}"/>
    <cellStyle name="Normal 3 2 3 3 2 3 2 2" xfId="25499" xr:uid="{00000000-0005-0000-0000-000097640000}"/>
    <cellStyle name="Normal 3 2 3 3 2 3 2 2 2" xfId="19339" xr:uid="{00000000-0005-0000-0000-000098640000}"/>
    <cellStyle name="Normal 3 2 3 3 2 3 2 3" xfId="25502" xr:uid="{00000000-0005-0000-0000-000099640000}"/>
    <cellStyle name="Normal 3 2 3 3 2 3 3" xfId="29110" xr:uid="{00000000-0005-0000-0000-00009A640000}"/>
    <cellStyle name="Normal 3 2 3 3 2 3 3 2" xfId="22300" xr:uid="{00000000-0005-0000-0000-00009B640000}"/>
    <cellStyle name="Normal 3 2 3 3 2 3 4" xfId="9586" xr:uid="{00000000-0005-0000-0000-00009C640000}"/>
    <cellStyle name="Normal 3 2 3 3 2 4" xfId="27815" xr:uid="{00000000-0005-0000-0000-00009D640000}"/>
    <cellStyle name="Normal 3 2 3 3 2 4 2" xfId="25507" xr:uid="{00000000-0005-0000-0000-00009E640000}"/>
    <cellStyle name="Normal 3 2 3 3 2 4 2 2" xfId="19457" xr:uid="{00000000-0005-0000-0000-00009F640000}"/>
    <cellStyle name="Normal 3 2 3 3 2 4 3" xfId="657" xr:uid="{00000000-0005-0000-0000-0000A0640000}"/>
    <cellStyle name="Normal 3 2 3 3 2 5" xfId="27819" xr:uid="{00000000-0005-0000-0000-0000A1640000}"/>
    <cellStyle name="Normal 3 2 3 3 2 5 2" xfId="25941" xr:uid="{00000000-0005-0000-0000-0000A2640000}"/>
    <cellStyle name="Normal 3 2 3 3 2 6" xfId="16220" xr:uid="{00000000-0005-0000-0000-0000A3640000}"/>
    <cellStyle name="Normal 3 2 3 3 3" xfId="19473" xr:uid="{00000000-0005-0000-0000-0000A4640000}"/>
    <cellStyle name="Normal 3 2 3 3 3 2" xfId="25517" xr:uid="{00000000-0005-0000-0000-0000A5640000}"/>
    <cellStyle name="Normal 3 2 3 3 3 2 2" xfId="25523" xr:uid="{00000000-0005-0000-0000-0000A6640000}"/>
    <cellStyle name="Normal 3 2 3 3 3 2 2 2" xfId="25527" xr:uid="{00000000-0005-0000-0000-0000A7640000}"/>
    <cellStyle name="Normal 3 2 3 3 3 2 2 2 2" xfId="27824" xr:uid="{00000000-0005-0000-0000-0000A8640000}"/>
    <cellStyle name="Normal 3 2 3 3 3 2 2 3" xfId="25532" xr:uid="{00000000-0005-0000-0000-0000A9640000}"/>
    <cellStyle name="Normal 3 2 3 3 3 2 3" xfId="22579" xr:uid="{00000000-0005-0000-0000-0000AA640000}"/>
    <cellStyle name="Normal 3 2 3 3 3 2 3 2" xfId="24269" xr:uid="{00000000-0005-0000-0000-0000AB640000}"/>
    <cellStyle name="Normal 3 2 3 3 3 2 4" xfId="9589" xr:uid="{00000000-0005-0000-0000-0000AC640000}"/>
    <cellStyle name="Normal 3 2 3 3 3 3" xfId="29105" xr:uid="{00000000-0005-0000-0000-0000AD640000}"/>
    <cellStyle name="Normal 3 2 3 3 3 3 2" xfId="30569" xr:uid="{00000000-0005-0000-0000-0000AE640000}"/>
    <cellStyle name="Normal 3 2 3 3 3 3 2 2" xfId="20346" xr:uid="{00000000-0005-0000-0000-0000AF640000}"/>
    <cellStyle name="Normal 3 2 3 3 3 3 3" xfId="28270" xr:uid="{00000000-0005-0000-0000-0000B0640000}"/>
    <cellStyle name="Normal 3 2 3 3 3 4" xfId="19296" xr:uid="{00000000-0005-0000-0000-0000B1640000}"/>
    <cellStyle name="Normal 3 2 3 3 3 4 2" xfId="25542" xr:uid="{00000000-0005-0000-0000-0000B2640000}"/>
    <cellStyle name="Normal 3 2 3 3 3 5" xfId="27828" xr:uid="{00000000-0005-0000-0000-0000B3640000}"/>
    <cellStyle name="Normal 3 2 3 3 4" xfId="19542" xr:uid="{00000000-0005-0000-0000-0000B4640000}"/>
    <cellStyle name="Normal 3 2 3 3 4 2" xfId="25557" xr:uid="{00000000-0005-0000-0000-0000B5640000}"/>
    <cellStyle name="Normal 3 2 3 3 4 2 2" xfId="25562" xr:uid="{00000000-0005-0000-0000-0000B6640000}"/>
    <cellStyle name="Normal 3 2 3 3 4 2 2 2" xfId="25566" xr:uid="{00000000-0005-0000-0000-0000B7640000}"/>
    <cellStyle name="Normal 3 2 3 3 4 2 3" xfId="22591" xr:uid="{00000000-0005-0000-0000-0000B8640000}"/>
    <cellStyle name="Normal 3 2 3 3 4 3" xfId="19558" xr:uid="{00000000-0005-0000-0000-0000B9640000}"/>
    <cellStyle name="Normal 3 2 3 3 4 3 2" xfId="25570" xr:uid="{00000000-0005-0000-0000-0000BA640000}"/>
    <cellStyle name="Normal 3 2 3 3 4 4" xfId="23583" xr:uid="{00000000-0005-0000-0000-0000BB640000}"/>
    <cellStyle name="Normal 3 2 3 3 5" xfId="6934" xr:uid="{00000000-0005-0000-0000-0000BC640000}"/>
    <cellStyle name="Normal 3 2 3 3 5 2" xfId="15276" xr:uid="{00000000-0005-0000-0000-0000BD640000}"/>
    <cellStyle name="Normal 3 2 3 3 5 2 2" xfId="24374" xr:uid="{00000000-0005-0000-0000-0000BE640000}"/>
    <cellStyle name="Normal 3 2 3 3 5 3" xfId="14661" xr:uid="{00000000-0005-0000-0000-0000BF640000}"/>
    <cellStyle name="Normal 3 2 3 3 6" xfId="14667" xr:uid="{00000000-0005-0000-0000-0000C0640000}"/>
    <cellStyle name="Normal 3 2 3 3 6 2" xfId="15295" xr:uid="{00000000-0005-0000-0000-0000C1640000}"/>
    <cellStyle name="Normal 3 2 3 3 7" xfId="6733" xr:uid="{00000000-0005-0000-0000-0000C2640000}"/>
    <cellStyle name="Normal 3 2 3 4" xfId="19592" xr:uid="{00000000-0005-0000-0000-0000C3640000}"/>
    <cellStyle name="Normal 3 2 3 4 2" xfId="26141" xr:uid="{00000000-0005-0000-0000-0000C4640000}"/>
    <cellStyle name="Normal 3 2 3 4 2 2" xfId="23700" xr:uid="{00000000-0005-0000-0000-0000C5640000}"/>
    <cellStyle name="Normal 3 2 3 4 2 2 2" xfId="27836" xr:uid="{00000000-0005-0000-0000-0000C6640000}"/>
    <cellStyle name="Normal 3 2 3 4 2 2 2 2" xfId="27838" xr:uid="{00000000-0005-0000-0000-0000C7640000}"/>
    <cellStyle name="Normal 3 2 3 4 2 2 2 2 2" xfId="25590" xr:uid="{00000000-0005-0000-0000-0000C8640000}"/>
    <cellStyle name="Normal 3 2 3 4 2 2 2 3" xfId="12909" xr:uid="{00000000-0005-0000-0000-0000C9640000}"/>
    <cellStyle name="Normal 3 2 3 4 2 2 3" xfId="7871" xr:uid="{00000000-0005-0000-0000-0000CA640000}"/>
    <cellStyle name="Normal 3 2 3 4 2 2 3 2" xfId="22619" xr:uid="{00000000-0005-0000-0000-0000CB640000}"/>
    <cellStyle name="Normal 3 2 3 4 2 2 4" xfId="9599" xr:uid="{00000000-0005-0000-0000-0000CC640000}"/>
    <cellStyle name="Normal 3 2 3 4 2 3" xfId="6713" xr:uid="{00000000-0005-0000-0000-0000CD640000}"/>
    <cellStyle name="Normal 3 2 3 4 2 3 2" xfId="20541" xr:uid="{00000000-0005-0000-0000-0000CE640000}"/>
    <cellStyle name="Normal 3 2 3 4 2 3 2 2" xfId="25594" xr:uid="{00000000-0005-0000-0000-0000CF640000}"/>
    <cellStyle name="Normal 3 2 3 4 2 3 3" xfId="20550" xr:uid="{00000000-0005-0000-0000-0000D0640000}"/>
    <cellStyle name="Normal 3 2 3 4 2 4" xfId="22946" xr:uid="{00000000-0005-0000-0000-0000D1640000}"/>
    <cellStyle name="Normal 3 2 3 4 2 4 2" xfId="20583" xr:uid="{00000000-0005-0000-0000-0000D2640000}"/>
    <cellStyle name="Normal 3 2 3 4 2 5" xfId="28928" xr:uid="{00000000-0005-0000-0000-0000D3640000}"/>
    <cellStyle name="Normal 3 2 3 4 3" xfId="2498" xr:uid="{00000000-0005-0000-0000-0000D4640000}"/>
    <cellStyle name="Normal 3 2 3 4 3 2" xfId="19730" xr:uid="{00000000-0005-0000-0000-0000D5640000}"/>
    <cellStyle name="Normal 3 2 3 4 3 2 2" xfId="25601" xr:uid="{00000000-0005-0000-0000-0000D6640000}"/>
    <cellStyle name="Normal 3 2 3 4 3 2 2 2" xfId="26362" xr:uid="{00000000-0005-0000-0000-0000D7640000}"/>
    <cellStyle name="Normal 3 2 3 4 3 2 3" xfId="23762" xr:uid="{00000000-0005-0000-0000-0000D8640000}"/>
    <cellStyle name="Normal 3 2 3 4 3 3" xfId="27856" xr:uid="{00000000-0005-0000-0000-0000D9640000}"/>
    <cellStyle name="Normal 3 2 3 4 3 3 2" xfId="20616" xr:uid="{00000000-0005-0000-0000-0000DA640000}"/>
    <cellStyle name="Normal 3 2 3 4 3 4" xfId="27862" xr:uid="{00000000-0005-0000-0000-0000DB640000}"/>
    <cellStyle name="Normal 3 2 3 4 4" xfId="27478" xr:uid="{00000000-0005-0000-0000-0000DC640000}"/>
    <cellStyle name="Normal 3 2 3 4 4 2" xfId="19679" xr:uid="{00000000-0005-0000-0000-0000DD640000}"/>
    <cellStyle name="Normal 3 2 3 4 4 2 2" xfId="25610" xr:uid="{00000000-0005-0000-0000-0000DE640000}"/>
    <cellStyle name="Normal 3 2 3 4 4 3" xfId="19683" xr:uid="{00000000-0005-0000-0000-0000DF640000}"/>
    <cellStyle name="Normal 3 2 3 4 5" xfId="15135" xr:uid="{00000000-0005-0000-0000-0000E0640000}"/>
    <cellStyle name="Normal 3 2 3 4 5 2" xfId="14696" xr:uid="{00000000-0005-0000-0000-0000E1640000}"/>
    <cellStyle name="Normal 3 2 3 4 6" xfId="14705" xr:uid="{00000000-0005-0000-0000-0000E2640000}"/>
    <cellStyle name="Normal 3 2 3 5" xfId="26154" xr:uid="{00000000-0005-0000-0000-0000E3640000}"/>
    <cellStyle name="Normal 3 2 3 5 2" xfId="19703" xr:uid="{00000000-0005-0000-0000-0000E4640000}"/>
    <cellStyle name="Normal 3 2 3 5 2 2" xfId="31411" xr:uid="{00000000-0005-0000-0000-0000E5640000}"/>
    <cellStyle name="Normal 3 2 3 5 2 2 2" xfId="25614" xr:uid="{00000000-0005-0000-0000-0000E6640000}"/>
    <cellStyle name="Normal 3 2 3 5 2 2 2 2" xfId="25615" xr:uid="{00000000-0005-0000-0000-0000E7640000}"/>
    <cellStyle name="Normal 3 2 3 5 2 2 3" xfId="22665" xr:uid="{00000000-0005-0000-0000-0000E8640000}"/>
    <cellStyle name="Normal 3 2 3 5 2 3" xfId="28061" xr:uid="{00000000-0005-0000-0000-0000E9640000}"/>
    <cellStyle name="Normal 3 2 3 5 2 3 2" xfId="20765" xr:uid="{00000000-0005-0000-0000-0000EA640000}"/>
    <cellStyle name="Normal 3 2 3 5 2 4" xfId="28594" xr:uid="{00000000-0005-0000-0000-0000EB640000}"/>
    <cellStyle name="Normal 3 2 3 5 3" xfId="19715" xr:uid="{00000000-0005-0000-0000-0000EC640000}"/>
    <cellStyle name="Normal 3 2 3 5 3 2" xfId="27884" xr:uid="{00000000-0005-0000-0000-0000ED640000}"/>
    <cellStyle name="Normal 3 2 3 5 3 2 2" xfId="25619" xr:uid="{00000000-0005-0000-0000-0000EE640000}"/>
    <cellStyle name="Normal 3 2 3 5 3 3" xfId="19301" xr:uid="{00000000-0005-0000-0000-0000EF640000}"/>
    <cellStyle name="Normal 3 2 3 5 4" xfId="19995" xr:uid="{00000000-0005-0000-0000-0000F0640000}"/>
    <cellStyle name="Normal 3 2 3 5 4 2" xfId="27898" xr:uid="{00000000-0005-0000-0000-0000F1640000}"/>
    <cellStyle name="Normal 3 2 3 5 5" xfId="15143" xr:uid="{00000000-0005-0000-0000-0000F2640000}"/>
    <cellStyle name="Normal 3 2 3 6" xfId="26157" xr:uid="{00000000-0005-0000-0000-0000F3640000}"/>
    <cellStyle name="Normal 3 2 3 6 2" xfId="8451" xr:uid="{00000000-0005-0000-0000-0000F4640000}"/>
    <cellStyle name="Normal 3 2 3 6 2 2" xfId="30338" xr:uid="{00000000-0005-0000-0000-0000F5640000}"/>
    <cellStyle name="Normal 3 2 3 6 2 2 2" xfId="25669" xr:uid="{00000000-0005-0000-0000-0000F6640000}"/>
    <cellStyle name="Normal 3 2 3 6 2 3" xfId="24632" xr:uid="{00000000-0005-0000-0000-0000F7640000}"/>
    <cellStyle name="Normal 3 2 3 6 3" xfId="2757" xr:uid="{00000000-0005-0000-0000-0000F8640000}"/>
    <cellStyle name="Normal 3 2 3 6 3 2" xfId="27623" xr:uid="{00000000-0005-0000-0000-0000F9640000}"/>
    <cellStyle name="Normal 3 2 3 6 4" xfId="26774" xr:uid="{00000000-0005-0000-0000-0000FA640000}"/>
    <cellStyle name="Normal 3 2 3 7" xfId="29534" xr:uid="{00000000-0005-0000-0000-0000FB640000}"/>
    <cellStyle name="Normal 3 2 3 7 2" xfId="24383" xr:uid="{00000000-0005-0000-0000-0000FC640000}"/>
    <cellStyle name="Normal 3 2 3 7 2 2" xfId="27910" xr:uid="{00000000-0005-0000-0000-0000FD640000}"/>
    <cellStyle name="Normal 3 2 3 7 3" xfId="27911" xr:uid="{00000000-0005-0000-0000-0000FE640000}"/>
    <cellStyle name="Normal 3 2 3 8" xfId="30347" xr:uid="{00000000-0005-0000-0000-0000FF640000}"/>
    <cellStyle name="Normal 3 2 3 8 2" xfId="28592" xr:uid="{00000000-0005-0000-0000-000000650000}"/>
    <cellStyle name="Normal 3 2 3 9" xfId="27912" xr:uid="{00000000-0005-0000-0000-000001650000}"/>
    <cellStyle name="Normal 3 2 4" xfId="1561" xr:uid="{00000000-0005-0000-0000-000002650000}"/>
    <cellStyle name="Normal 3 2 4 2" xfId="1231" xr:uid="{00000000-0005-0000-0000-000003650000}"/>
    <cellStyle name="Normal 3 2 4 2 2" xfId="3987" xr:uid="{00000000-0005-0000-0000-000004650000}"/>
    <cellStyle name="Normal 3 2 4 2 2 2" xfId="4002" xr:uid="{00000000-0005-0000-0000-000005650000}"/>
    <cellStyle name="Normal 3 2 4 2 2 2 2" xfId="27915" xr:uid="{00000000-0005-0000-0000-000006650000}"/>
    <cellStyle name="Normal 3 2 4 2 2 2 2 2" xfId="23693" xr:uid="{00000000-0005-0000-0000-000007650000}"/>
    <cellStyle name="Normal 3 2 4 2 2 2 2 2 2" xfId="26468" xr:uid="{00000000-0005-0000-0000-000008650000}"/>
    <cellStyle name="Normal 3 2 4 2 2 2 2 2 2 2" xfId="5966" xr:uid="{00000000-0005-0000-0000-000009650000}"/>
    <cellStyle name="Normal 3 2 4 2 2 2 2 2 3" xfId="29379" xr:uid="{00000000-0005-0000-0000-00000A650000}"/>
    <cellStyle name="Normal 3 2 4 2 2 2 2 3" xfId="18824" xr:uid="{00000000-0005-0000-0000-00000B650000}"/>
    <cellStyle name="Normal 3 2 4 2 2 2 2 3 2" xfId="15370" xr:uid="{00000000-0005-0000-0000-00000C650000}"/>
    <cellStyle name="Normal 3 2 4 2 2 2 2 4" xfId="28341" xr:uid="{00000000-0005-0000-0000-00000D650000}"/>
    <cellStyle name="Normal 3 2 4 2 2 2 3" xfId="33958" xr:uid="{00000000-0005-0000-0000-00000E650000}"/>
    <cellStyle name="Normal 3 2 4 2 2 2 3 2" xfId="27920" xr:uid="{00000000-0005-0000-0000-00000F650000}"/>
    <cellStyle name="Normal 3 2 4 2 2 2 3 2 2" xfId="27922" xr:uid="{00000000-0005-0000-0000-000010650000}"/>
    <cellStyle name="Normal 3 2 4 2 2 2 3 3" xfId="27926" xr:uid="{00000000-0005-0000-0000-000011650000}"/>
    <cellStyle name="Normal 3 2 4 2 2 2 4" xfId="20757" xr:uid="{00000000-0005-0000-0000-000012650000}"/>
    <cellStyle name="Normal 3 2 4 2 2 2 4 2" xfId="27929" xr:uid="{00000000-0005-0000-0000-000013650000}"/>
    <cellStyle name="Normal 3 2 4 2 2 2 5" xfId="32014" xr:uid="{00000000-0005-0000-0000-000014650000}"/>
    <cellStyle name="Normal 3 2 4 2 2 3" xfId="4021" xr:uid="{00000000-0005-0000-0000-000015650000}"/>
    <cellStyle name="Normal 3 2 4 2 2 3 2" xfId="27904" xr:uid="{00000000-0005-0000-0000-000016650000}"/>
    <cellStyle name="Normal 3 2 4 2 2 3 2 2" xfId="31259" xr:uid="{00000000-0005-0000-0000-000017650000}"/>
    <cellStyle name="Normal 3 2 4 2 2 3 2 2 2" xfId="27931" xr:uid="{00000000-0005-0000-0000-000018650000}"/>
    <cellStyle name="Normal 3 2 4 2 2 3 2 3" xfId="28846" xr:uid="{00000000-0005-0000-0000-000019650000}"/>
    <cellStyle name="Normal 3 2 4 2 2 3 3" xfId="1951" xr:uid="{00000000-0005-0000-0000-00001A650000}"/>
    <cellStyle name="Normal 3 2 4 2 2 3 3 2" xfId="30313" xr:uid="{00000000-0005-0000-0000-00001B650000}"/>
    <cellStyle name="Normal 3 2 4 2 2 3 4" xfId="19700" xr:uid="{00000000-0005-0000-0000-00001C650000}"/>
    <cellStyle name="Normal 3 2 4 2 2 4" xfId="4023" xr:uid="{00000000-0005-0000-0000-00001D650000}"/>
    <cellStyle name="Normal 3 2 4 2 2 4 2" xfId="27934" xr:uid="{00000000-0005-0000-0000-00001E650000}"/>
    <cellStyle name="Normal 3 2 4 2 2 4 2 2" xfId="27937" xr:uid="{00000000-0005-0000-0000-00001F650000}"/>
    <cellStyle name="Normal 3 2 4 2 2 4 3" xfId="1705" xr:uid="{00000000-0005-0000-0000-000020650000}"/>
    <cellStyle name="Normal 3 2 4 2 2 5" xfId="3898" xr:uid="{00000000-0005-0000-0000-000021650000}"/>
    <cellStyle name="Normal 3 2 4 2 2 5 2" xfId="525" xr:uid="{00000000-0005-0000-0000-000022650000}"/>
    <cellStyle name="Normal 3 2 4 2 2 6" xfId="3490" xr:uid="{00000000-0005-0000-0000-000023650000}"/>
    <cellStyle name="Normal 3 2 4 2 3" xfId="4025" xr:uid="{00000000-0005-0000-0000-000024650000}"/>
    <cellStyle name="Normal 3 2 4 2 3 2" xfId="4038" xr:uid="{00000000-0005-0000-0000-000025650000}"/>
    <cellStyle name="Normal 3 2 4 2 3 2 2" xfId="12950" xr:uid="{00000000-0005-0000-0000-000026650000}"/>
    <cellStyle name="Normal 3 2 4 2 3 2 2 2" xfId="29950" xr:uid="{00000000-0005-0000-0000-000027650000}"/>
    <cellStyle name="Normal 3 2 4 2 3 2 2 2 2" xfId="29951" xr:uid="{00000000-0005-0000-0000-000028650000}"/>
    <cellStyle name="Normal 3 2 4 2 3 2 2 3" xfId="27944" xr:uid="{00000000-0005-0000-0000-000029650000}"/>
    <cellStyle name="Normal 3 2 4 2 3 2 3" xfId="20830" xr:uid="{00000000-0005-0000-0000-00002A650000}"/>
    <cellStyle name="Normal 3 2 4 2 3 2 3 2" xfId="29959" xr:uid="{00000000-0005-0000-0000-00002B650000}"/>
    <cellStyle name="Normal 3 2 4 2 3 2 4" xfId="23803" xr:uid="{00000000-0005-0000-0000-00002C650000}"/>
    <cellStyle name="Normal 3 2 4 2 3 3" xfId="4066" xr:uid="{00000000-0005-0000-0000-00002D650000}"/>
    <cellStyle name="Normal 3 2 4 2 3 3 2" xfId="26290" xr:uid="{00000000-0005-0000-0000-00002E650000}"/>
    <cellStyle name="Normal 3 2 4 2 3 3 2 2" xfId="28939" xr:uid="{00000000-0005-0000-0000-00002F650000}"/>
    <cellStyle name="Normal 3 2 4 2 3 3 3" xfId="1422" xr:uid="{00000000-0005-0000-0000-000030650000}"/>
    <cellStyle name="Normal 3 2 4 2 3 4" xfId="4068" xr:uid="{00000000-0005-0000-0000-000031650000}"/>
    <cellStyle name="Normal 3 2 4 2 3 4 2" xfId="26312" xr:uid="{00000000-0005-0000-0000-000032650000}"/>
    <cellStyle name="Normal 3 2 4 2 3 5" xfId="1827" xr:uid="{00000000-0005-0000-0000-000033650000}"/>
    <cellStyle name="Normal 3 2 4 2 4" xfId="3093" xr:uid="{00000000-0005-0000-0000-000034650000}"/>
    <cellStyle name="Normal 3 2 4 2 4 2" xfId="6091" xr:uid="{00000000-0005-0000-0000-000035650000}"/>
    <cellStyle name="Normal 3 2 4 2 4 2 2" xfId="26324" xr:uid="{00000000-0005-0000-0000-000036650000}"/>
    <cellStyle name="Normal 3 2 4 2 4 2 2 2" xfId="29924" xr:uid="{00000000-0005-0000-0000-000037650000}"/>
    <cellStyle name="Normal 3 2 4 2 4 2 3" xfId="20866" xr:uid="{00000000-0005-0000-0000-000038650000}"/>
    <cellStyle name="Normal 3 2 4 2 4 3" xfId="20276" xr:uid="{00000000-0005-0000-0000-000039650000}"/>
    <cellStyle name="Normal 3 2 4 2 4 3 2" xfId="20279" xr:uid="{00000000-0005-0000-0000-00003A650000}"/>
    <cellStyle name="Normal 3 2 4 2 4 4" xfId="20286" xr:uid="{00000000-0005-0000-0000-00003B650000}"/>
    <cellStyle name="Normal 3 2 4 2 5" xfId="8956" xr:uid="{00000000-0005-0000-0000-00003C650000}"/>
    <cellStyle name="Normal 3 2 4 2 5 2" xfId="24721" xr:uid="{00000000-0005-0000-0000-00003D650000}"/>
    <cellStyle name="Normal 3 2 4 2 5 2 2" xfId="26822" xr:uid="{00000000-0005-0000-0000-00003E650000}"/>
    <cellStyle name="Normal 3 2 4 2 5 3" xfId="18646" xr:uid="{00000000-0005-0000-0000-00003F650000}"/>
    <cellStyle name="Normal 3 2 4 2 6" xfId="12816" xr:uid="{00000000-0005-0000-0000-000040650000}"/>
    <cellStyle name="Normal 3 2 4 2 6 2" xfId="16392" xr:uid="{00000000-0005-0000-0000-000041650000}"/>
    <cellStyle name="Normal 3 2 4 2 7" xfId="12824" xr:uid="{00000000-0005-0000-0000-000042650000}"/>
    <cellStyle name="Normal 3 2 4 3" xfId="6941" xr:uid="{00000000-0005-0000-0000-000043650000}"/>
    <cellStyle name="Normal 3 2 4 3 2" xfId="1682" xr:uid="{00000000-0005-0000-0000-000044650000}"/>
    <cellStyle name="Normal 3 2 4 3 2 2" xfId="4819" xr:uid="{00000000-0005-0000-0000-000045650000}"/>
    <cellStyle name="Normal 3 2 4 3 2 2 2" xfId="23940" xr:uid="{00000000-0005-0000-0000-000046650000}"/>
    <cellStyle name="Normal 3 2 4 3 2 2 2 2" xfId="24137" xr:uid="{00000000-0005-0000-0000-000047650000}"/>
    <cellStyle name="Normal 3 2 4 3 2 2 2 2 2" xfId="5265" xr:uid="{00000000-0005-0000-0000-000048650000}"/>
    <cellStyle name="Normal 3 2 4 3 2 2 2 3" xfId="26977" xr:uid="{00000000-0005-0000-0000-000049650000}"/>
    <cellStyle name="Normal 3 2 4 3 2 2 3" xfId="20947" xr:uid="{00000000-0005-0000-0000-00004A650000}"/>
    <cellStyle name="Normal 3 2 4 3 2 2 3 2" xfId="22818" xr:uid="{00000000-0005-0000-0000-00004B650000}"/>
    <cellStyle name="Normal 3 2 4 3 2 2 4" xfId="20973" xr:uid="{00000000-0005-0000-0000-00004C650000}"/>
    <cellStyle name="Normal 3 2 4 3 2 3" xfId="5519" xr:uid="{00000000-0005-0000-0000-00004D650000}"/>
    <cellStyle name="Normal 3 2 4 3 2 3 2" xfId="26989" xr:uid="{00000000-0005-0000-0000-00004E650000}"/>
    <cellStyle name="Normal 3 2 4 3 2 3 2 2" xfId="26993" xr:uid="{00000000-0005-0000-0000-00004F650000}"/>
    <cellStyle name="Normal 3 2 4 3 2 3 3" xfId="480" xr:uid="{00000000-0005-0000-0000-000050650000}"/>
    <cellStyle name="Normal 3 2 4 3 2 4" xfId="5521" xr:uid="{00000000-0005-0000-0000-000051650000}"/>
    <cellStyle name="Normal 3 2 4 3 2 4 2" xfId="26414" xr:uid="{00000000-0005-0000-0000-000052650000}"/>
    <cellStyle name="Normal 3 2 4 3 2 5" xfId="4103" xr:uid="{00000000-0005-0000-0000-000053650000}"/>
    <cellStyle name="Normal 3 2 4 3 3" xfId="35" xr:uid="{00000000-0005-0000-0000-000054650000}"/>
    <cellStyle name="Normal 3 2 4 3 3 2" xfId="2337" xr:uid="{00000000-0005-0000-0000-000055650000}"/>
    <cellStyle name="Normal 3 2 4 3 3 2 2" xfId="19872" xr:uid="{00000000-0005-0000-0000-000056650000}"/>
    <cellStyle name="Normal 3 2 4 3 3 2 2 2" xfId="27032" xr:uid="{00000000-0005-0000-0000-000057650000}"/>
    <cellStyle name="Normal 3 2 4 3 3 2 3" xfId="21005" xr:uid="{00000000-0005-0000-0000-000058650000}"/>
    <cellStyle name="Normal 3 2 4 3 3 3" xfId="7877" xr:uid="{00000000-0005-0000-0000-000059650000}"/>
    <cellStyle name="Normal 3 2 4 3 3 3 2" xfId="28742" xr:uid="{00000000-0005-0000-0000-00005A650000}"/>
    <cellStyle name="Normal 3 2 4 3 3 4" xfId="4106" xr:uid="{00000000-0005-0000-0000-00005B650000}"/>
    <cellStyle name="Normal 3 2 4 3 4" xfId="5581" xr:uid="{00000000-0005-0000-0000-00005C650000}"/>
    <cellStyle name="Normal 3 2 4 3 4 2" xfId="4087" xr:uid="{00000000-0005-0000-0000-00005D650000}"/>
    <cellStyle name="Normal 3 2 4 3 4 2 2" xfId="26046" xr:uid="{00000000-0005-0000-0000-00005E650000}"/>
    <cellStyle name="Normal 3 2 4 3 4 3" xfId="20299" xr:uid="{00000000-0005-0000-0000-00005F650000}"/>
    <cellStyle name="Normal 3 2 4 3 5" xfId="14726" xr:uid="{00000000-0005-0000-0000-000060650000}"/>
    <cellStyle name="Normal 3 2 4 3 5 2" xfId="7284" xr:uid="{00000000-0005-0000-0000-000061650000}"/>
    <cellStyle name="Normal 3 2 4 3 6" xfId="14734" xr:uid="{00000000-0005-0000-0000-000062650000}"/>
    <cellStyle name="Normal 3 2 4 4" xfId="8008" xr:uid="{00000000-0005-0000-0000-000063650000}"/>
    <cellStyle name="Normal 3 2 4 4 2" xfId="4108" xr:uid="{00000000-0005-0000-0000-000064650000}"/>
    <cellStyle name="Normal 3 2 4 4 2 2" xfId="3946" xr:uid="{00000000-0005-0000-0000-000065650000}"/>
    <cellStyle name="Normal 3 2 4 4 2 2 2" xfId="27956" xr:uid="{00000000-0005-0000-0000-000066650000}"/>
    <cellStyle name="Normal 3 2 4 4 2 2 2 2" xfId="19920" xr:uid="{00000000-0005-0000-0000-000067650000}"/>
    <cellStyle name="Normal 3 2 4 4 2 2 3" xfId="16862" xr:uid="{00000000-0005-0000-0000-000068650000}"/>
    <cellStyle name="Normal 3 2 4 4 2 3" xfId="5535" xr:uid="{00000000-0005-0000-0000-000069650000}"/>
    <cellStyle name="Normal 3 2 4 4 2 3 2" xfId="21209" xr:uid="{00000000-0005-0000-0000-00006A650000}"/>
    <cellStyle name="Normal 3 2 4 4 2 4" xfId="4118" xr:uid="{00000000-0005-0000-0000-00006B650000}"/>
    <cellStyle name="Normal 3 2 4 4 3" xfId="2339" xr:uid="{00000000-0005-0000-0000-00006C650000}"/>
    <cellStyle name="Normal 3 2 4 4 3 2" xfId="4121" xr:uid="{00000000-0005-0000-0000-00006D650000}"/>
    <cellStyle name="Normal 3 2 4 4 3 2 2" xfId="27102" xr:uid="{00000000-0005-0000-0000-00006E650000}"/>
    <cellStyle name="Normal 3 2 4 4 3 3" xfId="4124" xr:uid="{00000000-0005-0000-0000-00006F650000}"/>
    <cellStyle name="Normal 3 2 4 4 4" xfId="4127" xr:uid="{00000000-0005-0000-0000-000070650000}"/>
    <cellStyle name="Normal 3 2 4 4 4 2" xfId="4131" xr:uid="{00000000-0005-0000-0000-000071650000}"/>
    <cellStyle name="Normal 3 2 4 4 5" xfId="14743" xr:uid="{00000000-0005-0000-0000-000072650000}"/>
    <cellStyle name="Normal 3 2 4 5" xfId="48" xr:uid="{00000000-0005-0000-0000-000073650000}"/>
    <cellStyle name="Normal 3 2 4 5 2" xfId="4136" xr:uid="{00000000-0005-0000-0000-000074650000}"/>
    <cellStyle name="Normal 3 2 4 5 2 2" xfId="4138" xr:uid="{00000000-0005-0000-0000-000075650000}"/>
    <cellStyle name="Normal 3 2 4 5 2 2 2" xfId="16622" xr:uid="{00000000-0005-0000-0000-000076650000}"/>
    <cellStyle name="Normal 3 2 4 5 2 3" xfId="4142" xr:uid="{00000000-0005-0000-0000-000077650000}"/>
    <cellStyle name="Normal 3 2 4 5 3" xfId="4148" xr:uid="{00000000-0005-0000-0000-000078650000}"/>
    <cellStyle name="Normal 3 2 4 5 3 2" xfId="4153" xr:uid="{00000000-0005-0000-0000-000079650000}"/>
    <cellStyle name="Normal 3 2 4 5 4" xfId="1248" xr:uid="{00000000-0005-0000-0000-00007A650000}"/>
    <cellStyle name="Normal 3 2 4 6" xfId="1923" xr:uid="{00000000-0005-0000-0000-00007B650000}"/>
    <cellStyle name="Normal 3 2 4 6 2" xfId="4157" xr:uid="{00000000-0005-0000-0000-00007C650000}"/>
    <cellStyle name="Normal 3 2 4 6 2 2" xfId="14623" xr:uid="{00000000-0005-0000-0000-00007D650000}"/>
    <cellStyle name="Normal 3 2 4 6 3" xfId="5252" xr:uid="{00000000-0005-0000-0000-00007E650000}"/>
    <cellStyle name="Normal 3 2 4 7" xfId="4165" xr:uid="{00000000-0005-0000-0000-00007F650000}"/>
    <cellStyle name="Normal 3 2 4 7 2" xfId="4172" xr:uid="{00000000-0005-0000-0000-000080650000}"/>
    <cellStyle name="Normal 3 2 4 8" xfId="4175" xr:uid="{00000000-0005-0000-0000-000081650000}"/>
    <cellStyle name="Normal 3 2 5" xfId="2591" xr:uid="{00000000-0005-0000-0000-000082650000}"/>
    <cellStyle name="Normal 3 2 5 2" xfId="493" xr:uid="{00000000-0005-0000-0000-000083650000}"/>
    <cellStyle name="Normal 3 2 5 2 2" xfId="4181" xr:uid="{00000000-0005-0000-0000-000084650000}"/>
    <cellStyle name="Normal 3 2 5 2 2 2" xfId="2078" xr:uid="{00000000-0005-0000-0000-000085650000}"/>
    <cellStyle name="Normal 3 2 5 2 2 2 2" xfId="27960" xr:uid="{00000000-0005-0000-0000-000086650000}"/>
    <cellStyle name="Normal 3 2 5 2 2 2 2 2" xfId="27965" xr:uid="{00000000-0005-0000-0000-000087650000}"/>
    <cellStyle name="Normal 3 2 5 2 2 2 2 2 2" xfId="27967" xr:uid="{00000000-0005-0000-0000-000088650000}"/>
    <cellStyle name="Normal 3 2 5 2 2 2 2 3" xfId="27968" xr:uid="{00000000-0005-0000-0000-000089650000}"/>
    <cellStyle name="Normal 3 2 5 2 2 2 3" xfId="21356" xr:uid="{00000000-0005-0000-0000-00008A650000}"/>
    <cellStyle name="Normal 3 2 5 2 2 2 3 2" xfId="27970" xr:uid="{00000000-0005-0000-0000-00008B650000}"/>
    <cellStyle name="Normal 3 2 5 2 2 2 4" xfId="21368" xr:uid="{00000000-0005-0000-0000-00008C650000}"/>
    <cellStyle name="Normal 3 2 5 2 2 3" xfId="6356" xr:uid="{00000000-0005-0000-0000-00008D650000}"/>
    <cellStyle name="Normal 3 2 5 2 2 3 2" xfId="1544" xr:uid="{00000000-0005-0000-0000-00008E650000}"/>
    <cellStyle name="Normal 3 2 5 2 2 3 2 2" xfId="27972" xr:uid="{00000000-0005-0000-0000-00008F650000}"/>
    <cellStyle name="Normal 3 2 5 2 2 3 3" xfId="21377" xr:uid="{00000000-0005-0000-0000-000090650000}"/>
    <cellStyle name="Normal 3 2 5 2 2 4" xfId="20447" xr:uid="{00000000-0005-0000-0000-000091650000}"/>
    <cellStyle name="Normal 3 2 5 2 2 4 2" xfId="30795" xr:uid="{00000000-0005-0000-0000-000092650000}"/>
    <cellStyle name="Normal 3 2 5 2 2 5" xfId="4234" xr:uid="{00000000-0005-0000-0000-000093650000}"/>
    <cellStyle name="Normal 3 2 5 2 3" xfId="5870" xr:uid="{00000000-0005-0000-0000-000094650000}"/>
    <cellStyle name="Normal 3 2 5 2 3 2" xfId="25560" xr:uid="{00000000-0005-0000-0000-000095650000}"/>
    <cellStyle name="Normal 3 2 5 2 3 2 2" xfId="30130" xr:uid="{00000000-0005-0000-0000-000096650000}"/>
    <cellStyle name="Normal 3 2 5 2 3 2 2 2" xfId="30135" xr:uid="{00000000-0005-0000-0000-000097650000}"/>
    <cellStyle name="Normal 3 2 5 2 3 2 3" xfId="21406" xr:uid="{00000000-0005-0000-0000-000098650000}"/>
    <cellStyle name="Normal 3 2 5 2 3 3" xfId="20455" xr:uid="{00000000-0005-0000-0000-000099650000}"/>
    <cellStyle name="Normal 3 2 5 2 3 3 2" xfId="30154" xr:uid="{00000000-0005-0000-0000-00009A650000}"/>
    <cellStyle name="Normal 3 2 5 2 3 4" xfId="4250" xr:uid="{00000000-0005-0000-0000-00009B650000}"/>
    <cellStyle name="Normal 3 2 5 2 4" xfId="5879" xr:uid="{00000000-0005-0000-0000-00009C650000}"/>
    <cellStyle name="Normal 3 2 5 2 4 2" xfId="20460" xr:uid="{00000000-0005-0000-0000-00009D650000}"/>
    <cellStyle name="Normal 3 2 5 2 4 2 2" xfId="27463" xr:uid="{00000000-0005-0000-0000-00009E650000}"/>
    <cellStyle name="Normal 3 2 5 2 4 3" xfId="22062" xr:uid="{00000000-0005-0000-0000-00009F650000}"/>
    <cellStyle name="Normal 3 2 5 2 5" xfId="16667" xr:uid="{00000000-0005-0000-0000-0000A0650000}"/>
    <cellStyle name="Normal 3 2 5 2 5 2" xfId="26832" xr:uid="{00000000-0005-0000-0000-0000A1650000}"/>
    <cellStyle name="Normal 3 2 5 2 6" xfId="7208" xr:uid="{00000000-0005-0000-0000-0000A2650000}"/>
    <cellStyle name="Normal 3 2 5 2 6 2" xfId="1985" xr:uid="{00000000-0005-0000-0000-0000A3650000}"/>
    <cellStyle name="Normal 3 2 5 2 7" xfId="27117" xr:uid="{00000000-0005-0000-0000-0000A4650000}"/>
    <cellStyle name="Normal 3 2 5 3" xfId="73" xr:uid="{00000000-0005-0000-0000-0000A5650000}"/>
    <cellStyle name="Normal 3 2 5 3 2" xfId="4255" xr:uid="{00000000-0005-0000-0000-0000A6650000}"/>
    <cellStyle name="Normal 3 2 5 3 2 2" xfId="20473" xr:uid="{00000000-0005-0000-0000-0000A7650000}"/>
    <cellStyle name="Normal 3 2 5 3 2 2 2" xfId="26760" xr:uid="{00000000-0005-0000-0000-0000A8650000}"/>
    <cellStyle name="Normal 3 2 5 3 2 2 2 2" xfId="30337" xr:uid="{00000000-0005-0000-0000-0000A9650000}"/>
    <cellStyle name="Normal 3 2 5 3 2 2 3" xfId="21478" xr:uid="{00000000-0005-0000-0000-0000AA650000}"/>
    <cellStyle name="Normal 3 2 5 3 2 3" xfId="20476" xr:uid="{00000000-0005-0000-0000-0000AB650000}"/>
    <cellStyle name="Normal 3 2 5 3 2 3 2" xfId="33865" xr:uid="{00000000-0005-0000-0000-0000AC650000}"/>
    <cellStyle name="Normal 3 2 5 3 2 4" xfId="4272" xr:uid="{00000000-0005-0000-0000-0000AD650000}"/>
    <cellStyle name="Normal 3 2 5 3 3" xfId="5886" xr:uid="{00000000-0005-0000-0000-0000AE650000}"/>
    <cellStyle name="Normal 3 2 5 3 3 2" xfId="20481" xr:uid="{00000000-0005-0000-0000-0000AF650000}"/>
    <cellStyle name="Normal 3 2 5 3 3 2 2" xfId="30240" xr:uid="{00000000-0005-0000-0000-0000B0650000}"/>
    <cellStyle name="Normal 3 2 5 3 3 3" xfId="4287" xr:uid="{00000000-0005-0000-0000-0000B1650000}"/>
    <cellStyle name="Normal 3 2 5 3 4" xfId="7292" xr:uid="{00000000-0005-0000-0000-0000B2650000}"/>
    <cellStyle name="Normal 3 2 5 3 4 2" xfId="745" xr:uid="{00000000-0005-0000-0000-0000B3650000}"/>
    <cellStyle name="Normal 3 2 5 3 5" xfId="12836" xr:uid="{00000000-0005-0000-0000-0000B4650000}"/>
    <cellStyle name="Normal 3 2 5 4" xfId="8880" xr:uid="{00000000-0005-0000-0000-0000B5650000}"/>
    <cellStyle name="Normal 3 2 5 4 2" xfId="3790" xr:uid="{00000000-0005-0000-0000-0000B6650000}"/>
    <cellStyle name="Normal 3 2 5 4 2 2" xfId="20500" xr:uid="{00000000-0005-0000-0000-0000B7650000}"/>
    <cellStyle name="Normal 3 2 5 4 2 2 2" xfId="26713" xr:uid="{00000000-0005-0000-0000-0000B8650000}"/>
    <cellStyle name="Normal 3 2 5 4 2 3" xfId="4295" xr:uid="{00000000-0005-0000-0000-0000B9650000}"/>
    <cellStyle name="Normal 3 2 5 4 3" xfId="7294" xr:uid="{00000000-0005-0000-0000-0000BA650000}"/>
    <cellStyle name="Normal 3 2 5 4 3 2" xfId="3263" xr:uid="{00000000-0005-0000-0000-0000BB650000}"/>
    <cellStyle name="Normal 3 2 5 4 4" xfId="8691" xr:uid="{00000000-0005-0000-0000-0000BC650000}"/>
    <cellStyle name="Normal 3 2 5 5" xfId="4297" xr:uid="{00000000-0005-0000-0000-0000BD650000}"/>
    <cellStyle name="Normal 3 2 5 5 2" xfId="3803" xr:uid="{00000000-0005-0000-0000-0000BE650000}"/>
    <cellStyle name="Normal 3 2 5 5 2 2" xfId="22573" xr:uid="{00000000-0005-0000-0000-0000BF650000}"/>
    <cellStyle name="Normal 3 2 5 5 3" xfId="3625" xr:uid="{00000000-0005-0000-0000-0000C0650000}"/>
    <cellStyle name="Normal 3 2 5 6" xfId="4307" xr:uid="{00000000-0005-0000-0000-0000C1650000}"/>
    <cellStyle name="Normal 3 2 5 6 2" xfId="3810" xr:uid="{00000000-0005-0000-0000-0000C2650000}"/>
    <cellStyle name="Normal 3 2 5 7" xfId="4313" xr:uid="{00000000-0005-0000-0000-0000C3650000}"/>
    <cellStyle name="Normal 3 2 5 7 2" xfId="26837" xr:uid="{00000000-0005-0000-0000-0000C4650000}"/>
    <cellStyle name="Normal 3 2 5 8" xfId="3295" xr:uid="{00000000-0005-0000-0000-0000C5650000}"/>
    <cellStyle name="Normal 3 2 6" xfId="11359" xr:uid="{00000000-0005-0000-0000-0000C6650000}"/>
    <cellStyle name="Normal 3 2 6 2" xfId="7266" xr:uid="{00000000-0005-0000-0000-0000C7650000}"/>
    <cellStyle name="Normal 3 2 6 2 2" xfId="4319" xr:uid="{00000000-0005-0000-0000-0000C8650000}"/>
    <cellStyle name="Normal 3 2 6 2 2 2" xfId="20568" xr:uid="{00000000-0005-0000-0000-0000C9650000}"/>
    <cellStyle name="Normal 3 2 6 2 2 2 2" xfId="25987" xr:uid="{00000000-0005-0000-0000-0000CA650000}"/>
    <cellStyle name="Normal 3 2 6 2 2 2 2 2" xfId="28267" xr:uid="{00000000-0005-0000-0000-0000CB650000}"/>
    <cellStyle name="Normal 3 2 6 2 2 2 3" xfId="19512" xr:uid="{00000000-0005-0000-0000-0000CC650000}"/>
    <cellStyle name="Normal 3 2 6 2 2 3" xfId="20571" xr:uid="{00000000-0005-0000-0000-0000CD650000}"/>
    <cellStyle name="Normal 3 2 6 2 2 3 2" xfId="19518" xr:uid="{00000000-0005-0000-0000-0000CE650000}"/>
    <cellStyle name="Normal 3 2 6 2 2 4" xfId="10796" xr:uid="{00000000-0005-0000-0000-0000CF650000}"/>
    <cellStyle name="Normal 3 2 6 2 3" xfId="4344" xr:uid="{00000000-0005-0000-0000-0000D0650000}"/>
    <cellStyle name="Normal 3 2 6 2 3 2" xfId="20579" xr:uid="{00000000-0005-0000-0000-0000D1650000}"/>
    <cellStyle name="Normal 3 2 6 2 3 2 2" xfId="19530" xr:uid="{00000000-0005-0000-0000-0000D2650000}"/>
    <cellStyle name="Normal 3 2 6 2 3 3" xfId="4349" xr:uid="{00000000-0005-0000-0000-0000D3650000}"/>
    <cellStyle name="Normal 3 2 6 2 4" xfId="7314" xr:uid="{00000000-0005-0000-0000-0000D4650000}"/>
    <cellStyle name="Normal 3 2 6 2 4 2" xfId="1618" xr:uid="{00000000-0005-0000-0000-0000D5650000}"/>
    <cellStyle name="Normal 3 2 6 2 5" xfId="12844" xr:uid="{00000000-0005-0000-0000-0000D6650000}"/>
    <cellStyle name="Normal 3 2 6 2 5 2" xfId="27995" xr:uid="{00000000-0005-0000-0000-0000D7650000}"/>
    <cellStyle name="Normal 3 2 6 2 6" xfId="26901" xr:uid="{00000000-0005-0000-0000-0000D8650000}"/>
    <cellStyle name="Normal 3 2 6 2 6 2" xfId="8053" xr:uid="{00000000-0005-0000-0000-0000D9650000}"/>
    <cellStyle name="Normal 3 2 6 2 7" xfId="20223" xr:uid="{00000000-0005-0000-0000-0000DA650000}"/>
    <cellStyle name="Normal 3 2 6 3" xfId="26" xr:uid="{00000000-0005-0000-0000-0000DB650000}"/>
    <cellStyle name="Normal 3 2 6 3 2" xfId="7380" xr:uid="{00000000-0005-0000-0000-0000DC650000}"/>
    <cellStyle name="Normal 3 2 6 3 2 2" xfId="20587" xr:uid="{00000000-0005-0000-0000-0000DD650000}"/>
    <cellStyle name="Normal 3 2 6 3 2 2 2" xfId="19563" xr:uid="{00000000-0005-0000-0000-0000DE650000}"/>
    <cellStyle name="Normal 3 2 6 3 2 3" xfId="4372" xr:uid="{00000000-0005-0000-0000-0000DF650000}"/>
    <cellStyle name="Normal 3 2 6 3 3" xfId="7316" xr:uid="{00000000-0005-0000-0000-0000E0650000}"/>
    <cellStyle name="Normal 3 2 6 3 3 2" xfId="917" xr:uid="{00000000-0005-0000-0000-0000E1650000}"/>
    <cellStyle name="Normal 3 2 6 3 4" xfId="418" xr:uid="{00000000-0005-0000-0000-0000E2650000}"/>
    <cellStyle name="Normal 3 2 6 4" xfId="4388" xr:uid="{00000000-0005-0000-0000-0000E3650000}"/>
    <cellStyle name="Normal 3 2 6 4 2" xfId="3813" xr:uid="{00000000-0005-0000-0000-0000E4650000}"/>
    <cellStyle name="Normal 3 2 6 4 2 2" xfId="4391" xr:uid="{00000000-0005-0000-0000-0000E5650000}"/>
    <cellStyle name="Normal 3 2 6 4 3" xfId="132" xr:uid="{00000000-0005-0000-0000-0000E6650000}"/>
    <cellStyle name="Normal 3 2 6 5" xfId="4399" xr:uid="{00000000-0005-0000-0000-0000E7650000}"/>
    <cellStyle name="Normal 3 2 6 5 2" xfId="13114" xr:uid="{00000000-0005-0000-0000-0000E8650000}"/>
    <cellStyle name="Normal 3 2 6 6" xfId="4412" xr:uid="{00000000-0005-0000-0000-0000E9650000}"/>
    <cellStyle name="Normal 3 2 6 6 2" xfId="29324" xr:uid="{00000000-0005-0000-0000-0000EA650000}"/>
    <cellStyle name="Normal 3 2 6 7" xfId="26944" xr:uid="{00000000-0005-0000-0000-0000EB650000}"/>
    <cellStyle name="Normal 3 2 6 7 2" xfId="28002" xr:uid="{00000000-0005-0000-0000-0000EC650000}"/>
    <cellStyle name="Normal 3 2 6 8" xfId="19297" xr:uid="{00000000-0005-0000-0000-0000ED650000}"/>
    <cellStyle name="Normal 3 2 7" xfId="12558" xr:uid="{00000000-0005-0000-0000-0000EE650000}"/>
    <cellStyle name="Normal 3 2 7 2" xfId="79" xr:uid="{00000000-0005-0000-0000-0000EF650000}"/>
    <cellStyle name="Normal 3 2 7 2 2" xfId="4421" xr:uid="{00000000-0005-0000-0000-0000F0650000}"/>
    <cellStyle name="Normal 3 2 7 2 2 2" xfId="20628" xr:uid="{00000000-0005-0000-0000-0000F1650000}"/>
    <cellStyle name="Normal 3 2 7 2 2 2 2" xfId="28101" xr:uid="{00000000-0005-0000-0000-0000F2650000}"/>
    <cellStyle name="Normal 3 2 7 2 2 3" xfId="755" xr:uid="{00000000-0005-0000-0000-0000F3650000}"/>
    <cellStyle name="Normal 3 2 7 2 3" xfId="7326" xr:uid="{00000000-0005-0000-0000-0000F4650000}"/>
    <cellStyle name="Normal 3 2 7 2 3 2" xfId="4424" xr:uid="{00000000-0005-0000-0000-0000F5650000}"/>
    <cellStyle name="Normal 3 2 7 2 4" xfId="3685" xr:uid="{00000000-0005-0000-0000-0000F6650000}"/>
    <cellStyle name="Normal 3 2 7 2 4 2" xfId="28007" xr:uid="{00000000-0005-0000-0000-0000F7650000}"/>
    <cellStyle name="Normal 3 2 7 2 5" xfId="26953" xr:uid="{00000000-0005-0000-0000-0000F8650000}"/>
    <cellStyle name="Normal 3 2 7 2 5 2" xfId="21734" xr:uid="{00000000-0005-0000-0000-0000F9650000}"/>
    <cellStyle name="Normal 3 2 7 2 6" xfId="29712" xr:uid="{00000000-0005-0000-0000-0000FA650000}"/>
    <cellStyle name="Normal 3 2 7 2 6 2" xfId="8077" xr:uid="{00000000-0005-0000-0000-0000FB650000}"/>
    <cellStyle name="Normal 3 2 7 2 7" xfId="20509" xr:uid="{00000000-0005-0000-0000-0000FC650000}"/>
    <cellStyle name="Normal 3 2 7 3" xfId="1873" xr:uid="{00000000-0005-0000-0000-0000FD650000}"/>
    <cellStyle name="Normal 3 2 7 3 2" xfId="4436" xr:uid="{00000000-0005-0000-0000-0000FE650000}"/>
    <cellStyle name="Normal 3 2 7 3 2 2" xfId="4440" xr:uid="{00000000-0005-0000-0000-0000FF650000}"/>
    <cellStyle name="Normal 3 2 7 3 3" xfId="4442" xr:uid="{00000000-0005-0000-0000-000000660000}"/>
    <cellStyle name="Normal 3 2 7 4" xfId="9962" xr:uid="{00000000-0005-0000-0000-000001660000}"/>
    <cellStyle name="Normal 3 2 7 4 2" xfId="3835" xr:uid="{00000000-0005-0000-0000-000002660000}"/>
    <cellStyle name="Normal 3 2 7 5" xfId="9965" xr:uid="{00000000-0005-0000-0000-000003660000}"/>
    <cellStyle name="Normal 3 2 7 5 2" xfId="27517" xr:uid="{00000000-0005-0000-0000-000004660000}"/>
    <cellStyle name="Normal 3 2 7 6" xfId="26963" xr:uid="{00000000-0005-0000-0000-000005660000}"/>
    <cellStyle name="Normal 3 2 7 6 2" xfId="30354" xr:uid="{00000000-0005-0000-0000-000006660000}"/>
    <cellStyle name="Normal 3 2 7 7" xfId="28013" xr:uid="{00000000-0005-0000-0000-000007660000}"/>
    <cellStyle name="Normal 3 2 7 7 2" xfId="28014" xr:uid="{00000000-0005-0000-0000-000008660000}"/>
    <cellStyle name="Normal 3 2 7 8" xfId="28015" xr:uid="{00000000-0005-0000-0000-000009660000}"/>
    <cellStyle name="Normal 3 2 8" xfId="5509" xr:uid="{00000000-0005-0000-0000-00000A660000}"/>
    <cellStyle name="Normal 3 2 8 2" xfId="4454" xr:uid="{00000000-0005-0000-0000-00000B660000}"/>
    <cellStyle name="Normal 3 2 8 2 2" xfId="4456" xr:uid="{00000000-0005-0000-0000-00000C660000}"/>
    <cellStyle name="Normal 3 2 8 2 2 2" xfId="4930" xr:uid="{00000000-0005-0000-0000-00000D660000}"/>
    <cellStyle name="Normal 3 2 8 2 3" xfId="4468" xr:uid="{00000000-0005-0000-0000-00000E660000}"/>
    <cellStyle name="Normal 3 2 8 2 3 2" xfId="391" xr:uid="{00000000-0005-0000-0000-00000F660000}"/>
    <cellStyle name="Normal 3 2 8 2 4" xfId="27037" xr:uid="{00000000-0005-0000-0000-000010660000}"/>
    <cellStyle name="Normal 3 2 8 2 4 2" xfId="11187" xr:uid="{00000000-0005-0000-0000-000011660000}"/>
    <cellStyle name="Normal 3 2 8 2 5" xfId="27042" xr:uid="{00000000-0005-0000-0000-000012660000}"/>
    <cellStyle name="Normal 3 2 8 2 5 2" xfId="15471" xr:uid="{00000000-0005-0000-0000-000013660000}"/>
    <cellStyle name="Normal 3 2 8 2 6" xfId="28021" xr:uid="{00000000-0005-0000-0000-000014660000}"/>
    <cellStyle name="Normal 3 2 8 2 6 2" xfId="23675" xr:uid="{00000000-0005-0000-0000-000015660000}"/>
    <cellStyle name="Normal 3 2 8 2 7" xfId="16344" xr:uid="{00000000-0005-0000-0000-000016660000}"/>
    <cellStyle name="Normal 3 2 8 3" xfId="4471" xr:uid="{00000000-0005-0000-0000-000017660000}"/>
    <cellStyle name="Normal 3 2 8 3 2" xfId="10326" xr:uid="{00000000-0005-0000-0000-000018660000}"/>
    <cellStyle name="Normal 3 2 8 4" xfId="10156" xr:uid="{00000000-0005-0000-0000-000019660000}"/>
    <cellStyle name="Normal 3 2 8 4 2" xfId="27072" xr:uid="{00000000-0005-0000-0000-00001A660000}"/>
    <cellStyle name="Normal 3 2 8 5" xfId="27078" xr:uid="{00000000-0005-0000-0000-00001B660000}"/>
    <cellStyle name="Normal 3 2 8 5 2" xfId="27081" xr:uid="{00000000-0005-0000-0000-00001C660000}"/>
    <cellStyle name="Normal 3 2 8 6" xfId="27087" xr:uid="{00000000-0005-0000-0000-00001D660000}"/>
    <cellStyle name="Normal 3 2 8 6 2" xfId="34026" xr:uid="{00000000-0005-0000-0000-00001E660000}"/>
    <cellStyle name="Normal 3 2 8 7" xfId="22457" xr:uid="{00000000-0005-0000-0000-00001F660000}"/>
    <cellStyle name="Normal 3 2 8 7 2" xfId="32636" xr:uid="{00000000-0005-0000-0000-000020660000}"/>
    <cellStyle name="Normal 3 2 8 8" xfId="28025" xr:uid="{00000000-0005-0000-0000-000021660000}"/>
    <cellStyle name="Normal 3 2 9" xfId="8611" xr:uid="{00000000-0005-0000-0000-000022660000}"/>
    <cellStyle name="Normal 3 2 9 2" xfId="8617" xr:uid="{00000000-0005-0000-0000-000023660000}"/>
    <cellStyle name="Normal 3 2 9 2 2" xfId="12680" xr:uid="{00000000-0005-0000-0000-000024660000}"/>
    <cellStyle name="Normal 3 2 9 2 2 2" xfId="12263" xr:uid="{00000000-0005-0000-0000-000025660000}"/>
    <cellStyle name="Normal 3 2 9 2 3" xfId="10978" xr:uid="{00000000-0005-0000-0000-000026660000}"/>
    <cellStyle name="Normal 3 2 9 2 3 2" xfId="11533" xr:uid="{00000000-0005-0000-0000-000027660000}"/>
    <cellStyle name="Normal 3 2 9 2 4" xfId="11020" xr:uid="{00000000-0005-0000-0000-000028660000}"/>
    <cellStyle name="Normal 3 2 9 2 4 2" xfId="15540" xr:uid="{00000000-0005-0000-0000-000029660000}"/>
    <cellStyle name="Normal 3 2 9 2 5" xfId="30012" xr:uid="{00000000-0005-0000-0000-00002A660000}"/>
    <cellStyle name="Normal 3 2 9 2 5 2" xfId="28029" xr:uid="{00000000-0005-0000-0000-00002B660000}"/>
    <cellStyle name="Normal 3 2 9 2 6" xfId="28033" xr:uid="{00000000-0005-0000-0000-00002C660000}"/>
    <cellStyle name="Normal 3 2 9 2 6 2" xfId="28038" xr:uid="{00000000-0005-0000-0000-00002D660000}"/>
    <cellStyle name="Normal 3 2 9 2 7" xfId="16363" xr:uid="{00000000-0005-0000-0000-00002E660000}"/>
    <cellStyle name="Normal 3 2 9 3" xfId="15901" xr:uid="{00000000-0005-0000-0000-00002F660000}"/>
    <cellStyle name="Normal 3 2 9 3 2" xfId="10843" xr:uid="{00000000-0005-0000-0000-000030660000}"/>
    <cellStyle name="Normal 3 2 9 4" xfId="28039" xr:uid="{00000000-0005-0000-0000-000031660000}"/>
    <cellStyle name="Normal 3 2 9 4 2" xfId="18696" xr:uid="{00000000-0005-0000-0000-000032660000}"/>
    <cellStyle name="Normal 3 2 9 5" xfId="23964" xr:uid="{00000000-0005-0000-0000-000033660000}"/>
    <cellStyle name="Normal 3 2 9 5 2" xfId="20494" xr:uid="{00000000-0005-0000-0000-000034660000}"/>
    <cellStyle name="Normal 3 2 9 6" xfId="28040" xr:uid="{00000000-0005-0000-0000-000035660000}"/>
    <cellStyle name="Normal 3 2 9 6 2" xfId="28047" xr:uid="{00000000-0005-0000-0000-000036660000}"/>
    <cellStyle name="Normal 3 2 9 7" xfId="28054" xr:uid="{00000000-0005-0000-0000-000037660000}"/>
    <cellStyle name="Normal 3 2 9 7 2" xfId="28058" xr:uid="{00000000-0005-0000-0000-000038660000}"/>
    <cellStyle name="Normal 3 2 9 8" xfId="23453" xr:uid="{00000000-0005-0000-0000-000039660000}"/>
    <cellStyle name="Normal 3 20" xfId="26678" xr:uid="{00000000-0005-0000-0000-00003A660000}"/>
    <cellStyle name="Normal 3 20 2" xfId="2489" xr:uid="{00000000-0005-0000-0000-00003B660000}"/>
    <cellStyle name="Normal 3 21" xfId="26681" xr:uid="{00000000-0005-0000-0000-00003C660000}"/>
    <cellStyle name="Normal 3 21 2" xfId="2690" xr:uid="{00000000-0005-0000-0000-00003D660000}"/>
    <cellStyle name="Normal 3 22" xfId="21215" xr:uid="{00000000-0005-0000-0000-00003E660000}"/>
    <cellStyle name="Normal 3 23" xfId="27957" xr:uid="{00000000-0005-0000-0000-00003F660000}"/>
    <cellStyle name="Normal 3 3" xfId="24802" xr:uid="{00000000-0005-0000-0000-000040660000}"/>
    <cellStyle name="Normal 3 3 10" xfId="30974" xr:uid="{00000000-0005-0000-0000-000041660000}"/>
    <cellStyle name="Normal 3 3 2" xfId="28069" xr:uid="{00000000-0005-0000-0000-000042660000}"/>
    <cellStyle name="Normal 3 3 2 2" xfId="30410" xr:uid="{00000000-0005-0000-0000-000043660000}"/>
    <cellStyle name="Normal 3 3 2 2 2" xfId="22080" xr:uid="{00000000-0005-0000-0000-000044660000}"/>
    <cellStyle name="Normal 3 3 2 2 2 2" xfId="4443" xr:uid="{00000000-0005-0000-0000-000045660000}"/>
    <cellStyle name="Normal 3 3 2 2 2 2 2" xfId="29671" xr:uid="{00000000-0005-0000-0000-000046660000}"/>
    <cellStyle name="Normal 3 3 2 2 2 2 2 2" xfId="33428" xr:uid="{00000000-0005-0000-0000-000047660000}"/>
    <cellStyle name="Normal 3 3 2 2 2 2 2 2 2" xfId="13945" xr:uid="{00000000-0005-0000-0000-000048660000}"/>
    <cellStyle name="Normal 3 3 2 2 2 2 2 2 2 2" xfId="26621" xr:uid="{00000000-0005-0000-0000-000049660000}"/>
    <cellStyle name="Normal 3 3 2 2 2 2 2 2 2 2 2" xfId="18957" xr:uid="{00000000-0005-0000-0000-00004A660000}"/>
    <cellStyle name="Normal 3 3 2 2 2 2 2 2 2 3" xfId="33857" xr:uid="{00000000-0005-0000-0000-00004B660000}"/>
    <cellStyle name="Normal 3 3 2 2 2 2 2 2 3" xfId="13955" xr:uid="{00000000-0005-0000-0000-00004C660000}"/>
    <cellStyle name="Normal 3 3 2 2 2 2 2 2 3 2" xfId="12051" xr:uid="{00000000-0005-0000-0000-00004D660000}"/>
    <cellStyle name="Normal 3 3 2 2 2 2 2 2 4" xfId="29640" xr:uid="{00000000-0005-0000-0000-00004E660000}"/>
    <cellStyle name="Normal 3 3 2 2 2 2 2 3" xfId="7354" xr:uid="{00000000-0005-0000-0000-00004F660000}"/>
    <cellStyle name="Normal 3 3 2 2 2 2 2 3 2" xfId="5772" xr:uid="{00000000-0005-0000-0000-000050660000}"/>
    <cellStyle name="Normal 3 3 2 2 2 2 2 3 2 2" xfId="25496" xr:uid="{00000000-0005-0000-0000-000051660000}"/>
    <cellStyle name="Normal 3 3 2 2 2 2 2 3 3" xfId="28086" xr:uid="{00000000-0005-0000-0000-000052660000}"/>
    <cellStyle name="Normal 3 3 2 2 2 2 2 4" xfId="17118" xr:uid="{00000000-0005-0000-0000-000053660000}"/>
    <cellStyle name="Normal 3 3 2 2 2 2 2 4 2" xfId="31748" xr:uid="{00000000-0005-0000-0000-000054660000}"/>
    <cellStyle name="Normal 3 3 2 2 2 2 2 5" xfId="17123" xr:uid="{00000000-0005-0000-0000-000055660000}"/>
    <cellStyle name="Normal 3 3 2 2 2 2 3" xfId="33353" xr:uid="{00000000-0005-0000-0000-000056660000}"/>
    <cellStyle name="Normal 3 3 2 2 2 2 3 2" xfId="28095" xr:uid="{00000000-0005-0000-0000-000057660000}"/>
    <cellStyle name="Normal 3 3 2 2 2 2 3 2 2" xfId="13996" xr:uid="{00000000-0005-0000-0000-000058660000}"/>
    <cellStyle name="Normal 3 3 2 2 2 2 3 2 2 2" xfId="28096" xr:uid="{00000000-0005-0000-0000-000059660000}"/>
    <cellStyle name="Normal 3 3 2 2 2 2 3 2 3" xfId="28100" xr:uid="{00000000-0005-0000-0000-00005A660000}"/>
    <cellStyle name="Normal 3 3 2 2 2 2 3 3" xfId="7358" xr:uid="{00000000-0005-0000-0000-00005B660000}"/>
    <cellStyle name="Normal 3 3 2 2 2 2 3 3 2" xfId="25338" xr:uid="{00000000-0005-0000-0000-00005C660000}"/>
    <cellStyle name="Normal 3 3 2 2 2 2 3 4" xfId="9491" xr:uid="{00000000-0005-0000-0000-00005D660000}"/>
    <cellStyle name="Normal 3 3 2 2 2 2 4" xfId="24035" xr:uid="{00000000-0005-0000-0000-00005E660000}"/>
    <cellStyle name="Normal 3 3 2 2 2 2 4 2" xfId="28111" xr:uid="{00000000-0005-0000-0000-00005F660000}"/>
    <cellStyle name="Normal 3 3 2 2 2 2 4 2 2" xfId="30773" xr:uid="{00000000-0005-0000-0000-000060660000}"/>
    <cellStyle name="Normal 3 3 2 2 2 2 4 3" xfId="28114" xr:uid="{00000000-0005-0000-0000-000061660000}"/>
    <cellStyle name="Normal 3 3 2 2 2 2 5" xfId="23672" xr:uid="{00000000-0005-0000-0000-000062660000}"/>
    <cellStyle name="Normal 3 3 2 2 2 2 5 2" xfId="5267" xr:uid="{00000000-0005-0000-0000-000063660000}"/>
    <cellStyle name="Normal 3 3 2 2 2 2 6" xfId="23687" xr:uid="{00000000-0005-0000-0000-000064660000}"/>
    <cellStyle name="Normal 3 3 2 2 2 3" xfId="33325" xr:uid="{00000000-0005-0000-0000-000065660000}"/>
    <cellStyle name="Normal 3 3 2 2 2 3 2" xfId="33537" xr:uid="{00000000-0005-0000-0000-000066660000}"/>
    <cellStyle name="Normal 3 3 2 2 2 3 2 2" xfId="33867" xr:uid="{00000000-0005-0000-0000-000067660000}"/>
    <cellStyle name="Normal 3 3 2 2 2 3 2 2 2" xfId="14106" xr:uid="{00000000-0005-0000-0000-000068660000}"/>
    <cellStyle name="Normal 3 3 2 2 2 3 2 2 2 2" xfId="2731" xr:uid="{00000000-0005-0000-0000-000069660000}"/>
    <cellStyle name="Normal 3 3 2 2 2 3 2 2 3" xfId="16611" xr:uid="{00000000-0005-0000-0000-00006A660000}"/>
    <cellStyle name="Normal 3 3 2 2 2 3 2 3" xfId="7369" xr:uid="{00000000-0005-0000-0000-00006B660000}"/>
    <cellStyle name="Normal 3 3 2 2 2 3 2 3 2" xfId="27298" xr:uid="{00000000-0005-0000-0000-00006C660000}"/>
    <cellStyle name="Normal 3 3 2 2 2 3 2 4" xfId="17139" xr:uid="{00000000-0005-0000-0000-00006D660000}"/>
    <cellStyle name="Normal 3 3 2 2 2 3 3" xfId="28119" xr:uid="{00000000-0005-0000-0000-00006E660000}"/>
    <cellStyle name="Normal 3 3 2 2 2 3 3 2" xfId="24507" xr:uid="{00000000-0005-0000-0000-00006F660000}"/>
    <cellStyle name="Normal 3 3 2 2 2 3 3 2 2" xfId="16960" xr:uid="{00000000-0005-0000-0000-000070660000}"/>
    <cellStyle name="Normal 3 3 2 2 2 3 3 3" xfId="31639" xr:uid="{00000000-0005-0000-0000-000071660000}"/>
    <cellStyle name="Normal 3 3 2 2 2 3 4" xfId="28123" xr:uid="{00000000-0005-0000-0000-000072660000}"/>
    <cellStyle name="Normal 3 3 2 2 2 3 4 2" xfId="28124" xr:uid="{00000000-0005-0000-0000-000073660000}"/>
    <cellStyle name="Normal 3 3 2 2 2 3 5" xfId="9136" xr:uid="{00000000-0005-0000-0000-000074660000}"/>
    <cellStyle name="Normal 3 3 2 2 2 4" xfId="31314" xr:uid="{00000000-0005-0000-0000-000075660000}"/>
    <cellStyle name="Normal 3 3 2 2 2 4 2" xfId="28125" xr:uid="{00000000-0005-0000-0000-000076660000}"/>
    <cellStyle name="Normal 3 3 2 2 2 4 2 2" xfId="32720" xr:uid="{00000000-0005-0000-0000-000077660000}"/>
    <cellStyle name="Normal 3 3 2 2 2 4 2 2 2" xfId="26480" xr:uid="{00000000-0005-0000-0000-000078660000}"/>
    <cellStyle name="Normal 3 3 2 2 2 4 2 3" xfId="31751" xr:uid="{00000000-0005-0000-0000-000079660000}"/>
    <cellStyle name="Normal 3 3 2 2 2 4 3" xfId="24085" xr:uid="{00000000-0005-0000-0000-00007A660000}"/>
    <cellStyle name="Normal 3 3 2 2 2 4 3 2" xfId="28126" xr:uid="{00000000-0005-0000-0000-00007B660000}"/>
    <cellStyle name="Normal 3 3 2 2 2 4 4" xfId="28129" xr:uid="{00000000-0005-0000-0000-00007C660000}"/>
    <cellStyle name="Normal 3 3 2 2 2 5" xfId="31510" xr:uid="{00000000-0005-0000-0000-00007D660000}"/>
    <cellStyle name="Normal 3 3 2 2 2 5 2" xfId="25924" xr:uid="{00000000-0005-0000-0000-00007E660000}"/>
    <cellStyle name="Normal 3 3 2 2 2 5 2 2" xfId="26190" xr:uid="{00000000-0005-0000-0000-00007F660000}"/>
    <cellStyle name="Normal 3 3 2 2 2 5 3" xfId="20313" xr:uid="{00000000-0005-0000-0000-000080660000}"/>
    <cellStyle name="Normal 3 3 2 2 2 6" xfId="30516" xr:uid="{00000000-0005-0000-0000-000081660000}"/>
    <cellStyle name="Normal 3 3 2 2 2 6 2" xfId="22081" xr:uid="{00000000-0005-0000-0000-000082660000}"/>
    <cellStyle name="Normal 3 3 2 2 2 7" xfId="26137" xr:uid="{00000000-0005-0000-0000-000083660000}"/>
    <cellStyle name="Normal 3 3 2 2 3" xfId="19187" xr:uid="{00000000-0005-0000-0000-000084660000}"/>
    <cellStyle name="Normal 3 3 2 2 3 2" xfId="33476" xr:uid="{00000000-0005-0000-0000-000085660000}"/>
    <cellStyle name="Normal 3 3 2 2 3 2 2" xfId="33558" xr:uid="{00000000-0005-0000-0000-000086660000}"/>
    <cellStyle name="Normal 3 3 2 2 3 2 2 2" xfId="17488" xr:uid="{00000000-0005-0000-0000-000087660000}"/>
    <cellStyle name="Normal 3 3 2 2 3 2 2 2 2" xfId="5895" xr:uid="{00000000-0005-0000-0000-000088660000}"/>
    <cellStyle name="Normal 3 3 2 2 3 2 2 2 2 2" xfId="28133" xr:uid="{00000000-0005-0000-0000-000089660000}"/>
    <cellStyle name="Normal 3 3 2 2 3 2 2 2 3" xfId="5900" xr:uid="{00000000-0005-0000-0000-00008A660000}"/>
    <cellStyle name="Normal 3 3 2 2 3 2 2 3" xfId="7404" xr:uid="{00000000-0005-0000-0000-00008B660000}"/>
    <cellStyle name="Normal 3 3 2 2 3 2 2 3 2" xfId="5909" xr:uid="{00000000-0005-0000-0000-00008C660000}"/>
    <cellStyle name="Normal 3 3 2 2 3 2 2 4" xfId="17159" xr:uid="{00000000-0005-0000-0000-00008D660000}"/>
    <cellStyle name="Normal 3 3 2 2 3 2 3" xfId="24128" xr:uid="{00000000-0005-0000-0000-00008E660000}"/>
    <cellStyle name="Normal 3 3 2 2 3 2 3 2" xfId="28141" xr:uid="{00000000-0005-0000-0000-00008F660000}"/>
    <cellStyle name="Normal 3 3 2 2 3 2 3 2 2" xfId="5920" xr:uid="{00000000-0005-0000-0000-000090660000}"/>
    <cellStyle name="Normal 3 3 2 2 3 2 3 3" xfId="28142" xr:uid="{00000000-0005-0000-0000-000091660000}"/>
    <cellStyle name="Normal 3 3 2 2 3 2 4" xfId="28145" xr:uid="{00000000-0005-0000-0000-000092660000}"/>
    <cellStyle name="Normal 3 3 2 2 3 2 4 2" xfId="33533" xr:uid="{00000000-0005-0000-0000-000093660000}"/>
    <cellStyle name="Normal 3 3 2 2 3 2 5" xfId="21820" xr:uid="{00000000-0005-0000-0000-000094660000}"/>
    <cellStyle name="Normal 3 3 2 2 3 3" xfId="7687" xr:uid="{00000000-0005-0000-0000-000095660000}"/>
    <cellStyle name="Normal 3 3 2 2 3 3 2" xfId="28154" xr:uid="{00000000-0005-0000-0000-000096660000}"/>
    <cellStyle name="Normal 3 3 2 2 3 3 2 2" xfId="28158" xr:uid="{00000000-0005-0000-0000-000097660000}"/>
    <cellStyle name="Normal 3 3 2 2 3 3 2 2 2" xfId="5928" xr:uid="{00000000-0005-0000-0000-000098660000}"/>
    <cellStyle name="Normal 3 3 2 2 3 3 2 3" xfId="28161" xr:uid="{00000000-0005-0000-0000-000099660000}"/>
    <cellStyle name="Normal 3 3 2 2 3 3 3" xfId="29136" xr:uid="{00000000-0005-0000-0000-00009A660000}"/>
    <cellStyle name="Normal 3 3 2 2 3 3 3 2" xfId="31434" xr:uid="{00000000-0005-0000-0000-00009B660000}"/>
    <cellStyle name="Normal 3 3 2 2 3 3 4" xfId="28167" xr:uid="{00000000-0005-0000-0000-00009C660000}"/>
    <cellStyle name="Normal 3 3 2 2 3 4" xfId="12673" xr:uid="{00000000-0005-0000-0000-00009D660000}"/>
    <cellStyle name="Normal 3 3 2 2 3 4 2" xfId="31727" xr:uid="{00000000-0005-0000-0000-00009E660000}"/>
    <cellStyle name="Normal 3 3 2 2 3 4 2 2" xfId="24660" xr:uid="{00000000-0005-0000-0000-00009F660000}"/>
    <cellStyle name="Normal 3 3 2 2 3 4 3" xfId="22383" xr:uid="{00000000-0005-0000-0000-0000A0660000}"/>
    <cellStyle name="Normal 3 3 2 2 3 5" xfId="5758" xr:uid="{00000000-0005-0000-0000-0000A1660000}"/>
    <cellStyle name="Normal 3 3 2 2 3 5 2" xfId="29864" xr:uid="{00000000-0005-0000-0000-0000A2660000}"/>
    <cellStyle name="Normal 3 3 2 2 3 6" xfId="30787" xr:uid="{00000000-0005-0000-0000-0000A3660000}"/>
    <cellStyle name="Normal 3 3 2 2 4" xfId="12461" xr:uid="{00000000-0005-0000-0000-0000A4660000}"/>
    <cellStyle name="Normal 3 3 2 2 4 2" xfId="33303" xr:uid="{00000000-0005-0000-0000-0000A5660000}"/>
    <cellStyle name="Normal 3 3 2 2 4 2 2" xfId="33985" xr:uid="{00000000-0005-0000-0000-0000A6660000}"/>
    <cellStyle name="Normal 3 3 2 2 4 2 2 2" xfId="28173" xr:uid="{00000000-0005-0000-0000-0000A7660000}"/>
    <cellStyle name="Normal 3 3 2 2 4 2 2 2 2" xfId="1519" xr:uid="{00000000-0005-0000-0000-0000A8660000}"/>
    <cellStyle name="Normal 3 3 2 2 4 2 2 3" xfId="28179" xr:uid="{00000000-0005-0000-0000-0000A9660000}"/>
    <cellStyle name="Normal 3 3 2 2 4 2 3" xfId="28180" xr:uid="{00000000-0005-0000-0000-0000AA660000}"/>
    <cellStyle name="Normal 3 3 2 2 4 2 3 2" xfId="28183" xr:uid="{00000000-0005-0000-0000-0000AB660000}"/>
    <cellStyle name="Normal 3 3 2 2 4 2 4" xfId="24213" xr:uid="{00000000-0005-0000-0000-0000AC660000}"/>
    <cellStyle name="Normal 3 3 2 2 4 3" xfId="12687" xr:uid="{00000000-0005-0000-0000-0000AD660000}"/>
    <cellStyle name="Normal 3 3 2 2 4 3 2" xfId="31599" xr:uid="{00000000-0005-0000-0000-0000AE660000}"/>
    <cellStyle name="Normal 3 3 2 2 4 3 2 2" xfId="31601" xr:uid="{00000000-0005-0000-0000-0000AF660000}"/>
    <cellStyle name="Normal 3 3 2 2 4 3 3" xfId="31927" xr:uid="{00000000-0005-0000-0000-0000B0660000}"/>
    <cellStyle name="Normal 3 3 2 2 4 4" xfId="14122" xr:uid="{00000000-0005-0000-0000-0000B1660000}"/>
    <cellStyle name="Normal 3 3 2 2 4 4 2" xfId="22330" xr:uid="{00000000-0005-0000-0000-0000B2660000}"/>
    <cellStyle name="Normal 3 3 2 2 4 5" xfId="21141" xr:uid="{00000000-0005-0000-0000-0000B3660000}"/>
    <cellStyle name="Normal 3 3 2 2 5" xfId="27279" xr:uid="{00000000-0005-0000-0000-0000B4660000}"/>
    <cellStyle name="Normal 3 3 2 2 5 2" xfId="26910" xr:uid="{00000000-0005-0000-0000-0000B5660000}"/>
    <cellStyle name="Normal 3 3 2 2 5 2 2" xfId="25260" xr:uid="{00000000-0005-0000-0000-0000B6660000}"/>
    <cellStyle name="Normal 3 3 2 2 5 2 2 2" xfId="28188" xr:uid="{00000000-0005-0000-0000-0000B7660000}"/>
    <cellStyle name="Normal 3 3 2 2 5 2 3" xfId="24241" xr:uid="{00000000-0005-0000-0000-0000B8660000}"/>
    <cellStyle name="Normal 3 3 2 2 5 3" xfId="22865" xr:uid="{00000000-0005-0000-0000-0000B9660000}"/>
    <cellStyle name="Normal 3 3 2 2 5 3 2" xfId="24254" xr:uid="{00000000-0005-0000-0000-0000BA660000}"/>
    <cellStyle name="Normal 3 3 2 2 5 4" xfId="198" xr:uid="{00000000-0005-0000-0000-0000BB660000}"/>
    <cellStyle name="Normal 3 3 2 2 6" xfId="20651" xr:uid="{00000000-0005-0000-0000-0000BC660000}"/>
    <cellStyle name="Normal 3 3 2 2 6 2" xfId="29147" xr:uid="{00000000-0005-0000-0000-0000BD660000}"/>
    <cellStyle name="Normal 3 3 2 2 6 2 2" xfId="5165" xr:uid="{00000000-0005-0000-0000-0000BE660000}"/>
    <cellStyle name="Normal 3 3 2 2 6 3" xfId="17746" xr:uid="{00000000-0005-0000-0000-0000BF660000}"/>
    <cellStyle name="Normal 3 3 2 2 7" xfId="19503" xr:uid="{00000000-0005-0000-0000-0000C0660000}"/>
    <cellStyle name="Normal 3 3 2 2 7 2" xfId="17769" xr:uid="{00000000-0005-0000-0000-0000C1660000}"/>
    <cellStyle name="Normal 3 3 2 2 8" xfId="20660" xr:uid="{00000000-0005-0000-0000-0000C2660000}"/>
    <cellStyle name="Normal 3 3 2 3" xfId="33178" xr:uid="{00000000-0005-0000-0000-0000C3660000}"/>
    <cellStyle name="Normal 3 3 2 3 2" xfId="22084" xr:uid="{00000000-0005-0000-0000-0000C4660000}"/>
    <cellStyle name="Normal 3 3 2 3 2 2" xfId="22564" xr:uid="{00000000-0005-0000-0000-0000C5660000}"/>
    <cellStyle name="Normal 3 3 2 3 2 2 2" xfId="11338" xr:uid="{00000000-0005-0000-0000-0000C6660000}"/>
    <cellStyle name="Normal 3 3 2 3 2 2 2 2" xfId="11339" xr:uid="{00000000-0005-0000-0000-0000C7660000}"/>
    <cellStyle name="Normal 3 3 2 3 2 2 2 2 2" xfId="28190" xr:uid="{00000000-0005-0000-0000-0000C8660000}"/>
    <cellStyle name="Normal 3 3 2 3 2 2 2 2 2 2" xfId="21409" xr:uid="{00000000-0005-0000-0000-0000C9660000}"/>
    <cellStyle name="Normal 3 3 2 3 2 2 2 2 3" xfId="28193" xr:uid="{00000000-0005-0000-0000-0000CA660000}"/>
    <cellStyle name="Normal 3 3 2 3 2 2 2 3" xfId="5950" xr:uid="{00000000-0005-0000-0000-0000CB660000}"/>
    <cellStyle name="Normal 3 3 2 3 2 2 2 3 2" xfId="28195" xr:uid="{00000000-0005-0000-0000-0000CC660000}"/>
    <cellStyle name="Normal 3 3 2 3 2 2 2 4" xfId="3753" xr:uid="{00000000-0005-0000-0000-0000CD660000}"/>
    <cellStyle name="Normal 3 3 2 3 2 2 3" xfId="11344" xr:uid="{00000000-0005-0000-0000-0000CE660000}"/>
    <cellStyle name="Normal 3 3 2 3 2 2 3 2" xfId="4026" xr:uid="{00000000-0005-0000-0000-0000CF660000}"/>
    <cellStyle name="Normal 3 3 2 3 2 2 3 2 2" xfId="4039" xr:uid="{00000000-0005-0000-0000-0000D0660000}"/>
    <cellStyle name="Normal 3 3 2 3 2 2 3 3" xfId="3094" xr:uid="{00000000-0005-0000-0000-0000D1660000}"/>
    <cellStyle name="Normal 3 3 2 3 2 2 4" xfId="15896" xr:uid="{00000000-0005-0000-0000-0000D2660000}"/>
    <cellStyle name="Normal 3 3 2 3 2 2 4 2" xfId="36" xr:uid="{00000000-0005-0000-0000-0000D3660000}"/>
    <cellStyle name="Normal 3 3 2 3 2 2 5" xfId="9298" xr:uid="{00000000-0005-0000-0000-0000D4660000}"/>
    <cellStyle name="Normal 3 3 2 3 2 3" xfId="31656" xr:uid="{00000000-0005-0000-0000-0000D5660000}"/>
    <cellStyle name="Normal 3 3 2 3 2 3 2" xfId="11355" xr:uid="{00000000-0005-0000-0000-0000D6660000}"/>
    <cellStyle name="Normal 3 3 2 3 2 3 2 2" xfId="26719" xr:uid="{00000000-0005-0000-0000-0000D7660000}"/>
    <cellStyle name="Normal 3 3 2 3 2 3 2 2 2" xfId="26802" xr:uid="{00000000-0005-0000-0000-0000D8660000}"/>
    <cellStyle name="Normal 3 3 2 3 2 3 2 3" xfId="31276" xr:uid="{00000000-0005-0000-0000-0000D9660000}"/>
    <cellStyle name="Normal 3 3 2 3 2 3 3" xfId="30056" xr:uid="{00000000-0005-0000-0000-0000DA660000}"/>
    <cellStyle name="Normal 3 3 2 3 2 3 3 2" xfId="5871" xr:uid="{00000000-0005-0000-0000-0000DB660000}"/>
    <cellStyle name="Normal 3 3 2 3 2 3 4" xfId="9307" xr:uid="{00000000-0005-0000-0000-0000DC660000}"/>
    <cellStyle name="Normal 3 3 2 3 2 4" xfId="28198" xr:uid="{00000000-0005-0000-0000-0000DD660000}"/>
    <cellStyle name="Normal 3 3 2 3 2 4 2" xfId="31675" xr:uid="{00000000-0005-0000-0000-0000DE660000}"/>
    <cellStyle name="Normal 3 3 2 3 2 4 2 2" xfId="32117" xr:uid="{00000000-0005-0000-0000-0000DF660000}"/>
    <cellStyle name="Normal 3 3 2 3 2 4 3" xfId="20955" xr:uid="{00000000-0005-0000-0000-0000E0660000}"/>
    <cellStyle name="Normal 3 3 2 3 2 5" xfId="21865" xr:uid="{00000000-0005-0000-0000-0000E1660000}"/>
    <cellStyle name="Normal 3 3 2 3 2 5 2" xfId="27762" xr:uid="{00000000-0005-0000-0000-0000E2660000}"/>
    <cellStyle name="Normal 3 3 2 3 2 6" xfId="32599" xr:uid="{00000000-0005-0000-0000-0000E3660000}"/>
    <cellStyle name="Normal 3 3 2 3 3" xfId="32769" xr:uid="{00000000-0005-0000-0000-0000E4660000}"/>
    <cellStyle name="Normal 3 3 2 3 3 2" xfId="28200" xr:uid="{00000000-0005-0000-0000-0000E5660000}"/>
    <cellStyle name="Normal 3 3 2 3 3 2 2" xfId="11399" xr:uid="{00000000-0005-0000-0000-0000E6660000}"/>
    <cellStyle name="Normal 3 3 2 3 3 2 2 2" xfId="20414" xr:uid="{00000000-0005-0000-0000-0000E7660000}"/>
    <cellStyle name="Normal 3 3 2 3 3 2 2 2 2" xfId="30731" xr:uid="{00000000-0005-0000-0000-0000E8660000}"/>
    <cellStyle name="Normal 3 3 2 3 3 2 2 3" xfId="30739" xr:uid="{00000000-0005-0000-0000-0000E9660000}"/>
    <cellStyle name="Normal 3 3 2 3 3 2 3" xfId="24335" xr:uid="{00000000-0005-0000-0000-0000EA660000}"/>
    <cellStyle name="Normal 3 3 2 3 3 2 3 2" xfId="4555" xr:uid="{00000000-0005-0000-0000-0000EB660000}"/>
    <cellStyle name="Normal 3 3 2 3 3 2 4" xfId="9325" xr:uid="{00000000-0005-0000-0000-0000EC660000}"/>
    <cellStyle name="Normal 3 3 2 3 3 3" xfId="26887" xr:uid="{00000000-0005-0000-0000-0000ED660000}"/>
    <cellStyle name="Normal 3 3 2 3 3 3 2" xfId="32132" xr:uid="{00000000-0005-0000-0000-0000EE660000}"/>
    <cellStyle name="Normal 3 3 2 3 3 3 2 2" xfId="33801" xr:uid="{00000000-0005-0000-0000-0000EF660000}"/>
    <cellStyle name="Normal 3 3 2 3 3 3 3" xfId="30219" xr:uid="{00000000-0005-0000-0000-0000F0660000}"/>
    <cellStyle name="Normal 3 3 2 3 3 4" xfId="29785" xr:uid="{00000000-0005-0000-0000-0000F1660000}"/>
    <cellStyle name="Normal 3 3 2 3 3 4 2" xfId="33050" xr:uid="{00000000-0005-0000-0000-0000F2660000}"/>
    <cellStyle name="Normal 3 3 2 3 3 5" xfId="7752" xr:uid="{00000000-0005-0000-0000-0000F3660000}"/>
    <cellStyle name="Normal 3 3 2 3 4" xfId="29559" xr:uid="{00000000-0005-0000-0000-0000F4660000}"/>
    <cellStyle name="Normal 3 3 2 3 4 2" xfId="29051" xr:uid="{00000000-0005-0000-0000-0000F5660000}"/>
    <cellStyle name="Normal 3 3 2 3 4 2 2" xfId="26196" xr:uid="{00000000-0005-0000-0000-0000F6660000}"/>
    <cellStyle name="Normal 3 3 2 3 4 2 2 2" xfId="28202" xr:uid="{00000000-0005-0000-0000-0000F7660000}"/>
    <cellStyle name="Normal 3 3 2 3 4 2 3" xfId="26439" xr:uid="{00000000-0005-0000-0000-0000F8660000}"/>
    <cellStyle name="Normal 3 3 2 3 4 3" xfId="12689" xr:uid="{00000000-0005-0000-0000-0000F9660000}"/>
    <cellStyle name="Normal 3 3 2 3 4 3 2" xfId="31742" xr:uid="{00000000-0005-0000-0000-0000FA660000}"/>
    <cellStyle name="Normal 3 3 2 3 4 4" xfId="30613" xr:uid="{00000000-0005-0000-0000-0000FB660000}"/>
    <cellStyle name="Normal 3 3 2 3 5" xfId="14931" xr:uid="{00000000-0005-0000-0000-0000FC660000}"/>
    <cellStyle name="Normal 3 3 2 3 5 2" xfId="14935" xr:uid="{00000000-0005-0000-0000-0000FD660000}"/>
    <cellStyle name="Normal 3 3 2 3 5 2 2" xfId="26200" xr:uid="{00000000-0005-0000-0000-0000FE660000}"/>
    <cellStyle name="Normal 3 3 2 3 5 3" xfId="14945" xr:uid="{00000000-0005-0000-0000-0000FF660000}"/>
    <cellStyle name="Normal 3 3 2 3 6" xfId="14950" xr:uid="{00000000-0005-0000-0000-000000670000}"/>
    <cellStyle name="Normal 3 3 2 3 6 2" xfId="14958" xr:uid="{00000000-0005-0000-0000-000001670000}"/>
    <cellStyle name="Normal 3 3 2 3 7" xfId="15431" xr:uid="{00000000-0005-0000-0000-000002670000}"/>
    <cellStyle name="Normal 3 3 2 4" xfId="19229" xr:uid="{00000000-0005-0000-0000-000003670000}"/>
    <cellStyle name="Normal 3 3 2 4 2" xfId="32428" xr:uid="{00000000-0005-0000-0000-000004670000}"/>
    <cellStyle name="Normal 3 3 2 4 2 2" xfId="1303" xr:uid="{00000000-0005-0000-0000-000005670000}"/>
    <cellStyle name="Normal 3 3 2 4 2 2 2" xfId="15593" xr:uid="{00000000-0005-0000-0000-000006670000}"/>
    <cellStyle name="Normal 3 3 2 4 2 2 2 2" xfId="10906" xr:uid="{00000000-0005-0000-0000-000007670000}"/>
    <cellStyle name="Normal 3 3 2 4 2 2 2 2 2" xfId="25279" xr:uid="{00000000-0005-0000-0000-000008670000}"/>
    <cellStyle name="Normal 3 3 2 4 2 2 2 3" xfId="10659" xr:uid="{00000000-0005-0000-0000-000009670000}"/>
    <cellStyle name="Normal 3 3 2 4 2 2 3" xfId="7153" xr:uid="{00000000-0005-0000-0000-00000A670000}"/>
    <cellStyle name="Normal 3 3 2 4 2 2 3 2" xfId="9654" xr:uid="{00000000-0005-0000-0000-00000B670000}"/>
    <cellStyle name="Normal 3 3 2 4 2 2 4" xfId="9356" xr:uid="{00000000-0005-0000-0000-00000C670000}"/>
    <cellStyle name="Normal 3 3 2 4 2 3" xfId="12997" xr:uid="{00000000-0005-0000-0000-00000D670000}"/>
    <cellStyle name="Normal 3 3 2 4 2 3 2" xfId="32325" xr:uid="{00000000-0005-0000-0000-00000E670000}"/>
    <cellStyle name="Normal 3 3 2 4 2 3 2 2" xfId="26925" xr:uid="{00000000-0005-0000-0000-00000F670000}"/>
    <cellStyle name="Normal 3 3 2 4 2 3 3" xfId="24419" xr:uid="{00000000-0005-0000-0000-000010670000}"/>
    <cellStyle name="Normal 3 3 2 4 2 4" xfId="28207" xr:uid="{00000000-0005-0000-0000-000011670000}"/>
    <cellStyle name="Normal 3 3 2 4 2 4 2" xfId="32338" xr:uid="{00000000-0005-0000-0000-000012670000}"/>
    <cellStyle name="Normal 3 3 2 4 2 5" xfId="21511" xr:uid="{00000000-0005-0000-0000-000013670000}"/>
    <cellStyle name="Normal 3 3 2 4 3" xfId="28214" xr:uid="{00000000-0005-0000-0000-000014670000}"/>
    <cellStyle name="Normal 3 3 2 4 3 2" xfId="28216" xr:uid="{00000000-0005-0000-0000-000015670000}"/>
    <cellStyle name="Normal 3 3 2 4 3 2 2" xfId="25420" xr:uid="{00000000-0005-0000-0000-000016670000}"/>
    <cellStyle name="Normal 3 3 2 4 3 2 2 2" xfId="12514" xr:uid="{00000000-0005-0000-0000-000017670000}"/>
    <cellStyle name="Normal 3 3 2 4 3 2 3" xfId="24447" xr:uid="{00000000-0005-0000-0000-000018670000}"/>
    <cellStyle name="Normal 3 3 2 4 3 3" xfId="28888" xr:uid="{00000000-0005-0000-0000-000019670000}"/>
    <cellStyle name="Normal 3 3 2 4 3 3 2" xfId="32361" xr:uid="{00000000-0005-0000-0000-00001A670000}"/>
    <cellStyle name="Normal 3 3 2 4 3 4" xfId="28218" xr:uid="{00000000-0005-0000-0000-00001B670000}"/>
    <cellStyle name="Normal 3 3 2 4 4" xfId="30033" xr:uid="{00000000-0005-0000-0000-00001C670000}"/>
    <cellStyle name="Normal 3 3 2 4 4 2" xfId="28220" xr:uid="{00000000-0005-0000-0000-00001D670000}"/>
    <cellStyle name="Normal 3 3 2 4 4 2 2" xfId="28044" xr:uid="{00000000-0005-0000-0000-00001E670000}"/>
    <cellStyle name="Normal 3 3 2 4 4 3" xfId="28228" xr:uid="{00000000-0005-0000-0000-00001F670000}"/>
    <cellStyle name="Normal 3 3 2 4 5" xfId="10635" xr:uid="{00000000-0005-0000-0000-000020670000}"/>
    <cellStyle name="Normal 3 3 2 4 5 2" xfId="14979" xr:uid="{00000000-0005-0000-0000-000021670000}"/>
    <cellStyle name="Normal 3 3 2 4 6" xfId="14983" xr:uid="{00000000-0005-0000-0000-000022670000}"/>
    <cellStyle name="Normal 3 3 2 5" xfId="32780" xr:uid="{00000000-0005-0000-0000-000023670000}"/>
    <cellStyle name="Normal 3 3 2 5 2" xfId="28875" xr:uid="{00000000-0005-0000-0000-000024670000}"/>
    <cellStyle name="Normal 3 3 2 5 2 2" xfId="31614" xr:uid="{00000000-0005-0000-0000-000025670000}"/>
    <cellStyle name="Normal 3 3 2 5 2 2 2" xfId="28232" xr:uid="{00000000-0005-0000-0000-000026670000}"/>
    <cellStyle name="Normal 3 3 2 5 2 2 2 2" xfId="25487" xr:uid="{00000000-0005-0000-0000-000027670000}"/>
    <cellStyle name="Normal 3 3 2 5 2 2 3" xfId="24526" xr:uid="{00000000-0005-0000-0000-000028670000}"/>
    <cellStyle name="Normal 3 3 2 5 2 3" xfId="31814" xr:uid="{00000000-0005-0000-0000-000029670000}"/>
    <cellStyle name="Normal 3 3 2 5 2 3 2" xfId="24485" xr:uid="{00000000-0005-0000-0000-00002A670000}"/>
    <cellStyle name="Normal 3 3 2 5 2 4" xfId="2342" xr:uid="{00000000-0005-0000-0000-00002B670000}"/>
    <cellStyle name="Normal 3 3 2 5 3" xfId="29287" xr:uid="{00000000-0005-0000-0000-00002C670000}"/>
    <cellStyle name="Normal 3 3 2 5 3 2" xfId="33487" xr:uid="{00000000-0005-0000-0000-00002D670000}"/>
    <cellStyle name="Normal 3 3 2 5 3 2 2" xfId="9314" xr:uid="{00000000-0005-0000-0000-00002E670000}"/>
    <cellStyle name="Normal 3 3 2 5 3 3" xfId="31830" xr:uid="{00000000-0005-0000-0000-00002F670000}"/>
    <cellStyle name="Normal 3 3 2 5 4" xfId="20845" xr:uid="{00000000-0005-0000-0000-000030670000}"/>
    <cellStyle name="Normal 3 3 2 5 4 2" xfId="29141" xr:uid="{00000000-0005-0000-0000-000031670000}"/>
    <cellStyle name="Normal 3 3 2 5 5" xfId="1699" xr:uid="{00000000-0005-0000-0000-000032670000}"/>
    <cellStyle name="Normal 3 3 2 6" xfId="28250" xr:uid="{00000000-0005-0000-0000-000033670000}"/>
    <cellStyle name="Normal 3 3 2 6 2" xfId="31875" xr:uid="{00000000-0005-0000-0000-000034670000}"/>
    <cellStyle name="Normal 3 3 2 6 2 2" xfId="31990" xr:uid="{00000000-0005-0000-0000-000035670000}"/>
    <cellStyle name="Normal 3 3 2 6 2 2 2" xfId="28253" xr:uid="{00000000-0005-0000-0000-000036670000}"/>
    <cellStyle name="Normal 3 3 2 6 2 3" xfId="33506" xr:uid="{00000000-0005-0000-0000-000037670000}"/>
    <cellStyle name="Normal 3 3 2 6 3" xfId="31468" xr:uid="{00000000-0005-0000-0000-000038670000}"/>
    <cellStyle name="Normal 3 3 2 6 3 2" xfId="31471" xr:uid="{00000000-0005-0000-0000-000039670000}"/>
    <cellStyle name="Normal 3 3 2 6 4" xfId="22126" xr:uid="{00000000-0005-0000-0000-00003A670000}"/>
    <cellStyle name="Normal 3 3 2 7" xfId="23533" xr:uid="{00000000-0005-0000-0000-00003B670000}"/>
    <cellStyle name="Normal 3 3 2 7 2" xfId="24455" xr:uid="{00000000-0005-0000-0000-00003C670000}"/>
    <cellStyle name="Normal 3 3 2 7 2 2" xfId="28263" xr:uid="{00000000-0005-0000-0000-00003D670000}"/>
    <cellStyle name="Normal 3 3 2 7 3" xfId="28266" xr:uid="{00000000-0005-0000-0000-00003E670000}"/>
    <cellStyle name="Normal 3 3 2 8" xfId="20057" xr:uid="{00000000-0005-0000-0000-00003F670000}"/>
    <cellStyle name="Normal 3 3 2 8 2" xfId="26029" xr:uid="{00000000-0005-0000-0000-000040670000}"/>
    <cellStyle name="Normal 3 3 2 9" xfId="16920" xr:uid="{00000000-0005-0000-0000-000041670000}"/>
    <cellStyle name="Normal 3 3 3" xfId="30233" xr:uid="{00000000-0005-0000-0000-000042670000}"/>
    <cellStyle name="Normal 3 3 3 2" xfId="33656" xr:uid="{00000000-0005-0000-0000-000043670000}"/>
    <cellStyle name="Normal 3 3 3 2 2" xfId="19708" xr:uid="{00000000-0005-0000-0000-000044670000}"/>
    <cellStyle name="Normal 3 3 3 2 2 2" xfId="26891" xr:uid="{00000000-0005-0000-0000-000045670000}"/>
    <cellStyle name="Normal 3 3 3 2 2 2 2" xfId="28268" xr:uid="{00000000-0005-0000-0000-000046670000}"/>
    <cellStyle name="Normal 3 3 3 2 2 2 2 2" xfId="27440" xr:uid="{00000000-0005-0000-0000-000047670000}"/>
    <cellStyle name="Normal 3 3 3 2 2 2 2 2 2" xfId="27781" xr:uid="{00000000-0005-0000-0000-000048670000}"/>
    <cellStyle name="Normal 3 3 3 2 2 2 2 2 2 2" xfId="11673" xr:uid="{00000000-0005-0000-0000-000049670000}"/>
    <cellStyle name="Normal 3 3 3 2 2 2 2 2 3" xfId="10879" xr:uid="{00000000-0005-0000-0000-00004A670000}"/>
    <cellStyle name="Normal 3 3 3 2 2 2 2 3" xfId="4191" xr:uid="{00000000-0005-0000-0000-00004B670000}"/>
    <cellStyle name="Normal 3 3 3 2 2 2 2 3 2" xfId="13547" xr:uid="{00000000-0005-0000-0000-00004C670000}"/>
    <cellStyle name="Normal 3 3 3 2 2 2 2 4" xfId="12414" xr:uid="{00000000-0005-0000-0000-00004D670000}"/>
    <cellStyle name="Normal 3 3 3 2 2 2 3" xfId="28273" xr:uid="{00000000-0005-0000-0000-00004E670000}"/>
    <cellStyle name="Normal 3 3 3 2 2 2 3 2" xfId="28281" xr:uid="{00000000-0005-0000-0000-00004F670000}"/>
    <cellStyle name="Normal 3 3 3 2 2 2 3 2 2" xfId="28286" xr:uid="{00000000-0005-0000-0000-000050670000}"/>
    <cellStyle name="Normal 3 3 3 2 2 2 3 3" xfId="25719" xr:uid="{00000000-0005-0000-0000-000051670000}"/>
    <cellStyle name="Normal 3 3 3 2 2 2 4" xfId="26594" xr:uid="{00000000-0005-0000-0000-000052670000}"/>
    <cellStyle name="Normal 3 3 3 2 2 2 4 2" xfId="28294" xr:uid="{00000000-0005-0000-0000-000053670000}"/>
    <cellStyle name="Normal 3 3 3 2 2 2 5" xfId="28140" xr:uid="{00000000-0005-0000-0000-000054670000}"/>
    <cellStyle name="Normal 3 3 3 2 2 3" xfId="32645" xr:uid="{00000000-0005-0000-0000-000055670000}"/>
    <cellStyle name="Normal 3 3 3 2 2 3 2" xfId="23335" xr:uid="{00000000-0005-0000-0000-000056670000}"/>
    <cellStyle name="Normal 3 3 3 2 2 3 2 2" xfId="32392" xr:uid="{00000000-0005-0000-0000-000057670000}"/>
    <cellStyle name="Normal 3 3 3 2 2 3 2 2 2" xfId="29985" xr:uid="{00000000-0005-0000-0000-000058670000}"/>
    <cellStyle name="Normal 3 3 3 2 2 3 2 3" xfId="30030" xr:uid="{00000000-0005-0000-0000-000059670000}"/>
    <cellStyle name="Normal 3 3 3 2 2 3 3" xfId="30324" xr:uid="{00000000-0005-0000-0000-00005A670000}"/>
    <cellStyle name="Normal 3 3 3 2 2 3 3 2" xfId="30086" xr:uid="{00000000-0005-0000-0000-00005B670000}"/>
    <cellStyle name="Normal 3 3 3 2 2 3 4" xfId="28301" xr:uid="{00000000-0005-0000-0000-00005C670000}"/>
    <cellStyle name="Normal 3 3 3 2 2 4" xfId="13250" xr:uid="{00000000-0005-0000-0000-00005D670000}"/>
    <cellStyle name="Normal 3 3 3 2 2 4 2" xfId="9672" xr:uid="{00000000-0005-0000-0000-00005E670000}"/>
    <cellStyle name="Normal 3 3 3 2 2 4 2 2" xfId="10623" xr:uid="{00000000-0005-0000-0000-00005F670000}"/>
    <cellStyle name="Normal 3 3 3 2 2 4 3" xfId="9675" xr:uid="{00000000-0005-0000-0000-000060670000}"/>
    <cellStyle name="Normal 3 3 3 2 2 5" xfId="10651" xr:uid="{00000000-0005-0000-0000-000061670000}"/>
    <cellStyle name="Normal 3 3 3 2 2 5 2" xfId="25971" xr:uid="{00000000-0005-0000-0000-000062670000}"/>
    <cellStyle name="Normal 3 3 3 2 2 6" xfId="10670" xr:uid="{00000000-0005-0000-0000-000063670000}"/>
    <cellStyle name="Normal 3 3 3 2 3" xfId="22496" xr:uid="{00000000-0005-0000-0000-000064670000}"/>
    <cellStyle name="Normal 3 3 3 2 3 2" xfId="29960" xr:uid="{00000000-0005-0000-0000-000065670000}"/>
    <cellStyle name="Normal 3 3 3 2 3 2 2" xfId="21907" xr:uid="{00000000-0005-0000-0000-000066670000}"/>
    <cellStyle name="Normal 3 3 3 2 3 2 2 2" xfId="28302" xr:uid="{00000000-0005-0000-0000-000067670000}"/>
    <cellStyle name="Normal 3 3 3 2 3 2 2 2 2" xfId="24685" xr:uid="{00000000-0005-0000-0000-000068670000}"/>
    <cellStyle name="Normal 3 3 3 2 3 2 2 3" xfId="28316" xr:uid="{00000000-0005-0000-0000-000069670000}"/>
    <cellStyle name="Normal 3 3 3 2 3 2 3" xfId="28320" xr:uid="{00000000-0005-0000-0000-00006A670000}"/>
    <cellStyle name="Normal 3 3 3 2 3 2 3 2" xfId="26112" xr:uid="{00000000-0005-0000-0000-00006B670000}"/>
    <cellStyle name="Normal 3 3 3 2 3 2 4" xfId="28321" xr:uid="{00000000-0005-0000-0000-00006C670000}"/>
    <cellStyle name="Normal 3 3 3 2 3 3" xfId="12787" xr:uid="{00000000-0005-0000-0000-00006D670000}"/>
    <cellStyle name="Normal 3 3 3 2 3 3 2" xfId="28836" xr:uid="{00000000-0005-0000-0000-00006E670000}"/>
    <cellStyle name="Normal 3 3 3 2 3 3 2 2" xfId="32818" xr:uid="{00000000-0005-0000-0000-00006F670000}"/>
    <cellStyle name="Normal 3 3 3 2 3 3 3" xfId="28328" xr:uid="{00000000-0005-0000-0000-000070670000}"/>
    <cellStyle name="Normal 3 3 3 2 3 4" xfId="12789" xr:uid="{00000000-0005-0000-0000-000071670000}"/>
    <cellStyle name="Normal 3 3 3 2 3 4 2" xfId="9688" xr:uid="{00000000-0005-0000-0000-000072670000}"/>
    <cellStyle name="Normal 3 3 3 2 3 5" xfId="10781" xr:uid="{00000000-0005-0000-0000-000073670000}"/>
    <cellStyle name="Normal 3 3 3 2 4" xfId="31300" xr:uid="{00000000-0005-0000-0000-000074670000}"/>
    <cellStyle name="Normal 3 3 3 2 4 2" xfId="32907" xr:uid="{00000000-0005-0000-0000-000075670000}"/>
    <cellStyle name="Normal 3 3 3 2 4 2 2" xfId="29490" xr:uid="{00000000-0005-0000-0000-000076670000}"/>
    <cellStyle name="Normal 3 3 3 2 4 2 2 2" xfId="28331" xr:uid="{00000000-0005-0000-0000-000077670000}"/>
    <cellStyle name="Normal 3 3 3 2 4 2 3" xfId="28338" xr:uid="{00000000-0005-0000-0000-000078670000}"/>
    <cellStyle name="Normal 3 3 3 2 4 3" xfId="12797" xr:uid="{00000000-0005-0000-0000-000079670000}"/>
    <cellStyle name="Normal 3 3 3 2 4 3 2" xfId="33721" xr:uid="{00000000-0005-0000-0000-00007A670000}"/>
    <cellStyle name="Normal 3 3 3 2 4 4" xfId="6237" xr:uid="{00000000-0005-0000-0000-00007B670000}"/>
    <cellStyle name="Normal 3 3 3 2 5" xfId="31308" xr:uid="{00000000-0005-0000-0000-00007C670000}"/>
    <cellStyle name="Normal 3 3 3 2 5 2" xfId="26920" xr:uid="{00000000-0005-0000-0000-00007D670000}"/>
    <cellStyle name="Normal 3 3 3 2 5 2 2" xfId="26922" xr:uid="{00000000-0005-0000-0000-00007E670000}"/>
    <cellStyle name="Normal 3 3 3 2 5 3" xfId="26282" xr:uid="{00000000-0005-0000-0000-00007F670000}"/>
    <cellStyle name="Normal 3 3 3 2 6" xfId="20695" xr:uid="{00000000-0005-0000-0000-000080670000}"/>
    <cellStyle name="Normal 3 3 3 2 6 2" xfId="22274" xr:uid="{00000000-0005-0000-0000-000081670000}"/>
    <cellStyle name="Normal 3 3 3 2 7" xfId="20702" xr:uid="{00000000-0005-0000-0000-000082670000}"/>
    <cellStyle name="Normal 3 3 3 3" xfId="30387" xr:uid="{00000000-0005-0000-0000-000083670000}"/>
    <cellStyle name="Normal 3 3 3 3 2" xfId="22506" xr:uid="{00000000-0005-0000-0000-000084670000}"/>
    <cellStyle name="Normal 3 3 3 3 2 2" xfId="29574" xr:uid="{00000000-0005-0000-0000-000085670000}"/>
    <cellStyle name="Normal 3 3 3 3 2 2 2" xfId="5202" xr:uid="{00000000-0005-0000-0000-000086670000}"/>
    <cellStyle name="Normal 3 3 3 3 2 2 2 2" xfId="29515" xr:uid="{00000000-0005-0000-0000-000087670000}"/>
    <cellStyle name="Normal 3 3 3 3 2 2 2 2 2" xfId="28349" xr:uid="{00000000-0005-0000-0000-000088670000}"/>
    <cellStyle name="Normal 3 3 3 3 2 2 2 3" xfId="31917" xr:uid="{00000000-0005-0000-0000-000089670000}"/>
    <cellStyle name="Normal 3 3 3 3 2 2 3" xfId="33002" xr:uid="{00000000-0005-0000-0000-00008A670000}"/>
    <cellStyle name="Normal 3 3 3 3 2 2 3 2" xfId="70" xr:uid="{00000000-0005-0000-0000-00008B670000}"/>
    <cellStyle name="Normal 3 3 3 3 2 2 4" xfId="9429" xr:uid="{00000000-0005-0000-0000-00008C670000}"/>
    <cellStyle name="Normal 3 3 3 3 2 3" xfId="30951" xr:uid="{00000000-0005-0000-0000-00008D670000}"/>
    <cellStyle name="Normal 3 3 3 3 2 3 2" xfId="33943" xr:uid="{00000000-0005-0000-0000-00008E670000}"/>
    <cellStyle name="Normal 3 3 3 3 2 3 2 2" xfId="28351" xr:uid="{00000000-0005-0000-0000-00008F670000}"/>
    <cellStyle name="Normal 3 3 3 3 2 3 3" xfId="32127" xr:uid="{00000000-0005-0000-0000-000090670000}"/>
    <cellStyle name="Normal 3 3 3 3 2 4" xfId="12357" xr:uid="{00000000-0005-0000-0000-000091670000}"/>
    <cellStyle name="Normal 3 3 3 3 2 4 2" xfId="24192" xr:uid="{00000000-0005-0000-0000-000092670000}"/>
    <cellStyle name="Normal 3 3 3 3 2 5" xfId="21889" xr:uid="{00000000-0005-0000-0000-000093670000}"/>
    <cellStyle name="Normal 3 3 3 3 3" xfId="28355" xr:uid="{00000000-0005-0000-0000-000094670000}"/>
    <cellStyle name="Normal 3 3 3 3 3 2" xfId="29525" xr:uid="{00000000-0005-0000-0000-000095670000}"/>
    <cellStyle name="Normal 3 3 3 3 3 2 2" xfId="29527" xr:uid="{00000000-0005-0000-0000-000096670000}"/>
    <cellStyle name="Normal 3 3 3 3 3 2 2 2" xfId="28288" xr:uid="{00000000-0005-0000-0000-000097670000}"/>
    <cellStyle name="Normal 3 3 3 3 3 2 3" xfId="28357" xr:uid="{00000000-0005-0000-0000-000098670000}"/>
    <cellStyle name="Normal 3 3 3 3 3 3" xfId="12801" xr:uid="{00000000-0005-0000-0000-000099670000}"/>
    <cellStyle name="Normal 3 3 3 3 3 3 2" xfId="28361" xr:uid="{00000000-0005-0000-0000-00009A670000}"/>
    <cellStyle name="Normal 3 3 3 3 3 4" xfId="12457" xr:uid="{00000000-0005-0000-0000-00009B670000}"/>
    <cellStyle name="Normal 3 3 3 3 4" xfId="9179" xr:uid="{00000000-0005-0000-0000-00009C670000}"/>
    <cellStyle name="Normal 3 3 3 3 4 2" xfId="18304" xr:uid="{00000000-0005-0000-0000-00009D670000}"/>
    <cellStyle name="Normal 3 3 3 3 4 2 2" xfId="4489" xr:uid="{00000000-0005-0000-0000-00009E670000}"/>
    <cellStyle name="Normal 3 3 3 3 4 3" xfId="33064" xr:uid="{00000000-0005-0000-0000-00009F670000}"/>
    <cellStyle name="Normal 3 3 3 3 5" xfId="5198" xr:uid="{00000000-0005-0000-0000-0000A0670000}"/>
    <cellStyle name="Normal 3 3 3 3 5 2" xfId="17378" xr:uid="{00000000-0005-0000-0000-0000A1670000}"/>
    <cellStyle name="Normal 3 3 3 3 6" xfId="875" xr:uid="{00000000-0005-0000-0000-0000A2670000}"/>
    <cellStyle name="Normal 3 3 3 4" xfId="31034" xr:uid="{00000000-0005-0000-0000-0000A3670000}"/>
    <cellStyle name="Normal 3 3 3 4 2" xfId="24353" xr:uid="{00000000-0005-0000-0000-0000A4670000}"/>
    <cellStyle name="Normal 3 3 3 4 2 2" xfId="33743" xr:uid="{00000000-0005-0000-0000-0000A5670000}"/>
    <cellStyle name="Normal 3 3 3 4 2 2 2" xfId="5697" xr:uid="{00000000-0005-0000-0000-0000A6670000}"/>
    <cellStyle name="Normal 3 3 3 4 2 2 2 2" xfId="28340" xr:uid="{00000000-0005-0000-0000-0000A7670000}"/>
    <cellStyle name="Normal 3 3 3 4 2 2 3" xfId="28372" xr:uid="{00000000-0005-0000-0000-0000A8670000}"/>
    <cellStyle name="Normal 3 3 3 4 2 3" xfId="33965" xr:uid="{00000000-0005-0000-0000-0000A9670000}"/>
    <cellStyle name="Normal 3 3 3 4 2 3 2" xfId="9025" xr:uid="{00000000-0005-0000-0000-0000AA670000}"/>
    <cellStyle name="Normal 3 3 3 4 2 4" xfId="14433" xr:uid="{00000000-0005-0000-0000-0000AB670000}"/>
    <cellStyle name="Normal 3 3 3 4 3" xfId="27000" xr:uid="{00000000-0005-0000-0000-0000AC670000}"/>
    <cellStyle name="Normal 3 3 3 4 3 2" xfId="22718" xr:uid="{00000000-0005-0000-0000-0000AD670000}"/>
    <cellStyle name="Normal 3 3 3 4 3 2 2" xfId="28377" xr:uid="{00000000-0005-0000-0000-0000AE670000}"/>
    <cellStyle name="Normal 3 3 3 4 3 3" xfId="28380" xr:uid="{00000000-0005-0000-0000-0000AF670000}"/>
    <cellStyle name="Normal 3 3 3 4 4" xfId="1735" xr:uid="{00000000-0005-0000-0000-0000B0670000}"/>
    <cellStyle name="Normal 3 3 3 4 4 2" xfId="28385" xr:uid="{00000000-0005-0000-0000-0000B1670000}"/>
    <cellStyle name="Normal 3 3 3 4 5" xfId="647" xr:uid="{00000000-0005-0000-0000-0000B2670000}"/>
    <cellStyle name="Normal 3 3 3 5" xfId="32003" xr:uid="{00000000-0005-0000-0000-0000B3670000}"/>
    <cellStyle name="Normal 3 3 3 5 2" xfId="29150" xr:uid="{00000000-0005-0000-0000-0000B4670000}"/>
    <cellStyle name="Normal 3 3 3 5 2 2" xfId="29585" xr:uid="{00000000-0005-0000-0000-0000B5670000}"/>
    <cellStyle name="Normal 3 3 3 5 2 2 2" xfId="28393" xr:uid="{00000000-0005-0000-0000-0000B6670000}"/>
    <cellStyle name="Normal 3 3 3 5 2 3" xfId="32184" xr:uid="{00000000-0005-0000-0000-0000B7670000}"/>
    <cellStyle name="Normal 3 3 3 5 3" xfId="31252" xr:uid="{00000000-0005-0000-0000-0000B8670000}"/>
    <cellStyle name="Normal 3 3 3 5 3 2" xfId="25919" xr:uid="{00000000-0005-0000-0000-0000B9670000}"/>
    <cellStyle name="Normal 3 3 3 5 4" xfId="28147" xr:uid="{00000000-0005-0000-0000-0000BA670000}"/>
    <cellStyle name="Normal 3 3 3 6" xfId="32005" xr:uid="{00000000-0005-0000-0000-0000BB670000}"/>
    <cellStyle name="Normal 3 3 3 6 2" xfId="3027" xr:uid="{00000000-0005-0000-0000-0000BC670000}"/>
    <cellStyle name="Normal 3 3 3 6 2 2" xfId="27808" xr:uid="{00000000-0005-0000-0000-0000BD670000}"/>
    <cellStyle name="Normal 3 3 3 6 3" xfId="31473" xr:uid="{00000000-0005-0000-0000-0000BE670000}"/>
    <cellStyle name="Normal 3 3 3 7" xfId="30355" xr:uid="{00000000-0005-0000-0000-0000BF670000}"/>
    <cellStyle name="Normal 3 3 3 7 2" xfId="28398" xr:uid="{00000000-0005-0000-0000-0000C0670000}"/>
    <cellStyle name="Normal 3 3 3 8" xfId="28401" xr:uid="{00000000-0005-0000-0000-0000C1670000}"/>
    <cellStyle name="Normal 3 3 4" xfId="4498" xr:uid="{00000000-0005-0000-0000-0000C2670000}"/>
    <cellStyle name="Normal 3 3 4 2" xfId="1982" xr:uid="{00000000-0005-0000-0000-0000C3670000}"/>
    <cellStyle name="Normal 3 3 4 2 2" xfId="4502" xr:uid="{00000000-0005-0000-0000-0000C4670000}"/>
    <cellStyle name="Normal 3 3 4 2 2 2" xfId="7623" xr:uid="{00000000-0005-0000-0000-0000C5670000}"/>
    <cellStyle name="Normal 3 3 4 2 2 2 2" xfId="23323" xr:uid="{00000000-0005-0000-0000-0000C6670000}"/>
    <cellStyle name="Normal 3 3 4 2 2 2 2 2" xfId="29809" xr:uid="{00000000-0005-0000-0000-0000C7670000}"/>
    <cellStyle name="Normal 3 3 4 2 2 2 2 2 2" xfId="29817" xr:uid="{00000000-0005-0000-0000-0000C8670000}"/>
    <cellStyle name="Normal 3 3 4 2 2 2 2 3" xfId="33454" xr:uid="{00000000-0005-0000-0000-0000C9670000}"/>
    <cellStyle name="Normal 3 3 4 2 2 2 3" xfId="22105" xr:uid="{00000000-0005-0000-0000-0000CA670000}"/>
    <cellStyle name="Normal 3 3 4 2 2 2 3 2" xfId="33551" xr:uid="{00000000-0005-0000-0000-0000CB670000}"/>
    <cellStyle name="Normal 3 3 4 2 2 2 4" xfId="22108" xr:uid="{00000000-0005-0000-0000-0000CC670000}"/>
    <cellStyle name="Normal 3 3 4 2 2 3" xfId="4521" xr:uid="{00000000-0005-0000-0000-0000CD670000}"/>
    <cellStyle name="Normal 3 3 4 2 2 3 2" xfId="33351" xr:uid="{00000000-0005-0000-0000-0000CE670000}"/>
    <cellStyle name="Normal 3 3 4 2 2 3 2 2" xfId="33358" xr:uid="{00000000-0005-0000-0000-0000CF670000}"/>
    <cellStyle name="Normal 3 3 4 2 2 3 3" xfId="16987" xr:uid="{00000000-0005-0000-0000-0000D0670000}"/>
    <cellStyle name="Normal 3 3 4 2 2 4" xfId="5152" xr:uid="{00000000-0005-0000-0000-0000D1670000}"/>
    <cellStyle name="Normal 3 3 4 2 2 4 2" xfId="32674" xr:uid="{00000000-0005-0000-0000-0000D2670000}"/>
    <cellStyle name="Normal 3 3 4 2 2 5" xfId="4550" xr:uid="{00000000-0005-0000-0000-0000D3670000}"/>
    <cellStyle name="Normal 3 3 4 2 3" xfId="4556" xr:uid="{00000000-0005-0000-0000-0000D4670000}"/>
    <cellStyle name="Normal 3 3 4 2 3 2" xfId="4558" xr:uid="{00000000-0005-0000-0000-0000D5670000}"/>
    <cellStyle name="Normal 3 3 4 2 3 2 2" xfId="29605" xr:uid="{00000000-0005-0000-0000-0000D6670000}"/>
    <cellStyle name="Normal 3 3 4 2 3 2 2 2" xfId="24098" xr:uid="{00000000-0005-0000-0000-0000D7670000}"/>
    <cellStyle name="Normal 3 3 4 2 3 2 3" xfId="22135" xr:uid="{00000000-0005-0000-0000-0000D8670000}"/>
    <cellStyle name="Normal 3 3 4 2 3 3" xfId="12840" xr:uid="{00000000-0005-0000-0000-0000D9670000}"/>
    <cellStyle name="Normal 3 3 4 2 3 3 2" xfId="30802" xr:uid="{00000000-0005-0000-0000-0000DA670000}"/>
    <cellStyle name="Normal 3 3 4 2 3 4" xfId="4570" xr:uid="{00000000-0005-0000-0000-0000DB670000}"/>
    <cellStyle name="Normal 3 3 4 2 4" xfId="3121" xr:uid="{00000000-0005-0000-0000-0000DC670000}"/>
    <cellStyle name="Normal 3 3 4 2 4 2" xfId="7638" xr:uid="{00000000-0005-0000-0000-0000DD670000}"/>
    <cellStyle name="Normal 3 3 4 2 4 2 2" xfId="28405" xr:uid="{00000000-0005-0000-0000-0000DE670000}"/>
    <cellStyle name="Normal 3 3 4 2 4 3" xfId="12446" xr:uid="{00000000-0005-0000-0000-0000DF670000}"/>
    <cellStyle name="Normal 3 3 4 2 5" xfId="12851" xr:uid="{00000000-0005-0000-0000-0000E0670000}"/>
    <cellStyle name="Normal 3 3 4 2 5 2" xfId="6760" xr:uid="{00000000-0005-0000-0000-0000E1670000}"/>
    <cellStyle name="Normal 3 3 4 2 6" xfId="12853" xr:uid="{00000000-0005-0000-0000-0000E2670000}"/>
    <cellStyle name="Normal 3 3 4 3" xfId="2277" xr:uid="{00000000-0005-0000-0000-0000E3670000}"/>
    <cellStyle name="Normal 3 3 4 3 2" xfId="4600" xr:uid="{00000000-0005-0000-0000-0000E4670000}"/>
    <cellStyle name="Normal 3 3 4 3 2 2" xfId="7714" xr:uid="{00000000-0005-0000-0000-0000E5670000}"/>
    <cellStyle name="Normal 3 3 4 3 2 2 2" xfId="30398" xr:uid="{00000000-0005-0000-0000-0000E6670000}"/>
    <cellStyle name="Normal 3 3 4 3 2 2 2 2" xfId="30411" xr:uid="{00000000-0005-0000-0000-0000E7670000}"/>
    <cellStyle name="Normal 3 3 4 3 2 2 3" xfId="22179" xr:uid="{00000000-0005-0000-0000-0000E8670000}"/>
    <cellStyle name="Normal 3 3 4 3 2 3" xfId="10719" xr:uid="{00000000-0005-0000-0000-0000E9670000}"/>
    <cellStyle name="Normal 3 3 4 3 2 3 2" xfId="30438" xr:uid="{00000000-0005-0000-0000-0000EA670000}"/>
    <cellStyle name="Normal 3 3 4 3 2 4" xfId="4608" xr:uid="{00000000-0005-0000-0000-0000EB670000}"/>
    <cellStyle name="Normal 3 3 4 3 3" xfId="14997" xr:uid="{00000000-0005-0000-0000-0000EC670000}"/>
    <cellStyle name="Normal 3 3 4 3 3 2" xfId="7723" xr:uid="{00000000-0005-0000-0000-0000ED670000}"/>
    <cellStyle name="Normal 3 3 4 3 3 2 2" xfId="28407" xr:uid="{00000000-0005-0000-0000-0000EE670000}"/>
    <cellStyle name="Normal 3 3 4 3 3 3" xfId="4614" xr:uid="{00000000-0005-0000-0000-0000EF670000}"/>
    <cellStyle name="Normal 3 3 4 3 4" xfId="4617" xr:uid="{00000000-0005-0000-0000-0000F0670000}"/>
    <cellStyle name="Normal 3 3 4 3 4 2" xfId="2426" xr:uid="{00000000-0005-0000-0000-0000F1670000}"/>
    <cellStyle name="Normal 3 3 4 3 5" xfId="12867" xr:uid="{00000000-0005-0000-0000-0000F2670000}"/>
    <cellStyle name="Normal 3 3 4 4" xfId="12175" xr:uid="{00000000-0005-0000-0000-0000F3670000}"/>
    <cellStyle name="Normal 3 3 4 4 2" xfId="4621" xr:uid="{00000000-0005-0000-0000-0000F4670000}"/>
    <cellStyle name="Normal 3 3 4 4 2 2" xfId="8491" xr:uid="{00000000-0005-0000-0000-0000F5670000}"/>
    <cellStyle name="Normal 3 3 4 4 2 2 2" xfId="28680" xr:uid="{00000000-0005-0000-0000-0000F6670000}"/>
    <cellStyle name="Normal 3 3 4 4 2 3" xfId="4623" xr:uid="{00000000-0005-0000-0000-0000F7670000}"/>
    <cellStyle name="Normal 3 3 4 4 3" xfId="4625" xr:uid="{00000000-0005-0000-0000-0000F8670000}"/>
    <cellStyle name="Normal 3 3 4 4 3 2" xfId="4631" xr:uid="{00000000-0005-0000-0000-0000F9670000}"/>
    <cellStyle name="Normal 3 3 4 4 4" xfId="4634" xr:uid="{00000000-0005-0000-0000-0000FA670000}"/>
    <cellStyle name="Normal 3 3 4 5" xfId="4327" xr:uid="{00000000-0005-0000-0000-0000FB670000}"/>
    <cellStyle name="Normal 3 3 4 5 2" xfId="4639" xr:uid="{00000000-0005-0000-0000-0000FC670000}"/>
    <cellStyle name="Normal 3 3 4 5 2 2" xfId="4645" xr:uid="{00000000-0005-0000-0000-0000FD670000}"/>
    <cellStyle name="Normal 3 3 4 5 3" xfId="4648" xr:uid="{00000000-0005-0000-0000-0000FE670000}"/>
    <cellStyle name="Normal 3 3 4 6" xfId="4336" xr:uid="{00000000-0005-0000-0000-0000FF670000}"/>
    <cellStyle name="Normal 3 3 4 6 2" xfId="4654" xr:uid="{00000000-0005-0000-0000-000000680000}"/>
    <cellStyle name="Normal 3 3 4 7" xfId="4657" xr:uid="{00000000-0005-0000-0000-000001680000}"/>
    <cellStyle name="Normal 3 3 5" xfId="5472" xr:uid="{00000000-0005-0000-0000-000002680000}"/>
    <cellStyle name="Normal 3 3 5 2" xfId="580" xr:uid="{00000000-0005-0000-0000-000003680000}"/>
    <cellStyle name="Normal 3 3 5 2 2" xfId="4662" xr:uid="{00000000-0005-0000-0000-000004680000}"/>
    <cellStyle name="Normal 3 3 5 2 2 2" xfId="4677" xr:uid="{00000000-0005-0000-0000-000005680000}"/>
    <cellStyle name="Normal 3 3 5 2 2 2 2" xfId="8546" xr:uid="{00000000-0005-0000-0000-000006680000}"/>
    <cellStyle name="Normal 3 3 5 2 2 2 2 2" xfId="28408" xr:uid="{00000000-0005-0000-0000-000007680000}"/>
    <cellStyle name="Normal 3 3 5 2 2 2 3" xfId="22416" xr:uid="{00000000-0005-0000-0000-000008680000}"/>
    <cellStyle name="Normal 3 3 5 2 2 3" xfId="20720" xr:uid="{00000000-0005-0000-0000-000009680000}"/>
    <cellStyle name="Normal 3 3 5 2 2 3 2" xfId="33809" xr:uid="{00000000-0005-0000-0000-00000A680000}"/>
    <cellStyle name="Normal 3 3 5 2 2 4" xfId="26375" xr:uid="{00000000-0005-0000-0000-00000B680000}"/>
    <cellStyle name="Normal 3 3 5 2 3" xfId="4695" xr:uid="{00000000-0005-0000-0000-00000C680000}"/>
    <cellStyle name="Normal 3 3 5 2 3 2" xfId="20726" xr:uid="{00000000-0005-0000-0000-00000D680000}"/>
    <cellStyle name="Normal 3 3 5 2 3 2 2" xfId="28409" xr:uid="{00000000-0005-0000-0000-00000E680000}"/>
    <cellStyle name="Normal 3 3 5 2 3 3" xfId="12387" xr:uid="{00000000-0005-0000-0000-00000F680000}"/>
    <cellStyle name="Normal 3 3 5 2 4" xfId="7374" xr:uid="{00000000-0005-0000-0000-000010680000}"/>
    <cellStyle name="Normal 3 3 5 2 4 2" xfId="12393" xr:uid="{00000000-0005-0000-0000-000011680000}"/>
    <cellStyle name="Normal 3 3 5 2 5" xfId="12875" xr:uid="{00000000-0005-0000-0000-000012680000}"/>
    <cellStyle name="Normal 3 3 5 3" xfId="12180" xr:uid="{00000000-0005-0000-0000-000013680000}"/>
    <cellStyle name="Normal 3 3 5 3 2" xfId="4721" xr:uid="{00000000-0005-0000-0000-000014680000}"/>
    <cellStyle name="Normal 3 3 5 3 2 2" xfId="20739" xr:uid="{00000000-0005-0000-0000-000015680000}"/>
    <cellStyle name="Normal 3 3 5 3 2 2 2" xfId="28412" xr:uid="{00000000-0005-0000-0000-000016680000}"/>
    <cellStyle name="Normal 3 3 5 3 2 3" xfId="4727" xr:uid="{00000000-0005-0000-0000-000017680000}"/>
    <cellStyle name="Normal 3 3 5 3 3" xfId="7384" xr:uid="{00000000-0005-0000-0000-000018680000}"/>
    <cellStyle name="Normal 3 3 5 3 3 2" xfId="5594" xr:uid="{00000000-0005-0000-0000-000019680000}"/>
    <cellStyle name="Normal 3 3 5 3 4" xfId="4895" xr:uid="{00000000-0005-0000-0000-00001A680000}"/>
    <cellStyle name="Normal 3 3 5 4" xfId="4347" xr:uid="{00000000-0005-0000-0000-00001B680000}"/>
    <cellStyle name="Normal 3 3 5 4 2" xfId="5962" xr:uid="{00000000-0005-0000-0000-00001C680000}"/>
    <cellStyle name="Normal 3 3 5 4 2 2" xfId="4744" xr:uid="{00000000-0005-0000-0000-00001D680000}"/>
    <cellStyle name="Normal 3 3 5 4 3" xfId="3849" xr:uid="{00000000-0005-0000-0000-00001E680000}"/>
    <cellStyle name="Normal 3 3 5 5" xfId="4352" xr:uid="{00000000-0005-0000-0000-00001F680000}"/>
    <cellStyle name="Normal 3 3 5 5 2" xfId="3862" xr:uid="{00000000-0005-0000-0000-000020680000}"/>
    <cellStyle name="Normal 3 3 5 6" xfId="4748" xr:uid="{00000000-0005-0000-0000-000021680000}"/>
    <cellStyle name="Normal 3 3 6" xfId="11589" xr:uid="{00000000-0005-0000-0000-000022680000}"/>
    <cellStyle name="Normal 3 3 6 2" xfId="1886" xr:uid="{00000000-0005-0000-0000-000023680000}"/>
    <cellStyle name="Normal 3 3 6 2 2" xfId="4756" xr:uid="{00000000-0005-0000-0000-000024680000}"/>
    <cellStyle name="Normal 3 3 6 2 2 2" xfId="20786" xr:uid="{00000000-0005-0000-0000-000025680000}"/>
    <cellStyle name="Normal 3 3 6 2 2 2 2" xfId="33701" xr:uid="{00000000-0005-0000-0000-000026680000}"/>
    <cellStyle name="Normal 3 3 6 2 2 3" xfId="4761" xr:uid="{00000000-0005-0000-0000-000027680000}"/>
    <cellStyle name="Normal 3 3 6 2 3" xfId="4766" xr:uid="{00000000-0005-0000-0000-000028680000}"/>
    <cellStyle name="Normal 3 3 6 2 3 2" xfId="4770" xr:uid="{00000000-0005-0000-0000-000029680000}"/>
    <cellStyle name="Normal 3 3 6 2 4" xfId="4518" xr:uid="{00000000-0005-0000-0000-00002A680000}"/>
    <cellStyle name="Normal 3 3 6 3" xfId="1069" xr:uid="{00000000-0005-0000-0000-00002B680000}"/>
    <cellStyle name="Normal 3 3 6 3 2" xfId="4778" xr:uid="{00000000-0005-0000-0000-00002C680000}"/>
    <cellStyle name="Normal 3 3 6 3 2 2" xfId="9146" xr:uid="{00000000-0005-0000-0000-00002D680000}"/>
    <cellStyle name="Normal 3 3 6 3 3" xfId="4783" xr:uid="{00000000-0005-0000-0000-00002E680000}"/>
    <cellStyle name="Normal 3 3 6 4" xfId="1621" xr:uid="{00000000-0005-0000-0000-00002F680000}"/>
    <cellStyle name="Normal 3 3 6 4 2" xfId="3867" xr:uid="{00000000-0005-0000-0000-000030680000}"/>
    <cellStyle name="Normal 3 3 6 5" xfId="2241" xr:uid="{00000000-0005-0000-0000-000031680000}"/>
    <cellStyle name="Normal 3 3 7" xfId="18702" xr:uid="{00000000-0005-0000-0000-000032680000}"/>
    <cellStyle name="Normal 3 3 7 2" xfId="4792" xr:uid="{00000000-0005-0000-0000-000033680000}"/>
    <cellStyle name="Normal 3 3 7 2 2" xfId="8560" xr:uid="{00000000-0005-0000-0000-000034680000}"/>
    <cellStyle name="Normal 3 3 7 2 2 2" xfId="9543" xr:uid="{00000000-0005-0000-0000-000035680000}"/>
    <cellStyle name="Normal 3 3 7 2 3" xfId="4799" xr:uid="{00000000-0005-0000-0000-000036680000}"/>
    <cellStyle name="Normal 3 3 7 3" xfId="19034" xr:uid="{00000000-0005-0000-0000-000037680000}"/>
    <cellStyle name="Normal 3 3 7 3 2" xfId="4801" xr:uid="{00000000-0005-0000-0000-000038680000}"/>
    <cellStyle name="Normal 3 3 7 4" xfId="1645" xr:uid="{00000000-0005-0000-0000-000039680000}"/>
    <cellStyle name="Normal 3 3 8" xfId="5541" xr:uid="{00000000-0005-0000-0000-00003A680000}"/>
    <cellStyle name="Normal 3 3 8 2" xfId="4809" xr:uid="{00000000-0005-0000-0000-00003B680000}"/>
    <cellStyle name="Normal 3 3 8 2 2" xfId="4811" xr:uid="{00000000-0005-0000-0000-00003C680000}"/>
    <cellStyle name="Normal 3 3 8 3" xfId="31395" xr:uid="{00000000-0005-0000-0000-00003D680000}"/>
    <cellStyle name="Normal 3 3 9" xfId="8631" xr:uid="{00000000-0005-0000-0000-00003E680000}"/>
    <cellStyle name="Normal 3 3 9 2" xfId="4816" xr:uid="{00000000-0005-0000-0000-00003F680000}"/>
    <cellStyle name="Normal 3 4" xfId="28416" xr:uid="{00000000-0005-0000-0000-000040680000}"/>
    <cellStyle name="Normal 3 4 2" xfId="1457" xr:uid="{00000000-0005-0000-0000-000041680000}"/>
    <cellStyle name="Normal 3 4 2 2" xfId="23933" xr:uid="{00000000-0005-0000-0000-000042680000}"/>
    <cellStyle name="Normal 3 4 2 2 2" xfId="28418" xr:uid="{00000000-0005-0000-0000-000043680000}"/>
    <cellStyle name="Normal 3 4 2 2 2 2" xfId="28420" xr:uid="{00000000-0005-0000-0000-000044680000}"/>
    <cellStyle name="Normal 3 4 2 2 2 2 2" xfId="28422" xr:uid="{00000000-0005-0000-0000-000045680000}"/>
    <cellStyle name="Normal 3 4 2 2 2 2 2 2" xfId="30112" xr:uid="{00000000-0005-0000-0000-000046680000}"/>
    <cellStyle name="Normal 3 4 2 2 2 2 2 2 2" xfId="32885" xr:uid="{00000000-0005-0000-0000-000047680000}"/>
    <cellStyle name="Normal 3 4 2 2 2 2 2 2 2 2" xfId="29656" xr:uid="{00000000-0005-0000-0000-000048680000}"/>
    <cellStyle name="Normal 3 4 2 2 2 2 2 2 3" xfId="28425" xr:uid="{00000000-0005-0000-0000-000049680000}"/>
    <cellStyle name="Normal 3 4 2 2 2 2 2 3" xfId="8381" xr:uid="{00000000-0005-0000-0000-00004A680000}"/>
    <cellStyle name="Normal 3 4 2 2 2 2 2 3 2" xfId="33708" xr:uid="{00000000-0005-0000-0000-00004B680000}"/>
    <cellStyle name="Normal 3 4 2 2 2 2 2 4" xfId="14015" xr:uid="{00000000-0005-0000-0000-00004C680000}"/>
    <cellStyle name="Normal 3 4 2 2 2 2 3" xfId="27905" xr:uid="{00000000-0005-0000-0000-00004D680000}"/>
    <cellStyle name="Normal 3 4 2 2 2 2 3 2" xfId="1853" xr:uid="{00000000-0005-0000-0000-00004E680000}"/>
    <cellStyle name="Normal 3 4 2 2 2 2 3 2 2" xfId="3110" xr:uid="{00000000-0005-0000-0000-00004F680000}"/>
    <cellStyle name="Normal 3 4 2 2 2 2 3 3" xfId="2826" xr:uid="{00000000-0005-0000-0000-000050680000}"/>
    <cellStyle name="Normal 3 4 2 2 2 2 4" xfId="28428" xr:uid="{00000000-0005-0000-0000-000051680000}"/>
    <cellStyle name="Normal 3 4 2 2 2 2 4 2" xfId="3130" xr:uid="{00000000-0005-0000-0000-000052680000}"/>
    <cellStyle name="Normal 3 4 2 2 2 2 5" xfId="28431" xr:uid="{00000000-0005-0000-0000-000053680000}"/>
    <cellStyle name="Normal 3 4 2 2 2 3" xfId="32065" xr:uid="{00000000-0005-0000-0000-000054680000}"/>
    <cellStyle name="Normal 3 4 2 2 2 3 2" xfId="22902" xr:uid="{00000000-0005-0000-0000-000055680000}"/>
    <cellStyle name="Normal 3 4 2 2 2 3 2 2" xfId="21861" xr:uid="{00000000-0005-0000-0000-000056680000}"/>
    <cellStyle name="Normal 3 4 2 2 2 3 2 2 2" xfId="32802" xr:uid="{00000000-0005-0000-0000-000057680000}"/>
    <cellStyle name="Normal 3 4 2 2 2 3 2 3" xfId="28432" xr:uid="{00000000-0005-0000-0000-000058680000}"/>
    <cellStyle name="Normal 3 4 2 2 2 3 3" xfId="26418" xr:uid="{00000000-0005-0000-0000-000059680000}"/>
    <cellStyle name="Normal 3 4 2 2 2 3 3 2" xfId="5371" xr:uid="{00000000-0005-0000-0000-00005A680000}"/>
    <cellStyle name="Normal 3 4 2 2 2 3 4" xfId="21054" xr:uid="{00000000-0005-0000-0000-00005B680000}"/>
    <cellStyle name="Normal 3 4 2 2 2 4" xfId="32842" xr:uid="{00000000-0005-0000-0000-00005C680000}"/>
    <cellStyle name="Normal 3 4 2 2 2 4 2" xfId="31355" xr:uid="{00000000-0005-0000-0000-00005D680000}"/>
    <cellStyle name="Normal 3 4 2 2 2 4 2 2" xfId="3326" xr:uid="{00000000-0005-0000-0000-00005E680000}"/>
    <cellStyle name="Normal 3 4 2 2 2 4 3" xfId="27460" xr:uid="{00000000-0005-0000-0000-00005F680000}"/>
    <cellStyle name="Normal 3 4 2 2 2 5" xfId="32854" xr:uid="{00000000-0005-0000-0000-000060680000}"/>
    <cellStyle name="Normal 3 4 2 2 2 5 2" xfId="24464" xr:uid="{00000000-0005-0000-0000-000061680000}"/>
    <cellStyle name="Normal 3 4 2 2 2 6" xfId="27334" xr:uid="{00000000-0005-0000-0000-000062680000}"/>
    <cellStyle name="Normal 3 4 2 2 3" xfId="33335" xr:uid="{00000000-0005-0000-0000-000063680000}"/>
    <cellStyle name="Normal 3 4 2 2 3 2" xfId="31949" xr:uid="{00000000-0005-0000-0000-000064680000}"/>
    <cellStyle name="Normal 3 4 2 2 3 2 2" xfId="28435" xr:uid="{00000000-0005-0000-0000-000065680000}"/>
    <cellStyle name="Normal 3 4 2 2 3 2 2 2" xfId="28436" xr:uid="{00000000-0005-0000-0000-000066680000}"/>
    <cellStyle name="Normal 3 4 2 2 3 2 2 2 2" xfId="21506" xr:uid="{00000000-0005-0000-0000-000067680000}"/>
    <cellStyle name="Normal 3 4 2 2 3 2 2 3" xfId="28437" xr:uid="{00000000-0005-0000-0000-000068680000}"/>
    <cellStyle name="Normal 3 4 2 2 3 2 3" xfId="26291" xr:uid="{00000000-0005-0000-0000-000069680000}"/>
    <cellStyle name="Normal 3 4 2 2 3 2 3 2" xfId="1391" xr:uid="{00000000-0005-0000-0000-00006A680000}"/>
    <cellStyle name="Normal 3 4 2 2 3 2 4" xfId="26297" xr:uid="{00000000-0005-0000-0000-00006B680000}"/>
    <cellStyle name="Normal 3 4 2 2 3 3" xfId="10603" xr:uid="{00000000-0005-0000-0000-00006C680000}"/>
    <cellStyle name="Normal 3 4 2 2 3 3 2" xfId="34016" xr:uid="{00000000-0005-0000-0000-00006D680000}"/>
    <cellStyle name="Normal 3 4 2 2 3 3 2 2" xfId="24566" xr:uid="{00000000-0005-0000-0000-00006E680000}"/>
    <cellStyle name="Normal 3 4 2 2 3 3 3" xfId="1848" xr:uid="{00000000-0005-0000-0000-00006F680000}"/>
    <cellStyle name="Normal 3 4 2 2 3 4" xfId="12948" xr:uid="{00000000-0005-0000-0000-000070680000}"/>
    <cellStyle name="Normal 3 4 2 2 3 4 2" xfId="27895" xr:uid="{00000000-0005-0000-0000-000071680000}"/>
    <cellStyle name="Normal 3 4 2 2 3 5" xfId="33614" xr:uid="{00000000-0005-0000-0000-000072680000}"/>
    <cellStyle name="Normal 3 4 2 2 4" xfId="32785" xr:uid="{00000000-0005-0000-0000-000073680000}"/>
    <cellStyle name="Normal 3 4 2 2 4 2" xfId="28444" xr:uid="{00000000-0005-0000-0000-000074680000}"/>
    <cellStyle name="Normal 3 4 2 2 4 2 2" xfId="28445" xr:uid="{00000000-0005-0000-0000-000075680000}"/>
    <cellStyle name="Normal 3 4 2 2 4 2 2 2" xfId="28012" xr:uid="{00000000-0005-0000-0000-000076680000}"/>
    <cellStyle name="Normal 3 4 2 2 4 2 3" xfId="26346" xr:uid="{00000000-0005-0000-0000-000077680000}"/>
    <cellStyle name="Normal 3 4 2 2 4 3" xfId="12953" xr:uid="{00000000-0005-0000-0000-000078680000}"/>
    <cellStyle name="Normal 3 4 2 2 4 3 2" xfId="33377" xr:uid="{00000000-0005-0000-0000-000079680000}"/>
    <cellStyle name="Normal 3 4 2 2 4 4" xfId="22212" xr:uid="{00000000-0005-0000-0000-00007A680000}"/>
    <cellStyle name="Normal 3 4 2 2 5" xfId="26321" xr:uid="{00000000-0005-0000-0000-00007B680000}"/>
    <cellStyle name="Normal 3 4 2 2 5 2" xfId="26405" xr:uid="{00000000-0005-0000-0000-00007C680000}"/>
    <cellStyle name="Normal 3 4 2 2 5 2 2" xfId="13580" xr:uid="{00000000-0005-0000-0000-00007D680000}"/>
    <cellStyle name="Normal 3 4 2 2 5 3" xfId="19219" xr:uid="{00000000-0005-0000-0000-00007E680000}"/>
    <cellStyle name="Normal 3 4 2 2 6" xfId="20867" xr:uid="{00000000-0005-0000-0000-00007F680000}"/>
    <cellStyle name="Normal 3 4 2 2 6 2" xfId="19272" xr:uid="{00000000-0005-0000-0000-000080680000}"/>
    <cellStyle name="Normal 3 4 2 2 7" xfId="20770" xr:uid="{00000000-0005-0000-0000-000081680000}"/>
    <cellStyle name="Normal 3 4 2 3" xfId="23934" xr:uid="{00000000-0005-0000-0000-000082680000}"/>
    <cellStyle name="Normal 3 4 2 3 2" xfId="32805" xr:uid="{00000000-0005-0000-0000-000083680000}"/>
    <cellStyle name="Normal 3 4 2 3 2 2" xfId="33243" xr:uid="{00000000-0005-0000-0000-000084680000}"/>
    <cellStyle name="Normal 3 4 2 3 2 2 2" xfId="13000" xr:uid="{00000000-0005-0000-0000-000085680000}"/>
    <cellStyle name="Normal 3 4 2 3 2 2 2 2" xfId="13006" xr:uid="{00000000-0005-0000-0000-000086680000}"/>
    <cellStyle name="Normal 3 4 2 3 2 2 2 2 2" xfId="16272" xr:uid="{00000000-0005-0000-0000-000087680000}"/>
    <cellStyle name="Normal 3 4 2 3 2 2 2 3" xfId="29121" xr:uid="{00000000-0005-0000-0000-000088680000}"/>
    <cellStyle name="Normal 3 4 2 3 2 2 3" xfId="13301" xr:uid="{00000000-0005-0000-0000-000089680000}"/>
    <cellStyle name="Normal 3 4 2 3 2 2 3 2" xfId="19549" xr:uid="{00000000-0005-0000-0000-00008A680000}"/>
    <cellStyle name="Normal 3 4 2 3 2 2 4" xfId="17790" xr:uid="{00000000-0005-0000-0000-00008B680000}"/>
    <cellStyle name="Normal 3 4 2 3 2 3" xfId="33853" xr:uid="{00000000-0005-0000-0000-00008C680000}"/>
    <cellStyle name="Normal 3 4 2 3 2 3 2" xfId="13017" xr:uid="{00000000-0005-0000-0000-00008D680000}"/>
    <cellStyle name="Normal 3 4 2 3 2 3 2 2" xfId="28446" xr:uid="{00000000-0005-0000-0000-00008E680000}"/>
    <cellStyle name="Normal 3 4 2 3 2 3 3" xfId="896" xr:uid="{00000000-0005-0000-0000-00008F680000}"/>
    <cellStyle name="Normal 3 4 2 3 2 4" xfId="32933" xr:uid="{00000000-0005-0000-0000-000090680000}"/>
    <cellStyle name="Normal 3 4 2 3 2 4 2" xfId="30254" xr:uid="{00000000-0005-0000-0000-000091680000}"/>
    <cellStyle name="Normal 3 4 2 3 2 5" xfId="22673" xr:uid="{00000000-0005-0000-0000-000092680000}"/>
    <cellStyle name="Normal 3 4 2 3 3" xfId="27542" xr:uid="{00000000-0005-0000-0000-000093680000}"/>
    <cellStyle name="Normal 3 4 2 3 3 2" xfId="28452" xr:uid="{00000000-0005-0000-0000-000094680000}"/>
    <cellStyle name="Normal 3 4 2 3 3 2 2" xfId="9285" xr:uid="{00000000-0005-0000-0000-000095680000}"/>
    <cellStyle name="Normal 3 4 2 3 3 2 2 2" xfId="29821" xr:uid="{00000000-0005-0000-0000-000096680000}"/>
    <cellStyle name="Normal 3 4 2 3 3 2 3" xfId="145" xr:uid="{00000000-0005-0000-0000-000097680000}"/>
    <cellStyle name="Normal 3 4 2 3 3 3" xfId="29459" xr:uid="{00000000-0005-0000-0000-000098680000}"/>
    <cellStyle name="Normal 3 4 2 3 3 3 2" xfId="33088" xr:uid="{00000000-0005-0000-0000-000099680000}"/>
    <cellStyle name="Normal 3 4 2 3 3 4" xfId="32945" xr:uid="{00000000-0005-0000-0000-00009A680000}"/>
    <cellStyle name="Normal 3 4 2 3 4" xfId="21340" xr:uid="{00000000-0005-0000-0000-00009B680000}"/>
    <cellStyle name="Normal 3 4 2 3 4 2" xfId="28453" xr:uid="{00000000-0005-0000-0000-00009C680000}"/>
    <cellStyle name="Normal 3 4 2 3 4 2 2" xfId="24693" xr:uid="{00000000-0005-0000-0000-00009D680000}"/>
    <cellStyle name="Normal 3 4 2 3 4 3" xfId="31039" xr:uid="{00000000-0005-0000-0000-00009E680000}"/>
    <cellStyle name="Normal 3 4 2 3 5" xfId="26344" xr:uid="{00000000-0005-0000-0000-00009F680000}"/>
    <cellStyle name="Normal 3 4 2 3 5 2" xfId="15149" xr:uid="{00000000-0005-0000-0000-0000A0680000}"/>
    <cellStyle name="Normal 3 4 2 3 6" xfId="15156" xr:uid="{00000000-0005-0000-0000-0000A1680000}"/>
    <cellStyle name="Normal 3 4 2 4" xfId="23946" xr:uid="{00000000-0005-0000-0000-0000A2680000}"/>
    <cellStyle name="Normal 3 4 2 4 2" xfId="28455" xr:uid="{00000000-0005-0000-0000-0000A3680000}"/>
    <cellStyle name="Normal 3 4 2 4 2 2" xfId="20486" xr:uid="{00000000-0005-0000-0000-0000A4680000}"/>
    <cellStyle name="Normal 3 4 2 4 2 2 2" xfId="13202" xr:uid="{00000000-0005-0000-0000-0000A5680000}"/>
    <cellStyle name="Normal 3 4 2 4 2 2 2 2" xfId="29386" xr:uid="{00000000-0005-0000-0000-0000A6680000}"/>
    <cellStyle name="Normal 3 4 2 4 2 2 3" xfId="33062" xr:uid="{00000000-0005-0000-0000-0000A7680000}"/>
    <cellStyle name="Normal 3 4 2 4 2 3" xfId="33242" xr:uid="{00000000-0005-0000-0000-0000A8680000}"/>
    <cellStyle name="Normal 3 4 2 4 2 3 2" xfId="31935" xr:uid="{00000000-0005-0000-0000-0000A9680000}"/>
    <cellStyle name="Normal 3 4 2 4 2 4" xfId="28461" xr:uid="{00000000-0005-0000-0000-0000AA680000}"/>
    <cellStyle name="Normal 3 4 2 4 3" xfId="31587" xr:uid="{00000000-0005-0000-0000-0000AB680000}"/>
    <cellStyle name="Normal 3 4 2 4 3 2" xfId="28462" xr:uid="{00000000-0005-0000-0000-0000AC680000}"/>
    <cellStyle name="Normal 3 4 2 4 3 2 2" xfId="29891" xr:uid="{00000000-0005-0000-0000-0000AD680000}"/>
    <cellStyle name="Normal 3 4 2 4 3 3" xfId="31134" xr:uid="{00000000-0005-0000-0000-0000AE680000}"/>
    <cellStyle name="Normal 3 4 2 4 4" xfId="21396" xr:uid="{00000000-0005-0000-0000-0000AF680000}"/>
    <cellStyle name="Normal 3 4 2 4 4 2" xfId="20367" xr:uid="{00000000-0005-0000-0000-0000B0680000}"/>
    <cellStyle name="Normal 3 4 2 4 5" xfId="15168" xr:uid="{00000000-0005-0000-0000-0000B1680000}"/>
    <cellStyle name="Normal 3 4 2 5" xfId="7887" xr:uid="{00000000-0005-0000-0000-0000B2680000}"/>
    <cellStyle name="Normal 3 4 2 5 2" xfId="15179" xr:uid="{00000000-0005-0000-0000-0000B3680000}"/>
    <cellStyle name="Normal 3 4 2 5 2 2" xfId="33078" xr:uid="{00000000-0005-0000-0000-0000B4680000}"/>
    <cellStyle name="Normal 3 4 2 5 2 2 2" xfId="24033" xr:uid="{00000000-0005-0000-0000-0000B5680000}"/>
    <cellStyle name="Normal 3 4 2 5 2 3" xfId="30305" xr:uid="{00000000-0005-0000-0000-0000B6680000}"/>
    <cellStyle name="Normal 3 4 2 5 3" xfId="31066" xr:uid="{00000000-0005-0000-0000-0000B7680000}"/>
    <cellStyle name="Normal 3 4 2 5 3 2" xfId="30691" xr:uid="{00000000-0005-0000-0000-0000B8680000}"/>
    <cellStyle name="Normal 3 4 2 5 4" xfId="22182" xr:uid="{00000000-0005-0000-0000-0000B9680000}"/>
    <cellStyle name="Normal 3 4 2 6" xfId="28471" xr:uid="{00000000-0005-0000-0000-0000BA680000}"/>
    <cellStyle name="Normal 3 4 2 6 2" xfId="31583" xr:uid="{00000000-0005-0000-0000-0000BB680000}"/>
    <cellStyle name="Normal 3 4 2 6 2 2" xfId="28473" xr:uid="{00000000-0005-0000-0000-0000BC680000}"/>
    <cellStyle name="Normal 3 4 2 6 3" xfId="5465" xr:uid="{00000000-0005-0000-0000-0000BD680000}"/>
    <cellStyle name="Normal 3 4 2 7" xfId="28475" xr:uid="{00000000-0005-0000-0000-0000BE680000}"/>
    <cellStyle name="Normal 3 4 2 7 2" xfId="28477" xr:uid="{00000000-0005-0000-0000-0000BF680000}"/>
    <cellStyle name="Normal 3 4 2 8" xfId="19765" xr:uid="{00000000-0005-0000-0000-0000C0680000}"/>
    <cellStyle name="Normal 3 4 3" xfId="18223" xr:uid="{00000000-0005-0000-0000-0000C1680000}"/>
    <cellStyle name="Normal 3 4 3 2" xfId="18230" xr:uid="{00000000-0005-0000-0000-0000C2680000}"/>
    <cellStyle name="Normal 3 4 3 2 2" xfId="22799" xr:uid="{00000000-0005-0000-0000-0000C3680000}"/>
    <cellStyle name="Normal 3 4 3 2 2 2" xfId="30847" xr:uid="{00000000-0005-0000-0000-0000C4680000}"/>
    <cellStyle name="Normal 3 4 3 2 2 2 2" xfId="1254" xr:uid="{00000000-0005-0000-0000-0000C5680000}"/>
    <cellStyle name="Normal 3 4 3 2 2 2 2 2" xfId="26379" xr:uid="{00000000-0005-0000-0000-0000C6680000}"/>
    <cellStyle name="Normal 3 4 3 2 2 2 2 2 2" xfId="7928" xr:uid="{00000000-0005-0000-0000-0000C7680000}"/>
    <cellStyle name="Normal 3 4 3 2 2 2 2 3" xfId="26311" xr:uid="{00000000-0005-0000-0000-0000C8680000}"/>
    <cellStyle name="Normal 3 4 3 2 2 2 3" xfId="17049" xr:uid="{00000000-0005-0000-0000-0000C9680000}"/>
    <cellStyle name="Normal 3 4 3 2 2 2 3 2" xfId="29446" xr:uid="{00000000-0005-0000-0000-0000CA680000}"/>
    <cellStyle name="Normal 3 4 3 2 2 2 4" xfId="808" xr:uid="{00000000-0005-0000-0000-0000CB680000}"/>
    <cellStyle name="Normal 3 4 3 2 2 3" xfId="30865" xr:uid="{00000000-0005-0000-0000-0000CC680000}"/>
    <cellStyle name="Normal 3 4 3 2 2 3 2" xfId="30871" xr:uid="{00000000-0005-0000-0000-0000CD680000}"/>
    <cellStyle name="Normal 3 4 3 2 2 3 2 2" xfId="26454" xr:uid="{00000000-0005-0000-0000-0000CE680000}"/>
    <cellStyle name="Normal 3 4 3 2 2 3 3" xfId="17057" xr:uid="{00000000-0005-0000-0000-0000CF680000}"/>
    <cellStyle name="Normal 3 4 3 2 2 4" xfId="28480" xr:uid="{00000000-0005-0000-0000-0000D0680000}"/>
    <cellStyle name="Normal 3 4 3 2 2 4 2" xfId="26502" xr:uid="{00000000-0005-0000-0000-0000D1680000}"/>
    <cellStyle name="Normal 3 4 3 2 2 5" xfId="30883" xr:uid="{00000000-0005-0000-0000-0000D2680000}"/>
    <cellStyle name="Normal 3 4 3 2 3" xfId="27621" xr:uid="{00000000-0005-0000-0000-0000D3680000}"/>
    <cellStyle name="Normal 3 4 3 2 3 2" xfId="8494" xr:uid="{00000000-0005-0000-0000-0000D4680000}"/>
    <cellStyle name="Normal 3 4 3 2 3 2 2" xfId="1583" xr:uid="{00000000-0005-0000-0000-0000D5680000}"/>
    <cellStyle name="Normal 3 4 3 2 3 2 2 2" xfId="14422" xr:uid="{00000000-0005-0000-0000-0000D6680000}"/>
    <cellStyle name="Normal 3 4 3 2 3 2 3" xfId="14402" xr:uid="{00000000-0005-0000-0000-0000D7680000}"/>
    <cellStyle name="Normal 3 4 3 2 3 3" xfId="12972" xr:uid="{00000000-0005-0000-0000-0000D8680000}"/>
    <cellStyle name="Normal 3 4 3 2 3 3 2" xfId="2897" xr:uid="{00000000-0005-0000-0000-0000D9680000}"/>
    <cellStyle name="Normal 3 4 3 2 3 4" xfId="33604" xr:uid="{00000000-0005-0000-0000-0000DA680000}"/>
    <cellStyle name="Normal 3 4 3 2 4" xfId="28486" xr:uid="{00000000-0005-0000-0000-0000DB680000}"/>
    <cellStyle name="Normal 3 4 3 2 4 2" xfId="30900" xr:uid="{00000000-0005-0000-0000-0000DC680000}"/>
    <cellStyle name="Normal 3 4 3 2 4 2 2" xfId="14674" xr:uid="{00000000-0005-0000-0000-0000DD680000}"/>
    <cellStyle name="Normal 3 4 3 2 4 3" xfId="30906" xr:uid="{00000000-0005-0000-0000-0000DE680000}"/>
    <cellStyle name="Normal 3 4 3 2 5" xfId="26961" xr:uid="{00000000-0005-0000-0000-0000DF680000}"/>
    <cellStyle name="Normal 3 4 3 2 5 2" xfId="22756" xr:uid="{00000000-0005-0000-0000-0000E0680000}"/>
    <cellStyle name="Normal 3 4 3 2 6" xfId="20887" xr:uid="{00000000-0005-0000-0000-0000E1680000}"/>
    <cellStyle name="Normal 3 4 3 3" xfId="23963" xr:uid="{00000000-0005-0000-0000-0000E2680000}"/>
    <cellStyle name="Normal 3 4 3 3 2" xfId="28487" xr:uid="{00000000-0005-0000-0000-0000E3680000}"/>
    <cellStyle name="Normal 3 4 3 3 2 2" xfId="32202" xr:uid="{00000000-0005-0000-0000-0000E4680000}"/>
    <cellStyle name="Normal 3 4 3 3 2 2 2" xfId="1723" xr:uid="{00000000-0005-0000-0000-0000E5680000}"/>
    <cellStyle name="Normal 3 4 3 3 2 2 2 2" xfId="5154" xr:uid="{00000000-0005-0000-0000-0000E6680000}"/>
    <cellStyle name="Normal 3 4 3 3 2 2 3" xfId="33705" xr:uid="{00000000-0005-0000-0000-0000E7680000}"/>
    <cellStyle name="Normal 3 4 3 3 2 3" xfId="32022" xr:uid="{00000000-0005-0000-0000-0000E8680000}"/>
    <cellStyle name="Normal 3 4 3 3 2 3 2" xfId="32211" xr:uid="{00000000-0005-0000-0000-0000E9680000}"/>
    <cellStyle name="Normal 3 4 3 3 2 4" xfId="32032" xr:uid="{00000000-0005-0000-0000-0000EA680000}"/>
    <cellStyle name="Normal 3 4 3 3 3" xfId="32235" xr:uid="{00000000-0005-0000-0000-0000EB680000}"/>
    <cellStyle name="Normal 3 4 3 3 3 2" xfId="31001" xr:uid="{00000000-0005-0000-0000-0000EC680000}"/>
    <cellStyle name="Normal 3 4 3 3 3 2 2" xfId="31009" xr:uid="{00000000-0005-0000-0000-0000ED680000}"/>
    <cellStyle name="Normal 3 4 3 3 3 3" xfId="32249" xr:uid="{00000000-0005-0000-0000-0000EE680000}"/>
    <cellStyle name="Normal 3 4 3 3 4" xfId="1528" xr:uid="{00000000-0005-0000-0000-0000EF680000}"/>
    <cellStyle name="Normal 3 4 3 3 4 2" xfId="31031" xr:uid="{00000000-0005-0000-0000-0000F0680000}"/>
    <cellStyle name="Normal 3 4 3 3 5" xfId="5248" xr:uid="{00000000-0005-0000-0000-0000F1680000}"/>
    <cellStyle name="Normal 3 4 3 4" xfId="23967" xr:uid="{00000000-0005-0000-0000-0000F2680000}"/>
    <cellStyle name="Normal 3 4 3 4 2" xfId="29961" xr:uid="{00000000-0005-0000-0000-0000F3680000}"/>
    <cellStyle name="Normal 3 4 3 4 2 2" xfId="29540" xr:uid="{00000000-0005-0000-0000-0000F4680000}"/>
    <cellStyle name="Normal 3 4 3 4 2 2 2" xfId="33137" xr:uid="{00000000-0005-0000-0000-0000F5680000}"/>
    <cellStyle name="Normal 3 4 3 4 2 3" xfId="30954" xr:uid="{00000000-0005-0000-0000-0000F6680000}"/>
    <cellStyle name="Normal 3 4 3 4 3" xfId="28489" xr:uid="{00000000-0005-0000-0000-0000F7680000}"/>
    <cellStyle name="Normal 3 4 3 4 3 2" xfId="31688" xr:uid="{00000000-0005-0000-0000-0000F8680000}"/>
    <cellStyle name="Normal 3 4 3 4 4" xfId="27265" xr:uid="{00000000-0005-0000-0000-0000F9680000}"/>
    <cellStyle name="Normal 3 4 3 5" xfId="32275" xr:uid="{00000000-0005-0000-0000-0000FA680000}"/>
    <cellStyle name="Normal 3 4 3 5 2" xfId="10419" xr:uid="{00000000-0005-0000-0000-0000FB680000}"/>
    <cellStyle name="Normal 3 4 3 5 2 2" xfId="3177" xr:uid="{00000000-0005-0000-0000-0000FC680000}"/>
    <cellStyle name="Normal 3 4 3 5 3" xfId="7773" xr:uid="{00000000-0005-0000-0000-0000FD680000}"/>
    <cellStyle name="Normal 3 4 3 6" xfId="30371" xr:uid="{00000000-0005-0000-0000-0000FE680000}"/>
    <cellStyle name="Normal 3 4 3 6 2" xfId="10429" xr:uid="{00000000-0005-0000-0000-0000FF680000}"/>
    <cellStyle name="Normal 3 4 3 7" xfId="34027" xr:uid="{00000000-0005-0000-0000-000000690000}"/>
    <cellStyle name="Normal 3 4 4" xfId="18231" xr:uid="{00000000-0005-0000-0000-000001690000}"/>
    <cellStyle name="Normal 3 4 4 2" xfId="8914" xr:uid="{00000000-0005-0000-0000-000002690000}"/>
    <cellStyle name="Normal 3 4 4 2 2" xfId="4842" xr:uid="{00000000-0005-0000-0000-000003690000}"/>
    <cellStyle name="Normal 3 4 4 2 2 2" xfId="4852" xr:uid="{00000000-0005-0000-0000-000004690000}"/>
    <cellStyle name="Normal 3 4 4 2 2 2 2" xfId="29728" xr:uid="{00000000-0005-0000-0000-000005690000}"/>
    <cellStyle name="Normal 3 4 4 2 2 2 2 2" xfId="33403" xr:uid="{00000000-0005-0000-0000-000006690000}"/>
    <cellStyle name="Normal 3 4 4 2 2 2 3" xfId="28495" xr:uid="{00000000-0005-0000-0000-000007690000}"/>
    <cellStyle name="Normal 3 4 4 2 2 3" xfId="4864" xr:uid="{00000000-0005-0000-0000-000008690000}"/>
    <cellStyle name="Normal 3 4 4 2 2 3 2" xfId="33248" xr:uid="{00000000-0005-0000-0000-000009690000}"/>
    <cellStyle name="Normal 3 4 4 2 2 4" xfId="4829" xr:uid="{00000000-0005-0000-0000-00000A690000}"/>
    <cellStyle name="Normal 3 4 4 2 3" xfId="2925" xr:uid="{00000000-0005-0000-0000-00000B690000}"/>
    <cellStyle name="Normal 3 4 4 2 3 2" xfId="13850" xr:uid="{00000000-0005-0000-0000-00000C690000}"/>
    <cellStyle name="Normal 3 4 4 2 3 2 2" xfId="33541" xr:uid="{00000000-0005-0000-0000-00000D690000}"/>
    <cellStyle name="Normal 3 4 4 2 3 3" xfId="9404" xr:uid="{00000000-0005-0000-0000-00000E690000}"/>
    <cellStyle name="Normal 3 4 4 2 4" xfId="2932" xr:uid="{00000000-0005-0000-0000-00000F690000}"/>
    <cellStyle name="Normal 3 4 4 2 4 2" xfId="13855" xr:uid="{00000000-0005-0000-0000-000010690000}"/>
    <cellStyle name="Normal 3 4 4 2 5" xfId="12894" xr:uid="{00000000-0005-0000-0000-000011690000}"/>
    <cellStyle name="Normal 3 4 4 3" xfId="23976" xr:uid="{00000000-0005-0000-0000-000012690000}"/>
    <cellStyle name="Normal 3 4 4 3 2" xfId="3413" xr:uid="{00000000-0005-0000-0000-000013690000}"/>
    <cellStyle name="Normal 3 4 4 3 2 2" xfId="6382" xr:uid="{00000000-0005-0000-0000-000014690000}"/>
    <cellStyle name="Normal 3 4 4 3 2 2 2" xfId="27197" xr:uid="{00000000-0005-0000-0000-000015690000}"/>
    <cellStyle name="Normal 3 4 4 3 2 3" xfId="6391" xr:uid="{00000000-0005-0000-0000-000016690000}"/>
    <cellStyle name="Normal 3 4 4 3 3" xfId="2944" xr:uid="{00000000-0005-0000-0000-000017690000}"/>
    <cellStyle name="Normal 3 4 4 3 3 2" xfId="13866" xr:uid="{00000000-0005-0000-0000-000018690000}"/>
    <cellStyle name="Normal 3 4 4 3 4" xfId="5981" xr:uid="{00000000-0005-0000-0000-000019690000}"/>
    <cellStyle name="Normal 3 4 4 4" xfId="4359" xr:uid="{00000000-0005-0000-0000-00001A690000}"/>
    <cellStyle name="Normal 3 4 4 4 2" xfId="3446" xr:uid="{00000000-0005-0000-0000-00001B690000}"/>
    <cellStyle name="Normal 3 4 4 4 2 2" xfId="6422" xr:uid="{00000000-0005-0000-0000-00001C690000}"/>
    <cellStyle name="Normal 3 4 4 4 3" xfId="4897" xr:uid="{00000000-0005-0000-0000-00001D690000}"/>
    <cellStyle name="Normal 3 4 4 5" xfId="4375" xr:uid="{00000000-0005-0000-0000-00001E690000}"/>
    <cellStyle name="Normal 3 4 4 5 2" xfId="10462" xr:uid="{00000000-0005-0000-0000-00001F690000}"/>
    <cellStyle name="Normal 3 4 4 6" xfId="4925" xr:uid="{00000000-0005-0000-0000-000020690000}"/>
    <cellStyle name="Normal 3 4 5" xfId="6523" xr:uid="{00000000-0005-0000-0000-000021690000}"/>
    <cellStyle name="Normal 3 4 5 2" xfId="23980" xr:uid="{00000000-0005-0000-0000-000022690000}"/>
    <cellStyle name="Normal 3 4 5 2 2" xfId="5236" xr:uid="{00000000-0005-0000-0000-000023690000}"/>
    <cellStyle name="Normal 3 4 5 2 2 2" xfId="20733" xr:uid="{00000000-0005-0000-0000-000024690000}"/>
    <cellStyle name="Normal 3 4 5 2 2 2 2" xfId="2335" xr:uid="{00000000-0005-0000-0000-000025690000}"/>
    <cellStyle name="Normal 3 4 5 2 2 3" xfId="20745" xr:uid="{00000000-0005-0000-0000-000026690000}"/>
    <cellStyle name="Normal 3 4 5 2 3" xfId="7435" xr:uid="{00000000-0005-0000-0000-000027690000}"/>
    <cellStyle name="Normal 3 4 5 2 3 2" xfId="18868" xr:uid="{00000000-0005-0000-0000-000028690000}"/>
    <cellStyle name="Normal 3 4 5 2 4" xfId="8353" xr:uid="{00000000-0005-0000-0000-000029690000}"/>
    <cellStyle name="Normal 3 4 5 3" xfId="4952" xr:uid="{00000000-0005-0000-0000-00002A690000}"/>
    <cellStyle name="Normal 3 4 5 3 2" xfId="4821" xr:uid="{00000000-0005-0000-0000-00002B690000}"/>
    <cellStyle name="Normal 3 4 5 3 2 2" xfId="6520" xr:uid="{00000000-0005-0000-0000-00002C690000}"/>
    <cellStyle name="Normal 3 4 5 3 3" xfId="4972" xr:uid="{00000000-0005-0000-0000-00002D690000}"/>
    <cellStyle name="Normal 3 4 5 4" xfId="6371" xr:uid="{00000000-0005-0000-0000-00002E690000}"/>
    <cellStyle name="Normal 3 4 5 4 2" xfId="4227" xr:uid="{00000000-0005-0000-0000-00002F690000}"/>
    <cellStyle name="Normal 3 4 5 5" xfId="4981" xr:uid="{00000000-0005-0000-0000-000030690000}"/>
    <cellStyle name="Normal 3 4 6" xfId="7849" xr:uid="{00000000-0005-0000-0000-000031690000}"/>
    <cellStyle name="Normal 3 4 6 2" xfId="4993" xr:uid="{00000000-0005-0000-0000-000032690000}"/>
    <cellStyle name="Normal 3 4 6 2 2" xfId="3524" xr:uid="{00000000-0005-0000-0000-000033690000}"/>
    <cellStyle name="Normal 3 4 6 2 2 2" xfId="21335" xr:uid="{00000000-0005-0000-0000-000034690000}"/>
    <cellStyle name="Normal 3 4 6 2 3" xfId="7234" xr:uid="{00000000-0005-0000-0000-000035690000}"/>
    <cellStyle name="Normal 3 4 6 3" xfId="10170" xr:uid="{00000000-0005-0000-0000-000036690000}"/>
    <cellStyle name="Normal 3 4 6 3 2" xfId="4210" xr:uid="{00000000-0005-0000-0000-000037690000}"/>
    <cellStyle name="Normal 3 4 6 4" xfId="10175" xr:uid="{00000000-0005-0000-0000-000038690000}"/>
    <cellStyle name="Normal 3 4 7" xfId="18707" xr:uid="{00000000-0005-0000-0000-000039690000}"/>
    <cellStyle name="Normal 3 4 7 2" xfId="9875" xr:uid="{00000000-0005-0000-0000-00003A690000}"/>
    <cellStyle name="Normal 3 4 7 2 2" xfId="5011" xr:uid="{00000000-0005-0000-0000-00003B690000}"/>
    <cellStyle name="Normal 3 4 7 3" xfId="10178" xr:uid="{00000000-0005-0000-0000-00003C690000}"/>
    <cellStyle name="Normal 3 4 8" xfId="1217" xr:uid="{00000000-0005-0000-0000-00003D690000}"/>
    <cellStyle name="Normal 3 4 8 2" xfId="4055" xr:uid="{00000000-0005-0000-0000-00003E690000}"/>
    <cellStyle name="Normal 3 4 9" xfId="5018" xr:uid="{00000000-0005-0000-0000-00003F690000}"/>
    <cellStyle name="Normal 3 5" xfId="8142" xr:uid="{00000000-0005-0000-0000-000040690000}"/>
    <cellStyle name="Normal 3 5 2" xfId="8964" xr:uid="{00000000-0005-0000-0000-000041690000}"/>
    <cellStyle name="Normal 3 5 2 2" xfId="8663" xr:uid="{00000000-0005-0000-0000-000042690000}"/>
    <cellStyle name="Normal 3 5 2 2 2" xfId="33297" xr:uid="{00000000-0005-0000-0000-000043690000}"/>
    <cellStyle name="Normal 3 5 2 2 2 2" xfId="28497" xr:uid="{00000000-0005-0000-0000-000044690000}"/>
    <cellStyle name="Normal 3 5 2 2 2 2 2" xfId="22197" xr:uid="{00000000-0005-0000-0000-000045690000}"/>
    <cellStyle name="Normal 3 5 2 2 2 2 2 2" xfId="21428" xr:uid="{00000000-0005-0000-0000-000046690000}"/>
    <cellStyle name="Normal 3 5 2 2 2 2 2 2 2" xfId="21437" xr:uid="{00000000-0005-0000-0000-000047690000}"/>
    <cellStyle name="Normal 3 5 2 2 2 2 2 3" xfId="21442" xr:uid="{00000000-0005-0000-0000-000048690000}"/>
    <cellStyle name="Normal 3 5 2 2 2 2 3" xfId="28503" xr:uid="{00000000-0005-0000-0000-000049690000}"/>
    <cellStyle name="Normal 3 5 2 2 2 2 3 2" xfId="28507" xr:uid="{00000000-0005-0000-0000-00004A690000}"/>
    <cellStyle name="Normal 3 5 2 2 2 2 4" xfId="22532" xr:uid="{00000000-0005-0000-0000-00004B690000}"/>
    <cellStyle name="Normal 3 5 2 2 2 3" xfId="29325" xr:uid="{00000000-0005-0000-0000-00004C690000}"/>
    <cellStyle name="Normal 3 5 2 2 2 3 2" xfId="31488" xr:uid="{00000000-0005-0000-0000-00004D690000}"/>
    <cellStyle name="Normal 3 5 2 2 2 3 2 2" xfId="21532" xr:uid="{00000000-0005-0000-0000-00004E690000}"/>
    <cellStyle name="Normal 3 5 2 2 2 3 3" xfId="22725" xr:uid="{00000000-0005-0000-0000-00004F690000}"/>
    <cellStyle name="Normal 3 5 2 2 2 4" xfId="30975" xr:uid="{00000000-0005-0000-0000-000050690000}"/>
    <cellStyle name="Normal 3 5 2 2 2 4 2" xfId="27570" xr:uid="{00000000-0005-0000-0000-000051690000}"/>
    <cellStyle name="Normal 3 5 2 2 2 5" xfId="31311" xr:uid="{00000000-0005-0000-0000-000052690000}"/>
    <cellStyle name="Normal 3 5 2 2 3" xfId="7689" xr:uid="{00000000-0005-0000-0000-000053690000}"/>
    <cellStyle name="Normal 3 5 2 2 3 2" xfId="28515" xr:uid="{00000000-0005-0000-0000-000054690000}"/>
    <cellStyle name="Normal 3 5 2 2 3 2 2" xfId="27908" xr:uid="{00000000-0005-0000-0000-000055690000}"/>
    <cellStyle name="Normal 3 5 2 2 3 2 2 2" xfId="21714" xr:uid="{00000000-0005-0000-0000-000056690000}"/>
    <cellStyle name="Normal 3 5 2 2 3 2 3" xfId="21721" xr:uid="{00000000-0005-0000-0000-000057690000}"/>
    <cellStyle name="Normal 3 5 2 2 3 3" xfId="409" xr:uid="{00000000-0005-0000-0000-000058690000}"/>
    <cellStyle name="Normal 3 5 2 2 3 3 2" xfId="28528" xr:uid="{00000000-0005-0000-0000-000059690000}"/>
    <cellStyle name="Normal 3 5 2 2 3 4" xfId="28533" xr:uid="{00000000-0005-0000-0000-00005A690000}"/>
    <cellStyle name="Normal 3 5 2 2 4" xfId="28965" xr:uid="{00000000-0005-0000-0000-00005B690000}"/>
    <cellStyle name="Normal 3 5 2 2 4 2" xfId="28537" xr:uid="{00000000-0005-0000-0000-00005C690000}"/>
    <cellStyle name="Normal 3 5 2 2 4 2 2" xfId="21804" xr:uid="{00000000-0005-0000-0000-00005D690000}"/>
    <cellStyle name="Normal 3 5 2 2 4 3" xfId="28541" xr:uid="{00000000-0005-0000-0000-00005E690000}"/>
    <cellStyle name="Normal 3 5 2 2 5" xfId="26047" xr:uid="{00000000-0005-0000-0000-00005F690000}"/>
    <cellStyle name="Normal 3 5 2 2 5 2" xfId="27063" xr:uid="{00000000-0005-0000-0000-000060690000}"/>
    <cellStyle name="Normal 3 5 2 2 6" xfId="24604" xr:uid="{00000000-0005-0000-0000-000061690000}"/>
    <cellStyle name="Normal 3 5 2 3" xfId="8953" xr:uid="{00000000-0005-0000-0000-000062690000}"/>
    <cellStyle name="Normal 3 5 2 3 2" xfId="28544" xr:uid="{00000000-0005-0000-0000-000063690000}"/>
    <cellStyle name="Normal 3 5 2 3 2 2" xfId="15990" xr:uid="{00000000-0005-0000-0000-000064690000}"/>
    <cellStyle name="Normal 3 5 2 3 2 2 2" xfId="27189" xr:uid="{00000000-0005-0000-0000-000065690000}"/>
    <cellStyle name="Normal 3 5 2 3 2 2 2 2" xfId="28549" xr:uid="{00000000-0005-0000-0000-000066690000}"/>
    <cellStyle name="Normal 3 5 2 3 2 2 3" xfId="33170" xr:uid="{00000000-0005-0000-0000-000067690000}"/>
    <cellStyle name="Normal 3 5 2 3 2 3" xfId="30558" xr:uid="{00000000-0005-0000-0000-000068690000}"/>
    <cellStyle name="Normal 3 5 2 3 2 3 2" xfId="31891" xr:uid="{00000000-0005-0000-0000-000069690000}"/>
    <cellStyle name="Normal 3 5 2 3 2 4" xfId="33534" xr:uid="{00000000-0005-0000-0000-00006A690000}"/>
    <cellStyle name="Normal 3 5 2 3 3" xfId="31647" xr:uid="{00000000-0005-0000-0000-00006B690000}"/>
    <cellStyle name="Normal 3 5 2 3 3 2" xfId="26534" xr:uid="{00000000-0005-0000-0000-00006C690000}"/>
    <cellStyle name="Normal 3 5 2 3 3 2 2" xfId="22587" xr:uid="{00000000-0005-0000-0000-00006D690000}"/>
    <cellStyle name="Normal 3 5 2 3 3 3" xfId="30686" xr:uid="{00000000-0005-0000-0000-00006E690000}"/>
    <cellStyle name="Normal 3 5 2 3 4" xfId="21684" xr:uid="{00000000-0005-0000-0000-00006F690000}"/>
    <cellStyle name="Normal 3 5 2 3 4 2" xfId="28558" xr:uid="{00000000-0005-0000-0000-000070690000}"/>
    <cellStyle name="Normal 3 5 2 3 5" xfId="22281" xr:uid="{00000000-0005-0000-0000-000071690000}"/>
    <cellStyle name="Normal 3 5 2 4" xfId="1321" xr:uid="{00000000-0005-0000-0000-000072690000}"/>
    <cellStyle name="Normal 3 5 2 4 2" xfId="28560" xr:uid="{00000000-0005-0000-0000-000073690000}"/>
    <cellStyle name="Normal 3 5 2 4 2 2" xfId="28563" xr:uid="{00000000-0005-0000-0000-000074690000}"/>
    <cellStyle name="Normal 3 5 2 4 2 2 2" xfId="20851" xr:uid="{00000000-0005-0000-0000-000075690000}"/>
    <cellStyle name="Normal 3 5 2 4 2 3" xfId="19053" xr:uid="{00000000-0005-0000-0000-000076690000}"/>
    <cellStyle name="Normal 3 5 2 4 3" xfId="28565" xr:uid="{00000000-0005-0000-0000-000077690000}"/>
    <cellStyle name="Normal 3 5 2 4 3 2" xfId="26838" xr:uid="{00000000-0005-0000-0000-000078690000}"/>
    <cellStyle name="Normal 3 5 2 4 4" xfId="28577" xr:uid="{00000000-0005-0000-0000-000079690000}"/>
    <cellStyle name="Normal 3 5 2 5" xfId="28579" xr:uid="{00000000-0005-0000-0000-00007A690000}"/>
    <cellStyle name="Normal 3 5 2 5 2" xfId="10986" xr:uid="{00000000-0005-0000-0000-00007B690000}"/>
    <cellStyle name="Normal 3 5 2 5 2 2" xfId="28580" xr:uid="{00000000-0005-0000-0000-00007C690000}"/>
    <cellStyle name="Normal 3 5 2 5 3" xfId="22904" xr:uid="{00000000-0005-0000-0000-00007D690000}"/>
    <cellStyle name="Normal 3 5 2 6" xfId="28583" xr:uid="{00000000-0005-0000-0000-00007E690000}"/>
    <cellStyle name="Normal 3 5 2 6 2" xfId="28585" xr:uid="{00000000-0005-0000-0000-00007F690000}"/>
    <cellStyle name="Normal 3 5 2 7" xfId="28588" xr:uid="{00000000-0005-0000-0000-000080690000}"/>
    <cellStyle name="Normal 3 5 3" xfId="17972" xr:uid="{00000000-0005-0000-0000-000081690000}"/>
    <cellStyle name="Normal 3 5 3 2" xfId="24342" xr:uid="{00000000-0005-0000-0000-000082690000}"/>
    <cellStyle name="Normal 3 5 3 2 2" xfId="29600" xr:uid="{00000000-0005-0000-0000-000083690000}"/>
    <cellStyle name="Normal 3 5 3 2 2 2" xfId="29811" xr:uid="{00000000-0005-0000-0000-000084690000}"/>
    <cellStyle name="Normal 3 5 3 2 2 2 2" xfId="14984" xr:uid="{00000000-0005-0000-0000-000085690000}"/>
    <cellStyle name="Normal 3 5 3 2 2 2 2 2" xfId="24174" xr:uid="{00000000-0005-0000-0000-000086690000}"/>
    <cellStyle name="Normal 3 5 3 2 2 2 3" xfId="15437" xr:uid="{00000000-0005-0000-0000-000087690000}"/>
    <cellStyle name="Normal 3 5 3 2 2 3" xfId="33455" xr:uid="{00000000-0005-0000-0000-000088690000}"/>
    <cellStyle name="Normal 3 5 3 2 2 3 2" xfId="18755" xr:uid="{00000000-0005-0000-0000-000089690000}"/>
    <cellStyle name="Normal 3 5 3 2 2 4" xfId="29708" xr:uid="{00000000-0005-0000-0000-00008A690000}"/>
    <cellStyle name="Normal 3 5 3 2 3" xfId="28498" xr:uid="{00000000-0005-0000-0000-00008B690000}"/>
    <cellStyle name="Normal 3 5 3 2 3 2" xfId="28396" xr:uid="{00000000-0005-0000-0000-00008C690000}"/>
    <cellStyle name="Normal 3 5 3 2 3 2 2" xfId="11082" xr:uid="{00000000-0005-0000-0000-00008D690000}"/>
    <cellStyle name="Normal 3 5 3 2 3 3" xfId="28603" xr:uid="{00000000-0005-0000-0000-00008E690000}"/>
    <cellStyle name="Normal 3 5 3 2 4" xfId="28509" xr:uid="{00000000-0005-0000-0000-00008F690000}"/>
    <cellStyle name="Normal 3 5 3 2 4 2" xfId="28609" xr:uid="{00000000-0005-0000-0000-000090690000}"/>
    <cellStyle name="Normal 3 5 3 2 5" xfId="26067" xr:uid="{00000000-0005-0000-0000-000091690000}"/>
    <cellStyle name="Normal 3 5 3 3" xfId="1339" xr:uid="{00000000-0005-0000-0000-000092690000}"/>
    <cellStyle name="Normal 3 5 3 3 2" xfId="33825" xr:uid="{00000000-0005-0000-0000-000093690000}"/>
    <cellStyle name="Normal 3 5 3 3 2 2" xfId="33994" xr:uid="{00000000-0005-0000-0000-000094690000}"/>
    <cellStyle name="Normal 3 5 3 3 2 2 2" xfId="11090" xr:uid="{00000000-0005-0000-0000-000095690000}"/>
    <cellStyle name="Normal 3 5 3 3 2 3" xfId="32623" xr:uid="{00000000-0005-0000-0000-000096690000}"/>
    <cellStyle name="Normal 3 5 3 3 3" xfId="33828" xr:uid="{00000000-0005-0000-0000-000097690000}"/>
    <cellStyle name="Normal 3 5 3 3 3 2" xfId="28612" xr:uid="{00000000-0005-0000-0000-000098690000}"/>
    <cellStyle name="Normal 3 5 3 3 4" xfId="28622" xr:uid="{00000000-0005-0000-0000-000099690000}"/>
    <cellStyle name="Normal 3 5 3 4" xfId="33684" xr:uid="{00000000-0005-0000-0000-00009A690000}"/>
    <cellStyle name="Normal 3 5 3 4 2" xfId="32675" xr:uid="{00000000-0005-0000-0000-00009B690000}"/>
    <cellStyle name="Normal 3 5 3 4 2 2" xfId="33653" xr:uid="{00000000-0005-0000-0000-00009C690000}"/>
    <cellStyle name="Normal 3 5 3 4 3" xfId="32688" xr:uid="{00000000-0005-0000-0000-00009D690000}"/>
    <cellStyle name="Normal 3 5 3 5" xfId="32326" xr:uid="{00000000-0005-0000-0000-00009E690000}"/>
    <cellStyle name="Normal 3 5 3 5 2" xfId="4789" xr:uid="{00000000-0005-0000-0000-00009F690000}"/>
    <cellStyle name="Normal 3 5 3 6" xfId="32336" xr:uid="{00000000-0005-0000-0000-0000A0690000}"/>
    <cellStyle name="Normal 3 5 4" xfId="13512" xr:uid="{00000000-0005-0000-0000-0000A1690000}"/>
    <cellStyle name="Normal 3 5 4 2" xfId="3695" xr:uid="{00000000-0005-0000-0000-0000A2690000}"/>
    <cellStyle name="Normal 3 5 4 2 2" xfId="9400" xr:uid="{00000000-0005-0000-0000-0000A3690000}"/>
    <cellStyle name="Normal 3 5 4 2 2 2" xfId="5028" xr:uid="{00000000-0005-0000-0000-0000A4690000}"/>
    <cellStyle name="Normal 3 5 4 2 2 2 2" xfId="11135" xr:uid="{00000000-0005-0000-0000-0000A5690000}"/>
    <cellStyle name="Normal 3 5 4 2 2 3" xfId="5037" xr:uid="{00000000-0005-0000-0000-0000A6690000}"/>
    <cellStyle name="Normal 3 5 4 2 3" xfId="3139" xr:uid="{00000000-0005-0000-0000-0000A7690000}"/>
    <cellStyle name="Normal 3 5 4 2 3 2" xfId="13089" xr:uid="{00000000-0005-0000-0000-0000A8690000}"/>
    <cellStyle name="Normal 3 5 4 2 4" xfId="5047" xr:uid="{00000000-0005-0000-0000-0000A9690000}"/>
    <cellStyle name="Normal 3 5 4 3" xfId="2801" xr:uid="{00000000-0005-0000-0000-0000AA690000}"/>
    <cellStyle name="Normal 3 5 4 3 2" xfId="9415" xr:uid="{00000000-0005-0000-0000-0000AB690000}"/>
    <cellStyle name="Normal 3 5 4 3 2 2" xfId="3507" xr:uid="{00000000-0005-0000-0000-0000AC690000}"/>
    <cellStyle name="Normal 3 5 4 3 3" xfId="5058" xr:uid="{00000000-0005-0000-0000-0000AD690000}"/>
    <cellStyle name="Normal 3 5 4 4" xfId="4393" xr:uid="{00000000-0005-0000-0000-0000AE690000}"/>
    <cellStyle name="Normal 3 5 4 4 2" xfId="5072" xr:uid="{00000000-0005-0000-0000-0000AF690000}"/>
    <cellStyle name="Normal 3 5 4 5" xfId="5086" xr:uid="{00000000-0005-0000-0000-0000B0690000}"/>
    <cellStyle name="Normal 3 5 5" xfId="13521" xr:uid="{00000000-0005-0000-0000-0000B1690000}"/>
    <cellStyle name="Normal 3 5 5 2" xfId="4184" xr:uid="{00000000-0005-0000-0000-0000B2690000}"/>
    <cellStyle name="Normal 3 5 5 2 2" xfId="9422" xr:uid="{00000000-0005-0000-0000-0000B3690000}"/>
    <cellStyle name="Normal 3 5 5 2 2 2" xfId="22098" xr:uid="{00000000-0005-0000-0000-0000B4690000}"/>
    <cellStyle name="Normal 3 5 5 2 3" xfId="5110" xr:uid="{00000000-0005-0000-0000-0000B5690000}"/>
    <cellStyle name="Normal 3 5 5 3" xfId="4195" xr:uid="{00000000-0005-0000-0000-0000B6690000}"/>
    <cellStyle name="Normal 3 5 5 3 2" xfId="5120" xr:uid="{00000000-0005-0000-0000-0000B7690000}"/>
    <cellStyle name="Normal 3 5 5 4" xfId="3991" xr:uid="{00000000-0005-0000-0000-0000B8690000}"/>
    <cellStyle name="Normal 3 5 6" xfId="14300" xr:uid="{00000000-0005-0000-0000-0000B9690000}"/>
    <cellStyle name="Normal 3 5 6 2" xfId="12205" xr:uid="{00000000-0005-0000-0000-0000BA690000}"/>
    <cellStyle name="Normal 3 5 6 2 2" xfId="5140" xr:uid="{00000000-0005-0000-0000-0000BB690000}"/>
    <cellStyle name="Normal 3 5 6 3" xfId="10193" xr:uid="{00000000-0005-0000-0000-0000BC690000}"/>
    <cellStyle name="Normal 3 5 7" xfId="5436" xr:uid="{00000000-0005-0000-0000-0000BD690000}"/>
    <cellStyle name="Normal 3 5 7 2" xfId="3763" xr:uid="{00000000-0005-0000-0000-0000BE690000}"/>
    <cellStyle name="Normal 3 5 8" xfId="6792" xr:uid="{00000000-0005-0000-0000-0000BF690000}"/>
    <cellStyle name="Normal 3 6" xfId="19223" xr:uid="{00000000-0005-0000-0000-0000C0690000}"/>
    <cellStyle name="Normal 3 6 2" xfId="27519" xr:uid="{00000000-0005-0000-0000-0000C1690000}"/>
    <cellStyle name="Normal 3 6 2 2" xfId="23997" xr:uid="{00000000-0005-0000-0000-0000C2690000}"/>
    <cellStyle name="Normal 3 6 2 2 2" xfId="29177" xr:uid="{00000000-0005-0000-0000-0000C3690000}"/>
    <cellStyle name="Normal 3 6 2 2 2 2" xfId="27877" xr:uid="{00000000-0005-0000-0000-0000C4690000}"/>
    <cellStyle name="Normal 3 6 2 2 2 2 2" xfId="28631" xr:uid="{00000000-0005-0000-0000-0000C5690000}"/>
    <cellStyle name="Normal 3 6 2 2 2 2 2 2" xfId="10864" xr:uid="{00000000-0005-0000-0000-0000C6690000}"/>
    <cellStyle name="Normal 3 6 2 2 2 2 3" xfId="29000" xr:uid="{00000000-0005-0000-0000-0000C7690000}"/>
    <cellStyle name="Normal 3 6 2 2 2 3" xfId="16762" xr:uid="{00000000-0005-0000-0000-0000C8690000}"/>
    <cellStyle name="Normal 3 6 2 2 2 3 2" xfId="16764" xr:uid="{00000000-0005-0000-0000-0000C9690000}"/>
    <cellStyle name="Normal 3 6 2 2 2 4" xfId="16767" xr:uid="{00000000-0005-0000-0000-0000CA690000}"/>
    <cellStyle name="Normal 3 6 2 2 3" xfId="33033" xr:uid="{00000000-0005-0000-0000-0000CB690000}"/>
    <cellStyle name="Normal 3 6 2 2 3 2" xfId="28635" xr:uid="{00000000-0005-0000-0000-0000CC690000}"/>
    <cellStyle name="Normal 3 6 2 2 3 2 2" xfId="31138" xr:uid="{00000000-0005-0000-0000-0000CD690000}"/>
    <cellStyle name="Normal 3 6 2 2 3 3" xfId="27467" xr:uid="{00000000-0005-0000-0000-0000CE690000}"/>
    <cellStyle name="Normal 3 6 2 2 4" xfId="30645" xr:uid="{00000000-0005-0000-0000-0000CF690000}"/>
    <cellStyle name="Normal 3 6 2 2 4 2" xfId="20687" xr:uid="{00000000-0005-0000-0000-0000D0690000}"/>
    <cellStyle name="Normal 3 6 2 2 5" xfId="26085" xr:uid="{00000000-0005-0000-0000-0000D1690000}"/>
    <cellStyle name="Normal 3 6 2 3" xfId="1403" xr:uid="{00000000-0005-0000-0000-0000D2690000}"/>
    <cellStyle name="Normal 3 6 2 3 2" xfId="14285" xr:uid="{00000000-0005-0000-0000-0000D3690000}"/>
    <cellStyle name="Normal 3 6 2 3 2 2" xfId="28645" xr:uid="{00000000-0005-0000-0000-0000D4690000}"/>
    <cellStyle name="Normal 3 6 2 3 2 2 2" xfId="33922" xr:uid="{00000000-0005-0000-0000-0000D5690000}"/>
    <cellStyle name="Normal 3 6 2 3 2 3" xfId="16851" xr:uid="{00000000-0005-0000-0000-0000D6690000}"/>
    <cellStyle name="Normal 3 6 2 3 3" xfId="7196" xr:uid="{00000000-0005-0000-0000-0000D7690000}"/>
    <cellStyle name="Normal 3 6 2 3 3 2" xfId="15677" xr:uid="{00000000-0005-0000-0000-0000D8690000}"/>
    <cellStyle name="Normal 3 6 2 3 4" xfId="3432" xr:uid="{00000000-0005-0000-0000-0000D9690000}"/>
    <cellStyle name="Normal 3 6 2 4" xfId="27060" xr:uid="{00000000-0005-0000-0000-0000DA690000}"/>
    <cellStyle name="Normal 3 6 2 4 2" xfId="797" xr:uid="{00000000-0005-0000-0000-0000DB690000}"/>
    <cellStyle name="Normal 3 6 2 4 2 2" xfId="23534" xr:uid="{00000000-0005-0000-0000-0000DC690000}"/>
    <cellStyle name="Normal 3 6 2 4 3" xfId="4101" xr:uid="{00000000-0005-0000-0000-0000DD690000}"/>
    <cellStyle name="Normal 3 6 2 5" xfId="28651" xr:uid="{00000000-0005-0000-0000-0000DE690000}"/>
    <cellStyle name="Normal 3 6 2 5 2" xfId="9199" xr:uid="{00000000-0005-0000-0000-0000DF690000}"/>
    <cellStyle name="Normal 3 6 2 6" xfId="29590" xr:uid="{00000000-0005-0000-0000-0000E0690000}"/>
    <cellStyle name="Normal 3 6 2 6 2" xfId="8960" xr:uid="{00000000-0005-0000-0000-0000E1690000}"/>
    <cellStyle name="Normal 3 6 2 7" xfId="18512" xr:uid="{00000000-0005-0000-0000-0000E2690000}"/>
    <cellStyle name="Normal 3 6 3" xfId="23168" xr:uid="{00000000-0005-0000-0000-0000E3690000}"/>
    <cellStyle name="Normal 3 6 3 2" xfId="24006" xr:uid="{00000000-0005-0000-0000-0000E4690000}"/>
    <cellStyle name="Normal 3 6 3 2 2" xfId="29127" xr:uid="{00000000-0005-0000-0000-0000E5690000}"/>
    <cellStyle name="Normal 3 6 3 2 2 2" xfId="28892" xr:uid="{00000000-0005-0000-0000-0000E6690000}"/>
    <cellStyle name="Normal 3 6 3 2 2 2 2" xfId="8479" xr:uid="{00000000-0005-0000-0000-0000E7690000}"/>
    <cellStyle name="Normal 3 6 3 2 2 3" xfId="977" xr:uid="{00000000-0005-0000-0000-0000E8690000}"/>
    <cellStyle name="Normal 3 6 3 2 3" xfId="28368" xr:uid="{00000000-0005-0000-0000-0000E9690000}"/>
    <cellStyle name="Normal 3 6 3 2 3 2" xfId="28975" xr:uid="{00000000-0005-0000-0000-0000EA690000}"/>
    <cellStyle name="Normal 3 6 3 2 4" xfId="33774" xr:uid="{00000000-0005-0000-0000-0000EB690000}"/>
    <cellStyle name="Normal 3 6 3 3" xfId="27951" xr:uid="{00000000-0005-0000-0000-0000EC690000}"/>
    <cellStyle name="Normal 3 6 3 3 2" xfId="14334" xr:uid="{00000000-0005-0000-0000-0000ED690000}"/>
    <cellStyle name="Normal 3 6 3 3 2 2" xfId="29704" xr:uid="{00000000-0005-0000-0000-0000EE690000}"/>
    <cellStyle name="Normal 3 6 3 3 3" xfId="620" xr:uid="{00000000-0005-0000-0000-0000EF690000}"/>
    <cellStyle name="Normal 3 6 3 4" xfId="32353" xr:uid="{00000000-0005-0000-0000-0000F0690000}"/>
    <cellStyle name="Normal 3 6 3 4 2" xfId="8967" xr:uid="{00000000-0005-0000-0000-0000F1690000}"/>
    <cellStyle name="Normal 3 6 3 5" xfId="1432" xr:uid="{00000000-0005-0000-0000-0000F2690000}"/>
    <cellStyle name="Normal 3 6 4" xfId="18590" xr:uid="{00000000-0005-0000-0000-0000F3690000}"/>
    <cellStyle name="Normal 3 6 4 2" xfId="8122" xr:uid="{00000000-0005-0000-0000-0000F4690000}"/>
    <cellStyle name="Normal 3 6 4 2 2" xfId="9441" xr:uid="{00000000-0005-0000-0000-0000F5690000}"/>
    <cellStyle name="Normal 3 6 4 2 2 2" xfId="13487" xr:uid="{00000000-0005-0000-0000-0000F6690000}"/>
    <cellStyle name="Normal 3 6 4 2 3" xfId="1783" xr:uid="{00000000-0005-0000-0000-0000F7690000}"/>
    <cellStyle name="Normal 3 6 4 3" xfId="1761" xr:uid="{00000000-0005-0000-0000-0000F8690000}"/>
    <cellStyle name="Normal 3 6 4 3 2" xfId="9176" xr:uid="{00000000-0005-0000-0000-0000F9690000}"/>
    <cellStyle name="Normal 3 6 4 4" xfId="2256" xr:uid="{00000000-0005-0000-0000-0000FA690000}"/>
    <cellStyle name="Normal 3 6 5" xfId="14305" xr:uid="{00000000-0005-0000-0000-0000FB690000}"/>
    <cellStyle name="Normal 3 6 5 2" xfId="3652" xr:uid="{00000000-0005-0000-0000-0000FC690000}"/>
    <cellStyle name="Normal 3 6 5 2 2" xfId="16808" xr:uid="{00000000-0005-0000-0000-0000FD690000}"/>
    <cellStyle name="Normal 3 6 5 3" xfId="1797" xr:uid="{00000000-0005-0000-0000-0000FE690000}"/>
    <cellStyle name="Normal 3 6 6" xfId="5456" xr:uid="{00000000-0005-0000-0000-0000FF690000}"/>
    <cellStyle name="Normal 3 6 6 2" xfId="14445" xr:uid="{00000000-0005-0000-0000-0000006A0000}"/>
    <cellStyle name="Normal 3 6 7" xfId="20950" xr:uid="{00000000-0005-0000-0000-0000016A0000}"/>
    <cellStyle name="Normal 3 6 7 2" xfId="28652" xr:uid="{00000000-0005-0000-0000-0000026A0000}"/>
    <cellStyle name="Normal 3 6 8" xfId="20966" xr:uid="{00000000-0005-0000-0000-0000036A0000}"/>
    <cellStyle name="Normal 3 7" xfId="21551" xr:uid="{00000000-0005-0000-0000-0000046A0000}"/>
    <cellStyle name="Normal 3 7 2" xfId="28657" xr:uid="{00000000-0005-0000-0000-0000056A0000}"/>
    <cellStyle name="Normal 3 7 2 2" xfId="24011" xr:uid="{00000000-0005-0000-0000-0000066A0000}"/>
    <cellStyle name="Normal 3 7 2 2 2" xfId="28661" xr:uid="{00000000-0005-0000-0000-0000076A0000}"/>
    <cellStyle name="Normal 3 7 2 2 2 2" xfId="16495" xr:uid="{00000000-0005-0000-0000-0000086A0000}"/>
    <cellStyle name="Normal 3 7 2 2 2 2 2" xfId="33493" xr:uid="{00000000-0005-0000-0000-0000096A0000}"/>
    <cellStyle name="Normal 3 7 2 2 2 3" xfId="25935" xr:uid="{00000000-0005-0000-0000-00000A6A0000}"/>
    <cellStyle name="Normal 3 7 2 2 3" xfId="27196" xr:uid="{00000000-0005-0000-0000-00000B6A0000}"/>
    <cellStyle name="Normal 3 7 2 2 3 2" xfId="21992" xr:uid="{00000000-0005-0000-0000-00000C6A0000}"/>
    <cellStyle name="Normal 3 7 2 2 4" xfId="28665" xr:uid="{00000000-0005-0000-0000-00000D6A0000}"/>
    <cellStyle name="Normal 3 7 2 3" xfId="28671" xr:uid="{00000000-0005-0000-0000-00000E6A0000}"/>
    <cellStyle name="Normal 3 7 2 3 2" xfId="14379" xr:uid="{00000000-0005-0000-0000-00000F6A0000}"/>
    <cellStyle name="Normal 3 7 2 3 2 2" xfId="25985" xr:uid="{00000000-0005-0000-0000-0000106A0000}"/>
    <cellStyle name="Normal 3 7 2 3 3" xfId="4115" xr:uid="{00000000-0005-0000-0000-0000116A0000}"/>
    <cellStyle name="Normal 3 7 2 4" xfId="26507" xr:uid="{00000000-0005-0000-0000-0000126A0000}"/>
    <cellStyle name="Normal 3 7 2 4 2" xfId="2003" xr:uid="{00000000-0005-0000-0000-0000136A0000}"/>
    <cellStyle name="Normal 3 7 2 5" xfId="355" xr:uid="{00000000-0005-0000-0000-0000146A0000}"/>
    <cellStyle name="Normal 3 7 2 5 2" xfId="395" xr:uid="{00000000-0005-0000-0000-0000156A0000}"/>
    <cellStyle name="Normal 3 7 2 6" xfId="31913" xr:uid="{00000000-0005-0000-0000-0000166A0000}"/>
    <cellStyle name="Normal 3 7 2 6 2" xfId="28676" xr:uid="{00000000-0005-0000-0000-0000176A0000}"/>
    <cellStyle name="Normal 3 7 2 7" xfId="892" xr:uid="{00000000-0005-0000-0000-0000186A0000}"/>
    <cellStyle name="Normal 3 7 3" xfId="28131" xr:uid="{00000000-0005-0000-0000-0000196A0000}"/>
    <cellStyle name="Normal 3 7 3 2" xfId="27798" xr:uid="{00000000-0005-0000-0000-00001A6A0000}"/>
    <cellStyle name="Normal 3 7 3 2 2" xfId="28682" xr:uid="{00000000-0005-0000-0000-00001B6A0000}"/>
    <cellStyle name="Normal 3 7 3 2 2 2" xfId="11186" xr:uid="{00000000-0005-0000-0000-00001C6A0000}"/>
    <cellStyle name="Normal 3 7 3 2 3" xfId="33491" xr:uid="{00000000-0005-0000-0000-00001D6A0000}"/>
    <cellStyle name="Normal 3 7 3 3" xfId="28687" xr:uid="{00000000-0005-0000-0000-00001E6A0000}"/>
    <cellStyle name="Normal 3 7 3 3 2" xfId="14389" xr:uid="{00000000-0005-0000-0000-00001F6A0000}"/>
    <cellStyle name="Normal 3 7 3 4" xfId="27577" xr:uid="{00000000-0005-0000-0000-0000206A0000}"/>
    <cellStyle name="Normal 3 7 4" xfId="14309" xr:uid="{00000000-0005-0000-0000-0000216A0000}"/>
    <cellStyle name="Normal 3 7 4 2" xfId="3664" xr:uid="{00000000-0005-0000-0000-0000226A0000}"/>
    <cellStyle name="Normal 3 7 4 2 2" xfId="1890" xr:uid="{00000000-0005-0000-0000-0000236A0000}"/>
    <cellStyle name="Normal 3 7 4 3" xfId="3272" xr:uid="{00000000-0005-0000-0000-0000246A0000}"/>
    <cellStyle name="Normal 3 7 5" xfId="4532" xr:uid="{00000000-0005-0000-0000-0000256A0000}"/>
    <cellStyle name="Normal 3 7 5 2" xfId="3677" xr:uid="{00000000-0005-0000-0000-0000266A0000}"/>
    <cellStyle name="Normal 3 7 6" xfId="5156" xr:uid="{00000000-0005-0000-0000-0000276A0000}"/>
    <cellStyle name="Normal 3 7 6 2" xfId="28691" xr:uid="{00000000-0005-0000-0000-0000286A0000}"/>
    <cellStyle name="Normal 3 7 7" xfId="20978" xr:uid="{00000000-0005-0000-0000-0000296A0000}"/>
    <cellStyle name="Normal 3 7 7 2" xfId="21194" xr:uid="{00000000-0005-0000-0000-00002A6A0000}"/>
    <cellStyle name="Normal 3 7 8" xfId="20985" xr:uid="{00000000-0005-0000-0000-00002B6A0000}"/>
    <cellStyle name="Normal 3 8" xfId="28694" xr:uid="{00000000-0005-0000-0000-00002C6A0000}"/>
    <cellStyle name="Normal 3 8 2" xfId="19026" xr:uid="{00000000-0005-0000-0000-00002D6A0000}"/>
    <cellStyle name="Normal 3 8 2 2" xfId="25945" xr:uid="{00000000-0005-0000-0000-00002E6A0000}"/>
    <cellStyle name="Normal 3 8 2 2 2" xfId="28699" xr:uid="{00000000-0005-0000-0000-00002F6A0000}"/>
    <cellStyle name="Normal 3 8 2 2 2 2" xfId="5924" xr:uid="{00000000-0005-0000-0000-0000306A0000}"/>
    <cellStyle name="Normal 3 8 2 2 3" xfId="28702" xr:uid="{00000000-0005-0000-0000-0000316A0000}"/>
    <cellStyle name="Normal 3 8 2 3" xfId="26620" xr:uid="{00000000-0005-0000-0000-0000326A0000}"/>
    <cellStyle name="Normal 3 8 2 3 2" xfId="3038" xr:uid="{00000000-0005-0000-0000-0000336A0000}"/>
    <cellStyle name="Normal 3 8 2 4" xfId="26630" xr:uid="{00000000-0005-0000-0000-0000346A0000}"/>
    <cellStyle name="Normal 3 8 2 4 2" xfId="3065" xr:uid="{00000000-0005-0000-0000-0000356A0000}"/>
    <cellStyle name="Normal 3 8 2 5" xfId="25514" xr:uid="{00000000-0005-0000-0000-0000366A0000}"/>
    <cellStyle name="Normal 3 8 2 5 2" xfId="21211" xr:uid="{00000000-0005-0000-0000-0000376A0000}"/>
    <cellStyle name="Normal 3 8 2 6" xfId="16168" xr:uid="{00000000-0005-0000-0000-0000386A0000}"/>
    <cellStyle name="Normal 3 8 2 6 2" xfId="16172" xr:uid="{00000000-0005-0000-0000-0000396A0000}"/>
    <cellStyle name="Normal 3 8 2 7" xfId="33184" xr:uid="{00000000-0005-0000-0000-00003A6A0000}"/>
    <cellStyle name="Normal 3 8 3" xfId="21778" xr:uid="{00000000-0005-0000-0000-00003B6A0000}"/>
    <cellStyle name="Normal 3 8 3 2" xfId="26639" xr:uid="{00000000-0005-0000-0000-00003C6A0000}"/>
    <cellStyle name="Normal 3 8 3 2 2" xfId="28710" xr:uid="{00000000-0005-0000-0000-00003D6A0000}"/>
    <cellStyle name="Normal 3 8 3 3" xfId="23258" xr:uid="{00000000-0005-0000-0000-00003E6A0000}"/>
    <cellStyle name="Normal 3 8 4" xfId="10423" xr:uid="{00000000-0005-0000-0000-00003F6A0000}"/>
    <cellStyle name="Normal 3 8 4 2" xfId="8928" xr:uid="{00000000-0005-0000-0000-0000406A0000}"/>
    <cellStyle name="Normal 3 8 5" xfId="11361" xr:uid="{00000000-0005-0000-0000-0000416A0000}"/>
    <cellStyle name="Normal 3 8 5 2" xfId="31998" xr:uid="{00000000-0005-0000-0000-0000426A0000}"/>
    <cellStyle name="Normal 3 8 6" xfId="28717" xr:uid="{00000000-0005-0000-0000-0000436A0000}"/>
    <cellStyle name="Normal 3 8 6 2" xfId="22913" xr:uid="{00000000-0005-0000-0000-0000446A0000}"/>
    <cellStyle name="Normal 3 8 7" xfId="20991" xr:uid="{00000000-0005-0000-0000-0000456A0000}"/>
    <cellStyle name="Normal 3 8 7 2" xfId="4409" xr:uid="{00000000-0005-0000-0000-0000466A0000}"/>
    <cellStyle name="Normal 3 8 8" xfId="28730" xr:uid="{00000000-0005-0000-0000-0000476A0000}"/>
    <cellStyle name="Normal 3 9" xfId="26477" xr:uid="{00000000-0005-0000-0000-0000486A0000}"/>
    <cellStyle name="Normal 3 9 2" xfId="8930" xr:uid="{00000000-0005-0000-0000-0000496A0000}"/>
    <cellStyle name="Normal 3 9 2 2" xfId="25183" xr:uid="{00000000-0005-0000-0000-00004A6A0000}"/>
    <cellStyle name="Normal 3 9 2 2 2" xfId="3461" xr:uid="{00000000-0005-0000-0000-00004B6A0000}"/>
    <cellStyle name="Normal 3 9 2 3" xfId="29606" xr:uid="{00000000-0005-0000-0000-00004C6A0000}"/>
    <cellStyle name="Normal 3 9 2 3 2" xfId="3731" xr:uid="{00000000-0005-0000-0000-00004D6A0000}"/>
    <cellStyle name="Normal 3 9 2 4" xfId="28734" xr:uid="{00000000-0005-0000-0000-00004E6A0000}"/>
    <cellStyle name="Normal 3 9 2 4 2" xfId="33471" xr:uid="{00000000-0005-0000-0000-00004F6A0000}"/>
    <cellStyle name="Normal 3 9 2 5" xfId="24892" xr:uid="{00000000-0005-0000-0000-0000506A0000}"/>
    <cellStyle name="Normal 3 9 2 5 2" xfId="19535" xr:uid="{00000000-0005-0000-0000-0000516A0000}"/>
    <cellStyle name="Normal 3 9 2 6" xfId="16235" xr:uid="{00000000-0005-0000-0000-0000526A0000}"/>
    <cellStyle name="Normal 3 9 2 6 2" xfId="28737" xr:uid="{00000000-0005-0000-0000-0000536A0000}"/>
    <cellStyle name="Normal 3 9 2 7" xfId="28074" xr:uid="{00000000-0005-0000-0000-0000546A0000}"/>
    <cellStyle name="Normal 3 9 3" xfId="11040" xr:uid="{00000000-0005-0000-0000-0000556A0000}"/>
    <cellStyle name="Normal 3 9 3 2" xfId="26651" xr:uid="{00000000-0005-0000-0000-0000566A0000}"/>
    <cellStyle name="Normal 3 9 4" xfId="7423" xr:uid="{00000000-0005-0000-0000-0000576A0000}"/>
    <cellStyle name="Normal 3 9 4 2" xfId="28740" xr:uid="{00000000-0005-0000-0000-0000586A0000}"/>
    <cellStyle name="Normal 3 9 5" xfId="28744" xr:uid="{00000000-0005-0000-0000-0000596A0000}"/>
    <cellStyle name="Normal 3 9 5 2" xfId="28696" xr:uid="{00000000-0005-0000-0000-00005A6A0000}"/>
    <cellStyle name="Normal 3 9 6" xfId="15980" xr:uid="{00000000-0005-0000-0000-00005B6A0000}"/>
    <cellStyle name="Normal 3 9 6 2" xfId="15981" xr:uid="{00000000-0005-0000-0000-00005C6A0000}"/>
    <cellStyle name="Normal 3 9 7" xfId="16066" xr:uid="{00000000-0005-0000-0000-00005D6A0000}"/>
    <cellStyle name="Normal 3 9 7 2" xfId="16069" xr:uid="{00000000-0005-0000-0000-00005E6A0000}"/>
    <cellStyle name="Normal 3 9 8" xfId="16113" xr:uid="{00000000-0005-0000-0000-00005F6A0000}"/>
    <cellStyle name="Normal 4" xfId="28745" xr:uid="{00000000-0005-0000-0000-0000606A0000}"/>
    <cellStyle name="Normal 4 10" xfId="5160" xr:uid="{00000000-0005-0000-0000-0000616A0000}"/>
    <cellStyle name="Normal 4 10 2" xfId="26744" xr:uid="{00000000-0005-0000-0000-0000626A0000}"/>
    <cellStyle name="Normal 4 10 2 2" xfId="28749" xr:uid="{00000000-0005-0000-0000-0000636A0000}"/>
    <cellStyle name="Normal 4 10 2 2 2" xfId="28751" xr:uid="{00000000-0005-0000-0000-0000646A0000}"/>
    <cellStyle name="Normal 4 10 2 3" xfId="28763" xr:uid="{00000000-0005-0000-0000-0000656A0000}"/>
    <cellStyle name="Normal 4 10 2 3 2" xfId="17007" xr:uid="{00000000-0005-0000-0000-0000666A0000}"/>
    <cellStyle name="Normal 4 10 2 4" xfId="28769" xr:uid="{00000000-0005-0000-0000-0000676A0000}"/>
    <cellStyle name="Normal 4 10 2 4 2" xfId="17062" xr:uid="{00000000-0005-0000-0000-0000686A0000}"/>
    <cellStyle name="Normal 4 10 2 5" xfId="28775" xr:uid="{00000000-0005-0000-0000-0000696A0000}"/>
    <cellStyle name="Normal 4 10 2 5 2" xfId="2302" xr:uid="{00000000-0005-0000-0000-00006A6A0000}"/>
    <cellStyle name="Normal 4 10 2 6" xfId="29160" xr:uid="{00000000-0005-0000-0000-00006B6A0000}"/>
    <cellStyle name="Normal 4 10 2 6 2" xfId="17085" xr:uid="{00000000-0005-0000-0000-00006C6A0000}"/>
    <cellStyle name="Normal 4 10 2 7" xfId="28781" xr:uid="{00000000-0005-0000-0000-00006D6A0000}"/>
    <cellStyle name="Normal 4 10 3" xfId="28783" xr:uid="{00000000-0005-0000-0000-00006E6A0000}"/>
    <cellStyle name="Normal 4 10 3 2" xfId="28788" xr:uid="{00000000-0005-0000-0000-00006F6A0000}"/>
    <cellStyle name="Normal 4 10 4" xfId="33051" xr:uid="{00000000-0005-0000-0000-0000706A0000}"/>
    <cellStyle name="Normal 4 10 4 2" xfId="31713" xr:uid="{00000000-0005-0000-0000-0000716A0000}"/>
    <cellStyle name="Normal 4 10 5" xfId="31721" xr:uid="{00000000-0005-0000-0000-0000726A0000}"/>
    <cellStyle name="Normal 4 10 5 2" xfId="32712" xr:uid="{00000000-0005-0000-0000-0000736A0000}"/>
    <cellStyle name="Normal 4 10 6" xfId="19966" xr:uid="{00000000-0005-0000-0000-0000746A0000}"/>
    <cellStyle name="Normal 4 10 6 2" xfId="11694" xr:uid="{00000000-0005-0000-0000-0000756A0000}"/>
    <cellStyle name="Normal 4 10 7" xfId="28794" xr:uid="{00000000-0005-0000-0000-0000766A0000}"/>
    <cellStyle name="Normal 4 10 7 2" xfId="563" xr:uid="{00000000-0005-0000-0000-0000776A0000}"/>
    <cellStyle name="Normal 4 10 8" xfId="28798" xr:uid="{00000000-0005-0000-0000-0000786A0000}"/>
    <cellStyle name="Normal 4 11" xfId="28808" xr:uid="{00000000-0005-0000-0000-0000796A0000}"/>
    <cellStyle name="Normal 4 11 2" xfId="31893" xr:uid="{00000000-0005-0000-0000-00007A6A0000}"/>
    <cellStyle name="Normal 4 11 2 2" xfId="28809" xr:uid="{00000000-0005-0000-0000-00007B6A0000}"/>
    <cellStyle name="Normal 4 11 2 2 2" xfId="28810" xr:uid="{00000000-0005-0000-0000-00007C6A0000}"/>
    <cellStyle name="Normal 4 11 2 3" xfId="28811" xr:uid="{00000000-0005-0000-0000-00007D6A0000}"/>
    <cellStyle name="Normal 4 11 2 3 2" xfId="17229" xr:uid="{00000000-0005-0000-0000-00007E6A0000}"/>
    <cellStyle name="Normal 4 11 2 4" xfId="26663" xr:uid="{00000000-0005-0000-0000-00007F6A0000}"/>
    <cellStyle name="Normal 4 11 2 4 2" xfId="17248" xr:uid="{00000000-0005-0000-0000-0000806A0000}"/>
    <cellStyle name="Normal 4 11 2 5" xfId="26052" xr:uid="{00000000-0005-0000-0000-0000816A0000}"/>
    <cellStyle name="Normal 4 11 2 5 2" xfId="17250" xr:uid="{00000000-0005-0000-0000-0000826A0000}"/>
    <cellStyle name="Normal 4 11 2 6" xfId="29194" xr:uid="{00000000-0005-0000-0000-0000836A0000}"/>
    <cellStyle name="Normal 4 11 2 6 2" xfId="29196" xr:uid="{00000000-0005-0000-0000-0000846A0000}"/>
    <cellStyle name="Normal 4 11 2 7" xfId="7386" xr:uid="{00000000-0005-0000-0000-0000856A0000}"/>
    <cellStyle name="Normal 4 11 3" xfId="33232" xr:uid="{00000000-0005-0000-0000-0000866A0000}"/>
    <cellStyle name="Normal 4 11 3 2" xfId="28816" xr:uid="{00000000-0005-0000-0000-0000876A0000}"/>
    <cellStyle name="Normal 4 11 4" xfId="32959" xr:uid="{00000000-0005-0000-0000-0000886A0000}"/>
    <cellStyle name="Normal 4 11 4 2" xfId="33472" xr:uid="{00000000-0005-0000-0000-0000896A0000}"/>
    <cellStyle name="Normal 4 11 5" xfId="31736" xr:uid="{00000000-0005-0000-0000-00008A6A0000}"/>
    <cellStyle name="Normal 4 11 5 2" xfId="33387" xr:uid="{00000000-0005-0000-0000-00008B6A0000}"/>
    <cellStyle name="Normal 4 11 6" xfId="30476" xr:uid="{00000000-0005-0000-0000-00008C6A0000}"/>
    <cellStyle name="Normal 4 11 6 2" xfId="9530" xr:uid="{00000000-0005-0000-0000-00008D6A0000}"/>
    <cellStyle name="Normal 4 11 7" xfId="28818" xr:uid="{00000000-0005-0000-0000-00008E6A0000}"/>
    <cellStyle name="Normal 4 11 7 2" xfId="28820" xr:uid="{00000000-0005-0000-0000-00008F6A0000}"/>
    <cellStyle name="Normal 4 11 8" xfId="28825" xr:uid="{00000000-0005-0000-0000-0000906A0000}"/>
    <cellStyle name="Normal 4 12" xfId="26393" xr:uid="{00000000-0005-0000-0000-0000916A0000}"/>
    <cellStyle name="Normal 4 12 2" xfId="28832" xr:uid="{00000000-0005-0000-0000-0000926A0000}"/>
    <cellStyle name="Normal 4 12 2 2" xfId="28833" xr:uid="{00000000-0005-0000-0000-0000936A0000}"/>
    <cellStyle name="Normal 4 12 2 2 2" xfId="28837" xr:uid="{00000000-0005-0000-0000-0000946A0000}"/>
    <cellStyle name="Normal 4 12 2 3" xfId="32452" xr:uid="{00000000-0005-0000-0000-0000956A0000}"/>
    <cellStyle name="Normal 4 12 2 3 2" xfId="17334" xr:uid="{00000000-0005-0000-0000-0000966A0000}"/>
    <cellStyle name="Normal 4 12 2 4" xfId="13903" xr:uid="{00000000-0005-0000-0000-0000976A0000}"/>
    <cellStyle name="Normal 4 12 2 4 2" xfId="17352" xr:uid="{00000000-0005-0000-0000-0000986A0000}"/>
    <cellStyle name="Normal 4 12 2 5" xfId="30424" xr:uid="{00000000-0005-0000-0000-0000996A0000}"/>
    <cellStyle name="Normal 4 12 2 5 2" xfId="28063" xr:uid="{00000000-0005-0000-0000-00009A6A0000}"/>
    <cellStyle name="Normal 4 12 2 6" xfId="28839" xr:uid="{00000000-0005-0000-0000-00009B6A0000}"/>
    <cellStyle name="Normal 4 12 2 6 2" xfId="31190" xr:uid="{00000000-0005-0000-0000-00009C6A0000}"/>
    <cellStyle name="Normal 4 12 2 7" xfId="27310" xr:uid="{00000000-0005-0000-0000-00009D6A0000}"/>
    <cellStyle name="Normal 4 12 3" xfId="28841" xr:uid="{00000000-0005-0000-0000-00009E6A0000}"/>
    <cellStyle name="Normal 4 12 3 2" xfId="28843" xr:uid="{00000000-0005-0000-0000-00009F6A0000}"/>
    <cellStyle name="Normal 4 12 4" xfId="26296" xr:uid="{00000000-0005-0000-0000-0000A06A0000}"/>
    <cellStyle name="Normal 4 12 4 2" xfId="29912" xr:uid="{00000000-0005-0000-0000-0000A16A0000}"/>
    <cellStyle name="Normal 4 12 5" xfId="30482" xr:uid="{00000000-0005-0000-0000-0000A26A0000}"/>
    <cellStyle name="Normal 4 12 5 2" xfId="27589" xr:uid="{00000000-0005-0000-0000-0000A36A0000}"/>
    <cellStyle name="Normal 4 12 6" xfId="29853" xr:uid="{00000000-0005-0000-0000-0000A46A0000}"/>
    <cellStyle name="Normal 4 12 6 2" xfId="24261" xr:uid="{00000000-0005-0000-0000-0000A56A0000}"/>
    <cellStyle name="Normal 4 12 7" xfId="310" xr:uid="{00000000-0005-0000-0000-0000A66A0000}"/>
    <cellStyle name="Normal 4 12 7 2" xfId="24276" xr:uid="{00000000-0005-0000-0000-0000A76A0000}"/>
    <cellStyle name="Normal 4 12 8" xfId="25918" xr:uid="{00000000-0005-0000-0000-0000A86A0000}"/>
    <cellStyle name="Normal 4 13" xfId="23926" xr:uid="{00000000-0005-0000-0000-0000A96A0000}"/>
    <cellStyle name="Normal 4 13 2" xfId="3281" xr:uid="{00000000-0005-0000-0000-0000AA6A0000}"/>
    <cellStyle name="Normal 4 13 2 2" xfId="28856" xr:uid="{00000000-0005-0000-0000-0000AB6A0000}"/>
    <cellStyle name="Normal 4 13 2 2 2" xfId="28358" xr:uid="{00000000-0005-0000-0000-0000AC6A0000}"/>
    <cellStyle name="Normal 4 13 2 3" xfId="2864" xr:uid="{00000000-0005-0000-0000-0000AD6A0000}"/>
    <cellStyle name="Normal 4 13 2 3 2" xfId="17430" xr:uid="{00000000-0005-0000-0000-0000AE6A0000}"/>
    <cellStyle name="Normal 4 13 2 4" xfId="14519" xr:uid="{00000000-0005-0000-0000-0000AF6A0000}"/>
    <cellStyle name="Normal 4 13 2 4 2" xfId="26686" xr:uid="{00000000-0005-0000-0000-0000B06A0000}"/>
    <cellStyle name="Normal 4 13 2 5" xfId="28857" xr:uid="{00000000-0005-0000-0000-0000B16A0000}"/>
    <cellStyle name="Normal 4 13 2 5 2" xfId="28932" xr:uid="{00000000-0005-0000-0000-0000B26A0000}"/>
    <cellStyle name="Normal 4 13 2 6" xfId="28860" xr:uid="{00000000-0005-0000-0000-0000B36A0000}"/>
    <cellStyle name="Normal 4 13 2 6 2" xfId="28863" xr:uid="{00000000-0005-0000-0000-0000B46A0000}"/>
    <cellStyle name="Normal 4 13 2 7" xfId="28865" xr:uid="{00000000-0005-0000-0000-0000B56A0000}"/>
    <cellStyle name="Normal 4 13 3" xfId="6962" xr:uid="{00000000-0005-0000-0000-0000B66A0000}"/>
    <cellStyle name="Normal 4 13 3 2" xfId="27360" xr:uid="{00000000-0005-0000-0000-0000B76A0000}"/>
    <cellStyle name="Normal 4 13 4" xfId="32292" xr:uid="{00000000-0005-0000-0000-0000B86A0000}"/>
    <cellStyle name="Normal 4 13 4 2" xfId="29046" xr:uid="{00000000-0005-0000-0000-0000B96A0000}"/>
    <cellStyle name="Normal 4 13 5" xfId="19664" xr:uid="{00000000-0005-0000-0000-0000BA6A0000}"/>
    <cellStyle name="Normal 4 13 5 2" xfId="28867" xr:uid="{00000000-0005-0000-0000-0000BB6A0000}"/>
    <cellStyle name="Normal 4 13 6" xfId="19668" xr:uid="{00000000-0005-0000-0000-0000BC6A0000}"/>
    <cellStyle name="Normal 4 13 6 2" xfId="28869" xr:uid="{00000000-0005-0000-0000-0000BD6A0000}"/>
    <cellStyle name="Normal 4 13 7" xfId="4406" xr:uid="{00000000-0005-0000-0000-0000BE6A0000}"/>
    <cellStyle name="Normal 4 13 7 2" xfId="28873" xr:uid="{00000000-0005-0000-0000-0000BF6A0000}"/>
    <cellStyle name="Normal 4 13 8" xfId="28035" xr:uid="{00000000-0005-0000-0000-0000C06A0000}"/>
    <cellStyle name="Normal 4 14" xfId="28876" xr:uid="{00000000-0005-0000-0000-0000C16A0000}"/>
    <cellStyle name="Normal 4 14 2" xfId="6964" xr:uid="{00000000-0005-0000-0000-0000C26A0000}"/>
    <cellStyle name="Normal 4 14 2 2" xfId="28378" xr:uid="{00000000-0005-0000-0000-0000C36A0000}"/>
    <cellStyle name="Normal 4 14 3" xfId="32203" xr:uid="{00000000-0005-0000-0000-0000C46A0000}"/>
    <cellStyle name="Normal 4 14 3 2" xfId="32534" xr:uid="{00000000-0005-0000-0000-0000C56A0000}"/>
    <cellStyle name="Normal 4 14 4" xfId="14049" xr:uid="{00000000-0005-0000-0000-0000C66A0000}"/>
    <cellStyle name="Normal 4 14 4 2" xfId="28878" xr:uid="{00000000-0005-0000-0000-0000C76A0000}"/>
    <cellStyle name="Normal 4 14 5" xfId="19670" xr:uid="{00000000-0005-0000-0000-0000C86A0000}"/>
    <cellStyle name="Normal 4 14 5 2" xfId="30712" xr:uid="{00000000-0005-0000-0000-0000C96A0000}"/>
    <cellStyle name="Normal 4 14 6" xfId="19908" xr:uid="{00000000-0005-0000-0000-0000CA6A0000}"/>
    <cellStyle name="Normal 4 14 6 2" xfId="33241" xr:uid="{00000000-0005-0000-0000-0000CB6A0000}"/>
    <cellStyle name="Normal 4 14 7" xfId="28881" xr:uid="{00000000-0005-0000-0000-0000CC6A0000}"/>
    <cellStyle name="Normal 4 15" xfId="9122" xr:uid="{00000000-0005-0000-0000-0000CD6A0000}"/>
    <cellStyle name="Normal 4 15 2" xfId="18599" xr:uid="{00000000-0005-0000-0000-0000CE6A0000}"/>
    <cellStyle name="Normal 4 15 2 2" xfId="11384" xr:uid="{00000000-0005-0000-0000-0000CF6A0000}"/>
    <cellStyle name="Normal 4 15 3" xfId="28883" xr:uid="{00000000-0005-0000-0000-0000D06A0000}"/>
    <cellStyle name="Normal 4 15 3 2" xfId="28885" xr:uid="{00000000-0005-0000-0000-0000D16A0000}"/>
    <cellStyle name="Normal 4 15 4" xfId="29128" xr:uid="{00000000-0005-0000-0000-0000D26A0000}"/>
    <cellStyle name="Normal 4 15 4 2" xfId="28893" xr:uid="{00000000-0005-0000-0000-0000D36A0000}"/>
    <cellStyle name="Normal 4 15 5" xfId="28367" xr:uid="{00000000-0005-0000-0000-0000D46A0000}"/>
    <cellStyle name="Normal 4 15 5 2" xfId="30422" xr:uid="{00000000-0005-0000-0000-0000D56A0000}"/>
    <cellStyle name="Normal 4 15 6" xfId="3104" xr:uid="{00000000-0005-0000-0000-0000D66A0000}"/>
    <cellStyle name="Normal 4 15 6 2" xfId="9465" xr:uid="{00000000-0005-0000-0000-0000D76A0000}"/>
    <cellStyle name="Normal 4 15 7" xfId="4396" xr:uid="{00000000-0005-0000-0000-0000D86A0000}"/>
    <cellStyle name="Normal 4 16" xfId="28899" xr:uid="{00000000-0005-0000-0000-0000D96A0000}"/>
    <cellStyle name="Normal 4 16 2" xfId="33676" xr:uid="{00000000-0005-0000-0000-0000DA6A0000}"/>
    <cellStyle name="Normal 4 16 2 2" xfId="28902" xr:uid="{00000000-0005-0000-0000-0000DB6A0000}"/>
    <cellStyle name="Normal 4 16 3" xfId="28905" xr:uid="{00000000-0005-0000-0000-0000DC6A0000}"/>
    <cellStyle name="Normal 4 16 3 2" xfId="28906" xr:uid="{00000000-0005-0000-0000-0000DD6A0000}"/>
    <cellStyle name="Normal 4 16 4" xfId="28908" xr:uid="{00000000-0005-0000-0000-0000DE6A0000}"/>
    <cellStyle name="Normal 4 16 4 2" xfId="29705" xr:uid="{00000000-0005-0000-0000-0000DF6A0000}"/>
    <cellStyle name="Normal 4 16 5" xfId="27136" xr:uid="{00000000-0005-0000-0000-0000E06A0000}"/>
    <cellStyle name="Normal 4 16 5 2" xfId="28411" xr:uid="{00000000-0005-0000-0000-0000E16A0000}"/>
    <cellStyle name="Normal 4 16 6" xfId="4199" xr:uid="{00000000-0005-0000-0000-0000E26A0000}"/>
    <cellStyle name="Normal 4 16 6 2" xfId="8684" xr:uid="{00000000-0005-0000-0000-0000E36A0000}"/>
    <cellStyle name="Normal 4 16 7" xfId="3994" xr:uid="{00000000-0005-0000-0000-0000E46A0000}"/>
    <cellStyle name="Normal 4 17" xfId="3116" xr:uid="{00000000-0005-0000-0000-0000E56A0000}"/>
    <cellStyle name="Normal 4 17 2" xfId="28910" xr:uid="{00000000-0005-0000-0000-0000E66A0000}"/>
    <cellStyle name="Normal 4 18" xfId="10592" xr:uid="{00000000-0005-0000-0000-0000E76A0000}"/>
    <cellStyle name="Normal 4 18 2" xfId="28912" xr:uid="{00000000-0005-0000-0000-0000E86A0000}"/>
    <cellStyle name="Normal 4 19" xfId="12934" xr:uid="{00000000-0005-0000-0000-0000E96A0000}"/>
    <cellStyle name="Normal 4 19 2" xfId="28914" xr:uid="{00000000-0005-0000-0000-0000EA6A0000}"/>
    <cellStyle name="Normal 4 2" xfId="28919" xr:uid="{00000000-0005-0000-0000-0000EB6A0000}"/>
    <cellStyle name="Normal 4 2 10" xfId="32988" xr:uid="{00000000-0005-0000-0000-0000EC6A0000}"/>
    <cellStyle name="Normal 4 2 10 2" xfId="32537" xr:uid="{00000000-0005-0000-0000-0000ED6A0000}"/>
    <cellStyle name="Normal 4 2 10 2 2" xfId="13468" xr:uid="{00000000-0005-0000-0000-0000EE6A0000}"/>
    <cellStyle name="Normal 4 2 10 2 2 2" xfId="28920" xr:uid="{00000000-0005-0000-0000-0000EF6A0000}"/>
    <cellStyle name="Normal 4 2 10 2 3" xfId="12270" xr:uid="{00000000-0005-0000-0000-0000F06A0000}"/>
    <cellStyle name="Normal 4 2 10 2 3 2" xfId="28922" xr:uid="{00000000-0005-0000-0000-0000F16A0000}"/>
    <cellStyle name="Normal 4 2 10 2 4" xfId="19249" xr:uid="{00000000-0005-0000-0000-0000F26A0000}"/>
    <cellStyle name="Normal 4 2 10 2 4 2" xfId="33954" xr:uid="{00000000-0005-0000-0000-0000F36A0000}"/>
    <cellStyle name="Normal 4 2 10 2 5" xfId="28930" xr:uid="{00000000-0005-0000-0000-0000F46A0000}"/>
    <cellStyle name="Normal 4 2 10 2 5 2" xfId="8878" xr:uid="{00000000-0005-0000-0000-0000F56A0000}"/>
    <cellStyle name="Normal 4 2 10 2 6" xfId="28936" xr:uid="{00000000-0005-0000-0000-0000F66A0000}"/>
    <cellStyle name="Normal 4 2 10 2 6 2" xfId="21961" xr:uid="{00000000-0005-0000-0000-0000F76A0000}"/>
    <cellStyle name="Normal 4 2 10 2 7" xfId="27370" xr:uid="{00000000-0005-0000-0000-0000F86A0000}"/>
    <cellStyle name="Normal 4 2 10 3" xfId="28947" xr:uid="{00000000-0005-0000-0000-0000F96A0000}"/>
    <cellStyle name="Normal 4 2 10 3 2" xfId="16664" xr:uid="{00000000-0005-0000-0000-0000FA6A0000}"/>
    <cellStyle name="Normal 4 2 10 4" xfId="23440" xr:uid="{00000000-0005-0000-0000-0000FB6A0000}"/>
    <cellStyle name="Normal 4 2 10 4 2" xfId="18412" xr:uid="{00000000-0005-0000-0000-0000FC6A0000}"/>
    <cellStyle name="Normal 4 2 10 5" xfId="28949" xr:uid="{00000000-0005-0000-0000-0000FD6A0000}"/>
    <cellStyle name="Normal 4 2 10 5 2" xfId="6149" xr:uid="{00000000-0005-0000-0000-0000FE6A0000}"/>
    <cellStyle name="Normal 4 2 10 6" xfId="28951" xr:uid="{00000000-0005-0000-0000-0000FF6A0000}"/>
    <cellStyle name="Normal 4 2 10 6 2" xfId="27706" xr:uid="{00000000-0005-0000-0000-0000006B0000}"/>
    <cellStyle name="Normal 4 2 10 7" xfId="28954" xr:uid="{00000000-0005-0000-0000-0000016B0000}"/>
    <cellStyle name="Normal 4 2 10 7 2" xfId="28955" xr:uid="{00000000-0005-0000-0000-0000026B0000}"/>
    <cellStyle name="Normal 4 2 10 8" xfId="4666" xr:uid="{00000000-0005-0000-0000-0000036B0000}"/>
    <cellStyle name="Normal 4 2 11" xfId="28959" xr:uid="{00000000-0005-0000-0000-0000046B0000}"/>
    <cellStyle name="Normal 4 2 11 2" xfId="28960" xr:uid="{00000000-0005-0000-0000-0000056B0000}"/>
    <cellStyle name="Normal 4 2 11 2 2" xfId="28966" xr:uid="{00000000-0005-0000-0000-0000066B0000}"/>
    <cellStyle name="Normal 4 2 11 3" xfId="28968" xr:uid="{00000000-0005-0000-0000-0000076B0000}"/>
    <cellStyle name="Normal 4 2 11 3 2" xfId="16680" xr:uid="{00000000-0005-0000-0000-0000086B0000}"/>
    <cellStyle name="Normal 4 2 11 4" xfId="28971" xr:uid="{00000000-0005-0000-0000-0000096B0000}"/>
    <cellStyle name="Normal 4 2 11 4 2" xfId="18427" xr:uid="{00000000-0005-0000-0000-00000A6B0000}"/>
    <cellStyle name="Normal 4 2 11 5" xfId="23547" xr:uid="{00000000-0005-0000-0000-00000B6B0000}"/>
    <cellStyle name="Normal 4 2 11 5 2" xfId="28973" xr:uid="{00000000-0005-0000-0000-00000C6B0000}"/>
    <cellStyle name="Normal 4 2 11 6" xfId="28974" xr:uid="{00000000-0005-0000-0000-00000D6B0000}"/>
    <cellStyle name="Normal 4 2 11 6 2" xfId="28977" xr:uid="{00000000-0005-0000-0000-00000E6B0000}"/>
    <cellStyle name="Normal 4 2 11 7" xfId="32322" xr:uid="{00000000-0005-0000-0000-00000F6B0000}"/>
    <cellStyle name="Normal 4 2 12" xfId="30608" xr:uid="{00000000-0005-0000-0000-0000106B0000}"/>
    <cellStyle name="Normal 4 2 12 2" xfId="31021" xr:uid="{00000000-0005-0000-0000-0000116B0000}"/>
    <cellStyle name="Normal 4 2 12 2 2" xfId="28606" xr:uid="{00000000-0005-0000-0000-0000126B0000}"/>
    <cellStyle name="Normal 4 2 12 3" xfId="28150" xr:uid="{00000000-0005-0000-0000-0000136B0000}"/>
    <cellStyle name="Normal 4 2 12 3 2" xfId="28619" xr:uid="{00000000-0005-0000-0000-0000146B0000}"/>
    <cellStyle name="Normal 4 2 12 4" xfId="28984" xr:uid="{00000000-0005-0000-0000-0000156B0000}"/>
    <cellStyle name="Normal 4 2 12 4 2" xfId="28986" xr:uid="{00000000-0005-0000-0000-0000166B0000}"/>
    <cellStyle name="Normal 4 2 12 5" xfId="33085" xr:uid="{00000000-0005-0000-0000-0000176B0000}"/>
    <cellStyle name="Normal 4 2 12 5 2" xfId="31940" xr:uid="{00000000-0005-0000-0000-0000186B0000}"/>
    <cellStyle name="Normal 4 2 12 6" xfId="28987" xr:uid="{00000000-0005-0000-0000-0000196B0000}"/>
    <cellStyle name="Normal 4 2 12 6 2" xfId="28991" xr:uid="{00000000-0005-0000-0000-00001A6B0000}"/>
    <cellStyle name="Normal 4 2 12 7" xfId="33790" xr:uid="{00000000-0005-0000-0000-00001B6B0000}"/>
    <cellStyle name="Normal 4 2 13" xfId="20558" xr:uid="{00000000-0005-0000-0000-00001C6B0000}"/>
    <cellStyle name="Normal 4 2 13 2" xfId="28995" xr:uid="{00000000-0005-0000-0000-00001D6B0000}"/>
    <cellStyle name="Normal 4 2 14" xfId="28569" xr:uid="{00000000-0005-0000-0000-00001E6B0000}"/>
    <cellStyle name="Normal 4 2 14 2" xfId="823" xr:uid="{00000000-0005-0000-0000-00001F6B0000}"/>
    <cellStyle name="Normal 4 2 15" xfId="28052" xr:uid="{00000000-0005-0000-0000-0000206B0000}"/>
    <cellStyle name="Normal 4 2 15 2" xfId="12056" xr:uid="{00000000-0005-0000-0000-0000216B0000}"/>
    <cellStyle name="Normal 4 2 16" xfId="33622" xr:uid="{00000000-0005-0000-0000-0000226B0000}"/>
    <cellStyle name="Normal 4 2 16 2" xfId="12291" xr:uid="{00000000-0005-0000-0000-0000236B0000}"/>
    <cellStyle name="Normal 4 2 17" xfId="27524" xr:uid="{00000000-0005-0000-0000-0000246B0000}"/>
    <cellStyle name="Normal 4 2 17 2" xfId="21887" xr:uid="{00000000-0005-0000-0000-0000256B0000}"/>
    <cellStyle name="Normal 4 2 18" xfId="25738" xr:uid="{00000000-0005-0000-0000-0000266B0000}"/>
    <cellStyle name="Normal 4 2 2" xfId="24302" xr:uid="{00000000-0005-0000-0000-0000276B0000}"/>
    <cellStyle name="Normal 4 2 2 2" xfId="31579" xr:uid="{00000000-0005-0000-0000-0000286B0000}"/>
    <cellStyle name="Normal 4 2 2 2 2" xfId="10572" xr:uid="{00000000-0005-0000-0000-0000296B0000}"/>
    <cellStyle name="Normal 4 2 2 2 2 2" xfId="10641" xr:uid="{00000000-0005-0000-0000-00002A6B0000}"/>
    <cellStyle name="Normal 4 2 2 2 3" xfId="15571" xr:uid="{00000000-0005-0000-0000-00002B6B0000}"/>
    <cellStyle name="Normal 4 2 2 2 3 2" xfId="15458" xr:uid="{00000000-0005-0000-0000-00002C6B0000}"/>
    <cellStyle name="Normal 4 2 2 2 4" xfId="10666" xr:uid="{00000000-0005-0000-0000-00002D6B0000}"/>
    <cellStyle name="Normal 4 2 2 2 4 2" xfId="28999" xr:uid="{00000000-0005-0000-0000-00002E6B0000}"/>
    <cellStyle name="Normal 4 2 2 2 5" xfId="24680" xr:uid="{00000000-0005-0000-0000-00002F6B0000}"/>
    <cellStyle name="Normal 4 2 2 2 5 2" xfId="29001" xr:uid="{00000000-0005-0000-0000-0000306B0000}"/>
    <cellStyle name="Normal 4 2 2 2 6" xfId="8555" xr:uid="{00000000-0005-0000-0000-0000316B0000}"/>
    <cellStyle name="Normal 4 2 2 2 6 2" xfId="26009" xr:uid="{00000000-0005-0000-0000-0000326B0000}"/>
    <cellStyle name="Normal 4 2 2 2 7" xfId="28117" xr:uid="{00000000-0005-0000-0000-0000336B0000}"/>
    <cellStyle name="Normal 4 2 2 3" xfId="28819" xr:uid="{00000000-0005-0000-0000-0000346B0000}"/>
    <cellStyle name="Normal 4 2 2 3 2" xfId="10728" xr:uid="{00000000-0005-0000-0000-0000356B0000}"/>
    <cellStyle name="Normal 4 2 2 4" xfId="23197" xr:uid="{00000000-0005-0000-0000-0000366B0000}"/>
    <cellStyle name="Normal 4 2 2 4 2" xfId="10745" xr:uid="{00000000-0005-0000-0000-0000376B0000}"/>
    <cellStyle name="Normal 4 2 2 5" xfId="31533" xr:uid="{00000000-0005-0000-0000-0000386B0000}"/>
    <cellStyle name="Normal 4 2 2 5 2" xfId="33443" xr:uid="{00000000-0005-0000-0000-0000396B0000}"/>
    <cellStyle name="Normal 4 2 2 6" xfId="29007" xr:uid="{00000000-0005-0000-0000-00003A6B0000}"/>
    <cellStyle name="Normal 4 2 2 6 2" xfId="30431" xr:uid="{00000000-0005-0000-0000-00003B6B0000}"/>
    <cellStyle name="Normal 4 2 2 7" xfId="29010" xr:uid="{00000000-0005-0000-0000-00003C6B0000}"/>
    <cellStyle name="Normal 4 2 2 7 2" xfId="13408" xr:uid="{00000000-0005-0000-0000-00003D6B0000}"/>
    <cellStyle name="Normal 4 2 2 8" xfId="29014" xr:uid="{00000000-0005-0000-0000-00003E6B0000}"/>
    <cellStyle name="Normal 4 2 3" xfId="29018" xr:uid="{00000000-0005-0000-0000-00003F6B0000}"/>
    <cellStyle name="Normal 4 2 3 2" xfId="33870" xr:uid="{00000000-0005-0000-0000-0000406B0000}"/>
    <cellStyle name="Normal 4 2 3 2 2" xfId="25627" xr:uid="{00000000-0005-0000-0000-0000416B0000}"/>
    <cellStyle name="Normal 4 2 3 2 2 2" xfId="10818" xr:uid="{00000000-0005-0000-0000-0000426B0000}"/>
    <cellStyle name="Normal 4 2 3 2 3" xfId="10824" xr:uid="{00000000-0005-0000-0000-0000436B0000}"/>
    <cellStyle name="Normal 4 2 3 2 3 2" xfId="29019" xr:uid="{00000000-0005-0000-0000-0000446B0000}"/>
    <cellStyle name="Normal 4 2 3 2 4" xfId="29020" xr:uid="{00000000-0005-0000-0000-0000456B0000}"/>
    <cellStyle name="Normal 4 2 3 2 4 2" xfId="29022" xr:uid="{00000000-0005-0000-0000-0000466B0000}"/>
    <cellStyle name="Normal 4 2 3 2 5" xfId="10378" xr:uid="{00000000-0005-0000-0000-0000476B0000}"/>
    <cellStyle name="Normal 4 2 3 2 5 2" xfId="25031" xr:uid="{00000000-0005-0000-0000-0000486B0000}"/>
    <cellStyle name="Normal 4 2 3 2 6" xfId="26182" xr:uid="{00000000-0005-0000-0000-0000496B0000}"/>
    <cellStyle name="Normal 4 2 3 2 6 2" xfId="26022" xr:uid="{00000000-0005-0000-0000-00004A6B0000}"/>
    <cellStyle name="Normal 4 2 3 2 7" xfId="29806" xr:uid="{00000000-0005-0000-0000-00004B6B0000}"/>
    <cellStyle name="Normal 4 2 3 3" xfId="29031" xr:uid="{00000000-0005-0000-0000-00004C6B0000}"/>
    <cellStyle name="Normal 4 2 3 3 2" xfId="10853" xr:uid="{00000000-0005-0000-0000-00004D6B0000}"/>
    <cellStyle name="Normal 4 2 3 4" xfId="29034" xr:uid="{00000000-0005-0000-0000-00004E6B0000}"/>
    <cellStyle name="Normal 4 2 3 4 2" xfId="24436" xr:uid="{00000000-0005-0000-0000-00004F6B0000}"/>
    <cellStyle name="Normal 4 2 3 5" xfId="29035" xr:uid="{00000000-0005-0000-0000-0000506B0000}"/>
    <cellStyle name="Normal 4 2 3 5 2" xfId="24846" xr:uid="{00000000-0005-0000-0000-0000516B0000}"/>
    <cellStyle name="Normal 4 2 3 6" xfId="33942" xr:uid="{00000000-0005-0000-0000-0000526B0000}"/>
    <cellStyle name="Normal 4 2 3 6 2" xfId="2139" xr:uid="{00000000-0005-0000-0000-0000536B0000}"/>
    <cellStyle name="Normal 4 2 3 7" xfId="31088" xr:uid="{00000000-0005-0000-0000-0000546B0000}"/>
    <cellStyle name="Normal 4 2 3 7 2" xfId="28638" xr:uid="{00000000-0005-0000-0000-0000556B0000}"/>
    <cellStyle name="Normal 4 2 3 8" xfId="29036" xr:uid="{00000000-0005-0000-0000-0000566B0000}"/>
    <cellStyle name="Normal 4 2 4" xfId="2839" xr:uid="{00000000-0005-0000-0000-0000576B0000}"/>
    <cellStyle name="Normal 4 2 4 2" xfId="2230" xr:uid="{00000000-0005-0000-0000-0000586B0000}"/>
    <cellStyle name="Normal 4 2 4 2 2" xfId="11052" xr:uid="{00000000-0005-0000-0000-0000596B0000}"/>
    <cellStyle name="Normal 4 2 4 2 2 2" xfId="950" xr:uid="{00000000-0005-0000-0000-00005A6B0000}"/>
    <cellStyle name="Normal 4 2 4 2 3" xfId="9653" xr:uid="{00000000-0005-0000-0000-00005B6B0000}"/>
    <cellStyle name="Normal 4 2 4 2 3 2" xfId="939" xr:uid="{00000000-0005-0000-0000-00005C6B0000}"/>
    <cellStyle name="Normal 4 2 4 2 4" xfId="10645" xr:uid="{00000000-0005-0000-0000-00005D6B0000}"/>
    <cellStyle name="Normal 4 2 4 2 4 2" xfId="5601" xr:uid="{00000000-0005-0000-0000-00005E6B0000}"/>
    <cellStyle name="Normal 4 2 4 2 5" xfId="5781" xr:uid="{00000000-0005-0000-0000-00005F6B0000}"/>
    <cellStyle name="Normal 4 2 4 2 5 2" xfId="6104" xr:uid="{00000000-0005-0000-0000-0000606B0000}"/>
    <cellStyle name="Normal 4 2 4 2 6" xfId="5794" xr:uid="{00000000-0005-0000-0000-0000616B0000}"/>
    <cellStyle name="Normal 4 2 4 2 6 2" xfId="2994" xr:uid="{00000000-0005-0000-0000-0000626B0000}"/>
    <cellStyle name="Normal 4 2 4 2 7" xfId="33253" xr:uid="{00000000-0005-0000-0000-0000636B0000}"/>
    <cellStyle name="Normal 4 2 4 3" xfId="1556" xr:uid="{00000000-0005-0000-0000-0000646B0000}"/>
    <cellStyle name="Normal 4 2 4 3 2" xfId="3912" xr:uid="{00000000-0005-0000-0000-0000656B0000}"/>
    <cellStyle name="Normal 4 2 4 4" xfId="1397" xr:uid="{00000000-0005-0000-0000-0000666B0000}"/>
    <cellStyle name="Normal 4 2 4 4 2" xfId="29791" xr:uid="{00000000-0005-0000-0000-0000676B0000}"/>
    <cellStyle name="Normal 4 2 4 5" xfId="5647" xr:uid="{00000000-0005-0000-0000-0000686B0000}"/>
    <cellStyle name="Normal 4 2 4 5 2" xfId="5650" xr:uid="{00000000-0005-0000-0000-0000696B0000}"/>
    <cellStyle name="Normal 4 2 4 6" xfId="5664" xr:uid="{00000000-0005-0000-0000-00006A6B0000}"/>
    <cellStyle name="Normal 4 2 4 6 2" xfId="5673" xr:uid="{00000000-0005-0000-0000-00006B6B0000}"/>
    <cellStyle name="Normal 4 2 4 7" xfId="18464" xr:uid="{00000000-0005-0000-0000-00006C6B0000}"/>
    <cellStyle name="Normal 4 2 4 7 2" xfId="29037" xr:uid="{00000000-0005-0000-0000-00006D6B0000}"/>
    <cellStyle name="Normal 4 2 4 8" xfId="22836" xr:uid="{00000000-0005-0000-0000-00006E6B0000}"/>
    <cellStyle name="Normal 4 2 5" xfId="8099" xr:uid="{00000000-0005-0000-0000-00006F6B0000}"/>
    <cellStyle name="Normal 4 2 5 2" xfId="1558" xr:uid="{00000000-0005-0000-0000-0000706B0000}"/>
    <cellStyle name="Normal 4 2 5 2 2" xfId="11069" xr:uid="{00000000-0005-0000-0000-0000716B0000}"/>
    <cellStyle name="Normal 4 2 5 2 2 2" xfId="22643" xr:uid="{00000000-0005-0000-0000-0000726B0000}"/>
    <cellStyle name="Normal 4 2 5 2 3" xfId="7547" xr:uid="{00000000-0005-0000-0000-0000736B0000}"/>
    <cellStyle name="Normal 4 2 5 2 3 2" xfId="21176" xr:uid="{00000000-0005-0000-0000-0000746B0000}"/>
    <cellStyle name="Normal 4 2 5 2 4" xfId="7559" xr:uid="{00000000-0005-0000-0000-0000756B0000}"/>
    <cellStyle name="Normal 4 2 5 2 4 2" xfId="7912" xr:uid="{00000000-0005-0000-0000-0000766B0000}"/>
    <cellStyle name="Normal 4 2 5 2 5" xfId="7922" xr:uid="{00000000-0005-0000-0000-0000776B0000}"/>
    <cellStyle name="Normal 4 2 5 2 5 2" xfId="32327" xr:uid="{00000000-0005-0000-0000-0000786B0000}"/>
    <cellStyle name="Normal 4 2 5 2 6" xfId="32658" xr:uid="{00000000-0005-0000-0000-0000796B0000}"/>
    <cellStyle name="Normal 4 2 5 2 6 2" xfId="8336" xr:uid="{00000000-0005-0000-0000-00007A6B0000}"/>
    <cellStyle name="Normal 4 2 5 2 7" xfId="29038" xr:uid="{00000000-0005-0000-0000-00007B6B0000}"/>
    <cellStyle name="Normal 4 2 5 3" xfId="1565" xr:uid="{00000000-0005-0000-0000-00007C6B0000}"/>
    <cellStyle name="Normal 4 2 5 3 2" xfId="5701" xr:uid="{00000000-0005-0000-0000-00007D6B0000}"/>
    <cellStyle name="Normal 4 2 5 4" xfId="5704" xr:uid="{00000000-0005-0000-0000-00007E6B0000}"/>
    <cellStyle name="Normal 4 2 5 4 2" xfId="5707" xr:uid="{00000000-0005-0000-0000-00007F6B0000}"/>
    <cellStyle name="Normal 4 2 5 5" xfId="5711" xr:uid="{00000000-0005-0000-0000-0000806B0000}"/>
    <cellStyle name="Normal 4 2 5 5 2" xfId="5713" xr:uid="{00000000-0005-0000-0000-0000816B0000}"/>
    <cellStyle name="Normal 4 2 5 6" xfId="5715" xr:uid="{00000000-0005-0000-0000-0000826B0000}"/>
    <cellStyle name="Normal 4 2 5 6 2" xfId="32072" xr:uid="{00000000-0005-0000-0000-0000836B0000}"/>
    <cellStyle name="Normal 4 2 5 7" xfId="29039" xr:uid="{00000000-0005-0000-0000-0000846B0000}"/>
    <cellStyle name="Normal 4 2 5 7 2" xfId="29041" xr:uid="{00000000-0005-0000-0000-0000856B0000}"/>
    <cellStyle name="Normal 4 2 5 8" xfId="29043" xr:uid="{00000000-0005-0000-0000-0000866B0000}"/>
    <cellStyle name="Normal 4 2 6" xfId="11987" xr:uid="{00000000-0005-0000-0000-0000876B0000}"/>
    <cellStyle name="Normal 4 2 6 2" xfId="1577" xr:uid="{00000000-0005-0000-0000-0000886B0000}"/>
    <cellStyle name="Normal 4 2 6 2 2" xfId="9081" xr:uid="{00000000-0005-0000-0000-0000896B0000}"/>
    <cellStyle name="Normal 4 2 6 2 2 2" xfId="21225" xr:uid="{00000000-0005-0000-0000-00008A6B0000}"/>
    <cellStyle name="Normal 4 2 6 2 3" xfId="9052" xr:uid="{00000000-0005-0000-0000-00008B6B0000}"/>
    <cellStyle name="Normal 4 2 6 2 3 2" xfId="7936" xr:uid="{00000000-0005-0000-0000-00008C6B0000}"/>
    <cellStyle name="Normal 4 2 6 2 4" xfId="9069" xr:uid="{00000000-0005-0000-0000-00008D6B0000}"/>
    <cellStyle name="Normal 4 2 6 2 4 2" xfId="24611" xr:uid="{00000000-0005-0000-0000-00008E6B0000}"/>
    <cellStyle name="Normal 4 2 6 2 5" xfId="13368" xr:uid="{00000000-0005-0000-0000-00008F6B0000}"/>
    <cellStyle name="Normal 4 2 6 2 5 2" xfId="26667" xr:uid="{00000000-0005-0000-0000-0000906B0000}"/>
    <cellStyle name="Normal 4 2 6 2 6" xfId="26214" xr:uid="{00000000-0005-0000-0000-0000916B0000}"/>
    <cellStyle name="Normal 4 2 6 2 6 2" xfId="8361" xr:uid="{00000000-0005-0000-0000-0000926B0000}"/>
    <cellStyle name="Normal 4 2 6 2 7" xfId="32754" xr:uid="{00000000-0005-0000-0000-0000936B0000}"/>
    <cellStyle name="Normal 4 2 6 3" xfId="5718" xr:uid="{00000000-0005-0000-0000-0000946B0000}"/>
    <cellStyle name="Normal 4 2 6 3 2" xfId="9089" xr:uid="{00000000-0005-0000-0000-0000956B0000}"/>
    <cellStyle name="Normal 4 2 6 4" xfId="5721" xr:uid="{00000000-0005-0000-0000-0000966B0000}"/>
    <cellStyle name="Normal 4 2 6 4 2" xfId="9120" xr:uid="{00000000-0005-0000-0000-0000976B0000}"/>
    <cellStyle name="Normal 4 2 6 5" xfId="2290" xr:uid="{00000000-0005-0000-0000-0000986B0000}"/>
    <cellStyle name="Normal 4 2 6 5 2" xfId="29055" xr:uid="{00000000-0005-0000-0000-0000996B0000}"/>
    <cellStyle name="Normal 4 2 6 6" xfId="32543" xr:uid="{00000000-0005-0000-0000-00009A6B0000}"/>
    <cellStyle name="Normal 4 2 6 6 2" xfId="23872" xr:uid="{00000000-0005-0000-0000-00009B6B0000}"/>
    <cellStyle name="Normal 4 2 6 7" xfId="33528" xr:uid="{00000000-0005-0000-0000-00009C6B0000}"/>
    <cellStyle name="Normal 4 2 6 7 2" xfId="21732" xr:uid="{00000000-0005-0000-0000-00009D6B0000}"/>
    <cellStyle name="Normal 4 2 6 8" xfId="20498" xr:uid="{00000000-0005-0000-0000-00009E6B0000}"/>
    <cellStyle name="Normal 4 2 7" xfId="18711" xr:uid="{00000000-0005-0000-0000-00009F6B0000}"/>
    <cellStyle name="Normal 4 2 7 2" xfId="5723" xr:uid="{00000000-0005-0000-0000-0000A06B0000}"/>
    <cellStyle name="Normal 4 2 7 2 2" xfId="11039" xr:uid="{00000000-0005-0000-0000-0000A16B0000}"/>
    <cellStyle name="Normal 4 2 7 2 2 2" xfId="12811" xr:uid="{00000000-0005-0000-0000-0000A26B0000}"/>
    <cellStyle name="Normal 4 2 7 2 3" xfId="9577" xr:uid="{00000000-0005-0000-0000-0000A36B0000}"/>
    <cellStyle name="Normal 4 2 7 2 3 2" xfId="29057" xr:uid="{00000000-0005-0000-0000-0000A46B0000}"/>
    <cellStyle name="Normal 4 2 7 2 4" xfId="29058" xr:uid="{00000000-0005-0000-0000-0000A56B0000}"/>
    <cellStyle name="Normal 4 2 7 2 4 2" xfId="29060" xr:uid="{00000000-0005-0000-0000-0000A66B0000}"/>
    <cellStyle name="Normal 4 2 7 2 5" xfId="31957" xr:uid="{00000000-0005-0000-0000-0000A76B0000}"/>
    <cellStyle name="Normal 4 2 7 2 5 2" xfId="27729" xr:uid="{00000000-0005-0000-0000-0000A86B0000}"/>
    <cellStyle name="Normal 4 2 7 2 6" xfId="29819" xr:uid="{00000000-0005-0000-0000-0000A96B0000}"/>
    <cellStyle name="Normal 4 2 7 2 6 2" xfId="29061" xr:uid="{00000000-0005-0000-0000-0000AA6B0000}"/>
    <cellStyle name="Normal 4 2 7 2 7" xfId="25483" xr:uid="{00000000-0005-0000-0000-0000AB6B0000}"/>
    <cellStyle name="Normal 4 2 7 3" xfId="5728" xr:uid="{00000000-0005-0000-0000-0000AC6B0000}"/>
    <cellStyle name="Normal 4 2 7 3 2" xfId="11058" xr:uid="{00000000-0005-0000-0000-0000AD6B0000}"/>
    <cellStyle name="Normal 4 2 7 4" xfId="10022" xr:uid="{00000000-0005-0000-0000-0000AE6B0000}"/>
    <cellStyle name="Normal 4 2 7 4 2" xfId="6368" xr:uid="{00000000-0005-0000-0000-0000AF6B0000}"/>
    <cellStyle name="Normal 4 2 7 5" xfId="8755" xr:uid="{00000000-0005-0000-0000-0000B06B0000}"/>
    <cellStyle name="Normal 4 2 7 5 2" xfId="30068" xr:uid="{00000000-0005-0000-0000-0000B16B0000}"/>
    <cellStyle name="Normal 4 2 7 6" xfId="32729" xr:uid="{00000000-0005-0000-0000-0000B26B0000}"/>
    <cellStyle name="Normal 4 2 7 6 2" xfId="27869" xr:uid="{00000000-0005-0000-0000-0000B36B0000}"/>
    <cellStyle name="Normal 4 2 7 7" xfId="29063" xr:uid="{00000000-0005-0000-0000-0000B46B0000}"/>
    <cellStyle name="Normal 4 2 7 7 2" xfId="29065" xr:uid="{00000000-0005-0000-0000-0000B56B0000}"/>
    <cellStyle name="Normal 4 2 7 8" xfId="29068" xr:uid="{00000000-0005-0000-0000-0000B66B0000}"/>
    <cellStyle name="Normal 4 2 8" xfId="5739" xr:uid="{00000000-0005-0000-0000-0000B76B0000}"/>
    <cellStyle name="Normal 4 2 8 2" xfId="5741" xr:uid="{00000000-0005-0000-0000-0000B86B0000}"/>
    <cellStyle name="Normal 4 2 8 2 2" xfId="11063" xr:uid="{00000000-0005-0000-0000-0000B96B0000}"/>
    <cellStyle name="Normal 4 2 8 2 2 2" xfId="2637" xr:uid="{00000000-0005-0000-0000-0000BA6B0000}"/>
    <cellStyle name="Normal 4 2 8 2 3" xfId="29069" xr:uid="{00000000-0005-0000-0000-0000BB6B0000}"/>
    <cellStyle name="Normal 4 2 8 2 3 2" xfId="12869" xr:uid="{00000000-0005-0000-0000-0000BC6B0000}"/>
    <cellStyle name="Normal 4 2 8 2 4" xfId="29071" xr:uid="{00000000-0005-0000-0000-0000BD6B0000}"/>
    <cellStyle name="Normal 4 2 8 2 4 2" xfId="12895" xr:uid="{00000000-0005-0000-0000-0000BE6B0000}"/>
    <cellStyle name="Normal 4 2 8 2 5" xfId="32306" xr:uid="{00000000-0005-0000-0000-0000BF6B0000}"/>
    <cellStyle name="Normal 4 2 8 2 5 2" xfId="12898" xr:uid="{00000000-0005-0000-0000-0000C06B0000}"/>
    <cellStyle name="Normal 4 2 8 2 6" xfId="29075" xr:uid="{00000000-0005-0000-0000-0000C16B0000}"/>
    <cellStyle name="Normal 4 2 8 2 6 2" xfId="29077" xr:uid="{00000000-0005-0000-0000-0000C26B0000}"/>
    <cellStyle name="Normal 4 2 8 2 7" xfId="11434" xr:uid="{00000000-0005-0000-0000-0000C36B0000}"/>
    <cellStyle name="Normal 4 2 8 3" xfId="13424" xr:uid="{00000000-0005-0000-0000-0000C46B0000}"/>
    <cellStyle name="Normal 4 2 8 3 2" xfId="29078" xr:uid="{00000000-0005-0000-0000-0000C56B0000}"/>
    <cellStyle name="Normal 4 2 8 4" xfId="26458" xr:uid="{00000000-0005-0000-0000-0000C66B0000}"/>
    <cellStyle name="Normal 4 2 8 4 2" xfId="29080" xr:uid="{00000000-0005-0000-0000-0000C76B0000}"/>
    <cellStyle name="Normal 4 2 8 5" xfId="29086" xr:uid="{00000000-0005-0000-0000-0000C86B0000}"/>
    <cellStyle name="Normal 4 2 8 5 2" xfId="29089" xr:uid="{00000000-0005-0000-0000-0000C96B0000}"/>
    <cellStyle name="Normal 4 2 8 6" xfId="29090" xr:uid="{00000000-0005-0000-0000-0000CA6B0000}"/>
    <cellStyle name="Normal 4 2 8 6 2" xfId="31330" xr:uid="{00000000-0005-0000-0000-0000CB6B0000}"/>
    <cellStyle name="Normal 4 2 8 7" xfId="23669" xr:uid="{00000000-0005-0000-0000-0000CC6B0000}"/>
    <cellStyle name="Normal 4 2 8 7 2" xfId="29093" xr:uid="{00000000-0005-0000-0000-0000CD6B0000}"/>
    <cellStyle name="Normal 4 2 8 8" xfId="29096" xr:uid="{00000000-0005-0000-0000-0000CE6B0000}"/>
    <cellStyle name="Normal 4 2 9" xfId="5748" xr:uid="{00000000-0005-0000-0000-0000CF6B0000}"/>
    <cellStyle name="Normal 4 2 9 2" xfId="5750" xr:uid="{00000000-0005-0000-0000-0000D06B0000}"/>
    <cellStyle name="Normal 4 2 9 2 2" xfId="16047" xr:uid="{00000000-0005-0000-0000-0000D16B0000}"/>
    <cellStyle name="Normal 4 2 9 2 2 2" xfId="13180" xr:uid="{00000000-0005-0000-0000-0000D26B0000}"/>
    <cellStyle name="Normal 4 2 9 2 3" xfId="12280" xr:uid="{00000000-0005-0000-0000-0000D36B0000}"/>
    <cellStyle name="Normal 4 2 9 2 3 2" xfId="13333" xr:uid="{00000000-0005-0000-0000-0000D46B0000}"/>
    <cellStyle name="Normal 4 2 9 2 4" xfId="29098" xr:uid="{00000000-0005-0000-0000-0000D56B0000}"/>
    <cellStyle name="Normal 4 2 9 2 4 2" xfId="13169" xr:uid="{00000000-0005-0000-0000-0000D66B0000}"/>
    <cellStyle name="Normal 4 2 9 2 5" xfId="33580" xr:uid="{00000000-0005-0000-0000-0000D76B0000}"/>
    <cellStyle name="Normal 4 2 9 2 5 2" xfId="29099" xr:uid="{00000000-0005-0000-0000-0000D86B0000}"/>
    <cellStyle name="Normal 4 2 9 2 6" xfId="33322" xr:uid="{00000000-0005-0000-0000-0000D96B0000}"/>
    <cellStyle name="Normal 4 2 9 2 6 2" xfId="32514" xr:uid="{00000000-0005-0000-0000-0000DA6B0000}"/>
    <cellStyle name="Normal 4 2 9 2 7" xfId="16488" xr:uid="{00000000-0005-0000-0000-0000DB6B0000}"/>
    <cellStyle name="Normal 4 2 9 3" xfId="6956" xr:uid="{00000000-0005-0000-0000-0000DC6B0000}"/>
    <cellStyle name="Normal 4 2 9 3 2" xfId="12488" xr:uid="{00000000-0005-0000-0000-0000DD6B0000}"/>
    <cellStyle name="Normal 4 2 9 4" xfId="29101" xr:uid="{00000000-0005-0000-0000-0000DE6B0000}"/>
    <cellStyle name="Normal 4 2 9 4 2" xfId="29102" xr:uid="{00000000-0005-0000-0000-0000DF6B0000}"/>
    <cellStyle name="Normal 4 2 9 5" xfId="29103" xr:uid="{00000000-0005-0000-0000-0000E06B0000}"/>
    <cellStyle name="Normal 4 2 9 5 2" xfId="26057" xr:uid="{00000000-0005-0000-0000-0000E16B0000}"/>
    <cellStyle name="Normal 4 2 9 6" xfId="29107" xr:uid="{00000000-0005-0000-0000-0000E26B0000}"/>
    <cellStyle name="Normal 4 2 9 6 2" xfId="29112" xr:uid="{00000000-0005-0000-0000-0000E36B0000}"/>
    <cellStyle name="Normal 4 2 9 7" xfId="29116" xr:uid="{00000000-0005-0000-0000-0000E46B0000}"/>
    <cellStyle name="Normal 4 2 9 7 2" xfId="28251" xr:uid="{00000000-0005-0000-0000-0000E56B0000}"/>
    <cellStyle name="Normal 4 2 9 8" xfId="29117" xr:uid="{00000000-0005-0000-0000-0000E66B0000}"/>
    <cellStyle name="Normal 4 20" xfId="9121" xr:uid="{00000000-0005-0000-0000-0000E76B0000}"/>
    <cellStyle name="Normal 4 20 2" xfId="18598" xr:uid="{00000000-0005-0000-0000-0000E86B0000}"/>
    <cellStyle name="Normal 4 21" xfId="28900" xr:uid="{00000000-0005-0000-0000-0000E96B0000}"/>
    <cellStyle name="Normal 4 21 2" xfId="33677" xr:uid="{00000000-0005-0000-0000-0000EA6B0000}"/>
    <cellStyle name="Normal 4 22" xfId="3117" xr:uid="{00000000-0005-0000-0000-0000EB6B0000}"/>
    <cellStyle name="Normal 4 23" xfId="10593" xr:uid="{00000000-0005-0000-0000-0000EC6B0000}"/>
    <cellStyle name="Normal 4 24" xfId="12933" xr:uid="{00000000-0005-0000-0000-0000ED6B0000}"/>
    <cellStyle name="Normal 4 3" xfId="29123" xr:uid="{00000000-0005-0000-0000-0000EE6B0000}"/>
    <cellStyle name="Normal 4 3 2" xfId="30465" xr:uid="{00000000-0005-0000-0000-0000EF6B0000}"/>
    <cellStyle name="Normal 4 3 2 2" xfId="29919" xr:uid="{00000000-0005-0000-0000-0000F06B0000}"/>
    <cellStyle name="Normal 4 3 2 2 2" xfId="12432" xr:uid="{00000000-0005-0000-0000-0000F16B0000}"/>
    <cellStyle name="Normal 4 3 2 3" xfId="28853" xr:uid="{00000000-0005-0000-0000-0000F26B0000}"/>
    <cellStyle name="Normal 4 3 2 3 2" xfId="12442" xr:uid="{00000000-0005-0000-0000-0000F36B0000}"/>
    <cellStyle name="Normal 4 3 2 4" xfId="29124" xr:uid="{00000000-0005-0000-0000-0000F46B0000}"/>
    <cellStyle name="Normal 4 3 2 4 2" xfId="3642" xr:uid="{00000000-0005-0000-0000-0000F56B0000}"/>
    <cellStyle name="Normal 4 3 2 5" xfId="28806" xr:uid="{00000000-0005-0000-0000-0000F66B0000}"/>
    <cellStyle name="Normal 4 3 2 5 2" xfId="33564" xr:uid="{00000000-0005-0000-0000-0000F76B0000}"/>
    <cellStyle name="Normal 4 3 2 6" xfId="29125" xr:uid="{00000000-0005-0000-0000-0000F86B0000}"/>
    <cellStyle name="Normal 4 3 2 6 2" xfId="29129" xr:uid="{00000000-0005-0000-0000-0000F96B0000}"/>
    <cellStyle name="Normal 4 3 2 7" xfId="32515" xr:uid="{00000000-0005-0000-0000-0000FA6B0000}"/>
    <cellStyle name="Normal 4 3 3" xfId="33366" xr:uid="{00000000-0005-0000-0000-0000FB6B0000}"/>
    <cellStyle name="Normal 4 3 3 2" xfId="33481" xr:uid="{00000000-0005-0000-0000-0000FC6B0000}"/>
    <cellStyle name="Normal 4 3 4" xfId="7041" xr:uid="{00000000-0005-0000-0000-0000FD6B0000}"/>
    <cellStyle name="Normal 4 3 4 2" xfId="1967" xr:uid="{00000000-0005-0000-0000-0000FE6B0000}"/>
    <cellStyle name="Normal 4 3 5" xfId="1228" xr:uid="{00000000-0005-0000-0000-0000FF6B0000}"/>
    <cellStyle name="Normal 4 3 5 2" xfId="94" xr:uid="{00000000-0005-0000-0000-0000006C0000}"/>
    <cellStyle name="Normal 4 3 6" xfId="12122" xr:uid="{00000000-0005-0000-0000-0000016C0000}"/>
    <cellStyle name="Normal 4 3 6 2" xfId="11794" xr:uid="{00000000-0005-0000-0000-0000026C0000}"/>
    <cellStyle name="Normal 4 3 7" xfId="18717" xr:uid="{00000000-0005-0000-0000-0000036C0000}"/>
    <cellStyle name="Normal 4 3 7 2" xfId="11837" xr:uid="{00000000-0005-0000-0000-0000046C0000}"/>
    <cellStyle name="Normal 4 3 8" xfId="8404" xr:uid="{00000000-0005-0000-0000-0000056C0000}"/>
    <cellStyle name="Normal 4 4" xfId="29135" xr:uid="{00000000-0005-0000-0000-0000066C0000}"/>
    <cellStyle name="Normal 4 4 2" xfId="32604" xr:uid="{00000000-0005-0000-0000-0000076C0000}"/>
    <cellStyle name="Normal 4 4 2 2" xfId="25710" xr:uid="{00000000-0005-0000-0000-0000086C0000}"/>
    <cellStyle name="Normal 4 4 2 2 2" xfId="14111" xr:uid="{00000000-0005-0000-0000-0000096C0000}"/>
    <cellStyle name="Normal 4 4 2 3" xfId="28872" xr:uid="{00000000-0005-0000-0000-00000A6C0000}"/>
    <cellStyle name="Normal 4 4 2 3 2" xfId="14134" xr:uid="{00000000-0005-0000-0000-00000B6C0000}"/>
    <cellStyle name="Normal 4 4 2 4" xfId="24032" xr:uid="{00000000-0005-0000-0000-00000C6C0000}"/>
    <cellStyle name="Normal 4 4 2 4 2" xfId="3144" xr:uid="{00000000-0005-0000-0000-00000D6C0000}"/>
    <cellStyle name="Normal 4 4 2 5" xfId="25748" xr:uid="{00000000-0005-0000-0000-00000E6C0000}"/>
    <cellStyle name="Normal 4 4 2 5 2" xfId="26475" xr:uid="{00000000-0005-0000-0000-00000F6C0000}"/>
    <cellStyle name="Normal 4 4 2 6" xfId="29139" xr:uid="{00000000-0005-0000-0000-0000106C0000}"/>
    <cellStyle name="Normal 4 4 2 6 2" xfId="30672" xr:uid="{00000000-0005-0000-0000-0000116C0000}"/>
    <cellStyle name="Normal 4 4 2 7" xfId="31888" xr:uid="{00000000-0005-0000-0000-0000126C0000}"/>
    <cellStyle name="Normal 4 4 3" xfId="12497" xr:uid="{00000000-0005-0000-0000-0000136C0000}"/>
    <cellStyle name="Normal 4 4 3 2" xfId="19901" xr:uid="{00000000-0005-0000-0000-0000146C0000}"/>
    <cellStyle name="Normal 4 4 4" xfId="9790" xr:uid="{00000000-0005-0000-0000-0000156C0000}"/>
    <cellStyle name="Normal 4 4 4 2" xfId="19904" xr:uid="{00000000-0005-0000-0000-0000166C0000}"/>
    <cellStyle name="Normal 4 4 5" xfId="2416" xr:uid="{00000000-0005-0000-0000-0000176C0000}"/>
    <cellStyle name="Normal 4 4 5 2" xfId="4959" xr:uid="{00000000-0005-0000-0000-0000186C0000}"/>
    <cellStyle name="Normal 4 4 6" xfId="5930" xr:uid="{00000000-0005-0000-0000-0000196C0000}"/>
    <cellStyle name="Normal 4 4 6 2" xfId="11149" xr:uid="{00000000-0005-0000-0000-00001A6C0000}"/>
    <cellStyle name="Normal 4 4 7" xfId="5933" xr:uid="{00000000-0005-0000-0000-00001B6C0000}"/>
    <cellStyle name="Normal 4 4 7 2" xfId="11169" xr:uid="{00000000-0005-0000-0000-00001C6C0000}"/>
    <cellStyle name="Normal 4 4 8" xfId="5939" xr:uid="{00000000-0005-0000-0000-00001D6C0000}"/>
    <cellStyle name="Normal 4 5" xfId="8166" xr:uid="{00000000-0005-0000-0000-00001E6C0000}"/>
    <cellStyle name="Normal 4 5 2" xfId="8026" xr:uid="{00000000-0005-0000-0000-00001F6C0000}"/>
    <cellStyle name="Normal 4 5 2 2" xfId="19667" xr:uid="{00000000-0005-0000-0000-0000206C0000}"/>
    <cellStyle name="Normal 4 5 2 2 2" xfId="28870" xr:uid="{00000000-0005-0000-0000-0000216C0000}"/>
    <cellStyle name="Normal 4 5 2 3" xfId="4407" xr:uid="{00000000-0005-0000-0000-0000226C0000}"/>
    <cellStyle name="Normal 4 5 2 3 2" xfId="28874" xr:uid="{00000000-0005-0000-0000-0000236C0000}"/>
    <cellStyle name="Normal 4 5 2 4" xfId="28034" xr:uid="{00000000-0005-0000-0000-0000246C0000}"/>
    <cellStyle name="Normal 4 5 2 4 2" xfId="3708" xr:uid="{00000000-0005-0000-0000-0000256C0000}"/>
    <cellStyle name="Normal 4 5 2 5" xfId="30946" xr:uid="{00000000-0005-0000-0000-0000266C0000}"/>
    <cellStyle name="Normal 4 5 2 5 2" xfId="3716" xr:uid="{00000000-0005-0000-0000-0000276C0000}"/>
    <cellStyle name="Normal 4 5 2 6" xfId="31930" xr:uid="{00000000-0005-0000-0000-0000286C0000}"/>
    <cellStyle name="Normal 4 5 2 6 2" xfId="29142" xr:uid="{00000000-0005-0000-0000-0000296C0000}"/>
    <cellStyle name="Normal 4 5 2 7" xfId="29148" xr:uid="{00000000-0005-0000-0000-00002A6C0000}"/>
    <cellStyle name="Normal 4 5 3" xfId="5566" xr:uid="{00000000-0005-0000-0000-00002B6C0000}"/>
    <cellStyle name="Normal 4 5 3 2" xfId="19906" xr:uid="{00000000-0005-0000-0000-00002C6C0000}"/>
    <cellStyle name="Normal 4 5 4" xfId="13531" xr:uid="{00000000-0005-0000-0000-00002D6C0000}"/>
    <cellStyle name="Normal 4 5 4 2" xfId="3105" xr:uid="{00000000-0005-0000-0000-00002E6C0000}"/>
    <cellStyle name="Normal 4 5 5" xfId="14318" xr:uid="{00000000-0005-0000-0000-00002F6C0000}"/>
    <cellStyle name="Normal 4 5 5 2" xfId="4200" xr:uid="{00000000-0005-0000-0000-0000306C0000}"/>
    <cellStyle name="Normal 4 5 6" xfId="4968" xr:uid="{00000000-0005-0000-0000-0000316C0000}"/>
    <cellStyle name="Normal 4 5 6 2" xfId="11315" xr:uid="{00000000-0005-0000-0000-0000326C0000}"/>
    <cellStyle name="Normal 4 5 7" xfId="5943" xr:uid="{00000000-0005-0000-0000-0000336C0000}"/>
    <cellStyle name="Normal 4 5 7 2" xfId="11899" xr:uid="{00000000-0005-0000-0000-0000346C0000}"/>
    <cellStyle name="Normal 4 5 8" xfId="4831" xr:uid="{00000000-0005-0000-0000-0000356C0000}"/>
    <cellStyle name="Normal 4 6" xfId="23861" xr:uid="{00000000-0005-0000-0000-0000366C0000}"/>
    <cellStyle name="Normal 4 6 2" xfId="33967" xr:uid="{00000000-0005-0000-0000-0000376C0000}"/>
    <cellStyle name="Normal 4 6 2 2" xfId="24051" xr:uid="{00000000-0005-0000-0000-0000386C0000}"/>
    <cellStyle name="Normal 4 6 2 2 2" xfId="29149" xr:uid="{00000000-0005-0000-0000-0000396C0000}"/>
    <cellStyle name="Normal 4 6 2 3" xfId="5605" xr:uid="{00000000-0005-0000-0000-00003A6C0000}"/>
    <cellStyle name="Normal 4 6 2 3 2" xfId="14429" xr:uid="{00000000-0005-0000-0000-00003B6C0000}"/>
    <cellStyle name="Normal 4 6 2 4" xfId="29151" xr:uid="{00000000-0005-0000-0000-00003C6C0000}"/>
    <cellStyle name="Normal 4 6 2 4 2" xfId="10797" xr:uid="{00000000-0005-0000-0000-00003D6C0000}"/>
    <cellStyle name="Normal 4 6 2 5" xfId="31829" xr:uid="{00000000-0005-0000-0000-00003E6C0000}"/>
    <cellStyle name="Normal 4 6 2 5 2" xfId="10809" xr:uid="{00000000-0005-0000-0000-00003F6C0000}"/>
    <cellStyle name="Normal 4 6 2 6" xfId="33259" xr:uid="{00000000-0005-0000-0000-0000406C0000}"/>
    <cellStyle name="Normal 4 6 2 6 2" xfId="19607" xr:uid="{00000000-0005-0000-0000-0000416C0000}"/>
    <cellStyle name="Normal 4 6 2 7" xfId="699" xr:uid="{00000000-0005-0000-0000-0000426C0000}"/>
    <cellStyle name="Normal 4 6 3" xfId="2821" xr:uid="{00000000-0005-0000-0000-0000436C0000}"/>
    <cellStyle name="Normal 4 6 3 2" xfId="11401" xr:uid="{00000000-0005-0000-0000-0000446C0000}"/>
    <cellStyle name="Normal 4 6 4" xfId="14323" xr:uid="{00000000-0005-0000-0000-0000456C0000}"/>
    <cellStyle name="Normal 4 6 4 2" xfId="3396" xr:uid="{00000000-0005-0000-0000-0000466C0000}"/>
    <cellStyle name="Normal 4 6 5" xfId="2531" xr:uid="{00000000-0005-0000-0000-0000476C0000}"/>
    <cellStyle name="Normal 4 6 5 2" xfId="1801" xr:uid="{00000000-0005-0000-0000-0000486C0000}"/>
    <cellStyle name="Normal 4 6 6" xfId="1049" xr:uid="{00000000-0005-0000-0000-0000496C0000}"/>
    <cellStyle name="Normal 4 6 6 2" xfId="11910" xr:uid="{00000000-0005-0000-0000-00004A6C0000}"/>
    <cellStyle name="Normal 4 6 7" xfId="21010" xr:uid="{00000000-0005-0000-0000-00004B6C0000}"/>
    <cellStyle name="Normal 4 6 7 2" xfId="21314" xr:uid="{00000000-0005-0000-0000-00004C6C0000}"/>
    <cellStyle name="Normal 4 6 8" xfId="21018" xr:uid="{00000000-0005-0000-0000-00004D6C0000}"/>
    <cellStyle name="Normal 4 7" xfId="33863" xr:uid="{00000000-0005-0000-0000-00004E6C0000}"/>
    <cellStyle name="Normal 4 7 2" xfId="29153" xr:uid="{00000000-0005-0000-0000-00004F6C0000}"/>
    <cellStyle name="Normal 4 7 2 2" xfId="9294" xr:uid="{00000000-0005-0000-0000-0000506C0000}"/>
    <cellStyle name="Normal 4 7 2 2 2" xfId="29159" xr:uid="{00000000-0005-0000-0000-0000516C0000}"/>
    <cellStyle name="Normal 4 7 2 3" xfId="28774" xr:uid="{00000000-0005-0000-0000-0000526C0000}"/>
    <cellStyle name="Normal 4 7 2 3 2" xfId="14458" xr:uid="{00000000-0005-0000-0000-0000536C0000}"/>
    <cellStyle name="Normal 4 7 2 4" xfId="29161" xr:uid="{00000000-0005-0000-0000-0000546C0000}"/>
    <cellStyle name="Normal 4 7 2 4 2" xfId="10913" xr:uid="{00000000-0005-0000-0000-0000556C0000}"/>
    <cellStyle name="Normal 4 7 2 5" xfId="28780" xr:uid="{00000000-0005-0000-0000-0000566C0000}"/>
    <cellStyle name="Normal 4 7 2 5 2" xfId="29165" xr:uid="{00000000-0005-0000-0000-0000576C0000}"/>
    <cellStyle name="Normal 4 7 2 6" xfId="26841" xr:uid="{00000000-0005-0000-0000-0000586C0000}"/>
    <cellStyle name="Normal 4 7 2 6 2" xfId="23191" xr:uid="{00000000-0005-0000-0000-0000596C0000}"/>
    <cellStyle name="Normal 4 7 2 7" xfId="29167" xr:uid="{00000000-0005-0000-0000-00005A6C0000}"/>
    <cellStyle name="Normal 4 7 3" xfId="3565" xr:uid="{00000000-0005-0000-0000-00005B6C0000}"/>
    <cellStyle name="Normal 4 7 3 2" xfId="29172" xr:uid="{00000000-0005-0000-0000-00005C6C0000}"/>
    <cellStyle name="Normal 4 7 4" xfId="5952" xr:uid="{00000000-0005-0000-0000-00005D6C0000}"/>
    <cellStyle name="Normal 4 7 4 2" xfId="3688" xr:uid="{00000000-0005-0000-0000-00005E6C0000}"/>
    <cellStyle name="Normal 4 7 5" xfId="3467" xr:uid="{00000000-0005-0000-0000-00005F6C0000}"/>
    <cellStyle name="Normal 4 7 5 2" xfId="29174" xr:uid="{00000000-0005-0000-0000-0000606C0000}"/>
    <cellStyle name="Normal 4 7 6" xfId="29181" xr:uid="{00000000-0005-0000-0000-0000616C0000}"/>
    <cellStyle name="Normal 4 7 6 2" xfId="22970" xr:uid="{00000000-0005-0000-0000-0000626C0000}"/>
    <cellStyle name="Normal 4 7 7" xfId="16176" xr:uid="{00000000-0005-0000-0000-0000636C0000}"/>
    <cellStyle name="Normal 4 7 7 2" xfId="21355" xr:uid="{00000000-0005-0000-0000-0000646C0000}"/>
    <cellStyle name="Normal 4 7 8" xfId="16180" xr:uid="{00000000-0005-0000-0000-0000656C0000}"/>
    <cellStyle name="Normal 4 8" xfId="19081" xr:uid="{00000000-0005-0000-0000-0000666C0000}"/>
    <cellStyle name="Normal 4 8 2" xfId="23256" xr:uid="{00000000-0005-0000-0000-0000676C0000}"/>
    <cellStyle name="Normal 4 8 2 2" xfId="26665" xr:uid="{00000000-0005-0000-0000-0000686C0000}"/>
    <cellStyle name="Normal 4 8 2 2 2" xfId="29193" xr:uid="{00000000-0005-0000-0000-0000696C0000}"/>
    <cellStyle name="Normal 4 8 2 3" xfId="11920" xr:uid="{00000000-0005-0000-0000-00006A6C0000}"/>
    <cellStyle name="Normal 4 8 2 3 2" xfId="3816" xr:uid="{00000000-0005-0000-0000-00006B6C0000}"/>
    <cellStyle name="Normal 4 8 2 4" xfId="29195" xr:uid="{00000000-0005-0000-0000-00006C6C0000}"/>
    <cellStyle name="Normal 4 8 2 4 2" xfId="29199" xr:uid="{00000000-0005-0000-0000-00006D6C0000}"/>
    <cellStyle name="Normal 4 8 2 5" xfId="2580" xr:uid="{00000000-0005-0000-0000-00006E6C0000}"/>
    <cellStyle name="Normal 4 8 2 5 2" xfId="19656" xr:uid="{00000000-0005-0000-0000-00006F6C0000}"/>
    <cellStyle name="Normal 4 8 2 6" xfId="16360" xr:uid="{00000000-0005-0000-0000-0000706C0000}"/>
    <cellStyle name="Normal 4 8 2 6 2" xfId="29201" xr:uid="{00000000-0005-0000-0000-0000716C0000}"/>
    <cellStyle name="Normal 4 8 2 7" xfId="29206" xr:uid="{00000000-0005-0000-0000-0000726C0000}"/>
    <cellStyle name="Normal 4 8 3" xfId="29207" xr:uid="{00000000-0005-0000-0000-0000736C0000}"/>
    <cellStyle name="Normal 4 8 3 2" xfId="26672" xr:uid="{00000000-0005-0000-0000-0000746C0000}"/>
    <cellStyle name="Normal 4 8 4" xfId="10436" xr:uid="{00000000-0005-0000-0000-0000756C0000}"/>
    <cellStyle name="Normal 4 8 4 2" xfId="29212" xr:uid="{00000000-0005-0000-0000-0000766C0000}"/>
    <cellStyle name="Normal 4 8 5" xfId="29215" xr:uid="{00000000-0005-0000-0000-0000776C0000}"/>
    <cellStyle name="Normal 4 8 5 2" xfId="34031" xr:uid="{00000000-0005-0000-0000-0000786C0000}"/>
    <cellStyle name="Normal 4 8 6" xfId="24549" xr:uid="{00000000-0005-0000-0000-0000796C0000}"/>
    <cellStyle name="Normal 4 8 6 2" xfId="22996" xr:uid="{00000000-0005-0000-0000-00007A6C0000}"/>
    <cellStyle name="Normal 4 8 7" xfId="12153" xr:uid="{00000000-0005-0000-0000-00007B6C0000}"/>
    <cellStyle name="Normal 4 8 7 2" xfId="2288" xr:uid="{00000000-0005-0000-0000-00007C6C0000}"/>
    <cellStyle name="Normal 4 8 8" xfId="21419" xr:uid="{00000000-0005-0000-0000-00007D6C0000}"/>
    <cellStyle name="Normal 4 9" xfId="982" xr:uid="{00000000-0005-0000-0000-00007E6C0000}"/>
    <cellStyle name="Normal 4 9 2" xfId="29230" xr:uid="{00000000-0005-0000-0000-00007F6C0000}"/>
    <cellStyle name="Normal 4 9 2 2" xfId="7771" xr:uid="{00000000-0005-0000-0000-0000806C0000}"/>
    <cellStyle name="Normal 4 9 2 2 2" xfId="12716" xr:uid="{00000000-0005-0000-0000-0000816C0000}"/>
    <cellStyle name="Normal 4 9 2 3" xfId="33996" xr:uid="{00000000-0005-0000-0000-0000826C0000}"/>
    <cellStyle name="Normal 4 9 2 3 2" xfId="14755" xr:uid="{00000000-0005-0000-0000-0000836C0000}"/>
    <cellStyle name="Normal 4 9 2 4" xfId="28838" xr:uid="{00000000-0005-0000-0000-0000846C0000}"/>
    <cellStyle name="Normal 4 9 2 4 2" xfId="9977" xr:uid="{00000000-0005-0000-0000-0000856C0000}"/>
    <cellStyle name="Normal 4 9 2 5" xfId="25119" xr:uid="{00000000-0005-0000-0000-0000866C0000}"/>
    <cellStyle name="Normal 4 9 2 5 2" xfId="29232" xr:uid="{00000000-0005-0000-0000-0000876C0000}"/>
    <cellStyle name="Normal 4 9 2 6" xfId="29234" xr:uid="{00000000-0005-0000-0000-0000886C0000}"/>
    <cellStyle name="Normal 4 9 2 6 2" xfId="29239" xr:uid="{00000000-0005-0000-0000-0000896C0000}"/>
    <cellStyle name="Normal 4 9 2 7" xfId="29243" xr:uid="{00000000-0005-0000-0000-00008A6C0000}"/>
    <cellStyle name="Normal 4 9 3" xfId="15689" xr:uid="{00000000-0005-0000-0000-00008B6C0000}"/>
    <cellStyle name="Normal 4 9 3 2" xfId="29245" xr:uid="{00000000-0005-0000-0000-00008C6C0000}"/>
    <cellStyle name="Normal 4 9 4" xfId="27535" xr:uid="{00000000-0005-0000-0000-00008D6C0000}"/>
    <cellStyle name="Normal 4 9 4 2" xfId="30543" xr:uid="{00000000-0005-0000-0000-00008E6C0000}"/>
    <cellStyle name="Normal 4 9 5" xfId="26692" xr:uid="{00000000-0005-0000-0000-00008F6C0000}"/>
    <cellStyle name="Normal 4 9 5 2" xfId="33345" xr:uid="{00000000-0005-0000-0000-0000906C0000}"/>
    <cellStyle name="Normal 4 9 6" xfId="16300" xr:uid="{00000000-0005-0000-0000-0000916C0000}"/>
    <cellStyle name="Normal 4 9 6 2" xfId="4826" xr:uid="{00000000-0005-0000-0000-0000926C0000}"/>
    <cellStyle name="Normal 4 9 7" xfId="16313" xr:uid="{00000000-0005-0000-0000-0000936C0000}"/>
    <cellStyle name="Normal 4 9 7 2" xfId="3299" xr:uid="{00000000-0005-0000-0000-0000946C0000}"/>
    <cellStyle name="Normal 4 9 8" xfId="16322" xr:uid="{00000000-0005-0000-0000-0000956C0000}"/>
    <cellStyle name="Normal 5" xfId="29246" xr:uid="{00000000-0005-0000-0000-0000966C0000}"/>
    <cellStyle name="Normal 5 10" xfId="26806" xr:uid="{00000000-0005-0000-0000-0000976C0000}"/>
    <cellStyle name="Normal 5 10 2" xfId="25882" xr:uid="{00000000-0005-0000-0000-0000986C0000}"/>
    <cellStyle name="Normal 5 10 2 2" xfId="29250" xr:uid="{00000000-0005-0000-0000-0000996C0000}"/>
    <cellStyle name="Normal 5 10 2 2 2" xfId="29251" xr:uid="{00000000-0005-0000-0000-00009A6C0000}"/>
    <cellStyle name="Normal 5 10 2 3" xfId="32406" xr:uid="{00000000-0005-0000-0000-00009B6C0000}"/>
    <cellStyle name="Normal 5 10 2 3 2" xfId="31837" xr:uid="{00000000-0005-0000-0000-00009C6C0000}"/>
    <cellStyle name="Normal 5 10 2 4" xfId="29256" xr:uid="{00000000-0005-0000-0000-00009D6C0000}"/>
    <cellStyle name="Normal 5 10 2 4 2" xfId="29780" xr:uid="{00000000-0005-0000-0000-00009E6C0000}"/>
    <cellStyle name="Normal 5 10 2 5" xfId="32533" xr:uid="{00000000-0005-0000-0000-00009F6C0000}"/>
    <cellStyle name="Normal 5 10 2 5 2" xfId="26176" xr:uid="{00000000-0005-0000-0000-0000A06C0000}"/>
    <cellStyle name="Normal 5 10 2 6" xfId="29565" xr:uid="{00000000-0005-0000-0000-0000A16C0000}"/>
    <cellStyle name="Normal 5 10 2 6 2" xfId="26179" xr:uid="{00000000-0005-0000-0000-0000A26C0000}"/>
    <cellStyle name="Normal 5 10 2 7" xfId="29261" xr:uid="{00000000-0005-0000-0000-0000A36C0000}"/>
    <cellStyle name="Normal 5 10 3" xfId="30650" xr:uid="{00000000-0005-0000-0000-0000A46C0000}"/>
    <cellStyle name="Normal 5 10 3 2" xfId="24194" xr:uid="{00000000-0005-0000-0000-0000A56C0000}"/>
    <cellStyle name="Normal 5 10 4" xfId="21885" xr:uid="{00000000-0005-0000-0000-0000A66C0000}"/>
    <cellStyle name="Normal 5 10 4 2" xfId="11247" xr:uid="{00000000-0005-0000-0000-0000A76C0000}"/>
    <cellStyle name="Normal 5 10 5" xfId="31460" xr:uid="{00000000-0005-0000-0000-0000A86C0000}"/>
    <cellStyle name="Normal 5 10 5 2" xfId="29264" xr:uid="{00000000-0005-0000-0000-0000A96C0000}"/>
    <cellStyle name="Normal 5 10 6" xfId="30986" xr:uid="{00000000-0005-0000-0000-0000AA6C0000}"/>
    <cellStyle name="Normal 5 10 6 2" xfId="26701" xr:uid="{00000000-0005-0000-0000-0000AB6C0000}"/>
    <cellStyle name="Normal 5 10 7" xfId="32765" xr:uid="{00000000-0005-0000-0000-0000AC6C0000}"/>
    <cellStyle name="Normal 5 10 7 2" xfId="6883" xr:uid="{00000000-0005-0000-0000-0000AD6C0000}"/>
    <cellStyle name="Normal 5 10 8" xfId="19493" xr:uid="{00000000-0005-0000-0000-0000AE6C0000}"/>
    <cellStyle name="Normal 5 11" xfId="25168" xr:uid="{00000000-0005-0000-0000-0000AF6C0000}"/>
    <cellStyle name="Normal 5 11 2" xfId="25886" xr:uid="{00000000-0005-0000-0000-0000B06C0000}"/>
    <cellStyle name="Normal 5 11 2 2" xfId="27020" xr:uid="{00000000-0005-0000-0000-0000B16C0000}"/>
    <cellStyle name="Normal 5 11 2 2 2" xfId="29266" xr:uid="{00000000-0005-0000-0000-0000B26C0000}"/>
    <cellStyle name="Normal 5 11 2 3" xfId="29267" xr:uid="{00000000-0005-0000-0000-0000B36C0000}"/>
    <cellStyle name="Normal 5 11 2 3 2" xfId="27672" xr:uid="{00000000-0005-0000-0000-0000B46C0000}"/>
    <cellStyle name="Normal 5 11 2 4" xfId="29272" xr:uid="{00000000-0005-0000-0000-0000B56C0000}"/>
    <cellStyle name="Normal 5 11 2 4 2" xfId="21897" xr:uid="{00000000-0005-0000-0000-0000B66C0000}"/>
    <cellStyle name="Normal 5 11 2 5" xfId="27107" xr:uid="{00000000-0005-0000-0000-0000B76C0000}"/>
    <cellStyle name="Normal 5 11 2 5 2" xfId="2328" xr:uid="{00000000-0005-0000-0000-0000B86C0000}"/>
    <cellStyle name="Normal 5 11 2 6" xfId="27791" xr:uid="{00000000-0005-0000-0000-0000B96C0000}"/>
    <cellStyle name="Normal 5 11 2 6 2" xfId="28593" xr:uid="{00000000-0005-0000-0000-0000BA6C0000}"/>
    <cellStyle name="Normal 5 11 2 7" xfId="28450" xr:uid="{00000000-0005-0000-0000-0000BB6C0000}"/>
    <cellStyle name="Normal 5 11 3" xfId="33423" xr:uid="{00000000-0005-0000-0000-0000BC6C0000}"/>
    <cellStyle name="Normal 5 11 3 2" xfId="24231" xr:uid="{00000000-0005-0000-0000-0000BD6C0000}"/>
    <cellStyle name="Normal 5 11 4" xfId="33463" xr:uid="{00000000-0005-0000-0000-0000BE6C0000}"/>
    <cellStyle name="Normal 5 11 4 2" xfId="29277" xr:uid="{00000000-0005-0000-0000-0000BF6C0000}"/>
    <cellStyle name="Normal 5 11 5" xfId="202" xr:uid="{00000000-0005-0000-0000-0000C06C0000}"/>
    <cellStyle name="Normal 5 11 5 2" xfId="29279" xr:uid="{00000000-0005-0000-0000-0000C16C0000}"/>
    <cellStyle name="Normal 5 11 6" xfId="27296" xr:uid="{00000000-0005-0000-0000-0000C26C0000}"/>
    <cellStyle name="Normal 5 11 6 2" xfId="23078" xr:uid="{00000000-0005-0000-0000-0000C36C0000}"/>
    <cellStyle name="Normal 5 11 7" xfId="29280" xr:uid="{00000000-0005-0000-0000-0000C46C0000}"/>
    <cellStyle name="Normal 5 11 7 2" xfId="23218" xr:uid="{00000000-0005-0000-0000-0000C56C0000}"/>
    <cellStyle name="Normal 5 11 8" xfId="20520" xr:uid="{00000000-0005-0000-0000-0000C66C0000}"/>
    <cellStyle name="Normal 5 12" xfId="29486" xr:uid="{00000000-0005-0000-0000-0000C76C0000}"/>
    <cellStyle name="Normal 5 12 2" xfId="25893" xr:uid="{00000000-0005-0000-0000-0000C86C0000}"/>
    <cellStyle name="Normal 5 12 2 2" xfId="29281" xr:uid="{00000000-0005-0000-0000-0000C96C0000}"/>
    <cellStyle name="Normal 5 12 2 2 2" xfId="29284" xr:uid="{00000000-0005-0000-0000-0000CA6C0000}"/>
    <cellStyle name="Normal 5 12 2 3" xfId="28233" xr:uid="{00000000-0005-0000-0000-0000CB6C0000}"/>
    <cellStyle name="Normal 5 12 2 3 2" xfId="15083" xr:uid="{00000000-0005-0000-0000-0000CC6C0000}"/>
    <cellStyle name="Normal 5 12 2 4" xfId="29861" xr:uid="{00000000-0005-0000-0000-0000CD6C0000}"/>
    <cellStyle name="Normal 5 12 2 4 2" xfId="15162" xr:uid="{00000000-0005-0000-0000-0000CE6C0000}"/>
    <cellStyle name="Normal 5 12 2 5" xfId="29286" xr:uid="{00000000-0005-0000-0000-0000CF6C0000}"/>
    <cellStyle name="Normal 5 12 2 5 2" xfId="28395" xr:uid="{00000000-0005-0000-0000-0000D06C0000}"/>
    <cellStyle name="Normal 5 12 2 6" xfId="29291" xr:uid="{00000000-0005-0000-0000-0000D16C0000}"/>
    <cellStyle name="Normal 5 12 2 6 2" xfId="28611" xr:uid="{00000000-0005-0000-0000-0000D26C0000}"/>
    <cellStyle name="Normal 5 12 2 7" xfId="30304" xr:uid="{00000000-0005-0000-0000-0000D36C0000}"/>
    <cellStyle name="Normal 5 12 3" xfId="32597" xr:uid="{00000000-0005-0000-0000-0000D46C0000}"/>
    <cellStyle name="Normal 5 12 3 2" xfId="29294" xr:uid="{00000000-0005-0000-0000-0000D56C0000}"/>
    <cellStyle name="Normal 5 12 4" xfId="23497" xr:uid="{00000000-0005-0000-0000-0000D66C0000}"/>
    <cellStyle name="Normal 5 12 4 2" xfId="29300" xr:uid="{00000000-0005-0000-0000-0000D76C0000}"/>
    <cellStyle name="Normal 5 12 5" xfId="32088" xr:uid="{00000000-0005-0000-0000-0000D86C0000}"/>
    <cellStyle name="Normal 5 12 5 2" xfId="31310" xr:uid="{00000000-0005-0000-0000-0000D96C0000}"/>
    <cellStyle name="Normal 5 12 6" xfId="29302" xr:uid="{00000000-0005-0000-0000-0000DA6C0000}"/>
    <cellStyle name="Normal 5 12 6 2" xfId="25473" xr:uid="{00000000-0005-0000-0000-0000DB6C0000}"/>
    <cellStyle name="Normal 5 12 7" xfId="29306" xr:uid="{00000000-0005-0000-0000-0000DC6C0000}"/>
    <cellStyle name="Normal 5 12 7 2" xfId="6734" xr:uid="{00000000-0005-0000-0000-0000DD6C0000}"/>
    <cellStyle name="Normal 5 12 8" xfId="28830" xr:uid="{00000000-0005-0000-0000-0000DE6C0000}"/>
    <cellStyle name="Normal 5 13" xfId="28334" xr:uid="{00000000-0005-0000-0000-0000DF6C0000}"/>
    <cellStyle name="Normal 5 13 2" xfId="29308" xr:uid="{00000000-0005-0000-0000-0000E06C0000}"/>
    <cellStyle name="Normal 5 13 2 2" xfId="29310" xr:uid="{00000000-0005-0000-0000-0000E16C0000}"/>
    <cellStyle name="Normal 5 13 2 2 2" xfId="22381" xr:uid="{00000000-0005-0000-0000-0000E26C0000}"/>
    <cellStyle name="Normal 5 13 2 3" xfId="23521" xr:uid="{00000000-0005-0000-0000-0000E36C0000}"/>
    <cellStyle name="Normal 5 13 2 3 2" xfId="15832" xr:uid="{00000000-0005-0000-0000-0000E46C0000}"/>
    <cellStyle name="Normal 5 13 2 4" xfId="33728" xr:uid="{00000000-0005-0000-0000-0000E56C0000}"/>
    <cellStyle name="Normal 5 13 2 4 2" xfId="31238" xr:uid="{00000000-0005-0000-0000-0000E66C0000}"/>
    <cellStyle name="Normal 5 13 2 5" xfId="8129" xr:uid="{00000000-0005-0000-0000-0000E76C0000}"/>
    <cellStyle name="Normal 5 13 2 5 2" xfId="15890" xr:uid="{00000000-0005-0000-0000-0000E86C0000}"/>
    <cellStyle name="Normal 5 13 2 6" xfId="3656" xr:uid="{00000000-0005-0000-0000-0000E96C0000}"/>
    <cellStyle name="Normal 5 13 2 6 2" xfId="15907" xr:uid="{00000000-0005-0000-0000-0000EA6C0000}"/>
    <cellStyle name="Normal 5 13 2 7" xfId="32530" xr:uid="{00000000-0005-0000-0000-0000EB6C0000}"/>
    <cellStyle name="Normal 5 13 3" xfId="30776" xr:uid="{00000000-0005-0000-0000-0000EC6C0000}"/>
    <cellStyle name="Normal 5 13 3 2" xfId="17265" xr:uid="{00000000-0005-0000-0000-0000ED6C0000}"/>
    <cellStyle name="Normal 5 13 4" xfId="29313" xr:uid="{00000000-0005-0000-0000-0000EE6C0000}"/>
    <cellStyle name="Normal 5 13 4 2" xfId="26957" xr:uid="{00000000-0005-0000-0000-0000EF6C0000}"/>
    <cellStyle name="Normal 5 13 5" xfId="439" xr:uid="{00000000-0005-0000-0000-0000F06C0000}"/>
    <cellStyle name="Normal 5 13 5 2" xfId="30970" xr:uid="{00000000-0005-0000-0000-0000F16C0000}"/>
    <cellStyle name="Normal 5 13 6" xfId="26219" xr:uid="{00000000-0005-0000-0000-0000F26C0000}"/>
    <cellStyle name="Normal 5 13 6 2" xfId="12822" xr:uid="{00000000-0005-0000-0000-0000F36C0000}"/>
    <cellStyle name="Normal 5 13 7" xfId="32443" xr:uid="{00000000-0005-0000-0000-0000F46C0000}"/>
    <cellStyle name="Normal 5 13 7 2" xfId="11632" xr:uid="{00000000-0005-0000-0000-0000F56C0000}"/>
    <cellStyle name="Normal 5 13 8" xfId="29318" xr:uid="{00000000-0005-0000-0000-0000F66C0000}"/>
    <cellStyle name="Normal 5 14" xfId="21255" xr:uid="{00000000-0005-0000-0000-0000F76C0000}"/>
    <cellStyle name="Normal 5 14 2" xfId="24361" xr:uid="{00000000-0005-0000-0000-0000F86C0000}"/>
    <cellStyle name="Normal 5 14 2 2" xfId="27009" xr:uid="{00000000-0005-0000-0000-0000F96C0000}"/>
    <cellStyle name="Normal 5 14 3" xfId="31700" xr:uid="{00000000-0005-0000-0000-0000FA6C0000}"/>
    <cellStyle name="Normal 5 14 3 2" xfId="27044" xr:uid="{00000000-0005-0000-0000-0000FB6C0000}"/>
    <cellStyle name="Normal 5 14 4" xfId="5002" xr:uid="{00000000-0005-0000-0000-0000FC6C0000}"/>
    <cellStyle name="Normal 5 14 4 2" xfId="29323" xr:uid="{00000000-0005-0000-0000-0000FD6C0000}"/>
    <cellStyle name="Normal 5 14 5" xfId="29329" xr:uid="{00000000-0005-0000-0000-0000FE6C0000}"/>
    <cellStyle name="Normal 5 14 5 2" xfId="31485" xr:uid="{00000000-0005-0000-0000-0000FF6C0000}"/>
    <cellStyle name="Normal 5 14 6" xfId="30979" xr:uid="{00000000-0005-0000-0000-0000006D0000}"/>
    <cellStyle name="Normal 5 14 6 2" xfId="27118" xr:uid="{00000000-0005-0000-0000-0000016D0000}"/>
    <cellStyle name="Normal 5 14 7" xfId="29331" xr:uid="{00000000-0005-0000-0000-0000026D0000}"/>
    <cellStyle name="Normal 5 15" xfId="25021" xr:uid="{00000000-0005-0000-0000-0000036D0000}"/>
    <cellStyle name="Normal 5 15 2" xfId="27743" xr:uid="{00000000-0005-0000-0000-0000046D0000}"/>
    <cellStyle name="Normal 5 15 2 2" xfId="29457" xr:uid="{00000000-0005-0000-0000-0000056D0000}"/>
    <cellStyle name="Normal 5 15 3" xfId="26539" xr:uid="{00000000-0005-0000-0000-0000066D0000}"/>
    <cellStyle name="Normal 5 15 3 2" xfId="30005" xr:uid="{00000000-0005-0000-0000-0000076D0000}"/>
    <cellStyle name="Normal 5 15 4" xfId="29494" xr:uid="{00000000-0005-0000-0000-0000086D0000}"/>
    <cellStyle name="Normal 5 15 4 2" xfId="33634" xr:uid="{00000000-0005-0000-0000-0000096D0000}"/>
    <cellStyle name="Normal 5 15 5" xfId="29344" xr:uid="{00000000-0005-0000-0000-00000A6D0000}"/>
    <cellStyle name="Normal 5 15 5 2" xfId="29508" xr:uid="{00000000-0005-0000-0000-00000B6D0000}"/>
    <cellStyle name="Normal 5 15 6" xfId="29202" xr:uid="{00000000-0005-0000-0000-00000C6D0000}"/>
    <cellStyle name="Normal 5 15 6 2" xfId="20224" xr:uid="{00000000-0005-0000-0000-00000D6D0000}"/>
    <cellStyle name="Normal 5 15 7" xfId="26348" xr:uid="{00000000-0005-0000-0000-00000E6D0000}"/>
    <cellStyle name="Normal 5 16" xfId="2667" xr:uid="{00000000-0005-0000-0000-00000F6D0000}"/>
    <cellStyle name="Normal 5 16 2" xfId="29347" xr:uid="{00000000-0005-0000-0000-0000106D0000}"/>
    <cellStyle name="Normal 5 16 2 2" xfId="25424" xr:uid="{00000000-0005-0000-0000-0000116D0000}"/>
    <cellStyle name="Normal 5 16 3" xfId="20912" xr:uid="{00000000-0005-0000-0000-0000126D0000}"/>
    <cellStyle name="Normal 5 16 3 2" xfId="25458" xr:uid="{00000000-0005-0000-0000-0000136D0000}"/>
    <cellStyle name="Normal 5 16 4" xfId="20467" xr:uid="{00000000-0005-0000-0000-0000146D0000}"/>
    <cellStyle name="Normal 5 16 4 2" xfId="29543" xr:uid="{00000000-0005-0000-0000-0000156D0000}"/>
    <cellStyle name="Normal 5 16 5" xfId="20491" xr:uid="{00000000-0005-0000-0000-0000166D0000}"/>
    <cellStyle name="Normal 5 16 5 2" xfId="29349" xr:uid="{00000000-0005-0000-0000-0000176D0000}"/>
    <cellStyle name="Normal 5 16 6" xfId="20507" xr:uid="{00000000-0005-0000-0000-0000186D0000}"/>
    <cellStyle name="Normal 5 16 6 2" xfId="20510" xr:uid="{00000000-0005-0000-0000-0000196D0000}"/>
    <cellStyle name="Normal 5 16 7" xfId="25889" xr:uid="{00000000-0005-0000-0000-00001A6D0000}"/>
    <cellStyle name="Normal 5 17" xfId="20513" xr:uid="{00000000-0005-0000-0000-00001B6D0000}"/>
    <cellStyle name="Normal 5 17 2" xfId="20217" xr:uid="{00000000-0005-0000-0000-00001C6D0000}"/>
    <cellStyle name="Normal 5 18" xfId="29353" xr:uid="{00000000-0005-0000-0000-00001D6D0000}"/>
    <cellStyle name="Normal 5 18 2" xfId="20598" xr:uid="{00000000-0005-0000-0000-00001E6D0000}"/>
    <cellStyle name="Normal 5 19" xfId="23924" xr:uid="{00000000-0005-0000-0000-00001F6D0000}"/>
    <cellStyle name="Normal 5 19 2" xfId="20643" xr:uid="{00000000-0005-0000-0000-0000206D0000}"/>
    <cellStyle name="Normal 5 2" xfId="24910" xr:uid="{00000000-0005-0000-0000-0000216D0000}"/>
    <cellStyle name="Normal 5 2 10" xfId="31761" xr:uid="{00000000-0005-0000-0000-0000226D0000}"/>
    <cellStyle name="Normal 5 2 10 2" xfId="33894" xr:uid="{00000000-0005-0000-0000-0000236D0000}"/>
    <cellStyle name="Normal 5 2 10 2 2" xfId="1850" xr:uid="{00000000-0005-0000-0000-0000246D0000}"/>
    <cellStyle name="Normal 5 2 10 2 2 2" xfId="9062" xr:uid="{00000000-0005-0000-0000-0000256D0000}"/>
    <cellStyle name="Normal 5 2 10 2 3" xfId="1978" xr:uid="{00000000-0005-0000-0000-0000266D0000}"/>
    <cellStyle name="Normal 5 2 10 2 3 2" xfId="29360" xr:uid="{00000000-0005-0000-0000-0000276D0000}"/>
    <cellStyle name="Normal 5 2 10 2 4" xfId="3453" xr:uid="{00000000-0005-0000-0000-0000286D0000}"/>
    <cellStyle name="Normal 5 2 10 2 4 2" xfId="29361" xr:uid="{00000000-0005-0000-0000-0000296D0000}"/>
    <cellStyle name="Normal 5 2 10 2 5" xfId="29363" xr:uid="{00000000-0005-0000-0000-00002A6D0000}"/>
    <cellStyle name="Normal 5 2 10 2 5 2" xfId="29366" xr:uid="{00000000-0005-0000-0000-00002B6D0000}"/>
    <cellStyle name="Normal 5 2 10 2 6" xfId="29197" xr:uid="{00000000-0005-0000-0000-00002C6D0000}"/>
    <cellStyle name="Normal 5 2 10 2 6 2" xfId="29372" xr:uid="{00000000-0005-0000-0000-00002D6D0000}"/>
    <cellStyle name="Normal 5 2 10 2 7" xfId="29840" xr:uid="{00000000-0005-0000-0000-00002E6D0000}"/>
    <cellStyle name="Normal 5 2 10 3" xfId="29381" xr:uid="{00000000-0005-0000-0000-00002F6D0000}"/>
    <cellStyle name="Normal 5 2 10 3 2" xfId="1994" xr:uid="{00000000-0005-0000-0000-0000306D0000}"/>
    <cellStyle name="Normal 5 2 10 4" xfId="32450" xr:uid="{00000000-0005-0000-0000-0000316D0000}"/>
    <cellStyle name="Normal 5 2 10 4 2" xfId="20188" xr:uid="{00000000-0005-0000-0000-0000326D0000}"/>
    <cellStyle name="Normal 5 2 10 5" xfId="31104" xr:uid="{00000000-0005-0000-0000-0000336D0000}"/>
    <cellStyle name="Normal 5 2 10 5 2" xfId="347" xr:uid="{00000000-0005-0000-0000-0000346D0000}"/>
    <cellStyle name="Normal 5 2 10 6" xfId="10526" xr:uid="{00000000-0005-0000-0000-0000356D0000}"/>
    <cellStyle name="Normal 5 2 10 6 2" xfId="32462" xr:uid="{00000000-0005-0000-0000-0000366D0000}"/>
    <cellStyle name="Normal 5 2 10 7" xfId="26486" xr:uid="{00000000-0005-0000-0000-0000376D0000}"/>
    <cellStyle name="Normal 5 2 10 7 2" xfId="29382" xr:uid="{00000000-0005-0000-0000-0000386D0000}"/>
    <cellStyle name="Normal 5 2 10 8" xfId="29383" xr:uid="{00000000-0005-0000-0000-0000396D0000}"/>
    <cellStyle name="Normal 5 2 11" xfId="29489" xr:uid="{00000000-0005-0000-0000-00003A6D0000}"/>
    <cellStyle name="Normal 5 2 11 2" xfId="28330" xr:uid="{00000000-0005-0000-0000-00003B6D0000}"/>
    <cellStyle name="Normal 5 2 11 2 2" xfId="1862" xr:uid="{00000000-0005-0000-0000-00003C6D0000}"/>
    <cellStyle name="Normal 5 2 11 3" xfId="21936" xr:uid="{00000000-0005-0000-0000-00003D6D0000}"/>
    <cellStyle name="Normal 5 2 11 3 2" xfId="3193" xr:uid="{00000000-0005-0000-0000-00003E6D0000}"/>
    <cellStyle name="Normal 5 2 11 4" xfId="29384" xr:uid="{00000000-0005-0000-0000-00003F6D0000}"/>
    <cellStyle name="Normal 5 2 11 4 2" xfId="20210" xr:uid="{00000000-0005-0000-0000-0000406D0000}"/>
    <cellStyle name="Normal 5 2 11 5" xfId="30208" xr:uid="{00000000-0005-0000-0000-0000416D0000}"/>
    <cellStyle name="Normal 5 2 11 5 2" xfId="32358" xr:uid="{00000000-0005-0000-0000-0000426D0000}"/>
    <cellStyle name="Normal 5 2 11 6" xfId="32364" xr:uid="{00000000-0005-0000-0000-0000436D0000}"/>
    <cellStyle name="Normal 5 2 11 6 2" xfId="27210" xr:uid="{00000000-0005-0000-0000-0000446D0000}"/>
    <cellStyle name="Normal 5 2 11 7" xfId="8412" xr:uid="{00000000-0005-0000-0000-0000456D0000}"/>
    <cellStyle name="Normal 5 2 12" xfId="28337" xr:uid="{00000000-0005-0000-0000-0000466D0000}"/>
    <cellStyle name="Normal 5 2 12 2" xfId="31497" xr:uid="{00000000-0005-0000-0000-0000476D0000}"/>
    <cellStyle name="Normal 5 2 12 2 2" xfId="13397" xr:uid="{00000000-0005-0000-0000-0000486D0000}"/>
    <cellStyle name="Normal 5 2 12 3" xfId="29387" xr:uid="{00000000-0005-0000-0000-0000496D0000}"/>
    <cellStyle name="Normal 5 2 12 3 2" xfId="137" xr:uid="{00000000-0005-0000-0000-00004A6D0000}"/>
    <cellStyle name="Normal 5 2 12 4" xfId="29388" xr:uid="{00000000-0005-0000-0000-00004B6D0000}"/>
    <cellStyle name="Normal 5 2 12 4 2" xfId="29396" xr:uid="{00000000-0005-0000-0000-00004C6D0000}"/>
    <cellStyle name="Normal 5 2 12 5" xfId="29405" xr:uid="{00000000-0005-0000-0000-00004D6D0000}"/>
    <cellStyle name="Normal 5 2 12 5 2" xfId="29408" xr:uid="{00000000-0005-0000-0000-00004E6D0000}"/>
    <cellStyle name="Normal 5 2 12 6" xfId="29410" xr:uid="{00000000-0005-0000-0000-00004F6D0000}"/>
    <cellStyle name="Normal 5 2 12 6 2" xfId="29411" xr:uid="{00000000-0005-0000-0000-0000506D0000}"/>
    <cellStyle name="Normal 5 2 12 7" xfId="8426" xr:uid="{00000000-0005-0000-0000-0000516D0000}"/>
    <cellStyle name="Normal 5 2 13" xfId="29415" xr:uid="{00000000-0005-0000-0000-0000526D0000}"/>
    <cellStyle name="Normal 5 2 13 2" xfId="30075" xr:uid="{00000000-0005-0000-0000-0000536D0000}"/>
    <cellStyle name="Normal 5 2 14" xfId="29421" xr:uid="{00000000-0005-0000-0000-0000546D0000}"/>
    <cellStyle name="Normal 5 2 14 2" xfId="29425" xr:uid="{00000000-0005-0000-0000-0000556D0000}"/>
    <cellStyle name="Normal 5 2 15" xfId="29431" xr:uid="{00000000-0005-0000-0000-0000566D0000}"/>
    <cellStyle name="Normal 5 2 15 2" xfId="21200" xr:uid="{00000000-0005-0000-0000-0000576D0000}"/>
    <cellStyle name="Normal 5 2 16" xfId="15735" xr:uid="{00000000-0005-0000-0000-0000586D0000}"/>
    <cellStyle name="Normal 5 2 16 2" xfId="29432" xr:uid="{00000000-0005-0000-0000-0000596D0000}"/>
    <cellStyle name="Normal 5 2 17" xfId="17362" xr:uid="{00000000-0005-0000-0000-00005A6D0000}"/>
    <cellStyle name="Normal 5 2 17 2" xfId="29433" xr:uid="{00000000-0005-0000-0000-00005B6D0000}"/>
    <cellStyle name="Normal 5 2 18" xfId="31020" xr:uid="{00000000-0005-0000-0000-00005C6D0000}"/>
    <cellStyle name="Normal 5 2 2" xfId="29439" xr:uid="{00000000-0005-0000-0000-00005D6D0000}"/>
    <cellStyle name="Normal 5 2 2 2" xfId="26563" xr:uid="{00000000-0005-0000-0000-00005E6D0000}"/>
    <cellStyle name="Normal 5 2 2 2 2" xfId="25364" xr:uid="{00000000-0005-0000-0000-00005F6D0000}"/>
    <cellStyle name="Normal 5 2 2 2 2 2" xfId="9397" xr:uid="{00000000-0005-0000-0000-0000606D0000}"/>
    <cellStyle name="Normal 5 2 2 2 2 2 2" xfId="23636" xr:uid="{00000000-0005-0000-0000-0000616D0000}"/>
    <cellStyle name="Normal 5 2 2 2 2 2 2 2" xfId="29445" xr:uid="{00000000-0005-0000-0000-0000626D0000}"/>
    <cellStyle name="Normal 5 2 2 2 2 2 2 2 2" xfId="29450" xr:uid="{00000000-0005-0000-0000-0000636D0000}"/>
    <cellStyle name="Normal 5 2 2 2 2 2 2 2 2 2" xfId="13309" xr:uid="{00000000-0005-0000-0000-0000646D0000}"/>
    <cellStyle name="Normal 5 2 2 2 2 2 2 2 2 2 2" xfId="22859" xr:uid="{00000000-0005-0000-0000-0000656D0000}"/>
    <cellStyle name="Normal 5 2 2 2 2 2 2 2 2 3" xfId="26228" xr:uid="{00000000-0005-0000-0000-0000666D0000}"/>
    <cellStyle name="Normal 5 2 2 2 2 2 2 2 3" xfId="29452" xr:uid="{00000000-0005-0000-0000-0000676D0000}"/>
    <cellStyle name="Normal 5 2 2 2 2 2 2 2 3 2" xfId="1610" xr:uid="{00000000-0005-0000-0000-0000686D0000}"/>
    <cellStyle name="Normal 5 2 2 2 2 2 2 2 4" xfId="27057" xr:uid="{00000000-0005-0000-0000-0000696D0000}"/>
    <cellStyle name="Normal 5 2 2 2 2 2 2 3" xfId="6092" xr:uid="{00000000-0005-0000-0000-00006A6D0000}"/>
    <cellStyle name="Normal 5 2 2 2 2 2 2 3 2" xfId="26323" xr:uid="{00000000-0005-0000-0000-00006B6D0000}"/>
    <cellStyle name="Normal 5 2 2 2 2 2 2 3 2 2" xfId="3380" xr:uid="{00000000-0005-0000-0000-00006C6D0000}"/>
    <cellStyle name="Normal 5 2 2 2 2 2 2 3 3" xfId="20865" xr:uid="{00000000-0005-0000-0000-00006D6D0000}"/>
    <cellStyle name="Normal 5 2 2 2 2 2 2 4" xfId="20278" xr:uid="{00000000-0005-0000-0000-00006E6D0000}"/>
    <cellStyle name="Normal 5 2 2 2 2 2 2 4 2" xfId="20280" xr:uid="{00000000-0005-0000-0000-00006F6D0000}"/>
    <cellStyle name="Normal 5 2 2 2 2 2 2 5" xfId="20285" xr:uid="{00000000-0005-0000-0000-0000706D0000}"/>
    <cellStyle name="Normal 5 2 2 2 2 2 3" xfId="25668" xr:uid="{00000000-0005-0000-0000-0000716D0000}"/>
    <cellStyle name="Normal 5 2 2 2 2 2 3 2" xfId="6724" xr:uid="{00000000-0005-0000-0000-0000726D0000}"/>
    <cellStyle name="Normal 5 2 2 2 2 2 3 2 2" xfId="28265" xr:uid="{00000000-0005-0000-0000-0000736D0000}"/>
    <cellStyle name="Normal 5 2 2 2 2 2 3 2 2 2" xfId="26769" xr:uid="{00000000-0005-0000-0000-0000746D0000}"/>
    <cellStyle name="Normal 5 2 2 2 2 2 3 2 3" xfId="29453" xr:uid="{00000000-0005-0000-0000-0000756D0000}"/>
    <cellStyle name="Normal 5 2 2 2 2 2 3 3" xfId="24719" xr:uid="{00000000-0005-0000-0000-0000766D0000}"/>
    <cellStyle name="Normal 5 2 2 2 2 2 3 3 2" xfId="26821" xr:uid="{00000000-0005-0000-0000-0000776D0000}"/>
    <cellStyle name="Normal 5 2 2 2 2 2 3 4" xfId="18644" xr:uid="{00000000-0005-0000-0000-0000786D0000}"/>
    <cellStyle name="Normal 5 2 2 2 2 2 4" xfId="7854" xr:uid="{00000000-0005-0000-0000-0000796D0000}"/>
    <cellStyle name="Normal 5 2 2 2 2 2 4 2" xfId="29455" xr:uid="{00000000-0005-0000-0000-00007A6D0000}"/>
    <cellStyle name="Normal 5 2 2 2 2 2 4 2 2" xfId="33526" xr:uid="{00000000-0005-0000-0000-00007B6D0000}"/>
    <cellStyle name="Normal 5 2 2 2 2 2 4 3" xfId="16393" xr:uid="{00000000-0005-0000-0000-00007C6D0000}"/>
    <cellStyle name="Normal 5 2 2 2 2 2 5" xfId="7860" xr:uid="{00000000-0005-0000-0000-00007D6D0000}"/>
    <cellStyle name="Normal 5 2 2 2 2 2 5 2" xfId="33609" xr:uid="{00000000-0005-0000-0000-00007E6D0000}"/>
    <cellStyle name="Normal 5 2 2 2 2 2 6" xfId="11958" xr:uid="{00000000-0005-0000-0000-00007F6D0000}"/>
    <cellStyle name="Normal 5 2 2 2 2 3" xfId="9407" xr:uid="{00000000-0005-0000-0000-0000806D0000}"/>
    <cellStyle name="Normal 5 2 2 2 2 3 2" xfId="28256" xr:uid="{00000000-0005-0000-0000-0000816D0000}"/>
    <cellStyle name="Normal 5 2 2 2 2 3 2 2" xfId="29462" xr:uid="{00000000-0005-0000-0000-0000826D0000}"/>
    <cellStyle name="Normal 5 2 2 2 2 3 2 2 2" xfId="29466" xr:uid="{00000000-0005-0000-0000-0000836D0000}"/>
    <cellStyle name="Normal 5 2 2 2 2 3 2 2 2 2" xfId="10351" xr:uid="{00000000-0005-0000-0000-0000846D0000}"/>
    <cellStyle name="Normal 5 2 2 2 2 3 2 2 3" xfId="29469" xr:uid="{00000000-0005-0000-0000-0000856D0000}"/>
    <cellStyle name="Normal 5 2 2 2 2 3 2 3" xfId="4088" xr:uid="{00000000-0005-0000-0000-0000866D0000}"/>
    <cellStyle name="Normal 5 2 2 2 2 3 2 3 2" xfId="26045" xr:uid="{00000000-0005-0000-0000-0000876D0000}"/>
    <cellStyle name="Normal 5 2 2 2 2 3 2 4" xfId="20298" xr:uid="{00000000-0005-0000-0000-0000886D0000}"/>
    <cellStyle name="Normal 5 2 2 2 2 3 3" xfId="27250" xr:uid="{00000000-0005-0000-0000-0000896D0000}"/>
    <cellStyle name="Normal 5 2 2 2 2 3 3 2" xfId="29471" xr:uid="{00000000-0005-0000-0000-00008A6D0000}"/>
    <cellStyle name="Normal 5 2 2 2 2 3 3 2 2" xfId="6823" xr:uid="{00000000-0005-0000-0000-00008B6D0000}"/>
    <cellStyle name="Normal 5 2 2 2 2 3 3 3" xfId="7285" xr:uid="{00000000-0005-0000-0000-00008C6D0000}"/>
    <cellStyle name="Normal 5 2 2 2 2 3 4" xfId="7862" xr:uid="{00000000-0005-0000-0000-00008D6D0000}"/>
    <cellStyle name="Normal 5 2 2 2 2 3 4 2" xfId="29472" xr:uid="{00000000-0005-0000-0000-00008E6D0000}"/>
    <cellStyle name="Normal 5 2 2 2 2 3 5" xfId="4513" xr:uid="{00000000-0005-0000-0000-00008F6D0000}"/>
    <cellStyle name="Normal 5 2 2 2 2 4" xfId="7264" xr:uid="{00000000-0005-0000-0000-0000906D0000}"/>
    <cellStyle name="Normal 5 2 2 2 2 4 2" xfId="30874" xr:uid="{00000000-0005-0000-0000-0000916D0000}"/>
    <cellStyle name="Normal 5 2 2 2 2 4 2 2" xfId="21103" xr:uid="{00000000-0005-0000-0000-0000926D0000}"/>
    <cellStyle name="Normal 5 2 2 2 2 4 2 2 2" xfId="29476" xr:uid="{00000000-0005-0000-0000-0000936D0000}"/>
    <cellStyle name="Normal 5 2 2 2 2 4 2 3" xfId="4132" xr:uid="{00000000-0005-0000-0000-0000946D0000}"/>
    <cellStyle name="Normal 5 2 2 2 2 4 3" xfId="28310" xr:uid="{00000000-0005-0000-0000-0000956D0000}"/>
    <cellStyle name="Normal 5 2 2 2 2 4 3 2" xfId="18956" xr:uid="{00000000-0005-0000-0000-0000966D0000}"/>
    <cellStyle name="Normal 5 2 2 2 2 4 4" xfId="29492" xr:uid="{00000000-0005-0000-0000-0000976D0000}"/>
    <cellStyle name="Normal 5 2 2 2 2 5" xfId="29499" xr:uid="{00000000-0005-0000-0000-0000986D0000}"/>
    <cellStyle name="Normal 5 2 2 2 2 5 2" xfId="23139" xr:uid="{00000000-0005-0000-0000-0000996D0000}"/>
    <cellStyle name="Normal 5 2 2 2 2 5 2 2" xfId="29502" xr:uid="{00000000-0005-0000-0000-00009A6D0000}"/>
    <cellStyle name="Normal 5 2 2 2 2 5 3" xfId="27586" xr:uid="{00000000-0005-0000-0000-00009B6D0000}"/>
    <cellStyle name="Normal 5 2 2 2 2 6" xfId="8599" xr:uid="{00000000-0005-0000-0000-00009C6D0000}"/>
    <cellStyle name="Normal 5 2 2 2 2 6 2" xfId="20179" xr:uid="{00000000-0005-0000-0000-00009D6D0000}"/>
    <cellStyle name="Normal 5 2 2 2 2 7" xfId="24489" xr:uid="{00000000-0005-0000-0000-00009E6D0000}"/>
    <cellStyle name="Normal 5 2 2 2 3" xfId="25348" xr:uid="{00000000-0005-0000-0000-00009F6D0000}"/>
    <cellStyle name="Normal 5 2 2 2 3 2" xfId="27644" xr:uid="{00000000-0005-0000-0000-0000A06D0000}"/>
    <cellStyle name="Normal 5 2 2 2 3 2 2" xfId="25676" xr:uid="{00000000-0005-0000-0000-0000A16D0000}"/>
    <cellStyle name="Normal 5 2 2 2 3 2 2 2" xfId="20458" xr:uid="{00000000-0005-0000-0000-0000A26D0000}"/>
    <cellStyle name="Normal 5 2 2 2 3 2 2 2 2" xfId="27512" xr:uid="{00000000-0005-0000-0000-0000A36D0000}"/>
    <cellStyle name="Normal 5 2 2 2 3 2 2 2 2 2" xfId="25684" xr:uid="{00000000-0005-0000-0000-0000A46D0000}"/>
    <cellStyle name="Normal 5 2 2 2 3 2 2 2 3" xfId="2987" xr:uid="{00000000-0005-0000-0000-0000A56D0000}"/>
    <cellStyle name="Normal 5 2 2 2 3 2 2 3" xfId="20462" xr:uid="{00000000-0005-0000-0000-0000A66D0000}"/>
    <cellStyle name="Normal 5 2 2 2 3 2 2 3 2" xfId="27464" xr:uid="{00000000-0005-0000-0000-0000A76D0000}"/>
    <cellStyle name="Normal 5 2 2 2 3 2 2 4" xfId="22064" xr:uid="{00000000-0005-0000-0000-0000A86D0000}"/>
    <cellStyle name="Normal 5 2 2 2 3 2 3" xfId="27614" xr:uid="{00000000-0005-0000-0000-0000A96D0000}"/>
    <cellStyle name="Normal 5 2 2 2 3 2 3 2" xfId="20465" xr:uid="{00000000-0005-0000-0000-0000AA6D0000}"/>
    <cellStyle name="Normal 5 2 2 2 3 2 3 2 2" xfId="29516" xr:uid="{00000000-0005-0000-0000-0000AB6D0000}"/>
    <cellStyle name="Normal 5 2 2 2 3 2 3 3" xfId="26831" xr:uid="{00000000-0005-0000-0000-0000AC6D0000}"/>
    <cellStyle name="Normal 5 2 2 2 3 2 4" xfId="7868" xr:uid="{00000000-0005-0000-0000-0000AD6D0000}"/>
    <cellStyle name="Normal 5 2 2 2 3 2 4 2" xfId="33945" xr:uid="{00000000-0005-0000-0000-0000AE6D0000}"/>
    <cellStyle name="Normal 5 2 2 2 3 2 5" xfId="33946" xr:uid="{00000000-0005-0000-0000-0000AF6D0000}"/>
    <cellStyle name="Normal 5 2 2 2 3 3" xfId="9426" xr:uid="{00000000-0005-0000-0000-0000B06D0000}"/>
    <cellStyle name="Normal 5 2 2 2 3 3 2" xfId="29522" xr:uid="{00000000-0005-0000-0000-0000B16D0000}"/>
    <cellStyle name="Normal 5 2 2 2 3 3 2 2" xfId="20484" xr:uid="{00000000-0005-0000-0000-0000B26D0000}"/>
    <cellStyle name="Normal 5 2 2 2 3 3 2 2 2" xfId="31885" xr:uid="{00000000-0005-0000-0000-0000B36D0000}"/>
    <cellStyle name="Normal 5 2 2 2 3 3 2 3" xfId="746" xr:uid="{00000000-0005-0000-0000-0000B46D0000}"/>
    <cellStyle name="Normal 5 2 2 2 3 3 3" xfId="27615" xr:uid="{00000000-0005-0000-0000-0000B56D0000}"/>
    <cellStyle name="Normal 5 2 2 2 3 3 3 2" xfId="23897" xr:uid="{00000000-0005-0000-0000-0000B66D0000}"/>
    <cellStyle name="Normal 5 2 2 2 3 3 4" xfId="29932" xr:uid="{00000000-0005-0000-0000-0000B76D0000}"/>
    <cellStyle name="Normal 5 2 2 2 3 4" xfId="29532" xr:uid="{00000000-0005-0000-0000-0000B86D0000}"/>
    <cellStyle name="Normal 5 2 2 2 3 4 2" xfId="32036" xr:uid="{00000000-0005-0000-0000-0000B96D0000}"/>
    <cellStyle name="Normal 5 2 2 2 3 4 2 2" xfId="24237" xr:uid="{00000000-0005-0000-0000-0000BA6D0000}"/>
    <cellStyle name="Normal 5 2 2 2 3 4 3" xfId="29539" xr:uid="{00000000-0005-0000-0000-0000BB6D0000}"/>
    <cellStyle name="Normal 5 2 2 2 3 5" xfId="20271" xr:uid="{00000000-0005-0000-0000-0000BC6D0000}"/>
    <cellStyle name="Normal 5 2 2 2 3 5 2" xfId="20620" xr:uid="{00000000-0005-0000-0000-0000BD6D0000}"/>
    <cellStyle name="Normal 5 2 2 2 3 6" xfId="29547" xr:uid="{00000000-0005-0000-0000-0000BE6D0000}"/>
    <cellStyle name="Normal 5 2 2 2 4" xfId="29551" xr:uid="{00000000-0005-0000-0000-0000BF6D0000}"/>
    <cellStyle name="Normal 5 2 2 2 4 2" xfId="9428" xr:uid="{00000000-0005-0000-0000-0000C06D0000}"/>
    <cellStyle name="Normal 5 2 2 2 4 2 2" xfId="6806" xr:uid="{00000000-0005-0000-0000-0000C16D0000}"/>
    <cellStyle name="Normal 5 2 2 2 4 2 2 2" xfId="20581" xr:uid="{00000000-0005-0000-0000-0000C26D0000}"/>
    <cellStyle name="Normal 5 2 2 2 4 2 2 2 2" xfId="15389" xr:uid="{00000000-0005-0000-0000-0000C36D0000}"/>
    <cellStyle name="Normal 5 2 2 2 4 2 2 3" xfId="1619" xr:uid="{00000000-0005-0000-0000-0000C46D0000}"/>
    <cellStyle name="Normal 5 2 2 2 4 2 3" xfId="51" xr:uid="{00000000-0005-0000-0000-0000C56D0000}"/>
    <cellStyle name="Normal 5 2 2 2 4 2 3 2" xfId="29554" xr:uid="{00000000-0005-0000-0000-0000C66D0000}"/>
    <cellStyle name="Normal 5 2 2 2 4 2 4" xfId="1316" xr:uid="{00000000-0005-0000-0000-0000C76D0000}"/>
    <cellStyle name="Normal 5 2 2 2 4 3" xfId="29566" xr:uid="{00000000-0005-0000-0000-0000C86D0000}"/>
    <cellStyle name="Normal 5 2 2 2 4 3 2" xfId="6813" xr:uid="{00000000-0005-0000-0000-0000C96D0000}"/>
    <cellStyle name="Normal 5 2 2 2 4 3 2 2" xfId="28429" xr:uid="{00000000-0005-0000-0000-0000CA6D0000}"/>
    <cellStyle name="Normal 5 2 2 2 4 3 3" xfId="27901" xr:uid="{00000000-0005-0000-0000-0000CB6D0000}"/>
    <cellStyle name="Normal 5 2 2 2 4 4" xfId="29260" xr:uid="{00000000-0005-0000-0000-0000CC6D0000}"/>
    <cellStyle name="Normal 5 2 2 2 4 4 2" xfId="14612" xr:uid="{00000000-0005-0000-0000-0000CD6D0000}"/>
    <cellStyle name="Normal 5 2 2 2 4 5" xfId="29576" xr:uid="{00000000-0005-0000-0000-0000CE6D0000}"/>
    <cellStyle name="Normal 5 2 2 2 5" xfId="8661" xr:uid="{00000000-0005-0000-0000-0000CF6D0000}"/>
    <cellStyle name="Normal 5 2 2 2 5 2" xfId="29583" xr:uid="{00000000-0005-0000-0000-0000D06D0000}"/>
    <cellStyle name="Normal 5 2 2 2 5 2 2" xfId="802" xr:uid="{00000000-0005-0000-0000-0000D16D0000}"/>
    <cellStyle name="Normal 5 2 2 2 5 2 2 2" xfId="29584" xr:uid="{00000000-0005-0000-0000-0000D26D0000}"/>
    <cellStyle name="Normal 5 2 2 2 5 2 3" xfId="27245" xr:uid="{00000000-0005-0000-0000-0000D36D0000}"/>
    <cellStyle name="Normal 5 2 2 2 5 3" xfId="29586" xr:uid="{00000000-0005-0000-0000-0000D46D0000}"/>
    <cellStyle name="Normal 5 2 2 2 5 3 2" xfId="29587" xr:uid="{00000000-0005-0000-0000-0000D56D0000}"/>
    <cellStyle name="Normal 5 2 2 2 5 4" xfId="30793" xr:uid="{00000000-0005-0000-0000-0000D66D0000}"/>
    <cellStyle name="Normal 5 2 2 2 6" xfId="21904" xr:uid="{00000000-0005-0000-0000-0000D76D0000}"/>
    <cellStyle name="Normal 5 2 2 2 6 2" xfId="26314" xr:uid="{00000000-0005-0000-0000-0000D86D0000}"/>
    <cellStyle name="Normal 5 2 2 2 6 2 2" xfId="2007" xr:uid="{00000000-0005-0000-0000-0000D96D0000}"/>
    <cellStyle name="Normal 5 2 2 2 6 3" xfId="8532" xr:uid="{00000000-0005-0000-0000-0000DA6D0000}"/>
    <cellStyle name="Normal 5 2 2 2 7" xfId="21920" xr:uid="{00000000-0005-0000-0000-0000DB6D0000}"/>
    <cellStyle name="Normal 5 2 2 2 7 2" xfId="29592" xr:uid="{00000000-0005-0000-0000-0000DC6D0000}"/>
    <cellStyle name="Normal 5 2 2 2 8" xfId="12113" xr:uid="{00000000-0005-0000-0000-0000DD6D0000}"/>
    <cellStyle name="Normal 5 2 2 3" xfId="27439" xr:uid="{00000000-0005-0000-0000-0000DE6D0000}"/>
    <cellStyle name="Normal 5 2 2 3 2" xfId="27783" xr:uid="{00000000-0005-0000-0000-0000DF6D0000}"/>
    <cellStyle name="Normal 5 2 2 3 2 2" xfId="11977" xr:uid="{00000000-0005-0000-0000-0000E06D0000}"/>
    <cellStyle name="Normal 5 2 2 3 2 2 2" xfId="26203" xr:uid="{00000000-0005-0000-0000-0000E16D0000}"/>
    <cellStyle name="Normal 5 2 2 3 2 2 2 2" xfId="29594" xr:uid="{00000000-0005-0000-0000-0000E26D0000}"/>
    <cellStyle name="Normal 5 2 2 3 2 2 2 2 2" xfId="27426" xr:uid="{00000000-0005-0000-0000-0000E36D0000}"/>
    <cellStyle name="Normal 5 2 2 3 2 2 2 2 2 2" xfId="29599" xr:uid="{00000000-0005-0000-0000-0000E46D0000}"/>
    <cellStyle name="Normal 5 2 2 3 2 2 2 2 3" xfId="32776" xr:uid="{00000000-0005-0000-0000-0000E56D0000}"/>
    <cellStyle name="Normal 5 2 2 3 2 2 2 3" xfId="7639" xr:uid="{00000000-0005-0000-0000-0000E66D0000}"/>
    <cellStyle name="Normal 5 2 2 3 2 2 2 3 2" xfId="28406" xr:uid="{00000000-0005-0000-0000-0000E76D0000}"/>
    <cellStyle name="Normal 5 2 2 3 2 2 2 4" xfId="12447" xr:uid="{00000000-0005-0000-0000-0000E86D0000}"/>
    <cellStyle name="Normal 5 2 2 3 2 2 3" xfId="29084" xr:uid="{00000000-0005-0000-0000-0000E96D0000}"/>
    <cellStyle name="Normal 5 2 2 3 2 2 3 2" xfId="29601" xr:uid="{00000000-0005-0000-0000-0000EA6D0000}"/>
    <cellStyle name="Normal 5 2 2 3 2 2 3 2 2" xfId="29812" xr:uid="{00000000-0005-0000-0000-0000EB6D0000}"/>
    <cellStyle name="Normal 5 2 2 3 2 2 3 3" xfId="6761" xr:uid="{00000000-0005-0000-0000-0000EC6D0000}"/>
    <cellStyle name="Normal 5 2 2 3 2 2 4" xfId="12706" xr:uid="{00000000-0005-0000-0000-0000ED6D0000}"/>
    <cellStyle name="Normal 5 2 2 3 2 2 4 2" xfId="33826" xr:uid="{00000000-0005-0000-0000-0000EE6D0000}"/>
    <cellStyle name="Normal 5 2 2 3 2 2 5" xfId="33685" xr:uid="{00000000-0005-0000-0000-0000EF6D0000}"/>
    <cellStyle name="Normal 5 2 2 3 2 3" xfId="14292" xr:uid="{00000000-0005-0000-0000-0000F06D0000}"/>
    <cellStyle name="Normal 5 2 2 3 2 3 2" xfId="26384" xr:uid="{00000000-0005-0000-0000-0000F16D0000}"/>
    <cellStyle name="Normal 5 2 2 3 2 3 2 2" xfId="29602" xr:uid="{00000000-0005-0000-0000-0000F26D0000}"/>
    <cellStyle name="Normal 5 2 2 3 2 3 2 2 2" xfId="4004" xr:uid="{00000000-0005-0000-0000-0000F36D0000}"/>
    <cellStyle name="Normal 5 2 2 3 2 3 2 3" xfId="2427" xr:uid="{00000000-0005-0000-0000-0000F46D0000}"/>
    <cellStyle name="Normal 5 2 2 3 2 3 3" xfId="29604" xr:uid="{00000000-0005-0000-0000-0000F56D0000}"/>
    <cellStyle name="Normal 5 2 2 3 2 3 3 2" xfId="27527" xr:uid="{00000000-0005-0000-0000-0000F66D0000}"/>
    <cellStyle name="Normal 5 2 2 3 2 3 4" xfId="29608" xr:uid="{00000000-0005-0000-0000-0000F76D0000}"/>
    <cellStyle name="Normal 5 2 2 3 2 4" xfId="28755" xr:uid="{00000000-0005-0000-0000-0000F86D0000}"/>
    <cellStyle name="Normal 5 2 2 3 2 4 2" xfId="29609" xr:uid="{00000000-0005-0000-0000-0000F96D0000}"/>
    <cellStyle name="Normal 5 2 2 3 2 4 2 2" xfId="26449" xr:uid="{00000000-0005-0000-0000-0000FA6D0000}"/>
    <cellStyle name="Normal 5 2 2 3 2 4 3" xfId="26648" xr:uid="{00000000-0005-0000-0000-0000FB6D0000}"/>
    <cellStyle name="Normal 5 2 2 3 2 5" xfId="22871" xr:uid="{00000000-0005-0000-0000-0000FC6D0000}"/>
    <cellStyle name="Normal 5 2 2 3 2 5 2" xfId="22874" xr:uid="{00000000-0005-0000-0000-0000FD6D0000}"/>
    <cellStyle name="Normal 5 2 2 3 2 6" xfId="20173" xr:uid="{00000000-0005-0000-0000-0000FE6D0000}"/>
    <cellStyle name="Normal 5 2 2 3 3" xfId="29618" xr:uid="{00000000-0005-0000-0000-0000FF6D0000}"/>
    <cellStyle name="Normal 5 2 2 3 3 2" xfId="9448" xr:uid="{00000000-0005-0000-0000-0000006E0000}"/>
    <cellStyle name="Normal 5 2 2 3 3 2 2" xfId="26236" xr:uid="{00000000-0005-0000-0000-0000016E0000}"/>
    <cellStyle name="Normal 5 2 2 3 3 2 2 2" xfId="20730" xr:uid="{00000000-0005-0000-0000-0000026E0000}"/>
    <cellStyle name="Normal 5 2 2 3 3 2 2 2 2" xfId="30993" xr:uid="{00000000-0005-0000-0000-0000036E0000}"/>
    <cellStyle name="Normal 5 2 2 3 3 2 2 3" xfId="12394" xr:uid="{00000000-0005-0000-0000-0000046E0000}"/>
    <cellStyle name="Normal 5 2 2 3 3 2 3" xfId="29621" xr:uid="{00000000-0005-0000-0000-0000056E0000}"/>
    <cellStyle name="Normal 5 2 2 3 3 2 3 2" xfId="23420" xr:uid="{00000000-0005-0000-0000-0000066E0000}"/>
    <cellStyle name="Normal 5 2 2 3 3 2 4" xfId="29622" xr:uid="{00000000-0005-0000-0000-0000076E0000}"/>
    <cellStyle name="Normal 5 2 2 3 3 3" xfId="11566" xr:uid="{00000000-0005-0000-0000-0000086E0000}"/>
    <cellStyle name="Normal 5 2 2 3 3 3 2" xfId="29623" xr:uid="{00000000-0005-0000-0000-0000096E0000}"/>
    <cellStyle name="Normal 5 2 2 3 3 3 2 2" xfId="29624" xr:uid="{00000000-0005-0000-0000-00000A6E0000}"/>
    <cellStyle name="Normal 5 2 2 3 3 3 3" xfId="29626" xr:uid="{00000000-0005-0000-0000-00000B6E0000}"/>
    <cellStyle name="Normal 5 2 2 3 3 4" xfId="27304" xr:uid="{00000000-0005-0000-0000-00000C6E0000}"/>
    <cellStyle name="Normal 5 2 2 3 3 4 2" xfId="30037" xr:uid="{00000000-0005-0000-0000-00000D6E0000}"/>
    <cellStyle name="Normal 5 2 2 3 3 5" xfId="23089" xr:uid="{00000000-0005-0000-0000-00000E6E0000}"/>
    <cellStyle name="Normal 5 2 2 3 4" xfId="5448" xr:uid="{00000000-0005-0000-0000-00000F6E0000}"/>
    <cellStyle name="Normal 5 2 2 3 4 2" xfId="27109" xr:uid="{00000000-0005-0000-0000-0000106E0000}"/>
    <cellStyle name="Normal 5 2 2 3 4 2 2" xfId="6879" xr:uid="{00000000-0005-0000-0000-0000116E0000}"/>
    <cellStyle name="Normal 5 2 2 3 4 2 2 2" xfId="29627" xr:uid="{00000000-0005-0000-0000-0000126E0000}"/>
    <cellStyle name="Normal 5 2 2 3 4 2 3" xfId="26847" xr:uid="{00000000-0005-0000-0000-0000136E0000}"/>
    <cellStyle name="Normal 5 2 2 3 4 3" xfId="26742" xr:uid="{00000000-0005-0000-0000-0000146E0000}"/>
    <cellStyle name="Normal 5 2 2 3 4 3 2" xfId="26858" xr:uid="{00000000-0005-0000-0000-0000156E0000}"/>
    <cellStyle name="Normal 5 2 2 3 4 4" xfId="29275" xr:uid="{00000000-0005-0000-0000-0000166E0000}"/>
    <cellStyle name="Normal 5 2 2 3 5" xfId="3483" xr:uid="{00000000-0005-0000-0000-0000176E0000}"/>
    <cellStyle name="Normal 5 2 2 3 5 2" xfId="26747" xr:uid="{00000000-0005-0000-0000-0000186E0000}"/>
    <cellStyle name="Normal 5 2 2 3 5 2 2" xfId="20490" xr:uid="{00000000-0005-0000-0000-0000196E0000}"/>
    <cellStyle name="Normal 5 2 2 3 5 3" xfId="27655" xr:uid="{00000000-0005-0000-0000-00001A6E0000}"/>
    <cellStyle name="Normal 5 2 2 3 6" xfId="28803" xr:uid="{00000000-0005-0000-0000-00001B6E0000}"/>
    <cellStyle name="Normal 5 2 2 3 6 2" xfId="29629" xr:uid="{00000000-0005-0000-0000-00001C6E0000}"/>
    <cellStyle name="Normal 5 2 2 3 7" xfId="21941" xr:uid="{00000000-0005-0000-0000-00001D6E0000}"/>
    <cellStyle name="Normal 5 2 2 4" xfId="29634" xr:uid="{00000000-0005-0000-0000-00001E6E0000}"/>
    <cellStyle name="Normal 5 2 2 4 2" xfId="13544" xr:uid="{00000000-0005-0000-0000-00001F6E0000}"/>
    <cellStyle name="Normal 5 2 2 4 2 2" xfId="2998" xr:uid="{00000000-0005-0000-0000-0000206E0000}"/>
    <cellStyle name="Normal 5 2 2 4 2 2 2" xfId="25755" xr:uid="{00000000-0005-0000-0000-0000216E0000}"/>
    <cellStyle name="Normal 5 2 2 4 2 2 2 2" xfId="29638" xr:uid="{00000000-0005-0000-0000-0000226E0000}"/>
    <cellStyle name="Normal 5 2 2 4 2 2 2 2 2" xfId="32396" xr:uid="{00000000-0005-0000-0000-0000236E0000}"/>
    <cellStyle name="Normal 5 2 2 4 2 2 2 3" xfId="13856" xr:uid="{00000000-0005-0000-0000-0000246E0000}"/>
    <cellStyle name="Normal 5 2 2 4 2 2 3" xfId="27609" xr:uid="{00000000-0005-0000-0000-0000256E0000}"/>
    <cellStyle name="Normal 5 2 2 4 2 2 3 2" xfId="29639" xr:uid="{00000000-0005-0000-0000-0000266E0000}"/>
    <cellStyle name="Normal 5 2 2 4 2 2 4" xfId="33896" xr:uid="{00000000-0005-0000-0000-0000276E0000}"/>
    <cellStyle name="Normal 5 2 2 4 2 3" xfId="29641" xr:uid="{00000000-0005-0000-0000-0000286E0000}"/>
    <cellStyle name="Normal 5 2 2 4 2 3 2" xfId="31960" xr:uid="{00000000-0005-0000-0000-0000296E0000}"/>
    <cellStyle name="Normal 5 2 2 4 2 3 2 2" xfId="21513" xr:uid="{00000000-0005-0000-0000-00002A6E0000}"/>
    <cellStyle name="Normal 5 2 2 4 2 3 3" xfId="29642" xr:uid="{00000000-0005-0000-0000-00002B6E0000}"/>
    <cellStyle name="Normal 5 2 2 4 2 4" xfId="26395" xr:uid="{00000000-0005-0000-0000-00002C6E0000}"/>
    <cellStyle name="Normal 5 2 2 4 2 4 2" xfId="15631" xr:uid="{00000000-0005-0000-0000-00002D6E0000}"/>
    <cellStyle name="Normal 5 2 2 4 2 5" xfId="25249" xr:uid="{00000000-0005-0000-0000-00002E6E0000}"/>
    <cellStyle name="Normal 5 2 2 4 3" xfId="7169" xr:uid="{00000000-0005-0000-0000-00002F6E0000}"/>
    <cellStyle name="Normal 5 2 2 4 3 2" xfId="28085" xr:uid="{00000000-0005-0000-0000-0000306E0000}"/>
    <cellStyle name="Normal 5 2 2 4 3 2 2" xfId="25629" xr:uid="{00000000-0005-0000-0000-0000316E0000}"/>
    <cellStyle name="Normal 5 2 2 4 3 2 2 2" xfId="20843" xr:uid="{00000000-0005-0000-0000-0000326E0000}"/>
    <cellStyle name="Normal 5 2 2 4 3 2 3" xfId="25156" xr:uid="{00000000-0005-0000-0000-0000336E0000}"/>
    <cellStyle name="Normal 5 2 2 4 3 3" xfId="26401" xr:uid="{00000000-0005-0000-0000-0000346E0000}"/>
    <cellStyle name="Normal 5 2 2 4 3 3 2" xfId="27494" xr:uid="{00000000-0005-0000-0000-0000356E0000}"/>
    <cellStyle name="Normal 5 2 2 4 3 4" xfId="29650" xr:uid="{00000000-0005-0000-0000-0000366E0000}"/>
    <cellStyle name="Normal 5 2 2 4 4" xfId="4840" xr:uid="{00000000-0005-0000-0000-0000376E0000}"/>
    <cellStyle name="Normal 5 2 2 4 4 2" xfId="3606" xr:uid="{00000000-0005-0000-0000-0000386E0000}"/>
    <cellStyle name="Normal 5 2 2 4 4 2 2" xfId="26868" xr:uid="{00000000-0005-0000-0000-0000396E0000}"/>
    <cellStyle name="Normal 5 2 2 4 4 3" xfId="29290" xr:uid="{00000000-0005-0000-0000-00003A6E0000}"/>
    <cellStyle name="Normal 5 2 2 4 5" xfId="3502" xr:uid="{00000000-0005-0000-0000-00003B6E0000}"/>
    <cellStyle name="Normal 5 2 2 4 5 2" xfId="29652" xr:uid="{00000000-0005-0000-0000-00003C6E0000}"/>
    <cellStyle name="Normal 5 2 2 4 6" xfId="11158" xr:uid="{00000000-0005-0000-0000-00003D6E0000}"/>
    <cellStyle name="Normal 5 2 2 5" xfId="29385" xr:uid="{00000000-0005-0000-0000-00003E6E0000}"/>
    <cellStyle name="Normal 5 2 2 5 2" xfId="4735" xr:uid="{00000000-0005-0000-0000-00003F6E0000}"/>
    <cellStyle name="Normal 5 2 2 5 2 2" xfId="28099" xr:uid="{00000000-0005-0000-0000-0000406E0000}"/>
    <cellStyle name="Normal 5 2 2 5 2 2 2" xfId="29658" xr:uid="{00000000-0005-0000-0000-0000416E0000}"/>
    <cellStyle name="Normal 5 2 2 5 2 2 2 2" xfId="30657" xr:uid="{00000000-0005-0000-0000-0000426E0000}"/>
    <cellStyle name="Normal 5 2 2 5 2 2 3" xfId="16835" xr:uid="{00000000-0005-0000-0000-0000436E0000}"/>
    <cellStyle name="Normal 5 2 2 5 2 3" xfId="14286" xr:uid="{00000000-0005-0000-0000-0000446E0000}"/>
    <cellStyle name="Normal 5 2 2 5 2 3 2" xfId="28647" xr:uid="{00000000-0005-0000-0000-0000456E0000}"/>
    <cellStyle name="Normal 5 2 2 5 2 4" xfId="7197" xr:uid="{00000000-0005-0000-0000-0000466E0000}"/>
    <cellStyle name="Normal 5 2 2 5 3" xfId="29662" xr:uid="{00000000-0005-0000-0000-0000476E0000}"/>
    <cellStyle name="Normal 5 2 2 5 3 2" xfId="29663" xr:uid="{00000000-0005-0000-0000-0000486E0000}"/>
    <cellStyle name="Normal 5 2 2 5 3 2 2" xfId="19265" xr:uid="{00000000-0005-0000-0000-0000496E0000}"/>
    <cellStyle name="Normal 5 2 2 5 3 3" xfId="798" xr:uid="{00000000-0005-0000-0000-00004A6E0000}"/>
    <cellStyle name="Normal 5 2 2 5 4" xfId="2593" xr:uid="{00000000-0005-0000-0000-00004B6E0000}"/>
    <cellStyle name="Normal 5 2 2 5 4 2" xfId="29665" xr:uid="{00000000-0005-0000-0000-00004C6E0000}"/>
    <cellStyle name="Normal 5 2 2 5 5" xfId="29044" xr:uid="{00000000-0005-0000-0000-00004D6E0000}"/>
    <cellStyle name="Normal 5 2 2 6" xfId="30430" xr:uid="{00000000-0005-0000-0000-00004E6E0000}"/>
    <cellStyle name="Normal 5 2 2 6 2" xfId="30435" xr:uid="{00000000-0005-0000-0000-00004F6E0000}"/>
    <cellStyle name="Normal 5 2 2 6 2 2" xfId="29666" xr:uid="{00000000-0005-0000-0000-0000506E0000}"/>
    <cellStyle name="Normal 5 2 2 6 2 2 2" xfId="29669" xr:uid="{00000000-0005-0000-0000-0000516E0000}"/>
    <cellStyle name="Normal 5 2 2 6 2 3" xfId="14335" xr:uid="{00000000-0005-0000-0000-0000526E0000}"/>
    <cellStyle name="Normal 5 2 2 6 3" xfId="29670" xr:uid="{00000000-0005-0000-0000-0000536E0000}"/>
    <cellStyle name="Normal 5 2 2 6 3 2" xfId="32101" xr:uid="{00000000-0005-0000-0000-0000546E0000}"/>
    <cellStyle name="Normal 5 2 2 6 4" xfId="18555" xr:uid="{00000000-0005-0000-0000-0000556E0000}"/>
    <cellStyle name="Normal 5 2 2 7" xfId="29676" xr:uid="{00000000-0005-0000-0000-0000566E0000}"/>
    <cellStyle name="Normal 5 2 2 7 2" xfId="29680" xr:uid="{00000000-0005-0000-0000-0000576E0000}"/>
    <cellStyle name="Normal 5 2 2 7 2 2" xfId="29682" xr:uid="{00000000-0005-0000-0000-0000586E0000}"/>
    <cellStyle name="Normal 5 2 2 7 3" xfId="29683" xr:uid="{00000000-0005-0000-0000-0000596E0000}"/>
    <cellStyle name="Normal 5 2 2 8" xfId="29685" xr:uid="{00000000-0005-0000-0000-00005A6E0000}"/>
    <cellStyle name="Normal 5 2 2 8 2" xfId="23041" xr:uid="{00000000-0005-0000-0000-00005B6E0000}"/>
    <cellStyle name="Normal 5 2 2 9" xfId="21515" xr:uid="{00000000-0005-0000-0000-00005C6E0000}"/>
    <cellStyle name="Normal 5 2 3" xfId="29693" xr:uid="{00000000-0005-0000-0000-00005D6E0000}"/>
    <cellStyle name="Normal 5 2 3 2" xfId="26583" xr:uid="{00000000-0005-0000-0000-00005E6E0000}"/>
    <cellStyle name="Normal 5 2 3 2 2" xfId="25385" xr:uid="{00000000-0005-0000-0000-00005F6E0000}"/>
    <cellStyle name="Normal 5 2 3 2 2 2" xfId="9772" xr:uid="{00000000-0005-0000-0000-0000606E0000}"/>
    <cellStyle name="Normal 5 2 3 2 2 2 2" xfId="25802" xr:uid="{00000000-0005-0000-0000-0000616E0000}"/>
    <cellStyle name="Normal 5 2 3 2 2 2 2 2" xfId="30821" xr:uid="{00000000-0005-0000-0000-0000626E0000}"/>
    <cellStyle name="Normal 5 2 3 2 2 2 2 2 2" xfId="16930" xr:uid="{00000000-0005-0000-0000-0000636E0000}"/>
    <cellStyle name="Normal 5 2 3 2 2 2 2 2 2 2" xfId="30211" xr:uid="{00000000-0005-0000-0000-0000646E0000}"/>
    <cellStyle name="Normal 5 2 3 2 2 2 2 2 3" xfId="30829" xr:uid="{00000000-0005-0000-0000-0000656E0000}"/>
    <cellStyle name="Normal 5 2 3 2 2 2 2 3" xfId="5602" xr:uid="{00000000-0005-0000-0000-0000666E0000}"/>
    <cellStyle name="Normal 5 2 3 2 2 2 2 3 2" xfId="26711" xr:uid="{00000000-0005-0000-0000-0000676E0000}"/>
    <cellStyle name="Normal 5 2 3 2 2 2 2 4" xfId="23106" xr:uid="{00000000-0005-0000-0000-0000686E0000}"/>
    <cellStyle name="Normal 5 2 3 2 2 2 3" xfId="24317" xr:uid="{00000000-0005-0000-0000-0000696E0000}"/>
    <cellStyle name="Normal 5 2 3 2 2 2 3 2" xfId="30850" xr:uid="{00000000-0005-0000-0000-00006A6E0000}"/>
    <cellStyle name="Normal 5 2 3 2 2 2 3 2 2" xfId="30854" xr:uid="{00000000-0005-0000-0000-00006B6E0000}"/>
    <cellStyle name="Normal 5 2 3 2 2 2 3 3" xfId="6105" xr:uid="{00000000-0005-0000-0000-00006C6E0000}"/>
    <cellStyle name="Normal 5 2 3 2 2 2 4" xfId="7937" xr:uid="{00000000-0005-0000-0000-00006D6E0000}"/>
    <cellStyle name="Normal 5 2 3 2 2 2 4 2" xfId="9914" xr:uid="{00000000-0005-0000-0000-00006E6E0000}"/>
    <cellStyle name="Normal 5 2 3 2 2 2 5" xfId="30876" xr:uid="{00000000-0005-0000-0000-00006F6E0000}"/>
    <cellStyle name="Normal 5 2 3 2 2 3" xfId="9469" xr:uid="{00000000-0005-0000-0000-0000706E0000}"/>
    <cellStyle name="Normal 5 2 3 2 2 3 2" xfId="27971" xr:uid="{00000000-0005-0000-0000-0000716E0000}"/>
    <cellStyle name="Normal 5 2 3 2 2 3 2 2" xfId="1381" xr:uid="{00000000-0005-0000-0000-0000726E0000}"/>
    <cellStyle name="Normal 5 2 3 2 2 3 2 2 2" xfId="29699" xr:uid="{00000000-0005-0000-0000-0000736E0000}"/>
    <cellStyle name="Normal 5 2 3 2 2 3 2 3" xfId="26367" xr:uid="{00000000-0005-0000-0000-0000746E0000}"/>
    <cellStyle name="Normal 5 2 3 2 2 3 3" xfId="20446" xr:uid="{00000000-0005-0000-0000-0000756E0000}"/>
    <cellStyle name="Normal 5 2 3 2 2 3 3 2" xfId="29703" xr:uid="{00000000-0005-0000-0000-0000766E0000}"/>
    <cellStyle name="Normal 5 2 3 2 2 3 4" xfId="24612" xr:uid="{00000000-0005-0000-0000-0000776E0000}"/>
    <cellStyle name="Normal 5 2 3 2 2 4" xfId="29707" xr:uid="{00000000-0005-0000-0000-0000786E0000}"/>
    <cellStyle name="Normal 5 2 3 2 2 4 2" xfId="20453" xr:uid="{00000000-0005-0000-0000-0000796E0000}"/>
    <cellStyle name="Normal 5 2 3 2 2 4 2 2" xfId="20683" xr:uid="{00000000-0005-0000-0000-00007A6E0000}"/>
    <cellStyle name="Normal 5 2 3 2 2 4 3" xfId="29714" xr:uid="{00000000-0005-0000-0000-00007B6E0000}"/>
    <cellStyle name="Normal 5 2 3 2 2 5" xfId="6561" xr:uid="{00000000-0005-0000-0000-00007C6E0000}"/>
    <cellStyle name="Normal 5 2 3 2 2 5 2" xfId="19538" xr:uid="{00000000-0005-0000-0000-00007D6E0000}"/>
    <cellStyle name="Normal 5 2 3 2 2 6" xfId="30914" xr:uid="{00000000-0005-0000-0000-00007E6E0000}"/>
    <cellStyle name="Normal 5 2 3 2 3" xfId="25694" xr:uid="{00000000-0005-0000-0000-00007F6E0000}"/>
    <cellStyle name="Normal 5 2 3 2 3 2" xfId="9471" xr:uid="{00000000-0005-0000-0000-0000806E0000}"/>
    <cellStyle name="Normal 5 2 3 2 3 2 2" xfId="25806" xr:uid="{00000000-0005-0000-0000-0000816E0000}"/>
    <cellStyle name="Normal 5 2 3 2 3 2 2 2" xfId="9155" xr:uid="{00000000-0005-0000-0000-0000826E0000}"/>
    <cellStyle name="Normal 5 2 3 2 3 2 2 2 2" xfId="31033" xr:uid="{00000000-0005-0000-0000-0000836E0000}"/>
    <cellStyle name="Normal 5 2 3 2 3 2 2 3" xfId="7913" xr:uid="{00000000-0005-0000-0000-0000846E0000}"/>
    <cellStyle name="Normal 5 2 3 2 3 2 3" xfId="32205" xr:uid="{00000000-0005-0000-0000-0000856E0000}"/>
    <cellStyle name="Normal 5 2 3 2 3 2 3 2" xfId="31052" xr:uid="{00000000-0005-0000-0000-0000866E0000}"/>
    <cellStyle name="Normal 5 2 3 2 3 2 4" xfId="32023" xr:uid="{00000000-0005-0000-0000-0000876E0000}"/>
    <cellStyle name="Normal 5 2 3 2 3 3" xfId="30798" xr:uid="{00000000-0005-0000-0000-0000886E0000}"/>
    <cellStyle name="Normal 5 2 3 2 3 3 2" xfId="20475" xr:uid="{00000000-0005-0000-0000-0000896E0000}"/>
    <cellStyle name="Normal 5 2 3 2 3 3 2 2" xfId="30940" xr:uid="{00000000-0005-0000-0000-00008A6E0000}"/>
    <cellStyle name="Normal 5 2 3 2 3 3 3" xfId="31002" xr:uid="{00000000-0005-0000-0000-00008B6E0000}"/>
    <cellStyle name="Normal 5 2 3 2 3 4" xfId="29717" xr:uid="{00000000-0005-0000-0000-00008C6E0000}"/>
    <cellStyle name="Normal 5 2 3 2 3 4 2" xfId="28017" xr:uid="{00000000-0005-0000-0000-00008D6E0000}"/>
    <cellStyle name="Normal 5 2 3 2 3 5" xfId="33633" xr:uid="{00000000-0005-0000-0000-00008E6E0000}"/>
    <cellStyle name="Normal 5 2 3 2 4" xfId="29358" xr:uid="{00000000-0005-0000-0000-00008F6E0000}"/>
    <cellStyle name="Normal 5 2 3 2 4 2" xfId="29435" xr:uid="{00000000-0005-0000-0000-0000906E0000}"/>
    <cellStyle name="Normal 5 2 3 2 4 2 2" xfId="6972" xr:uid="{00000000-0005-0000-0000-0000916E0000}"/>
    <cellStyle name="Normal 5 2 3 2 4 2 2 2" xfId="20445" xr:uid="{00000000-0005-0000-0000-0000926E0000}"/>
    <cellStyle name="Normal 5 2 3 2 4 2 3" xfId="24205" xr:uid="{00000000-0005-0000-0000-0000936E0000}"/>
    <cellStyle name="Normal 5 2 3 2 4 3" xfId="29692" xr:uid="{00000000-0005-0000-0000-0000946E0000}"/>
    <cellStyle name="Normal 5 2 3 2 4 3 2" xfId="29694" xr:uid="{00000000-0005-0000-0000-0000956E0000}"/>
    <cellStyle name="Normal 5 2 3 2 4 4" xfId="235" xr:uid="{00000000-0005-0000-0000-0000966E0000}"/>
    <cellStyle name="Normal 5 2 3 2 5" xfId="31017" xr:uid="{00000000-0005-0000-0000-0000976E0000}"/>
    <cellStyle name="Normal 5 2 3 2 5 2" xfId="29935" xr:uid="{00000000-0005-0000-0000-0000986E0000}"/>
    <cellStyle name="Normal 5 2 3 2 5 2 2" xfId="29940" xr:uid="{00000000-0005-0000-0000-0000996E0000}"/>
    <cellStyle name="Normal 5 2 3 2 5 3" xfId="31864" xr:uid="{00000000-0005-0000-0000-00009A6E0000}"/>
    <cellStyle name="Normal 5 2 3 2 6" xfId="21978" xr:uid="{00000000-0005-0000-0000-00009B6E0000}"/>
    <cellStyle name="Normal 5 2 3 2 6 2" xfId="30281" xr:uid="{00000000-0005-0000-0000-00009C6E0000}"/>
    <cellStyle name="Normal 5 2 3 2 7" xfId="21980" xr:uid="{00000000-0005-0000-0000-00009D6E0000}"/>
    <cellStyle name="Normal 5 2 3 3" xfId="28280" xr:uid="{00000000-0005-0000-0000-00009E6E0000}"/>
    <cellStyle name="Normal 5 2 3 3 2" xfId="28285" xr:uid="{00000000-0005-0000-0000-00009F6E0000}"/>
    <cellStyle name="Normal 5 2 3 3 2 2" xfId="9475" xr:uid="{00000000-0005-0000-0000-0000A06E0000}"/>
    <cellStyle name="Normal 5 2 3 3 2 2 2" xfId="31141" xr:uid="{00000000-0005-0000-0000-0000A16E0000}"/>
    <cellStyle name="Normal 5 2 3 3 2 2 2 2" xfId="29722" xr:uid="{00000000-0005-0000-0000-0000A26E0000}"/>
    <cellStyle name="Normal 5 2 3 3 2 2 2 2 2" xfId="33959" xr:uid="{00000000-0005-0000-0000-0000A36E0000}"/>
    <cellStyle name="Normal 5 2 3 3 2 2 2 3" xfId="5786" xr:uid="{00000000-0005-0000-0000-0000A46E0000}"/>
    <cellStyle name="Normal 5 2 3 3 2 2 3" xfId="29727" xr:uid="{00000000-0005-0000-0000-0000A56E0000}"/>
    <cellStyle name="Normal 5 2 3 3 2 2 3 2" xfId="29730" xr:uid="{00000000-0005-0000-0000-0000A66E0000}"/>
    <cellStyle name="Normal 5 2 3 3 2 2 4" xfId="29056" xr:uid="{00000000-0005-0000-0000-0000A76E0000}"/>
    <cellStyle name="Normal 5 2 3 3 2 3" xfId="30152" xr:uid="{00000000-0005-0000-0000-0000A86E0000}"/>
    <cellStyle name="Normal 5 2 3 3 2 3 2" xfId="27553" xr:uid="{00000000-0005-0000-0000-0000A96E0000}"/>
    <cellStyle name="Normal 5 2 3 3 2 3 2 2" xfId="28223" xr:uid="{00000000-0005-0000-0000-0000AA6E0000}"/>
    <cellStyle name="Normal 5 2 3 3 2 3 3" xfId="29737" xr:uid="{00000000-0005-0000-0000-0000AB6E0000}"/>
    <cellStyle name="Normal 5 2 3 3 2 4" xfId="22070" xr:uid="{00000000-0005-0000-0000-0000AC6E0000}"/>
    <cellStyle name="Normal 5 2 3 3 2 4 2" xfId="26756" xr:uid="{00000000-0005-0000-0000-0000AD6E0000}"/>
    <cellStyle name="Normal 5 2 3 3 2 5" xfId="22079" xr:uid="{00000000-0005-0000-0000-0000AE6E0000}"/>
    <cellStyle name="Normal 5 2 3 3 3" xfId="32615" xr:uid="{00000000-0005-0000-0000-0000AF6E0000}"/>
    <cellStyle name="Normal 5 2 3 3 3 2" xfId="31173" xr:uid="{00000000-0005-0000-0000-0000B06E0000}"/>
    <cellStyle name="Normal 5 2 3 3 3 2 2" xfId="29746" xr:uid="{00000000-0005-0000-0000-0000B16E0000}"/>
    <cellStyle name="Normal 5 2 3 3 3 2 2 2" xfId="29748" xr:uid="{00000000-0005-0000-0000-0000B26E0000}"/>
    <cellStyle name="Normal 5 2 3 3 3 2 3" xfId="29749" xr:uid="{00000000-0005-0000-0000-0000B36E0000}"/>
    <cellStyle name="Normal 5 2 3 3 3 3" xfId="26819" xr:uid="{00000000-0005-0000-0000-0000B46E0000}"/>
    <cellStyle name="Normal 5 2 3 3 3 3 2" xfId="27405" xr:uid="{00000000-0005-0000-0000-0000B56E0000}"/>
    <cellStyle name="Normal 5 2 3 3 3 4" xfId="8242" xr:uid="{00000000-0005-0000-0000-0000B66E0000}"/>
    <cellStyle name="Normal 5 2 3 3 4" xfId="10848" xr:uid="{00000000-0005-0000-0000-0000B76E0000}"/>
    <cellStyle name="Normal 5 2 3 3 4 2" xfId="593" xr:uid="{00000000-0005-0000-0000-0000B86E0000}"/>
    <cellStyle name="Normal 5 2 3 3 4 2 2" xfId="29752" xr:uid="{00000000-0005-0000-0000-0000B96E0000}"/>
    <cellStyle name="Normal 5 2 3 3 4 3" xfId="29753" xr:uid="{00000000-0005-0000-0000-0000BA6E0000}"/>
    <cellStyle name="Normal 5 2 3 3 5" xfId="6557" xr:uid="{00000000-0005-0000-0000-0000BB6E0000}"/>
    <cellStyle name="Normal 5 2 3 3 5 2" xfId="32160" xr:uid="{00000000-0005-0000-0000-0000BC6E0000}"/>
    <cellStyle name="Normal 5 2 3 3 6" xfId="21989" xr:uid="{00000000-0005-0000-0000-0000BD6E0000}"/>
    <cellStyle name="Normal 5 2 3 4" xfId="25718" xr:uid="{00000000-0005-0000-0000-0000BE6E0000}"/>
    <cellStyle name="Normal 5 2 3 4 2" xfId="15313" xr:uid="{00000000-0005-0000-0000-0000BF6E0000}"/>
    <cellStyle name="Normal 5 2 3 4 2 2" xfId="15318" xr:uid="{00000000-0005-0000-0000-0000C06E0000}"/>
    <cellStyle name="Normal 5 2 3 4 2 2 2" xfId="29755" xr:uid="{00000000-0005-0000-0000-0000C16E0000}"/>
    <cellStyle name="Normal 5 2 3 4 2 2 2 2" xfId="29756" xr:uid="{00000000-0005-0000-0000-0000C26E0000}"/>
    <cellStyle name="Normal 5 2 3 4 2 2 3" xfId="2645" xr:uid="{00000000-0005-0000-0000-0000C36E0000}"/>
    <cellStyle name="Normal 5 2 3 4 2 3" xfId="29760" xr:uid="{00000000-0005-0000-0000-0000C46E0000}"/>
    <cellStyle name="Normal 5 2 3 4 2 3 2" xfId="3389" xr:uid="{00000000-0005-0000-0000-0000C56E0000}"/>
    <cellStyle name="Normal 5 2 3 4 2 4" xfId="20502" xr:uid="{00000000-0005-0000-0000-0000C66E0000}"/>
    <cellStyle name="Normal 5 2 3 4 3" xfId="15320" xr:uid="{00000000-0005-0000-0000-0000C76E0000}"/>
    <cellStyle name="Normal 5 2 3 4 3 2" xfId="29768" xr:uid="{00000000-0005-0000-0000-0000C86E0000}"/>
    <cellStyle name="Normal 5 2 3 4 3 2 2" xfId="27022" xr:uid="{00000000-0005-0000-0000-0000C96E0000}"/>
    <cellStyle name="Normal 5 2 3 4 3 3" xfId="29770" xr:uid="{00000000-0005-0000-0000-0000CA6E0000}"/>
    <cellStyle name="Normal 5 2 3 4 4" xfId="6622" xr:uid="{00000000-0005-0000-0000-0000CB6E0000}"/>
    <cellStyle name="Normal 5 2 3 4 4 2" xfId="29774" xr:uid="{00000000-0005-0000-0000-0000CC6E0000}"/>
    <cellStyle name="Normal 5 2 3 4 5" xfId="33706" xr:uid="{00000000-0005-0000-0000-0000CD6E0000}"/>
    <cellStyle name="Normal 5 2 3 5" xfId="29779" xr:uid="{00000000-0005-0000-0000-0000CE6E0000}"/>
    <cellStyle name="Normal 5 2 3 5 2" xfId="464" xr:uid="{00000000-0005-0000-0000-0000CF6E0000}"/>
    <cellStyle name="Normal 5 2 3 5 2 2" xfId="29781" xr:uid="{00000000-0005-0000-0000-0000D06E0000}"/>
    <cellStyle name="Normal 5 2 3 5 2 2 2" xfId="18977" xr:uid="{00000000-0005-0000-0000-0000D16E0000}"/>
    <cellStyle name="Normal 5 2 3 5 2 3" xfId="14378" xr:uid="{00000000-0005-0000-0000-0000D26E0000}"/>
    <cellStyle name="Normal 5 2 3 5 3" xfId="27725" xr:uid="{00000000-0005-0000-0000-0000D36E0000}"/>
    <cellStyle name="Normal 5 2 3 5 3 2" xfId="29783" xr:uid="{00000000-0005-0000-0000-0000D46E0000}"/>
    <cellStyle name="Normal 5 2 3 5 4" xfId="19427" xr:uid="{00000000-0005-0000-0000-0000D56E0000}"/>
    <cellStyle name="Normal 5 2 3 6" xfId="31531" xr:uid="{00000000-0005-0000-0000-0000D66E0000}"/>
    <cellStyle name="Normal 5 2 3 6 2" xfId="22623" xr:uid="{00000000-0005-0000-0000-0000D76E0000}"/>
    <cellStyle name="Normal 5 2 3 6 2 2" xfId="29789" xr:uid="{00000000-0005-0000-0000-0000D86E0000}"/>
    <cellStyle name="Normal 5 2 3 6 3" xfId="29794" xr:uid="{00000000-0005-0000-0000-0000D96E0000}"/>
    <cellStyle name="Normal 5 2 3 7" xfId="24738" xr:uid="{00000000-0005-0000-0000-0000DA6E0000}"/>
    <cellStyle name="Normal 5 2 3 7 2" xfId="29800" xr:uid="{00000000-0005-0000-0000-0000DB6E0000}"/>
    <cellStyle name="Normal 5 2 3 8" xfId="23046" xr:uid="{00000000-0005-0000-0000-0000DC6E0000}"/>
    <cellStyle name="Normal 5 2 4" xfId="8111" xr:uid="{00000000-0005-0000-0000-0000DD6E0000}"/>
    <cellStyle name="Normal 5 2 4 2" xfId="2126" xr:uid="{00000000-0005-0000-0000-0000DE6E0000}"/>
    <cellStyle name="Normal 5 2 4 2 2" xfId="11124" xr:uid="{00000000-0005-0000-0000-0000DF6E0000}"/>
    <cellStyle name="Normal 5 2 4 2 2 2" xfId="9480" xr:uid="{00000000-0005-0000-0000-0000E06E0000}"/>
    <cellStyle name="Normal 5 2 4 2 2 2 2" xfId="19524" xr:uid="{00000000-0005-0000-0000-0000E16E0000}"/>
    <cellStyle name="Normal 5 2 4 2 2 2 2 2" xfId="19134" xr:uid="{00000000-0005-0000-0000-0000E26E0000}"/>
    <cellStyle name="Normal 5 2 4 2 2 2 2 2 2" xfId="26811" xr:uid="{00000000-0005-0000-0000-0000E36E0000}"/>
    <cellStyle name="Normal 5 2 4 2 2 2 2 3" xfId="1569" xr:uid="{00000000-0005-0000-0000-0000E46E0000}"/>
    <cellStyle name="Normal 5 2 4 2 2 2 3" xfId="28727" xr:uid="{00000000-0005-0000-0000-0000E56E0000}"/>
    <cellStyle name="Normal 5 2 4 2 2 2 3 2" xfId="19139" xr:uid="{00000000-0005-0000-0000-0000E66E0000}"/>
    <cellStyle name="Normal 5 2 4 2 2 2 4" xfId="18363" xr:uid="{00000000-0005-0000-0000-0000E76E0000}"/>
    <cellStyle name="Normal 5 2 4 2 2 3" xfId="8024" xr:uid="{00000000-0005-0000-0000-0000E86E0000}"/>
    <cellStyle name="Normal 5 2 4 2 2 3 2" xfId="20717" xr:uid="{00000000-0005-0000-0000-0000E96E0000}"/>
    <cellStyle name="Normal 5 2 4 2 2 3 2 2" xfId="19143" xr:uid="{00000000-0005-0000-0000-0000EA6E0000}"/>
    <cellStyle name="Normal 5 2 4 2 2 3 3" xfId="17912" xr:uid="{00000000-0005-0000-0000-0000EB6E0000}"/>
    <cellStyle name="Normal 5 2 4 2 2 4" xfId="18814" xr:uid="{00000000-0005-0000-0000-0000EC6E0000}"/>
    <cellStyle name="Normal 5 2 4 2 2 4 2" xfId="27635" xr:uid="{00000000-0005-0000-0000-0000ED6E0000}"/>
    <cellStyle name="Normal 5 2 4 2 2 5" xfId="29823" xr:uid="{00000000-0005-0000-0000-0000EE6E0000}"/>
    <cellStyle name="Normal 5 2 4 2 3" xfId="2884" xr:uid="{00000000-0005-0000-0000-0000EF6E0000}"/>
    <cellStyle name="Normal 5 2 4 2 3 2" xfId="6161" xr:uid="{00000000-0005-0000-0000-0000F06E0000}"/>
    <cellStyle name="Normal 5 2 4 2 3 2 2" xfId="24222" xr:uid="{00000000-0005-0000-0000-0000F16E0000}"/>
    <cellStyle name="Normal 5 2 4 2 3 2 2 2" xfId="9511" xr:uid="{00000000-0005-0000-0000-0000F26E0000}"/>
    <cellStyle name="Normal 5 2 4 2 3 2 3" xfId="24244" xr:uid="{00000000-0005-0000-0000-0000F36E0000}"/>
    <cellStyle name="Normal 5 2 4 2 3 3" xfId="274" xr:uid="{00000000-0005-0000-0000-0000F46E0000}"/>
    <cellStyle name="Normal 5 2 4 2 3 3 2" xfId="24375" xr:uid="{00000000-0005-0000-0000-0000F56E0000}"/>
    <cellStyle name="Normal 5 2 4 2 3 4" xfId="28739" xr:uid="{00000000-0005-0000-0000-0000F66E0000}"/>
    <cellStyle name="Normal 5 2 4 2 4" xfId="6163" xr:uid="{00000000-0005-0000-0000-0000F76E0000}"/>
    <cellStyle name="Normal 5 2 4 2 4 2" xfId="1570" xr:uid="{00000000-0005-0000-0000-0000F86E0000}"/>
    <cellStyle name="Normal 5 2 4 2 4 2 2" xfId="15205" xr:uid="{00000000-0005-0000-0000-0000F96E0000}"/>
    <cellStyle name="Normal 5 2 4 2 4 3" xfId="25479" xr:uid="{00000000-0005-0000-0000-0000FA6E0000}"/>
    <cellStyle name="Normal 5 2 4 2 5" xfId="7800" xr:uid="{00000000-0005-0000-0000-0000FB6E0000}"/>
    <cellStyle name="Normal 5 2 4 2 5 2" xfId="33026" xr:uid="{00000000-0005-0000-0000-0000FC6E0000}"/>
    <cellStyle name="Normal 5 2 4 2 6" xfId="22020" xr:uid="{00000000-0005-0000-0000-0000FD6E0000}"/>
    <cellStyle name="Normal 5 2 4 2 6 2" xfId="29828" xr:uid="{00000000-0005-0000-0000-0000FE6E0000}"/>
    <cellStyle name="Normal 5 2 4 2 7" xfId="22023" xr:uid="{00000000-0005-0000-0000-0000FF6E0000}"/>
    <cellStyle name="Normal 5 2 4 3" xfId="1875" xr:uid="{00000000-0005-0000-0000-0000006F0000}"/>
    <cellStyle name="Normal 5 2 4 3 2" xfId="6168" xr:uid="{00000000-0005-0000-0000-0000016F0000}"/>
    <cellStyle name="Normal 5 2 4 3 2 2" xfId="1169" xr:uid="{00000000-0005-0000-0000-0000026F0000}"/>
    <cellStyle name="Normal 5 2 4 3 2 2 2" xfId="29829" xr:uid="{00000000-0005-0000-0000-0000036F0000}"/>
    <cellStyle name="Normal 5 2 4 3 2 2 2 2" xfId="19690" xr:uid="{00000000-0005-0000-0000-0000046F0000}"/>
    <cellStyle name="Normal 5 2 4 3 2 2 3" xfId="26078" xr:uid="{00000000-0005-0000-0000-0000056F0000}"/>
    <cellStyle name="Normal 5 2 4 3 2 3" xfId="280" xr:uid="{00000000-0005-0000-0000-0000066F0000}"/>
    <cellStyle name="Normal 5 2 4 3 2 3 2" xfId="29833" xr:uid="{00000000-0005-0000-0000-0000076F0000}"/>
    <cellStyle name="Normal 5 2 4 3 2 4" xfId="27693" xr:uid="{00000000-0005-0000-0000-0000086F0000}"/>
    <cellStyle name="Normal 5 2 4 3 3" xfId="6170" xr:uid="{00000000-0005-0000-0000-0000096F0000}"/>
    <cellStyle name="Normal 5 2 4 3 3 2" xfId="6173" xr:uid="{00000000-0005-0000-0000-00000A6F0000}"/>
    <cellStyle name="Normal 5 2 4 3 3 2 2" xfId="1596" xr:uid="{00000000-0005-0000-0000-00000B6F0000}"/>
    <cellStyle name="Normal 5 2 4 3 3 3" xfId="29835" xr:uid="{00000000-0005-0000-0000-00000C6F0000}"/>
    <cellStyle name="Normal 5 2 4 3 4" xfId="6176" xr:uid="{00000000-0005-0000-0000-00000D6F0000}"/>
    <cellStyle name="Normal 5 2 4 3 4 2" xfId="29837" xr:uid="{00000000-0005-0000-0000-00000E6F0000}"/>
    <cellStyle name="Normal 5 2 4 3 5" xfId="7332" xr:uid="{00000000-0005-0000-0000-00000F6F0000}"/>
    <cellStyle name="Normal 5 2 4 4" xfId="6181" xr:uid="{00000000-0005-0000-0000-0000106F0000}"/>
    <cellStyle name="Normal 5 2 4 4 2" xfId="15326" xr:uid="{00000000-0005-0000-0000-0000116F0000}"/>
    <cellStyle name="Normal 5 2 4 4 2 2" xfId="12699" xr:uid="{00000000-0005-0000-0000-0000126F0000}"/>
    <cellStyle name="Normal 5 2 4 4 2 2 2" xfId="29841" xr:uid="{00000000-0005-0000-0000-0000136F0000}"/>
    <cellStyle name="Normal 5 2 4 4 2 3" xfId="12703" xr:uid="{00000000-0005-0000-0000-0000146F0000}"/>
    <cellStyle name="Normal 5 2 4 4 3" xfId="7076" xr:uid="{00000000-0005-0000-0000-0000156F0000}"/>
    <cellStyle name="Normal 5 2 4 4 3 2" xfId="12709" xr:uid="{00000000-0005-0000-0000-0000166F0000}"/>
    <cellStyle name="Normal 5 2 4 4 4" xfId="29842" xr:uid="{00000000-0005-0000-0000-0000176F0000}"/>
    <cellStyle name="Normal 5 2 4 5" xfId="6184" xr:uid="{00000000-0005-0000-0000-0000186F0000}"/>
    <cellStyle name="Normal 5 2 4 5 2" xfId="7080" xr:uid="{00000000-0005-0000-0000-0000196F0000}"/>
    <cellStyle name="Normal 5 2 4 5 2 2" xfId="4017" xr:uid="{00000000-0005-0000-0000-00001A6F0000}"/>
    <cellStyle name="Normal 5 2 4 5 3" xfId="29176" xr:uid="{00000000-0005-0000-0000-00001B6F0000}"/>
    <cellStyle name="Normal 5 2 4 6" xfId="6189" xr:uid="{00000000-0005-0000-0000-00001C6F0000}"/>
    <cellStyle name="Normal 5 2 4 6 2" xfId="29844" xr:uid="{00000000-0005-0000-0000-00001D6F0000}"/>
    <cellStyle name="Normal 5 2 4 7" xfId="29846" xr:uid="{00000000-0005-0000-0000-00001E6F0000}"/>
    <cellStyle name="Normal 5 2 4 7 2" xfId="29848" xr:uid="{00000000-0005-0000-0000-00001F6F0000}"/>
    <cellStyle name="Normal 5 2 4 8" xfId="27610" xr:uid="{00000000-0005-0000-0000-0000206F0000}"/>
    <cellStyle name="Normal 5 2 5" xfId="8114" xr:uid="{00000000-0005-0000-0000-0000216F0000}"/>
    <cellStyle name="Normal 5 2 5 2" xfId="2129" xr:uid="{00000000-0005-0000-0000-0000226F0000}"/>
    <cellStyle name="Normal 5 2 5 2 2" xfId="6970" xr:uid="{00000000-0005-0000-0000-0000236F0000}"/>
    <cellStyle name="Normal 5 2 5 2 2 2" xfId="24120" xr:uid="{00000000-0005-0000-0000-0000246F0000}"/>
    <cellStyle name="Normal 5 2 5 2 2 2 2" xfId="24129" xr:uid="{00000000-0005-0000-0000-0000256F0000}"/>
    <cellStyle name="Normal 5 2 5 2 2 2 2 2" xfId="26852" xr:uid="{00000000-0005-0000-0000-0000266F0000}"/>
    <cellStyle name="Normal 5 2 5 2 2 2 3" xfId="24140" xr:uid="{00000000-0005-0000-0000-0000276F0000}"/>
    <cellStyle name="Normal 5 2 5 2 2 3" xfId="24153" xr:uid="{00000000-0005-0000-0000-0000286F0000}"/>
    <cellStyle name="Normal 5 2 5 2 2 3 2" xfId="29137" xr:uid="{00000000-0005-0000-0000-0000296F0000}"/>
    <cellStyle name="Normal 5 2 5 2 2 4" xfId="20254" xr:uid="{00000000-0005-0000-0000-00002A6F0000}"/>
    <cellStyle name="Normal 5 2 5 2 3" xfId="7833" xr:uid="{00000000-0005-0000-0000-00002B6F0000}"/>
    <cellStyle name="Normal 5 2 5 2 3 2" xfId="24208" xr:uid="{00000000-0005-0000-0000-00002C6F0000}"/>
    <cellStyle name="Normal 5 2 5 2 3 2 2" xfId="24212" xr:uid="{00000000-0005-0000-0000-00002D6F0000}"/>
    <cellStyle name="Normal 5 2 5 2 3 3" xfId="24218" xr:uid="{00000000-0005-0000-0000-00002E6F0000}"/>
    <cellStyle name="Normal 5 2 5 2 4" xfId="8515" xr:uid="{00000000-0005-0000-0000-00002F6F0000}"/>
    <cellStyle name="Normal 5 2 5 2 4 2" xfId="24238" xr:uid="{00000000-0005-0000-0000-0000306F0000}"/>
    <cellStyle name="Normal 5 2 5 2 5" xfId="29854" xr:uid="{00000000-0005-0000-0000-0000316F0000}"/>
    <cellStyle name="Normal 5 2 5 2 5 2" xfId="24257" xr:uid="{00000000-0005-0000-0000-0000326F0000}"/>
    <cellStyle name="Normal 5 2 5 2 6" xfId="22040" xr:uid="{00000000-0005-0000-0000-0000336F0000}"/>
    <cellStyle name="Normal 5 2 5 2 6 2" xfId="21444" xr:uid="{00000000-0005-0000-0000-0000346F0000}"/>
    <cellStyle name="Normal 5 2 5 2 7" xfId="22045" xr:uid="{00000000-0005-0000-0000-0000356F0000}"/>
    <cellStyle name="Normal 5 2 5 3" xfId="6203" xr:uid="{00000000-0005-0000-0000-0000366F0000}"/>
    <cellStyle name="Normal 5 2 5 3 2" xfId="6205" xr:uid="{00000000-0005-0000-0000-0000376F0000}"/>
    <cellStyle name="Normal 5 2 5 3 2 2" xfId="27363" xr:uid="{00000000-0005-0000-0000-0000386F0000}"/>
    <cellStyle name="Normal 5 2 5 3 2 2 2" xfId="24336" xr:uid="{00000000-0005-0000-0000-0000396F0000}"/>
    <cellStyle name="Normal 5 2 5 3 2 3" xfId="24345" xr:uid="{00000000-0005-0000-0000-00003A6F0000}"/>
    <cellStyle name="Normal 5 2 5 3 3" xfId="14173" xr:uid="{00000000-0005-0000-0000-00003B6F0000}"/>
    <cellStyle name="Normal 5 2 5 3 3 2" xfId="2492" xr:uid="{00000000-0005-0000-0000-00003C6F0000}"/>
    <cellStyle name="Normal 5 2 5 3 4" xfId="19663" xr:uid="{00000000-0005-0000-0000-00003D6F0000}"/>
    <cellStyle name="Normal 5 2 5 4" xfId="7092" xr:uid="{00000000-0005-0000-0000-00003E6F0000}"/>
    <cellStyle name="Normal 5 2 5 4 2" xfId="7095" xr:uid="{00000000-0005-0000-0000-00003F6F0000}"/>
    <cellStyle name="Normal 5 2 5 4 2 2" xfId="20228" xr:uid="{00000000-0005-0000-0000-0000406F0000}"/>
    <cellStyle name="Normal 5 2 5 4 3" xfId="29858" xr:uid="{00000000-0005-0000-0000-0000416F0000}"/>
    <cellStyle name="Normal 5 2 5 5" xfId="7098" xr:uid="{00000000-0005-0000-0000-0000426F0000}"/>
    <cellStyle name="Normal 5 2 5 5 2" xfId="28882" xr:uid="{00000000-0005-0000-0000-0000436F0000}"/>
    <cellStyle name="Normal 5 2 5 6" xfId="32354" xr:uid="{00000000-0005-0000-0000-0000446F0000}"/>
    <cellStyle name="Normal 5 2 5 6 2" xfId="28904" xr:uid="{00000000-0005-0000-0000-0000456F0000}"/>
    <cellStyle name="Normal 5 2 5 7" xfId="25640" xr:uid="{00000000-0005-0000-0000-0000466F0000}"/>
    <cellStyle name="Normal 5 2 5 7 2" xfId="29862" xr:uid="{00000000-0005-0000-0000-0000476F0000}"/>
    <cellStyle name="Normal 5 2 5 8" xfId="25642" xr:uid="{00000000-0005-0000-0000-0000486F0000}"/>
    <cellStyle name="Normal 5 2 6" xfId="12279" xr:uid="{00000000-0005-0000-0000-0000496F0000}"/>
    <cellStyle name="Normal 5 2 6 2" xfId="1667" xr:uid="{00000000-0005-0000-0000-00004A6F0000}"/>
    <cellStyle name="Normal 5 2 6 2 2" xfId="1716" xr:uid="{00000000-0005-0000-0000-00004B6F0000}"/>
    <cellStyle name="Normal 5 2 6 2 2 2" xfId="24881" xr:uid="{00000000-0005-0000-0000-00004C6F0000}"/>
    <cellStyle name="Normal 5 2 6 2 2 2 2" xfId="12734" xr:uid="{00000000-0005-0000-0000-00004D6F0000}"/>
    <cellStyle name="Normal 5 2 6 2 2 3" xfId="24889" xr:uid="{00000000-0005-0000-0000-00004E6F0000}"/>
    <cellStyle name="Normal 5 2 6 2 3" xfId="4671" xr:uid="{00000000-0005-0000-0000-00004F6F0000}"/>
    <cellStyle name="Normal 5 2 6 2 3 2" xfId="24898" xr:uid="{00000000-0005-0000-0000-0000506F0000}"/>
    <cellStyle name="Normal 5 2 6 2 4" xfId="14281" xr:uid="{00000000-0005-0000-0000-0000516F0000}"/>
    <cellStyle name="Normal 5 2 6 2 4 2" xfId="24907" xr:uid="{00000000-0005-0000-0000-0000526F0000}"/>
    <cellStyle name="Normal 5 2 6 2 5" xfId="14282" xr:uid="{00000000-0005-0000-0000-0000536F0000}"/>
    <cellStyle name="Normal 5 2 6 2 5 2" xfId="24914" xr:uid="{00000000-0005-0000-0000-0000546F0000}"/>
    <cellStyle name="Normal 5 2 6 2 6" xfId="908" xr:uid="{00000000-0005-0000-0000-0000556F0000}"/>
    <cellStyle name="Normal 5 2 6 2 6 2" xfId="19237" xr:uid="{00000000-0005-0000-0000-0000566F0000}"/>
    <cellStyle name="Normal 5 2 6 2 7" xfId="29870" xr:uid="{00000000-0005-0000-0000-0000576F0000}"/>
    <cellStyle name="Normal 5 2 6 3" xfId="2299" xr:uid="{00000000-0005-0000-0000-0000586F0000}"/>
    <cellStyle name="Normal 5 2 6 3 2" xfId="1626" xr:uid="{00000000-0005-0000-0000-0000596F0000}"/>
    <cellStyle name="Normal 5 2 6 3 2 2" xfId="11207" xr:uid="{00000000-0005-0000-0000-00005A6F0000}"/>
    <cellStyle name="Normal 5 2 6 3 3" xfId="33560" xr:uid="{00000000-0005-0000-0000-00005B6F0000}"/>
    <cellStyle name="Normal 5 2 6 4" xfId="7109" xr:uid="{00000000-0005-0000-0000-00005C6F0000}"/>
    <cellStyle name="Normal 5 2 6 4 2" xfId="32725" xr:uid="{00000000-0005-0000-0000-00005D6F0000}"/>
    <cellStyle name="Normal 5 2 6 5" xfId="30249" xr:uid="{00000000-0005-0000-0000-00005E6F0000}"/>
    <cellStyle name="Normal 5 2 6 5 2" xfId="11074" xr:uid="{00000000-0005-0000-0000-00005F6F0000}"/>
    <cellStyle name="Normal 5 2 6 6" xfId="33235" xr:uid="{00000000-0005-0000-0000-0000606F0000}"/>
    <cellStyle name="Normal 5 2 6 6 2" xfId="24227" xr:uid="{00000000-0005-0000-0000-0000616F0000}"/>
    <cellStyle name="Normal 5 2 6 7" xfId="29872" xr:uid="{00000000-0005-0000-0000-0000626F0000}"/>
    <cellStyle name="Normal 5 2 6 7 2" xfId="29875" xr:uid="{00000000-0005-0000-0000-0000636F0000}"/>
    <cellStyle name="Normal 5 2 6 8" xfId="29880" xr:uid="{00000000-0005-0000-0000-0000646F0000}"/>
    <cellStyle name="Normal 5 2 7" xfId="18723" xr:uid="{00000000-0005-0000-0000-0000656F0000}"/>
    <cellStyle name="Normal 5 2 7 2" xfId="1676" xr:uid="{00000000-0005-0000-0000-0000666F0000}"/>
    <cellStyle name="Normal 5 2 7 2 2" xfId="12722" xr:uid="{00000000-0005-0000-0000-0000676F0000}"/>
    <cellStyle name="Normal 5 2 7 2 2 2" xfId="22132" xr:uid="{00000000-0005-0000-0000-0000686F0000}"/>
    <cellStyle name="Normal 5 2 7 2 3" xfId="33300" xr:uid="{00000000-0005-0000-0000-0000696F0000}"/>
    <cellStyle name="Normal 5 2 7 2 3 2" xfId="22155" xr:uid="{00000000-0005-0000-0000-00006A6F0000}"/>
    <cellStyle name="Normal 5 2 7 2 4" xfId="33637" xr:uid="{00000000-0005-0000-0000-00006B6F0000}"/>
    <cellStyle name="Normal 5 2 7 2 4 2" xfId="22160" xr:uid="{00000000-0005-0000-0000-00006C6F0000}"/>
    <cellStyle name="Normal 5 2 7 2 5" xfId="33173" xr:uid="{00000000-0005-0000-0000-00006D6F0000}"/>
    <cellStyle name="Normal 5 2 7 2 5 2" xfId="33978" xr:uid="{00000000-0005-0000-0000-00006E6F0000}"/>
    <cellStyle name="Normal 5 2 7 2 6" xfId="29885" xr:uid="{00000000-0005-0000-0000-00006F6F0000}"/>
    <cellStyle name="Normal 5 2 7 2 6 2" xfId="30034" xr:uid="{00000000-0005-0000-0000-0000706F0000}"/>
    <cellStyle name="Normal 5 2 7 2 7" xfId="29887" xr:uid="{00000000-0005-0000-0000-0000716F0000}"/>
    <cellStyle name="Normal 5 2 7 3" xfId="773" xr:uid="{00000000-0005-0000-0000-0000726F0000}"/>
    <cellStyle name="Normal 5 2 7 3 2" xfId="33749" xr:uid="{00000000-0005-0000-0000-0000736F0000}"/>
    <cellStyle name="Normal 5 2 7 4" xfId="423" xr:uid="{00000000-0005-0000-0000-0000746F0000}"/>
    <cellStyle name="Normal 5 2 7 4 2" xfId="30257" xr:uid="{00000000-0005-0000-0000-0000756F0000}"/>
    <cellStyle name="Normal 5 2 7 5" xfId="29888" xr:uid="{00000000-0005-0000-0000-0000766F0000}"/>
    <cellStyle name="Normal 5 2 7 5 2" xfId="11079" xr:uid="{00000000-0005-0000-0000-0000776F0000}"/>
    <cellStyle name="Normal 5 2 7 6" xfId="29892" xr:uid="{00000000-0005-0000-0000-0000786F0000}"/>
    <cellStyle name="Normal 5 2 7 6 2" xfId="23811" xr:uid="{00000000-0005-0000-0000-0000796F0000}"/>
    <cellStyle name="Normal 5 2 7 7" xfId="32053" xr:uid="{00000000-0005-0000-0000-00007A6F0000}"/>
    <cellStyle name="Normal 5 2 7 7 2" xfId="27354" xr:uid="{00000000-0005-0000-0000-00007B6F0000}"/>
    <cellStyle name="Normal 5 2 7 8" xfId="29899" xr:uid="{00000000-0005-0000-0000-00007C6F0000}"/>
    <cellStyle name="Normal 5 2 8" xfId="1090" xr:uid="{00000000-0005-0000-0000-00007D6F0000}"/>
    <cellStyle name="Normal 5 2 8 2" xfId="1275" xr:uid="{00000000-0005-0000-0000-00007E6F0000}"/>
    <cellStyle name="Normal 5 2 8 2 2" xfId="33574" xr:uid="{00000000-0005-0000-0000-00007F6F0000}"/>
    <cellStyle name="Normal 5 2 8 2 2 2" xfId="22430" xr:uid="{00000000-0005-0000-0000-0000806F0000}"/>
    <cellStyle name="Normal 5 2 8 2 3" xfId="33662" xr:uid="{00000000-0005-0000-0000-0000816F0000}"/>
    <cellStyle name="Normal 5 2 8 2 3 2" xfId="22446" xr:uid="{00000000-0005-0000-0000-0000826F0000}"/>
    <cellStyle name="Normal 5 2 8 2 4" xfId="33821" xr:uid="{00000000-0005-0000-0000-0000836F0000}"/>
    <cellStyle name="Normal 5 2 8 2 4 2" xfId="29902" xr:uid="{00000000-0005-0000-0000-0000846F0000}"/>
    <cellStyle name="Normal 5 2 8 2 5" xfId="31573" xr:uid="{00000000-0005-0000-0000-0000856F0000}"/>
    <cellStyle name="Normal 5 2 8 2 5 2" xfId="31422" xr:uid="{00000000-0005-0000-0000-0000866F0000}"/>
    <cellStyle name="Normal 5 2 8 2 6" xfId="26462" xr:uid="{00000000-0005-0000-0000-0000876F0000}"/>
    <cellStyle name="Normal 5 2 8 2 6 2" xfId="8791" xr:uid="{00000000-0005-0000-0000-0000886F0000}"/>
    <cellStyle name="Normal 5 2 8 2 7" xfId="16535" xr:uid="{00000000-0005-0000-0000-0000896F0000}"/>
    <cellStyle name="Normal 5 2 8 3" xfId="32789" xr:uid="{00000000-0005-0000-0000-00008A6F0000}"/>
    <cellStyle name="Normal 5 2 8 3 2" xfId="32620" xr:uid="{00000000-0005-0000-0000-00008B6F0000}"/>
    <cellStyle name="Normal 5 2 8 4" xfId="29903" xr:uid="{00000000-0005-0000-0000-00008C6F0000}"/>
    <cellStyle name="Normal 5 2 8 4 2" xfId="32647" xr:uid="{00000000-0005-0000-0000-00008D6F0000}"/>
    <cellStyle name="Normal 5 2 8 5" xfId="23002" xr:uid="{00000000-0005-0000-0000-00008E6F0000}"/>
    <cellStyle name="Normal 5 2 8 5 2" xfId="23836" xr:uid="{00000000-0005-0000-0000-00008F6F0000}"/>
    <cellStyle name="Normal 5 2 8 6" xfId="18991" xr:uid="{00000000-0005-0000-0000-0000906F0000}"/>
    <cellStyle name="Normal 5 2 8 6 2" xfId="29911" xr:uid="{00000000-0005-0000-0000-0000916F0000}"/>
    <cellStyle name="Normal 5 2 8 7" xfId="19003" xr:uid="{00000000-0005-0000-0000-0000926F0000}"/>
    <cellStyle name="Normal 5 2 8 7 2" xfId="27177" xr:uid="{00000000-0005-0000-0000-0000936F0000}"/>
    <cellStyle name="Normal 5 2 8 8" xfId="29914" xr:uid="{00000000-0005-0000-0000-0000946F0000}"/>
    <cellStyle name="Normal 5 2 9" xfId="1277" xr:uid="{00000000-0005-0000-0000-0000956F0000}"/>
    <cellStyle name="Normal 5 2 9 2" xfId="29916" xr:uid="{00000000-0005-0000-0000-0000966F0000}"/>
    <cellStyle name="Normal 5 2 9 2 2" xfId="10671" xr:uid="{00000000-0005-0000-0000-0000976F0000}"/>
    <cellStyle name="Normal 5 2 9 2 2 2" xfId="22585" xr:uid="{00000000-0005-0000-0000-0000986F0000}"/>
    <cellStyle name="Normal 5 2 9 2 3" xfId="19104" xr:uid="{00000000-0005-0000-0000-0000996F0000}"/>
    <cellStyle name="Normal 5 2 9 2 3 2" xfId="16214" xr:uid="{00000000-0005-0000-0000-00009A6F0000}"/>
    <cellStyle name="Normal 5 2 9 2 4" xfId="29917" xr:uid="{00000000-0005-0000-0000-00009B6F0000}"/>
    <cellStyle name="Normal 5 2 9 2 4 2" xfId="16234" xr:uid="{00000000-0005-0000-0000-00009C6F0000}"/>
    <cellStyle name="Normal 5 2 9 2 5" xfId="29920" xr:uid="{00000000-0005-0000-0000-00009D6F0000}"/>
    <cellStyle name="Normal 5 2 9 2 5 2" xfId="444" xr:uid="{00000000-0005-0000-0000-00009E6F0000}"/>
    <cellStyle name="Normal 5 2 9 2 6" xfId="28851" xr:uid="{00000000-0005-0000-0000-00009F6F0000}"/>
    <cellStyle name="Normal 5 2 9 2 6 2" xfId="29921" xr:uid="{00000000-0005-0000-0000-0000A06F0000}"/>
    <cellStyle name="Normal 5 2 9 2 7" xfId="25459" xr:uid="{00000000-0005-0000-0000-0000A16F0000}"/>
    <cellStyle name="Normal 5 2 9 3" xfId="29927" xr:uid="{00000000-0005-0000-0000-0000A26F0000}"/>
    <cellStyle name="Normal 5 2 9 3 2" xfId="32683" xr:uid="{00000000-0005-0000-0000-0000A36F0000}"/>
    <cellStyle name="Normal 5 2 9 4" xfId="29928" xr:uid="{00000000-0005-0000-0000-0000A46F0000}"/>
    <cellStyle name="Normal 5 2 9 4 2" xfId="32124" xr:uid="{00000000-0005-0000-0000-0000A56F0000}"/>
    <cellStyle name="Normal 5 2 9 5" xfId="27565" xr:uid="{00000000-0005-0000-0000-0000A66F0000}"/>
    <cellStyle name="Normal 5 2 9 5 2" xfId="26388" xr:uid="{00000000-0005-0000-0000-0000A76F0000}"/>
    <cellStyle name="Normal 5 2 9 6" xfId="4338" xr:uid="{00000000-0005-0000-0000-0000A86F0000}"/>
    <cellStyle name="Normal 5 2 9 6 2" xfId="26409" xr:uid="{00000000-0005-0000-0000-0000A96F0000}"/>
    <cellStyle name="Normal 5 2 9 7" xfId="31214" xr:uid="{00000000-0005-0000-0000-0000AA6F0000}"/>
    <cellStyle name="Normal 5 2 9 7 2" xfId="27344" xr:uid="{00000000-0005-0000-0000-0000AB6F0000}"/>
    <cellStyle name="Normal 5 2 9 8" xfId="29934" xr:uid="{00000000-0005-0000-0000-0000AC6F0000}"/>
    <cellStyle name="Normal 5 20" xfId="25020" xr:uid="{00000000-0005-0000-0000-0000AD6F0000}"/>
    <cellStyle name="Normal 5 20 2" xfId="27742" xr:uid="{00000000-0005-0000-0000-0000AE6F0000}"/>
    <cellStyle name="Normal 5 21" xfId="2668" xr:uid="{00000000-0005-0000-0000-0000AF6F0000}"/>
    <cellStyle name="Normal 5 21 2" xfId="29348" xr:uid="{00000000-0005-0000-0000-0000B06F0000}"/>
    <cellStyle name="Normal 5 22" xfId="20512" xr:uid="{00000000-0005-0000-0000-0000B16F0000}"/>
    <cellStyle name="Normal 5 3" xfId="3842" xr:uid="{00000000-0005-0000-0000-0000B26F0000}"/>
    <cellStyle name="Normal 5 3 2" xfId="29939" xr:uid="{00000000-0005-0000-0000-0000B36F0000}"/>
    <cellStyle name="Normal 5 3 2 2" xfId="29943" xr:uid="{00000000-0005-0000-0000-0000B46F0000}"/>
    <cellStyle name="Normal 5 3 2 2 2" xfId="25421" xr:uid="{00000000-0005-0000-0000-0000B56F0000}"/>
    <cellStyle name="Normal 5 3 2 2 2 2" xfId="9719" xr:uid="{00000000-0005-0000-0000-0000B66F0000}"/>
    <cellStyle name="Normal 5 3 2 2 2 2 2" xfId="29947" xr:uid="{00000000-0005-0000-0000-0000B76F0000}"/>
    <cellStyle name="Normal 5 3 2 2 2 2 2 2" xfId="4463" xr:uid="{00000000-0005-0000-0000-0000B86F0000}"/>
    <cellStyle name="Normal 5 3 2 2 2 2 2 2 2" xfId="8084" xr:uid="{00000000-0005-0000-0000-0000B96F0000}"/>
    <cellStyle name="Normal 5 3 2 2 2 2 2 2 2 2" xfId="32421" xr:uid="{00000000-0005-0000-0000-0000BA6F0000}"/>
    <cellStyle name="Normal 5 3 2 2 2 2 2 2 3" xfId="23493" xr:uid="{00000000-0005-0000-0000-0000BB6F0000}"/>
    <cellStyle name="Normal 5 3 2 2 2 2 2 3" xfId="12528" xr:uid="{00000000-0005-0000-0000-0000BC6F0000}"/>
    <cellStyle name="Normal 5 3 2 2 2 2 2 3 2" xfId="12535" xr:uid="{00000000-0005-0000-0000-0000BD6F0000}"/>
    <cellStyle name="Normal 5 3 2 2 2 2 2 4" xfId="12550" xr:uid="{00000000-0005-0000-0000-0000BE6F0000}"/>
    <cellStyle name="Normal 5 3 2 2 2 2 3" xfId="17905" xr:uid="{00000000-0005-0000-0000-0000BF6F0000}"/>
    <cellStyle name="Normal 5 3 2 2 2 2 3 2" xfId="22449" xr:uid="{00000000-0005-0000-0000-0000C06F0000}"/>
    <cellStyle name="Normal 5 3 2 2 2 2 3 2 2" xfId="22455" xr:uid="{00000000-0005-0000-0000-0000C16F0000}"/>
    <cellStyle name="Normal 5 3 2 2 2 2 3 3" xfId="22469" xr:uid="{00000000-0005-0000-0000-0000C26F0000}"/>
    <cellStyle name="Normal 5 3 2 2 2 2 4" xfId="22476" xr:uid="{00000000-0005-0000-0000-0000C36F0000}"/>
    <cellStyle name="Normal 5 3 2 2 2 2 4 2" xfId="22481" xr:uid="{00000000-0005-0000-0000-0000C46F0000}"/>
    <cellStyle name="Normal 5 3 2 2 2 2 5" xfId="23397" xr:uid="{00000000-0005-0000-0000-0000C56F0000}"/>
    <cellStyle name="Normal 5 3 2 2 2 3" xfId="2904" xr:uid="{00000000-0005-0000-0000-0000C66F0000}"/>
    <cellStyle name="Normal 5 3 2 2 2 3 2" xfId="29765" xr:uid="{00000000-0005-0000-0000-0000C76F0000}"/>
    <cellStyle name="Normal 5 3 2 2 2 3 2 2" xfId="29952" xr:uid="{00000000-0005-0000-0000-0000C86F0000}"/>
    <cellStyle name="Normal 5 3 2 2 2 3 2 2 2" xfId="29955" xr:uid="{00000000-0005-0000-0000-0000C96F0000}"/>
    <cellStyle name="Normal 5 3 2 2 2 3 2 3" xfId="11139" xr:uid="{00000000-0005-0000-0000-0000CA6F0000}"/>
    <cellStyle name="Normal 5 3 2 2 2 3 3" xfId="19713" xr:uid="{00000000-0005-0000-0000-0000CB6F0000}"/>
    <cellStyle name="Normal 5 3 2 2 2 3 3 2" xfId="26890" xr:uid="{00000000-0005-0000-0000-0000CC6F0000}"/>
    <cellStyle name="Normal 5 3 2 2 2 3 4" xfId="22498" xr:uid="{00000000-0005-0000-0000-0000CD6F0000}"/>
    <cellStyle name="Normal 5 3 2 2 2 4" xfId="29956" xr:uid="{00000000-0005-0000-0000-0000CE6F0000}"/>
    <cellStyle name="Normal 5 3 2 2 2 4 2" xfId="21760" xr:uid="{00000000-0005-0000-0000-0000CF6F0000}"/>
    <cellStyle name="Normal 5 3 2 2 2 4 2 2" xfId="9905" xr:uid="{00000000-0005-0000-0000-0000D06F0000}"/>
    <cellStyle name="Normal 5 3 2 2 2 4 3" xfId="22503" xr:uid="{00000000-0005-0000-0000-0000D16F0000}"/>
    <cellStyle name="Normal 5 3 2 2 2 5" xfId="29962" xr:uid="{00000000-0005-0000-0000-0000D26F0000}"/>
    <cellStyle name="Normal 5 3 2 2 2 5 2" xfId="26526" xr:uid="{00000000-0005-0000-0000-0000D36F0000}"/>
    <cellStyle name="Normal 5 3 2 2 2 6" xfId="28488" xr:uid="{00000000-0005-0000-0000-0000D46F0000}"/>
    <cellStyle name="Normal 5 3 2 2 3" xfId="30103" xr:uid="{00000000-0005-0000-0000-0000D56F0000}"/>
    <cellStyle name="Normal 5 3 2 2 3 2" xfId="9498" xr:uid="{00000000-0005-0000-0000-0000D66F0000}"/>
    <cellStyle name="Normal 5 3 2 2 3 2 2" xfId="29964" xr:uid="{00000000-0005-0000-0000-0000D76F0000}"/>
    <cellStyle name="Normal 5 3 2 2 3 2 2 2" xfId="21948" xr:uid="{00000000-0005-0000-0000-0000D86F0000}"/>
    <cellStyle name="Normal 5 3 2 2 3 2 2 2 2" xfId="29965" xr:uid="{00000000-0005-0000-0000-0000D96F0000}"/>
    <cellStyle name="Normal 5 3 2 2 3 2 2 3" xfId="8845" xr:uid="{00000000-0005-0000-0000-0000DA6F0000}"/>
    <cellStyle name="Normal 5 3 2 2 3 2 3" xfId="6617" xr:uid="{00000000-0005-0000-0000-0000DB6F0000}"/>
    <cellStyle name="Normal 5 3 2 2 3 2 3 2" xfId="6631" xr:uid="{00000000-0005-0000-0000-0000DC6F0000}"/>
    <cellStyle name="Normal 5 3 2 2 3 2 4" xfId="6048" xr:uid="{00000000-0005-0000-0000-0000DD6F0000}"/>
    <cellStyle name="Normal 5 3 2 2 3 3" xfId="3964" xr:uid="{00000000-0005-0000-0000-0000DE6F0000}"/>
    <cellStyle name="Normal 5 3 2 2 3 3 2" xfId="27371" xr:uid="{00000000-0005-0000-0000-0000DF6F0000}"/>
    <cellStyle name="Normal 5 3 2 2 3 3 2 2" xfId="18987" xr:uid="{00000000-0005-0000-0000-0000E06F0000}"/>
    <cellStyle name="Normal 5 3 2 2 3 3 3" xfId="6665" xr:uid="{00000000-0005-0000-0000-0000E16F0000}"/>
    <cellStyle name="Normal 5 3 2 2 3 4" xfId="29969" xr:uid="{00000000-0005-0000-0000-0000E26F0000}"/>
    <cellStyle name="Normal 5 3 2 2 3 4 2" xfId="29970" xr:uid="{00000000-0005-0000-0000-0000E36F0000}"/>
    <cellStyle name="Normal 5 3 2 2 3 5" xfId="29972" xr:uid="{00000000-0005-0000-0000-0000E46F0000}"/>
    <cellStyle name="Normal 5 3 2 2 4" xfId="23261" xr:uid="{00000000-0005-0000-0000-0000E56F0000}"/>
    <cellStyle name="Normal 5 3 2 2 4 2" xfId="23262" xr:uid="{00000000-0005-0000-0000-0000E66F0000}"/>
    <cellStyle name="Normal 5 3 2 2 4 2 2" xfId="11929" xr:uid="{00000000-0005-0000-0000-0000E76F0000}"/>
    <cellStyle name="Normal 5 3 2 2 4 2 2 2" xfId="29975" xr:uid="{00000000-0005-0000-0000-0000E86F0000}"/>
    <cellStyle name="Normal 5 3 2 2 4 2 3" xfId="12675" xr:uid="{00000000-0005-0000-0000-0000E96F0000}"/>
    <cellStyle name="Normal 5 3 2 2 4 3" xfId="21817" xr:uid="{00000000-0005-0000-0000-0000EA6F0000}"/>
    <cellStyle name="Normal 5 3 2 2 4 3 2" xfId="1623" xr:uid="{00000000-0005-0000-0000-0000EB6F0000}"/>
    <cellStyle name="Normal 5 3 2 2 4 4" xfId="29981" xr:uid="{00000000-0005-0000-0000-0000EC6F0000}"/>
    <cellStyle name="Normal 5 3 2 2 5" xfId="3286" xr:uid="{00000000-0005-0000-0000-0000ED6F0000}"/>
    <cellStyle name="Normal 5 3 2 2 5 2" xfId="1918" xr:uid="{00000000-0005-0000-0000-0000EE6F0000}"/>
    <cellStyle name="Normal 5 3 2 2 5 2 2" xfId="3637" xr:uid="{00000000-0005-0000-0000-0000EF6F0000}"/>
    <cellStyle name="Normal 5 3 2 2 5 3" xfId="29984" xr:uid="{00000000-0005-0000-0000-0000F06F0000}"/>
    <cellStyle name="Normal 5 3 2 2 6" xfId="27708" xr:uid="{00000000-0005-0000-0000-0000F16F0000}"/>
    <cellStyle name="Normal 5 3 2 2 6 2" xfId="28723" xr:uid="{00000000-0005-0000-0000-0000F26F0000}"/>
    <cellStyle name="Normal 5 3 2 2 7" xfId="32921" xr:uid="{00000000-0005-0000-0000-0000F36F0000}"/>
    <cellStyle name="Normal 5 3 2 3" xfId="32393" xr:uid="{00000000-0005-0000-0000-0000F46F0000}"/>
    <cellStyle name="Normal 5 3 2 3 2" xfId="29986" xr:uid="{00000000-0005-0000-0000-0000F56F0000}"/>
    <cellStyle name="Normal 5 3 2 3 2 2" xfId="9503" xr:uid="{00000000-0005-0000-0000-0000F66F0000}"/>
    <cellStyle name="Normal 5 3 2 3 2 2 2" xfId="33711" xr:uid="{00000000-0005-0000-0000-0000F76F0000}"/>
    <cellStyle name="Normal 5 3 2 3 2 2 2 2" xfId="27222" xr:uid="{00000000-0005-0000-0000-0000F86F0000}"/>
    <cellStyle name="Normal 5 3 2 3 2 2 2 2 2" xfId="29989" xr:uid="{00000000-0005-0000-0000-0000F96F0000}"/>
    <cellStyle name="Normal 5 3 2 3 2 2 2 3" xfId="10706" xr:uid="{00000000-0005-0000-0000-0000FA6F0000}"/>
    <cellStyle name="Normal 5 3 2 3 2 2 3" xfId="22789" xr:uid="{00000000-0005-0000-0000-0000FB6F0000}"/>
    <cellStyle name="Normal 5 3 2 3 2 2 3 2" xfId="22790" xr:uid="{00000000-0005-0000-0000-0000FC6F0000}"/>
    <cellStyle name="Normal 5 3 2 3 2 2 4" xfId="20856" xr:uid="{00000000-0005-0000-0000-0000FD6F0000}"/>
    <cellStyle name="Normal 5 3 2 3 2 3" xfId="29994" xr:uid="{00000000-0005-0000-0000-0000FE6F0000}"/>
    <cellStyle name="Normal 5 3 2 3 2 3 2" xfId="26460" xr:uid="{00000000-0005-0000-0000-0000FF6F0000}"/>
    <cellStyle name="Normal 5 3 2 3 2 3 2 2" xfId="29996" xr:uid="{00000000-0005-0000-0000-000000700000}"/>
    <cellStyle name="Normal 5 3 2 3 2 3 3" xfId="22797" xr:uid="{00000000-0005-0000-0000-000001700000}"/>
    <cellStyle name="Normal 5 3 2 3 2 4" xfId="29997" xr:uid="{00000000-0005-0000-0000-000002700000}"/>
    <cellStyle name="Normal 5 3 2 3 2 4 2" xfId="29998" xr:uid="{00000000-0005-0000-0000-000003700000}"/>
    <cellStyle name="Normal 5 3 2 3 2 5" xfId="26525" xr:uid="{00000000-0005-0000-0000-000004700000}"/>
    <cellStyle name="Normal 5 3 2 3 3" xfId="30001" xr:uid="{00000000-0005-0000-0000-000005700000}"/>
    <cellStyle name="Normal 5 3 2 3 3 2" xfId="30004" xr:uid="{00000000-0005-0000-0000-000006700000}"/>
    <cellStyle name="Normal 5 3 2 3 3 2 2" xfId="30013" xr:uid="{00000000-0005-0000-0000-000007700000}"/>
    <cellStyle name="Normal 5 3 2 3 3 2 2 2" xfId="2361" xr:uid="{00000000-0005-0000-0000-000008700000}"/>
    <cellStyle name="Normal 5 3 2 3 3 2 3" xfId="6332" xr:uid="{00000000-0005-0000-0000-000009700000}"/>
    <cellStyle name="Normal 5 3 2 3 3 3" xfId="23470" xr:uid="{00000000-0005-0000-0000-00000A700000}"/>
    <cellStyle name="Normal 5 3 2 3 3 3 2" xfId="27804" xr:uid="{00000000-0005-0000-0000-00000B700000}"/>
    <cellStyle name="Normal 5 3 2 3 3 4" xfId="30023" xr:uid="{00000000-0005-0000-0000-00000C700000}"/>
    <cellStyle name="Normal 5 3 2 3 4" xfId="23844" xr:uid="{00000000-0005-0000-0000-00000D700000}"/>
    <cellStyle name="Normal 5 3 2 3 4 2" xfId="26784" xr:uid="{00000000-0005-0000-0000-00000E700000}"/>
    <cellStyle name="Normal 5 3 2 3 4 2 2" xfId="5846" xr:uid="{00000000-0005-0000-0000-00000F700000}"/>
    <cellStyle name="Normal 5 3 2 3 4 3" xfId="30026" xr:uid="{00000000-0005-0000-0000-000010700000}"/>
    <cellStyle name="Normal 5 3 2 3 5" xfId="27474" xr:uid="{00000000-0005-0000-0000-000011700000}"/>
    <cellStyle name="Normal 5 3 2 3 5 2" xfId="30027" xr:uid="{00000000-0005-0000-0000-000012700000}"/>
    <cellStyle name="Normal 5 3 2 3 6" xfId="8541" xr:uid="{00000000-0005-0000-0000-000013700000}"/>
    <cellStyle name="Normal 5 3 2 4" xfId="30031" xr:uid="{00000000-0005-0000-0000-000014700000}"/>
    <cellStyle name="Normal 5 3 2 4 2" xfId="13637" xr:uid="{00000000-0005-0000-0000-000015700000}"/>
    <cellStyle name="Normal 5 3 2 4 2 2" xfId="28793" xr:uid="{00000000-0005-0000-0000-000016700000}"/>
    <cellStyle name="Normal 5 3 2 4 2 2 2" xfId="29883" xr:uid="{00000000-0005-0000-0000-000017700000}"/>
    <cellStyle name="Normal 5 3 2 4 2 2 2 2" xfId="22654" xr:uid="{00000000-0005-0000-0000-000018700000}"/>
    <cellStyle name="Normal 5 3 2 4 2 2 3" xfId="17551" xr:uid="{00000000-0005-0000-0000-000019700000}"/>
    <cellStyle name="Normal 5 3 2 4 2 3" xfId="27300" xr:uid="{00000000-0005-0000-0000-00001A700000}"/>
    <cellStyle name="Normal 5 3 2 4 2 3 2" xfId="30038" xr:uid="{00000000-0005-0000-0000-00001B700000}"/>
    <cellStyle name="Normal 5 3 2 4 2 4" xfId="30041" xr:uid="{00000000-0005-0000-0000-00001C700000}"/>
    <cellStyle name="Normal 5 3 2 4 3" xfId="30042" xr:uid="{00000000-0005-0000-0000-00001D700000}"/>
    <cellStyle name="Normal 5 3 2 4 3 2" xfId="28817" xr:uid="{00000000-0005-0000-0000-00001E700000}"/>
    <cellStyle name="Normal 5 3 2 4 3 2 2" xfId="27647" xr:uid="{00000000-0005-0000-0000-00001F700000}"/>
    <cellStyle name="Normal 5 3 2 4 3 3" xfId="28822" xr:uid="{00000000-0005-0000-0000-000020700000}"/>
    <cellStyle name="Normal 5 3 2 4 4" xfId="27716" xr:uid="{00000000-0005-0000-0000-000021700000}"/>
    <cellStyle name="Normal 5 3 2 4 4 2" xfId="30043" xr:uid="{00000000-0005-0000-0000-000022700000}"/>
    <cellStyle name="Normal 5 3 2 4 5" xfId="351" xr:uid="{00000000-0005-0000-0000-000023700000}"/>
    <cellStyle name="Normal 5 3 2 5" xfId="30047" xr:uid="{00000000-0005-0000-0000-000024700000}"/>
    <cellStyle name="Normal 5 3 2 5 2" xfId="27966" xr:uid="{00000000-0005-0000-0000-000025700000}"/>
    <cellStyle name="Normal 5 3 2 5 2 2" xfId="32715" xr:uid="{00000000-0005-0000-0000-000026700000}"/>
    <cellStyle name="Normal 5 3 2 5 2 2 2" xfId="32204" xr:uid="{00000000-0005-0000-0000-000027700000}"/>
    <cellStyle name="Normal 5 3 2 5 2 3" xfId="14428" xr:uid="{00000000-0005-0000-0000-000028700000}"/>
    <cellStyle name="Normal 5 3 2 5 3" xfId="21705" xr:uid="{00000000-0005-0000-0000-000029700000}"/>
    <cellStyle name="Normal 5 3 2 5 3 2" xfId="26042" xr:uid="{00000000-0005-0000-0000-00002A700000}"/>
    <cellStyle name="Normal 5 3 2 5 4" xfId="30052" xr:uid="{00000000-0005-0000-0000-00002B700000}"/>
    <cellStyle name="Normal 5 3 2 6" xfId="30058" xr:uid="{00000000-0005-0000-0000-00002C700000}"/>
    <cellStyle name="Normal 5 3 2 6 2" xfId="21709" xr:uid="{00000000-0005-0000-0000-00002D700000}"/>
    <cellStyle name="Normal 5 3 2 6 2 2" xfId="33429" xr:uid="{00000000-0005-0000-0000-00002E700000}"/>
    <cellStyle name="Normal 5 3 2 6 3" xfId="30059" xr:uid="{00000000-0005-0000-0000-00002F700000}"/>
    <cellStyle name="Normal 5 3 2 7" xfId="30060" xr:uid="{00000000-0005-0000-0000-000030700000}"/>
    <cellStyle name="Normal 5 3 2 7 2" xfId="30061" xr:uid="{00000000-0005-0000-0000-000031700000}"/>
    <cellStyle name="Normal 5 3 2 8" xfId="19220" xr:uid="{00000000-0005-0000-0000-000032700000}"/>
    <cellStyle name="Normal 5 3 3" xfId="31867" xr:uid="{00000000-0005-0000-0000-000033700000}"/>
    <cellStyle name="Normal 5 3 3 2" xfId="28757" xr:uid="{00000000-0005-0000-0000-000034700000}"/>
    <cellStyle name="Normal 5 3 3 2 2" xfId="25723" xr:uid="{00000000-0005-0000-0000-000035700000}"/>
    <cellStyle name="Normal 5 3 3 2 2 2" xfId="9243" xr:uid="{00000000-0005-0000-0000-000036700000}"/>
    <cellStyle name="Normal 5 3 3 2 2 2 2" xfId="25979" xr:uid="{00000000-0005-0000-0000-000037700000}"/>
    <cellStyle name="Normal 5 3 3 2 2 2 2 2" xfId="27551" xr:uid="{00000000-0005-0000-0000-000038700000}"/>
    <cellStyle name="Normal 5 3 3 2 2 2 2 2 2" xfId="30066" xr:uid="{00000000-0005-0000-0000-000039700000}"/>
    <cellStyle name="Normal 5 3 3 2 2 2 2 3" xfId="6270" xr:uid="{00000000-0005-0000-0000-00003A700000}"/>
    <cellStyle name="Normal 5 3 3 2 2 2 3" xfId="24895" xr:uid="{00000000-0005-0000-0000-00003B700000}"/>
    <cellStyle name="Normal 5 3 3 2 2 2 3 2" xfId="10543" xr:uid="{00000000-0005-0000-0000-00003C700000}"/>
    <cellStyle name="Normal 5 3 3 2 2 2 4" xfId="24896" xr:uid="{00000000-0005-0000-0000-00003D700000}"/>
    <cellStyle name="Normal 5 3 3 2 2 3" xfId="27992" xr:uid="{00000000-0005-0000-0000-00003E700000}"/>
    <cellStyle name="Normal 5 3 3 2 2 3 2" xfId="24428" xr:uid="{00000000-0005-0000-0000-00003F700000}"/>
    <cellStyle name="Normal 5 3 3 2 2 3 2 2" xfId="30070" xr:uid="{00000000-0005-0000-0000-000040700000}"/>
    <cellStyle name="Normal 5 3 3 2 2 3 3" xfId="24906" xr:uid="{00000000-0005-0000-0000-000041700000}"/>
    <cellStyle name="Normal 5 3 3 2 2 4" xfId="31498" xr:uid="{00000000-0005-0000-0000-000042700000}"/>
    <cellStyle name="Normal 5 3 3 2 2 4 2" xfId="30071" xr:uid="{00000000-0005-0000-0000-000043700000}"/>
    <cellStyle name="Normal 5 3 3 2 2 5" xfId="45" xr:uid="{00000000-0005-0000-0000-000044700000}"/>
    <cellStyle name="Normal 5 3 3 2 3" xfId="26649" xr:uid="{00000000-0005-0000-0000-000045700000}"/>
    <cellStyle name="Normal 5 3 3 2 3 2" xfId="31050" xr:uid="{00000000-0005-0000-0000-000046700000}"/>
    <cellStyle name="Normal 5 3 3 2 3 2 2" xfId="30072" xr:uid="{00000000-0005-0000-0000-000047700000}"/>
    <cellStyle name="Normal 5 3 3 2 3 2 2 2" xfId="32535" xr:uid="{00000000-0005-0000-0000-000048700000}"/>
    <cellStyle name="Normal 5 3 3 2 3 2 3" xfId="616" xr:uid="{00000000-0005-0000-0000-000049700000}"/>
    <cellStyle name="Normal 5 3 3 2 3 3" xfId="30755" xr:uid="{00000000-0005-0000-0000-00004A700000}"/>
    <cellStyle name="Normal 5 3 3 2 3 3 2" xfId="31542" xr:uid="{00000000-0005-0000-0000-00004B700000}"/>
    <cellStyle name="Normal 5 3 3 2 3 4" xfId="30078" xr:uid="{00000000-0005-0000-0000-00004C700000}"/>
    <cellStyle name="Normal 5 3 3 2 4" xfId="23293" xr:uid="{00000000-0005-0000-0000-00004D700000}"/>
    <cellStyle name="Normal 5 3 3 2 4 2" xfId="25857" xr:uid="{00000000-0005-0000-0000-00004E700000}"/>
    <cellStyle name="Normal 5 3 3 2 4 2 2" xfId="7707" xr:uid="{00000000-0005-0000-0000-00004F700000}"/>
    <cellStyle name="Normal 5 3 3 2 4 3" xfId="34010" xr:uid="{00000000-0005-0000-0000-000050700000}"/>
    <cellStyle name="Normal 5 3 3 2 5" xfId="27737" xr:uid="{00000000-0005-0000-0000-000051700000}"/>
    <cellStyle name="Normal 5 3 3 2 5 2" xfId="30079" xr:uid="{00000000-0005-0000-0000-000052700000}"/>
    <cellStyle name="Normal 5 3 3 2 6" xfId="22106" xr:uid="{00000000-0005-0000-0000-000053700000}"/>
    <cellStyle name="Normal 5 3 3 3" xfId="30087" xr:uid="{00000000-0005-0000-0000-000054700000}"/>
    <cellStyle name="Normal 5 3 3 3 2" xfId="30088" xr:uid="{00000000-0005-0000-0000-000055700000}"/>
    <cellStyle name="Normal 5 3 3 3 2 2" xfId="30092" xr:uid="{00000000-0005-0000-0000-000056700000}"/>
    <cellStyle name="Normal 5 3 3 3 2 2 2" xfId="32307" xr:uid="{00000000-0005-0000-0000-000057700000}"/>
    <cellStyle name="Normal 5 3 3 3 2 2 2 2" xfId="19271" xr:uid="{00000000-0005-0000-0000-000058700000}"/>
    <cellStyle name="Normal 5 3 3 3 2 2 3" xfId="25123" xr:uid="{00000000-0005-0000-0000-000059700000}"/>
    <cellStyle name="Normal 5 3 3 3 2 3" xfId="28542" xr:uid="{00000000-0005-0000-0000-00005A700000}"/>
    <cellStyle name="Normal 5 3 3 3 2 3 2" xfId="33844" xr:uid="{00000000-0005-0000-0000-00005B700000}"/>
    <cellStyle name="Normal 5 3 3 3 2 4" xfId="21156" xr:uid="{00000000-0005-0000-0000-00005C700000}"/>
    <cellStyle name="Normal 5 3 3 3 3" xfId="32772" xr:uid="{00000000-0005-0000-0000-00005D700000}"/>
    <cellStyle name="Normal 5 3 3 3 3 2" xfId="23555" xr:uid="{00000000-0005-0000-0000-00005E700000}"/>
    <cellStyle name="Normal 5 3 3 3 3 2 2" xfId="30567" xr:uid="{00000000-0005-0000-0000-00005F700000}"/>
    <cellStyle name="Normal 5 3 3 3 3 3" xfId="33904" xr:uid="{00000000-0005-0000-0000-000060700000}"/>
    <cellStyle name="Normal 5 3 3 3 4" xfId="25129" xr:uid="{00000000-0005-0000-0000-000061700000}"/>
    <cellStyle name="Normal 5 3 3 3 4 2" xfId="10820" xr:uid="{00000000-0005-0000-0000-000062700000}"/>
    <cellStyle name="Normal 5 3 3 3 5" xfId="33592" xr:uid="{00000000-0005-0000-0000-000063700000}"/>
    <cellStyle name="Normal 5 3 3 4" xfId="30098" xr:uid="{00000000-0005-0000-0000-000064700000}"/>
    <cellStyle name="Normal 5 3 3 4 2" xfId="283" xr:uid="{00000000-0005-0000-0000-000065700000}"/>
    <cellStyle name="Normal 5 3 3 4 2 2" xfId="30099" xr:uid="{00000000-0005-0000-0000-000066700000}"/>
    <cellStyle name="Normal 5 3 3 4 2 2 2" xfId="30100" xr:uid="{00000000-0005-0000-0000-000067700000}"/>
    <cellStyle name="Normal 5 3 3 4 2 3" xfId="30101" xr:uid="{00000000-0005-0000-0000-000068700000}"/>
    <cellStyle name="Normal 5 3 3 4 3" xfId="30575" xr:uid="{00000000-0005-0000-0000-000069700000}"/>
    <cellStyle name="Normal 5 3 3 4 3 2" xfId="27952" xr:uid="{00000000-0005-0000-0000-00006A700000}"/>
    <cellStyle name="Normal 5 3 3 4 4" xfId="30579" xr:uid="{00000000-0005-0000-0000-00006B700000}"/>
    <cellStyle name="Normal 5 3 3 5" xfId="30230" xr:uid="{00000000-0005-0000-0000-00006C700000}"/>
    <cellStyle name="Normal 5 3 3 5 2" xfId="21742" xr:uid="{00000000-0005-0000-0000-00006D700000}"/>
    <cellStyle name="Normal 5 3 3 5 2 2" xfId="33642" xr:uid="{00000000-0005-0000-0000-00006E700000}"/>
    <cellStyle name="Normal 5 3 3 5 3" xfId="30583" xr:uid="{00000000-0005-0000-0000-00006F700000}"/>
    <cellStyle name="Normal 5 3 3 6" xfId="19680" xr:uid="{00000000-0005-0000-0000-000070700000}"/>
    <cellStyle name="Normal 5 3 3 6 2" xfId="30108" xr:uid="{00000000-0005-0000-0000-000071700000}"/>
    <cellStyle name="Normal 5 3 3 7" xfId="30114" xr:uid="{00000000-0005-0000-0000-000072700000}"/>
    <cellStyle name="Normal 5 3 4" xfId="2135" xr:uid="{00000000-0005-0000-0000-000073700000}"/>
    <cellStyle name="Normal 5 3 4 2" xfId="2142" xr:uid="{00000000-0005-0000-0000-000074700000}"/>
    <cellStyle name="Normal 5 3 4 2 2" xfId="6211" xr:uid="{00000000-0005-0000-0000-000075700000}"/>
    <cellStyle name="Normal 5 3 4 2 2 2" xfId="6213" xr:uid="{00000000-0005-0000-0000-000076700000}"/>
    <cellStyle name="Normal 5 3 4 2 2 2 2" xfId="27769" xr:uid="{00000000-0005-0000-0000-000077700000}"/>
    <cellStyle name="Normal 5 3 4 2 2 2 2 2" xfId="29550" xr:uid="{00000000-0005-0000-0000-000078700000}"/>
    <cellStyle name="Normal 5 3 4 2 2 2 3" xfId="6503" xr:uid="{00000000-0005-0000-0000-000079700000}"/>
    <cellStyle name="Normal 5 3 4 2 2 3" xfId="531" xr:uid="{00000000-0005-0000-0000-00007A700000}"/>
    <cellStyle name="Normal 5 3 4 2 2 3 2" xfId="27031" xr:uid="{00000000-0005-0000-0000-00007B700000}"/>
    <cellStyle name="Normal 5 3 4 2 2 4" xfId="33209" xr:uid="{00000000-0005-0000-0000-00007C700000}"/>
    <cellStyle name="Normal 5 3 4 2 3" xfId="6216" xr:uid="{00000000-0005-0000-0000-00007D700000}"/>
    <cellStyle name="Normal 5 3 4 2 3 2" xfId="6221" xr:uid="{00000000-0005-0000-0000-00007E700000}"/>
    <cellStyle name="Normal 5 3 4 2 3 2 2" xfId="11392" xr:uid="{00000000-0005-0000-0000-00007F700000}"/>
    <cellStyle name="Normal 5 3 4 2 3 3" xfId="30116" xr:uid="{00000000-0005-0000-0000-000080700000}"/>
    <cellStyle name="Normal 5 3 4 2 4" xfId="27262" xr:uid="{00000000-0005-0000-0000-000081700000}"/>
    <cellStyle name="Normal 5 3 4 2 4 2" xfId="32747" xr:uid="{00000000-0005-0000-0000-000082700000}"/>
    <cellStyle name="Normal 5 3 4 2 5" xfId="32749" xr:uid="{00000000-0005-0000-0000-000083700000}"/>
    <cellStyle name="Normal 5 3 4 3" xfId="6224" xr:uid="{00000000-0005-0000-0000-000084700000}"/>
    <cellStyle name="Normal 5 3 4 3 2" xfId="6227" xr:uid="{00000000-0005-0000-0000-000085700000}"/>
    <cellStyle name="Normal 5 3 4 3 2 2" xfId="6229" xr:uid="{00000000-0005-0000-0000-000086700000}"/>
    <cellStyle name="Normal 5 3 4 3 2 2 2" xfId="28634" xr:uid="{00000000-0005-0000-0000-000087700000}"/>
    <cellStyle name="Normal 5 3 4 3 2 3" xfId="31507" xr:uid="{00000000-0005-0000-0000-000088700000}"/>
    <cellStyle name="Normal 5 3 4 3 3" xfId="6232" xr:uid="{00000000-0005-0000-0000-000089700000}"/>
    <cellStyle name="Normal 5 3 4 3 3 2" xfId="33627" xr:uid="{00000000-0005-0000-0000-00008A700000}"/>
    <cellStyle name="Normal 5 3 4 3 4" xfId="30997" xr:uid="{00000000-0005-0000-0000-00008B700000}"/>
    <cellStyle name="Normal 5 3 4 4" xfId="6234" xr:uid="{00000000-0005-0000-0000-00008C700000}"/>
    <cellStyle name="Normal 5 3 4 4 2" xfId="239" xr:uid="{00000000-0005-0000-0000-00008D700000}"/>
    <cellStyle name="Normal 5 3 4 4 2 2" xfId="2116" xr:uid="{00000000-0005-0000-0000-00008E700000}"/>
    <cellStyle name="Normal 5 3 4 4 3" xfId="32378" xr:uid="{00000000-0005-0000-0000-00008F700000}"/>
    <cellStyle name="Normal 5 3 4 5" xfId="6241" xr:uid="{00000000-0005-0000-0000-000090700000}"/>
    <cellStyle name="Normal 5 3 4 5 2" xfId="33600" xr:uid="{00000000-0005-0000-0000-000091700000}"/>
    <cellStyle name="Normal 5 3 4 6" xfId="30121" xr:uid="{00000000-0005-0000-0000-000092700000}"/>
    <cellStyle name="Normal 5 3 5" xfId="706" xr:uid="{00000000-0005-0000-0000-000093700000}"/>
    <cellStyle name="Normal 5 3 5 2" xfId="6245" xr:uid="{00000000-0005-0000-0000-000094700000}"/>
    <cellStyle name="Normal 5 3 5 2 2" xfId="10565" xr:uid="{00000000-0005-0000-0000-000095700000}"/>
    <cellStyle name="Normal 5 3 5 2 2 2" xfId="27119" xr:uid="{00000000-0005-0000-0000-000096700000}"/>
    <cellStyle name="Normal 5 3 5 2 2 2 2" xfId="26292" xr:uid="{00000000-0005-0000-0000-000097700000}"/>
    <cellStyle name="Normal 5 3 5 2 2 3" xfId="26307" xr:uid="{00000000-0005-0000-0000-000098700000}"/>
    <cellStyle name="Normal 5 3 5 2 3" xfId="10569" xr:uid="{00000000-0005-0000-0000-000099700000}"/>
    <cellStyle name="Normal 5 3 5 2 3 2" xfId="4281" xr:uid="{00000000-0005-0000-0000-00009A700000}"/>
    <cellStyle name="Normal 5 3 5 2 4" xfId="31537" xr:uid="{00000000-0005-0000-0000-00009B700000}"/>
    <cellStyle name="Normal 5 3 5 3" xfId="6248" xr:uid="{00000000-0005-0000-0000-00009C700000}"/>
    <cellStyle name="Normal 5 3 5 3 2" xfId="6260" xr:uid="{00000000-0005-0000-0000-00009D700000}"/>
    <cellStyle name="Normal 5 3 5 3 2 2" xfId="20220" xr:uid="{00000000-0005-0000-0000-00009E700000}"/>
    <cellStyle name="Normal 5 3 5 3 3" xfId="31923" xr:uid="{00000000-0005-0000-0000-00009F700000}"/>
    <cellStyle name="Normal 5 3 5 4" xfId="6262" xr:uid="{00000000-0005-0000-0000-0000A0700000}"/>
    <cellStyle name="Normal 5 3 5 4 2" xfId="371" xr:uid="{00000000-0005-0000-0000-0000A1700000}"/>
    <cellStyle name="Normal 5 3 5 5" xfId="30122" xr:uid="{00000000-0005-0000-0000-0000A2700000}"/>
    <cellStyle name="Normal 5 3 6" xfId="10585" xr:uid="{00000000-0005-0000-0000-0000A3700000}"/>
    <cellStyle name="Normal 5 3 6 2" xfId="11854" xr:uid="{00000000-0005-0000-0000-0000A4700000}"/>
    <cellStyle name="Normal 5 3 6 2 2" xfId="10579" xr:uid="{00000000-0005-0000-0000-0000A5700000}"/>
    <cellStyle name="Normal 5 3 6 2 2 2" xfId="11751" xr:uid="{00000000-0005-0000-0000-0000A6700000}"/>
    <cellStyle name="Normal 5 3 6 2 3" xfId="30123" xr:uid="{00000000-0005-0000-0000-0000A7700000}"/>
    <cellStyle name="Normal 5 3 6 3" xfId="13344" xr:uid="{00000000-0005-0000-0000-0000A8700000}"/>
    <cellStyle name="Normal 5 3 6 3 2" xfId="33179" xr:uid="{00000000-0005-0000-0000-0000A9700000}"/>
    <cellStyle name="Normal 5 3 6 4" xfId="13349" xr:uid="{00000000-0005-0000-0000-0000AA700000}"/>
    <cellStyle name="Normal 5 3 7" xfId="1077" xr:uid="{00000000-0005-0000-0000-0000AB700000}"/>
    <cellStyle name="Normal 5 3 7 2" xfId="11862" xr:uid="{00000000-0005-0000-0000-0000AC700000}"/>
    <cellStyle name="Normal 5 3 7 2 2" xfId="30920" xr:uid="{00000000-0005-0000-0000-0000AD700000}"/>
    <cellStyle name="Normal 5 3 7 3" xfId="11944" xr:uid="{00000000-0005-0000-0000-0000AE700000}"/>
    <cellStyle name="Normal 5 3 8" xfId="1310" xr:uid="{00000000-0005-0000-0000-0000AF700000}"/>
    <cellStyle name="Normal 5 3 8 2" xfId="11950" xr:uid="{00000000-0005-0000-0000-0000B0700000}"/>
    <cellStyle name="Normal 5 3 9" xfId="26999" xr:uid="{00000000-0005-0000-0000-0000B1700000}"/>
    <cellStyle name="Normal 5 4" xfId="30679" xr:uid="{00000000-0005-0000-0000-0000B2700000}"/>
    <cellStyle name="Normal 5 4 2" xfId="30280" xr:uid="{00000000-0005-0000-0000-0000B3700000}"/>
    <cellStyle name="Normal 5 4 2 2" xfId="24059" xr:uid="{00000000-0005-0000-0000-0000B4700000}"/>
    <cellStyle name="Normal 5 4 2 2 2" xfId="26668" xr:uid="{00000000-0005-0000-0000-0000B5700000}"/>
    <cellStyle name="Normal 5 4 2 2 2 2" xfId="9517" xr:uid="{00000000-0005-0000-0000-0000B6700000}"/>
    <cellStyle name="Normal 5 4 2 2 2 2 2" xfId="26056" xr:uid="{00000000-0005-0000-0000-0000B7700000}"/>
    <cellStyle name="Normal 5 4 2 2 2 2 2 2" xfId="30127" xr:uid="{00000000-0005-0000-0000-0000B8700000}"/>
    <cellStyle name="Normal 5 4 2 2 2 2 2 2 2" xfId="28295" xr:uid="{00000000-0005-0000-0000-0000B9700000}"/>
    <cellStyle name="Normal 5 4 2 2 2 2 2 3" xfId="11438" xr:uid="{00000000-0005-0000-0000-0000BA700000}"/>
    <cellStyle name="Normal 5 4 2 2 2 2 3" xfId="20365" xr:uid="{00000000-0005-0000-0000-0000BB700000}"/>
    <cellStyle name="Normal 5 4 2 2 2 2 3 2" xfId="28248" xr:uid="{00000000-0005-0000-0000-0000BC700000}"/>
    <cellStyle name="Normal 5 4 2 2 2 2 4" xfId="30069" xr:uid="{00000000-0005-0000-0000-0000BD700000}"/>
    <cellStyle name="Normal 5 4 2 2 2 3" xfId="30131" xr:uid="{00000000-0005-0000-0000-0000BE700000}"/>
    <cellStyle name="Normal 5 4 2 2 2 3 2" xfId="29114" xr:uid="{00000000-0005-0000-0000-0000BF700000}"/>
    <cellStyle name="Normal 5 4 2 2 2 3 2 2" xfId="30142" xr:uid="{00000000-0005-0000-0000-0000C0700000}"/>
    <cellStyle name="Normal 5 4 2 2 2 3 3" xfId="23877" xr:uid="{00000000-0005-0000-0000-0000C1700000}"/>
    <cellStyle name="Normal 5 4 2 2 2 4" xfId="20433" xr:uid="{00000000-0005-0000-0000-0000C2700000}"/>
    <cellStyle name="Normal 5 4 2 2 2 4 2" xfId="1484" xr:uid="{00000000-0005-0000-0000-0000C3700000}"/>
    <cellStyle name="Normal 5 4 2 2 2 5" xfId="20437" xr:uid="{00000000-0005-0000-0000-0000C4700000}"/>
    <cellStyle name="Normal 5 4 2 2 3" xfId="26671" xr:uid="{00000000-0005-0000-0000-0000C5700000}"/>
    <cellStyle name="Normal 5 4 2 2 3 2" xfId="31626" xr:uid="{00000000-0005-0000-0000-0000C6700000}"/>
    <cellStyle name="Normal 5 4 2 2 3 2 2" xfId="20303" xr:uid="{00000000-0005-0000-0000-0000C7700000}"/>
    <cellStyle name="Normal 5 4 2 2 3 2 2 2" xfId="3925" xr:uid="{00000000-0005-0000-0000-0000C8700000}"/>
    <cellStyle name="Normal 5 4 2 2 3 2 3" xfId="27890" xr:uid="{00000000-0005-0000-0000-0000C9700000}"/>
    <cellStyle name="Normal 5 4 2 2 3 3" xfId="30156" xr:uid="{00000000-0005-0000-0000-0000CA700000}"/>
    <cellStyle name="Normal 5 4 2 2 3 3 2" xfId="30158" xr:uid="{00000000-0005-0000-0000-0000CB700000}"/>
    <cellStyle name="Normal 5 4 2 2 3 4" xfId="22804" xr:uid="{00000000-0005-0000-0000-0000CC700000}"/>
    <cellStyle name="Normal 5 4 2 2 4" xfId="19677" xr:uid="{00000000-0005-0000-0000-0000CD700000}"/>
    <cellStyle name="Normal 5 4 2 2 4 2" xfId="25608" xr:uid="{00000000-0005-0000-0000-0000CE700000}"/>
    <cellStyle name="Normal 5 4 2 2 4 2 2" xfId="13267" xr:uid="{00000000-0005-0000-0000-0000CF700000}"/>
    <cellStyle name="Normal 5 4 2 2 4 3" xfId="28175" xr:uid="{00000000-0005-0000-0000-0000D0700000}"/>
    <cellStyle name="Normal 5 4 2 2 5" xfId="19681" xr:uid="{00000000-0005-0000-0000-0000D1700000}"/>
    <cellStyle name="Normal 5 4 2 2 5 2" xfId="31130" xr:uid="{00000000-0005-0000-0000-0000D2700000}"/>
    <cellStyle name="Normal 5 4 2 2 6" xfId="22166" xr:uid="{00000000-0005-0000-0000-0000D3700000}"/>
    <cellStyle name="Normal 5 4 2 3" xfId="24065" xr:uid="{00000000-0005-0000-0000-0000D4700000}"/>
    <cellStyle name="Normal 5 4 2 3 2" xfId="26242" xr:uid="{00000000-0005-0000-0000-0000D5700000}"/>
    <cellStyle name="Normal 5 4 2 3 2 2" xfId="6769" xr:uid="{00000000-0005-0000-0000-0000D6700000}"/>
    <cellStyle name="Normal 5 4 2 3 2 2 2" xfId="28094" xr:uid="{00000000-0005-0000-0000-0000D7700000}"/>
    <cellStyle name="Normal 5 4 2 3 2 2 2 2" xfId="31649" xr:uid="{00000000-0005-0000-0000-0000D8700000}"/>
    <cellStyle name="Normal 5 4 2 3 2 2 3" xfId="6742" xr:uid="{00000000-0005-0000-0000-0000D9700000}"/>
    <cellStyle name="Normal 5 4 2 3 2 3" xfId="6772" xr:uid="{00000000-0005-0000-0000-0000DA700000}"/>
    <cellStyle name="Normal 5 4 2 3 2 3 2" xfId="28110" xr:uid="{00000000-0005-0000-0000-0000DB700000}"/>
    <cellStyle name="Normal 5 4 2 3 2 4" xfId="20464" xr:uid="{00000000-0005-0000-0000-0000DC700000}"/>
    <cellStyle name="Normal 5 4 2 3 3" xfId="30169" xr:uid="{00000000-0005-0000-0000-0000DD700000}"/>
    <cellStyle name="Normal 5 4 2 3 3 2" xfId="6780" xr:uid="{00000000-0005-0000-0000-0000DE700000}"/>
    <cellStyle name="Normal 5 4 2 3 3 2 2" xfId="30176" xr:uid="{00000000-0005-0000-0000-0000DF700000}"/>
    <cellStyle name="Normal 5 4 2 3 3 3" xfId="21316" xr:uid="{00000000-0005-0000-0000-0000E0700000}"/>
    <cellStyle name="Normal 5 4 2 3 4" xfId="14698" xr:uid="{00000000-0005-0000-0000-0000E1700000}"/>
    <cellStyle name="Normal 5 4 2 3 4 2" xfId="30173" xr:uid="{00000000-0005-0000-0000-0000E2700000}"/>
    <cellStyle name="Normal 5 4 2 3 5" xfId="29953" xr:uid="{00000000-0005-0000-0000-0000E3700000}"/>
    <cellStyle name="Normal 5 4 2 4" xfId="24525" xr:uid="{00000000-0005-0000-0000-0000E4700000}"/>
    <cellStyle name="Normal 5 4 2 4 2" xfId="25381" xr:uid="{00000000-0005-0000-0000-0000E5700000}"/>
    <cellStyle name="Normal 5 4 2 4 2 2" xfId="6789" xr:uid="{00000000-0005-0000-0000-0000E6700000}"/>
    <cellStyle name="Normal 5 4 2 4 2 2 2" xfId="28137" xr:uid="{00000000-0005-0000-0000-0000E7700000}"/>
    <cellStyle name="Normal 5 4 2 4 2 3" xfId="28144" xr:uid="{00000000-0005-0000-0000-0000E8700000}"/>
    <cellStyle name="Normal 5 4 2 4 3" xfId="30199" xr:uid="{00000000-0005-0000-0000-0000E9700000}"/>
    <cellStyle name="Normal 5 4 2 4 3 2" xfId="30204" xr:uid="{00000000-0005-0000-0000-0000EA700000}"/>
    <cellStyle name="Normal 5 4 2 4 4" xfId="31898" xr:uid="{00000000-0005-0000-0000-0000EB700000}"/>
    <cellStyle name="Normal 5 4 2 5" xfId="22434" xr:uid="{00000000-0005-0000-0000-0000EC700000}"/>
    <cellStyle name="Normal 5 4 2 5 2" xfId="30698" xr:uid="{00000000-0005-0000-0000-0000ED700000}"/>
    <cellStyle name="Normal 5 4 2 5 2 2" xfId="27392" xr:uid="{00000000-0005-0000-0000-0000EE700000}"/>
    <cellStyle name="Normal 5 4 2 5 3" xfId="30213" xr:uid="{00000000-0005-0000-0000-0000EF700000}"/>
    <cellStyle name="Normal 5 4 2 6" xfId="30221" xr:uid="{00000000-0005-0000-0000-0000F0700000}"/>
    <cellStyle name="Normal 5 4 2 6 2" xfId="30753" xr:uid="{00000000-0005-0000-0000-0000F1700000}"/>
    <cellStyle name="Normal 5 4 2 7" xfId="30225" xr:uid="{00000000-0005-0000-0000-0000F2700000}"/>
    <cellStyle name="Normal 5 4 3" xfId="31882" xr:uid="{00000000-0005-0000-0000-0000F3700000}"/>
    <cellStyle name="Normal 5 4 3 2" xfId="22146" xr:uid="{00000000-0005-0000-0000-0000F4700000}"/>
    <cellStyle name="Normal 5 4 3 2 2" xfId="25623" xr:uid="{00000000-0005-0000-0000-0000F5700000}"/>
    <cellStyle name="Normal 5 4 3 2 2 2" xfId="22776" xr:uid="{00000000-0005-0000-0000-0000F6700000}"/>
    <cellStyle name="Normal 5 4 3 2 2 2 2" xfId="32391" xr:uid="{00000000-0005-0000-0000-0000F7700000}"/>
    <cellStyle name="Normal 5 4 3 2 2 2 2 2" xfId="30237" xr:uid="{00000000-0005-0000-0000-0000F8700000}"/>
    <cellStyle name="Normal 5 4 3 2 2 2 3" xfId="30236" xr:uid="{00000000-0005-0000-0000-0000F9700000}"/>
    <cellStyle name="Normal 5 4 3 2 2 3" xfId="30241" xr:uid="{00000000-0005-0000-0000-0000FA700000}"/>
    <cellStyle name="Normal 5 4 3 2 2 3 2" xfId="15358" xr:uid="{00000000-0005-0000-0000-0000FB700000}"/>
    <cellStyle name="Normal 5 4 3 2 2 4" xfId="20546" xr:uid="{00000000-0005-0000-0000-0000FC700000}"/>
    <cellStyle name="Normal 5 4 3 2 3" xfId="19614" xr:uid="{00000000-0005-0000-0000-0000FD700000}"/>
    <cellStyle name="Normal 5 4 3 2 3 2" xfId="26929" xr:uid="{00000000-0005-0000-0000-0000FE700000}"/>
    <cellStyle name="Normal 5 4 3 2 3 2 2" xfId="30248" xr:uid="{00000000-0005-0000-0000-0000FF700000}"/>
    <cellStyle name="Normal 5 4 3 2 3 3" xfId="26933" xr:uid="{00000000-0005-0000-0000-000000710000}"/>
    <cellStyle name="Normal 5 4 3 2 4" xfId="27900" xr:uid="{00000000-0005-0000-0000-000001710000}"/>
    <cellStyle name="Normal 5 4 3 2 4 2" xfId="26938" xr:uid="{00000000-0005-0000-0000-000002710000}"/>
    <cellStyle name="Normal 5 4 3 2 5" xfId="30253" xr:uid="{00000000-0005-0000-0000-000003710000}"/>
    <cellStyle name="Normal 5 4 3 3" xfId="20244" xr:uid="{00000000-0005-0000-0000-000004710000}"/>
    <cellStyle name="Normal 5 4 3 3 2" xfId="26984" xr:uid="{00000000-0005-0000-0000-000005710000}"/>
    <cellStyle name="Normal 5 4 3 3 2 2" xfId="6800" xr:uid="{00000000-0005-0000-0000-000006710000}"/>
    <cellStyle name="Normal 5 4 3 3 2 2 2" xfId="30261" xr:uid="{00000000-0005-0000-0000-000007710000}"/>
    <cellStyle name="Normal 5 4 3 3 2 3" xfId="30265" xr:uid="{00000000-0005-0000-0000-000008710000}"/>
    <cellStyle name="Normal 5 4 3 3 3" xfId="29620" xr:uid="{00000000-0005-0000-0000-000009710000}"/>
    <cellStyle name="Normal 5 4 3 3 3 2" xfId="28693" xr:uid="{00000000-0005-0000-0000-00000A710000}"/>
    <cellStyle name="Normal 5 4 3 3 4" xfId="31931" xr:uid="{00000000-0005-0000-0000-00000B710000}"/>
    <cellStyle name="Normal 5 4 3 4" xfId="28784" xr:uid="{00000000-0005-0000-0000-00000C710000}"/>
    <cellStyle name="Normal 5 4 3 4 2" xfId="28521" xr:uid="{00000000-0005-0000-0000-00000D710000}"/>
    <cellStyle name="Normal 5 4 3 4 2 2" xfId="29681" xr:uid="{00000000-0005-0000-0000-00000E710000}"/>
    <cellStyle name="Normal 5 4 3 4 3" xfId="30269" xr:uid="{00000000-0005-0000-0000-00000F710000}"/>
    <cellStyle name="Normal 5 4 3 5" xfId="27307" xr:uid="{00000000-0005-0000-0000-000010710000}"/>
    <cellStyle name="Normal 5 4 3 5 2" xfId="344" xr:uid="{00000000-0005-0000-0000-000011710000}"/>
    <cellStyle name="Normal 5 4 3 6" xfId="25200" xr:uid="{00000000-0005-0000-0000-000012710000}"/>
    <cellStyle name="Normal 5 4 4" xfId="336" xr:uid="{00000000-0005-0000-0000-000013710000}"/>
    <cellStyle name="Normal 5 4 4 2" xfId="3124" xr:uid="{00000000-0005-0000-0000-000014710000}"/>
    <cellStyle name="Normal 5 4 4 2 2" xfId="4572" xr:uid="{00000000-0005-0000-0000-000015710000}"/>
    <cellStyle name="Normal 5 4 4 2 2 2" xfId="6278" xr:uid="{00000000-0005-0000-0000-000016710000}"/>
    <cellStyle name="Normal 5 4 4 2 2 2 2" xfId="30273" xr:uid="{00000000-0005-0000-0000-000017710000}"/>
    <cellStyle name="Normal 5 4 4 2 2 3" xfId="26988" xr:uid="{00000000-0005-0000-0000-000018710000}"/>
    <cellStyle name="Normal 5 4 4 2 3" xfId="4576" xr:uid="{00000000-0005-0000-0000-000019710000}"/>
    <cellStyle name="Normal 5 4 4 2 3 2" xfId="19383" xr:uid="{00000000-0005-0000-0000-00001A710000}"/>
    <cellStyle name="Normal 5 4 4 2 4" xfId="30282" xr:uid="{00000000-0005-0000-0000-00001B710000}"/>
    <cellStyle name="Normal 5 4 4 3" xfId="4583" xr:uid="{00000000-0005-0000-0000-00001C710000}"/>
    <cellStyle name="Normal 5 4 4 3 2" xfId="4587" xr:uid="{00000000-0005-0000-0000-00001D710000}"/>
    <cellStyle name="Normal 5 4 4 3 2 2" xfId="27004" xr:uid="{00000000-0005-0000-0000-00001E710000}"/>
    <cellStyle name="Normal 5 4 4 3 3" xfId="31182" xr:uid="{00000000-0005-0000-0000-00001F710000}"/>
    <cellStyle name="Normal 5 4 4 4" xfId="4597" xr:uid="{00000000-0005-0000-0000-000020710000}"/>
    <cellStyle name="Normal 5 4 4 4 2" xfId="32246" xr:uid="{00000000-0005-0000-0000-000021710000}"/>
    <cellStyle name="Normal 5 4 4 5" xfId="30291" xr:uid="{00000000-0005-0000-0000-000022710000}"/>
    <cellStyle name="Normal 5 4 5" xfId="6280" xr:uid="{00000000-0005-0000-0000-000023710000}"/>
    <cellStyle name="Normal 5 4 5 2" xfId="4619" xr:uid="{00000000-0005-0000-0000-000024710000}"/>
    <cellStyle name="Normal 5 4 5 2 2" xfId="13476" xr:uid="{00000000-0005-0000-0000-000025710000}"/>
    <cellStyle name="Normal 5 4 5 2 2 2" xfId="20970" xr:uid="{00000000-0005-0000-0000-000026710000}"/>
    <cellStyle name="Normal 5 4 5 2 3" xfId="26208" xr:uid="{00000000-0005-0000-0000-000027710000}"/>
    <cellStyle name="Normal 5 4 5 3" xfId="305" xr:uid="{00000000-0005-0000-0000-000028710000}"/>
    <cellStyle name="Normal 5 4 5 3 2" xfId="30791" xr:uid="{00000000-0005-0000-0000-000029710000}"/>
    <cellStyle name="Normal 5 4 5 4" xfId="27656" xr:uid="{00000000-0005-0000-0000-00002A710000}"/>
    <cellStyle name="Normal 5 4 6" xfId="6284" xr:uid="{00000000-0005-0000-0000-00002B710000}"/>
    <cellStyle name="Normal 5 4 6 2" xfId="27434" xr:uid="{00000000-0005-0000-0000-00002C710000}"/>
    <cellStyle name="Normal 5 4 6 2 2" xfId="28271" xr:uid="{00000000-0005-0000-0000-00002D710000}"/>
    <cellStyle name="Normal 5 4 6 3" xfId="10224" xr:uid="{00000000-0005-0000-0000-00002E710000}"/>
    <cellStyle name="Normal 5 4 7" xfId="11278" xr:uid="{00000000-0005-0000-0000-00002F710000}"/>
    <cellStyle name="Normal 5 4 7 2" xfId="11968" xr:uid="{00000000-0005-0000-0000-000030710000}"/>
    <cellStyle name="Normal 5 4 8" xfId="26591" xr:uid="{00000000-0005-0000-0000-000031710000}"/>
    <cellStyle name="Normal 5 5" xfId="26261" xr:uid="{00000000-0005-0000-0000-000032710000}"/>
    <cellStyle name="Normal 5 5 2" xfId="31514" xr:uid="{00000000-0005-0000-0000-000033710000}"/>
    <cellStyle name="Normal 5 5 2 2" xfId="15977" xr:uid="{00000000-0005-0000-0000-000034710000}"/>
    <cellStyle name="Normal 5 5 2 2 2" xfId="30296" xr:uid="{00000000-0005-0000-0000-000035710000}"/>
    <cellStyle name="Normal 5 5 2 2 2 2" xfId="31416" xr:uid="{00000000-0005-0000-0000-000036710000}"/>
    <cellStyle name="Normal 5 5 2 2 2 2 2" xfId="31420" xr:uid="{00000000-0005-0000-0000-000037710000}"/>
    <cellStyle name="Normal 5 5 2 2 2 2 2 2" xfId="1036" xr:uid="{00000000-0005-0000-0000-000038710000}"/>
    <cellStyle name="Normal 5 5 2 2 2 2 3" xfId="30417" xr:uid="{00000000-0005-0000-0000-000039710000}"/>
    <cellStyle name="Normal 5 5 2 2 2 3" xfId="30297" xr:uid="{00000000-0005-0000-0000-00003A710000}"/>
    <cellStyle name="Normal 5 5 2 2 2 3 2" xfId="30299" xr:uid="{00000000-0005-0000-0000-00003B710000}"/>
    <cellStyle name="Normal 5 5 2 2 2 4" xfId="26572" xr:uid="{00000000-0005-0000-0000-00003C710000}"/>
    <cellStyle name="Normal 5 5 2 2 3" xfId="21104" xr:uid="{00000000-0005-0000-0000-00003D710000}"/>
    <cellStyle name="Normal 5 5 2 2 3 2" xfId="29478" xr:uid="{00000000-0005-0000-0000-00003E710000}"/>
    <cellStyle name="Normal 5 5 2 2 3 2 2" xfId="25453" xr:uid="{00000000-0005-0000-0000-00003F710000}"/>
    <cellStyle name="Normal 5 5 2 2 3 3" xfId="24303" xr:uid="{00000000-0005-0000-0000-000040710000}"/>
    <cellStyle name="Normal 5 5 2 2 4" xfId="4133" xr:uid="{00000000-0005-0000-0000-000041710000}"/>
    <cellStyle name="Normal 5 5 2 2 4 2" xfId="30302" xr:uid="{00000000-0005-0000-0000-000042710000}"/>
    <cellStyle name="Normal 5 5 2 2 5" xfId="20307" xr:uid="{00000000-0005-0000-0000-000043710000}"/>
    <cellStyle name="Normal 5 5 2 3" xfId="24579" xr:uid="{00000000-0005-0000-0000-000044710000}"/>
    <cellStyle name="Normal 5 5 2 3 2" xfId="23788" xr:uid="{00000000-0005-0000-0000-000045710000}"/>
    <cellStyle name="Normal 5 5 2 3 2 2" xfId="2346" xr:uid="{00000000-0005-0000-0000-000046710000}"/>
    <cellStyle name="Normal 5 5 2 3 2 2 2" xfId="28279" xr:uid="{00000000-0005-0000-0000-000047710000}"/>
    <cellStyle name="Normal 5 5 2 3 2 3" xfId="26589" xr:uid="{00000000-0005-0000-0000-000048710000}"/>
    <cellStyle name="Normal 5 5 2 3 3" xfId="18955" xr:uid="{00000000-0005-0000-0000-000049710000}"/>
    <cellStyle name="Normal 5 5 2 3 3 2" xfId="30327" xr:uid="{00000000-0005-0000-0000-00004A710000}"/>
    <cellStyle name="Normal 5 5 2 3 4" xfId="30217" xr:uid="{00000000-0005-0000-0000-00004B710000}"/>
    <cellStyle name="Normal 5 5 2 4" xfId="30489" xr:uid="{00000000-0005-0000-0000-00004C710000}"/>
    <cellStyle name="Normal 5 5 2 4 2" xfId="3839" xr:uid="{00000000-0005-0000-0000-00004D710000}"/>
    <cellStyle name="Normal 5 5 2 4 2 2" xfId="28318" xr:uid="{00000000-0005-0000-0000-00004E710000}"/>
    <cellStyle name="Normal 5 5 2 4 3" xfId="30307" xr:uid="{00000000-0005-0000-0000-00004F710000}"/>
    <cellStyle name="Normal 5 5 2 5" xfId="31067" xr:uid="{00000000-0005-0000-0000-000050710000}"/>
    <cellStyle name="Normal 5 5 2 5 2" xfId="30693" xr:uid="{00000000-0005-0000-0000-000051710000}"/>
    <cellStyle name="Normal 5 5 2 6" xfId="30308" xr:uid="{00000000-0005-0000-0000-000052710000}"/>
    <cellStyle name="Normal 5 5 2 6 2" xfId="30818" xr:uid="{00000000-0005-0000-0000-000053710000}"/>
    <cellStyle name="Normal 5 5 2 7" xfId="30922" xr:uid="{00000000-0005-0000-0000-000054710000}"/>
    <cellStyle name="Normal 5 5 3" xfId="30316" xr:uid="{00000000-0005-0000-0000-000055710000}"/>
    <cellStyle name="Normal 5 5 3 2" xfId="32692" xr:uid="{00000000-0005-0000-0000-000056710000}"/>
    <cellStyle name="Normal 5 5 3 2 2" xfId="33702" xr:uid="{00000000-0005-0000-0000-000057710000}"/>
    <cellStyle name="Normal 5 5 3 2 2 2" xfId="30967" xr:uid="{00000000-0005-0000-0000-000058710000}"/>
    <cellStyle name="Normal 5 5 3 2 2 2 2" xfId="31184" xr:uid="{00000000-0005-0000-0000-000059710000}"/>
    <cellStyle name="Normal 5 5 3 2 2 3" xfId="21496" xr:uid="{00000000-0005-0000-0000-00005A710000}"/>
    <cellStyle name="Normal 5 5 3 2 3" xfId="29503" xr:uid="{00000000-0005-0000-0000-00005B710000}"/>
    <cellStyle name="Normal 5 5 3 2 3 2" xfId="20519" xr:uid="{00000000-0005-0000-0000-00005C710000}"/>
    <cellStyle name="Normal 5 5 3 2 4" xfId="24967" xr:uid="{00000000-0005-0000-0000-00005D710000}"/>
    <cellStyle name="Normal 5 5 3 3" xfId="32700" xr:uid="{00000000-0005-0000-0000-00005E710000}"/>
    <cellStyle name="Normal 5 5 3 3 2" xfId="32531" xr:uid="{00000000-0005-0000-0000-00005F710000}"/>
    <cellStyle name="Normal 5 5 3 3 2 2" xfId="24392" xr:uid="{00000000-0005-0000-0000-000060710000}"/>
    <cellStyle name="Normal 5 5 3 3 3" xfId="29649" xr:uid="{00000000-0005-0000-0000-000061710000}"/>
    <cellStyle name="Normal 5 5 3 4" xfId="31582" xr:uid="{00000000-0005-0000-0000-000062710000}"/>
    <cellStyle name="Normal 5 5 3 4 2" xfId="28472" xr:uid="{00000000-0005-0000-0000-000063710000}"/>
    <cellStyle name="Normal 5 5 3 5" xfId="30688" xr:uid="{00000000-0005-0000-0000-000064710000}"/>
    <cellStyle name="Normal 5 5 4" xfId="14327" xr:uid="{00000000-0005-0000-0000-000065710000}"/>
    <cellStyle name="Normal 5 5 4 2" xfId="4712" xr:uid="{00000000-0005-0000-0000-000066710000}"/>
    <cellStyle name="Normal 5 5 4 2 2" xfId="9230" xr:uid="{00000000-0005-0000-0000-000067710000}"/>
    <cellStyle name="Normal 5 5 4 2 2 2" xfId="31054" xr:uid="{00000000-0005-0000-0000-000068710000}"/>
    <cellStyle name="Normal 5 5 4 2 3" xfId="30526" xr:uid="{00000000-0005-0000-0000-000069710000}"/>
    <cellStyle name="Normal 5 5 4 3" xfId="4806" xr:uid="{00000000-0005-0000-0000-00006A710000}"/>
    <cellStyle name="Normal 5 5 4 3 2" xfId="32928" xr:uid="{00000000-0005-0000-0000-00006B710000}"/>
    <cellStyle name="Normal 5 5 4 4" xfId="28476" xr:uid="{00000000-0005-0000-0000-00006C710000}"/>
    <cellStyle name="Normal 5 5 5" xfId="6286" xr:uid="{00000000-0005-0000-0000-00006D710000}"/>
    <cellStyle name="Normal 5 5 5 2" xfId="1866" xr:uid="{00000000-0005-0000-0000-00006E710000}"/>
    <cellStyle name="Normal 5 5 5 2 2" xfId="32103" xr:uid="{00000000-0005-0000-0000-00006F710000}"/>
    <cellStyle name="Normal 5 5 5 3" xfId="21748" xr:uid="{00000000-0005-0000-0000-000070710000}"/>
    <cellStyle name="Normal 5 5 6" xfId="6289" xr:uid="{00000000-0005-0000-0000-000071710000}"/>
    <cellStyle name="Normal 5 5 6 2" xfId="11975" xr:uid="{00000000-0005-0000-0000-000072710000}"/>
    <cellStyle name="Normal 5 5 7" xfId="30330" xr:uid="{00000000-0005-0000-0000-000073710000}"/>
    <cellStyle name="Normal 5 5 7 2" xfId="5686" xr:uid="{00000000-0005-0000-0000-000074710000}"/>
    <cellStyle name="Normal 5 5 8" xfId="28299" xr:uid="{00000000-0005-0000-0000-000075710000}"/>
    <cellStyle name="Normal 5 6" xfId="31333" xr:uid="{00000000-0005-0000-0000-000076710000}"/>
    <cellStyle name="Normal 5 6 2" xfId="31464" xr:uid="{00000000-0005-0000-0000-000077710000}"/>
    <cellStyle name="Normal 5 6 2 2" xfId="5784" xr:uid="{00000000-0005-0000-0000-000078710000}"/>
    <cellStyle name="Normal 5 6 2 2 2" xfId="28943" xr:uid="{00000000-0005-0000-0000-000079710000}"/>
    <cellStyle name="Normal 5 6 2 2 2 2" xfId="29967" xr:uid="{00000000-0005-0000-0000-00007A710000}"/>
    <cellStyle name="Normal 5 6 2 2 2 2 2" xfId="30339" xr:uid="{00000000-0005-0000-0000-00007B710000}"/>
    <cellStyle name="Normal 5 6 2 2 2 3" xfId="20647" xr:uid="{00000000-0005-0000-0000-00007C710000}"/>
    <cellStyle name="Normal 5 6 2 2 3" xfId="24236" xr:uid="{00000000-0005-0000-0000-00007D710000}"/>
    <cellStyle name="Normal 5 6 2 2 3 2" xfId="28000" xr:uid="{00000000-0005-0000-0000-00007E710000}"/>
    <cellStyle name="Normal 5 6 2 2 4" xfId="30350" xr:uid="{00000000-0005-0000-0000-00007F710000}"/>
    <cellStyle name="Normal 5 6 2 3" xfId="29968" xr:uid="{00000000-0005-0000-0000-000080710000}"/>
    <cellStyle name="Normal 5 6 2 3 2" xfId="14472" xr:uid="{00000000-0005-0000-0000-000081710000}"/>
    <cellStyle name="Normal 5 6 2 3 2 2" xfId="28602" xr:uid="{00000000-0005-0000-0000-000082710000}"/>
    <cellStyle name="Normal 5 6 2 3 3" xfId="14475" xr:uid="{00000000-0005-0000-0000-000083710000}"/>
    <cellStyle name="Normal 5 6 2 4" xfId="25468" xr:uid="{00000000-0005-0000-0000-000084710000}"/>
    <cellStyle name="Normal 5 6 2 4 2" xfId="12482" xr:uid="{00000000-0005-0000-0000-000085710000}"/>
    <cellStyle name="Normal 5 6 2 5" xfId="30310" xr:uid="{00000000-0005-0000-0000-000086710000}"/>
    <cellStyle name="Normal 5 6 2 5 2" xfId="31223" xr:uid="{00000000-0005-0000-0000-000087710000}"/>
    <cellStyle name="Normal 5 6 2 6" xfId="27395" xr:uid="{00000000-0005-0000-0000-000088710000}"/>
    <cellStyle name="Normal 5 6 2 6 2" xfId="19642" xr:uid="{00000000-0005-0000-0000-000089710000}"/>
    <cellStyle name="Normal 5 6 2 7" xfId="34025" xr:uid="{00000000-0005-0000-0000-00008A710000}"/>
    <cellStyle name="Normal 5 6 3" xfId="6108" xr:uid="{00000000-0005-0000-0000-00008B710000}"/>
    <cellStyle name="Normal 5 6 3 2" xfId="33473" xr:uid="{00000000-0005-0000-0000-00008C710000}"/>
    <cellStyle name="Normal 5 6 3 2 2" xfId="32010" xr:uid="{00000000-0005-0000-0000-00008D710000}"/>
    <cellStyle name="Normal 5 6 3 2 2 2" xfId="28884" xr:uid="{00000000-0005-0000-0000-00008E710000}"/>
    <cellStyle name="Normal 5 6 3 2 3" xfId="30360" xr:uid="{00000000-0005-0000-0000-00008F710000}"/>
    <cellStyle name="Normal 5 6 3 3" xfId="29976" xr:uid="{00000000-0005-0000-0000-000090710000}"/>
    <cellStyle name="Normal 5 6 3 3 2" xfId="13125" xr:uid="{00000000-0005-0000-0000-000091710000}"/>
    <cellStyle name="Normal 5 6 3 4" xfId="30368" xr:uid="{00000000-0005-0000-0000-000092710000}"/>
    <cellStyle name="Normal 5 6 4" xfId="6298" xr:uid="{00000000-0005-0000-0000-000093710000}"/>
    <cellStyle name="Normal 5 6 4 2" xfId="11670" xr:uid="{00000000-0005-0000-0000-000094710000}"/>
    <cellStyle name="Normal 5 6 4 2 2" xfId="30376" xr:uid="{00000000-0005-0000-0000-000095710000}"/>
    <cellStyle name="Normal 5 6 4 3" xfId="30382" xr:uid="{00000000-0005-0000-0000-000096710000}"/>
    <cellStyle name="Normal 5 6 5" xfId="3496" xr:uid="{00000000-0005-0000-0000-000097710000}"/>
    <cellStyle name="Normal 5 6 5 2" xfId="18519" xr:uid="{00000000-0005-0000-0000-000098710000}"/>
    <cellStyle name="Normal 5 6 6" xfId="29317" xr:uid="{00000000-0005-0000-0000-000099710000}"/>
    <cellStyle name="Normal 5 6 6 2" xfId="8838" xr:uid="{00000000-0005-0000-0000-00009A710000}"/>
    <cellStyle name="Normal 5 6 7" xfId="21037" xr:uid="{00000000-0005-0000-0000-00009B710000}"/>
    <cellStyle name="Normal 5 6 7 2" xfId="31918" xr:uid="{00000000-0005-0000-0000-00009C710000}"/>
    <cellStyle name="Normal 5 6 8" xfId="21449" xr:uid="{00000000-0005-0000-0000-00009D710000}"/>
    <cellStyle name="Normal 5 7" xfId="33389" xr:uid="{00000000-0005-0000-0000-00009E710000}"/>
    <cellStyle name="Normal 5 7 2" xfId="30653" xr:uid="{00000000-0005-0000-0000-00009F710000}"/>
    <cellStyle name="Normal 5 7 2 2" xfId="30017" xr:uid="{00000000-0005-0000-0000-0000A0710000}"/>
    <cellStyle name="Normal 5 7 2 2 2" xfId="27803" xr:uid="{00000000-0005-0000-0000-0000A1710000}"/>
    <cellStyle name="Normal 5 7 2 2 2 2" xfId="27806" xr:uid="{00000000-0005-0000-0000-0000A2710000}"/>
    <cellStyle name="Normal 5 7 2 2 3" xfId="31092" xr:uid="{00000000-0005-0000-0000-0000A3710000}"/>
    <cellStyle name="Normal 5 7 2 3" xfId="30022" xr:uid="{00000000-0005-0000-0000-0000A4710000}"/>
    <cellStyle name="Normal 5 7 2 3 2" xfId="14481" xr:uid="{00000000-0005-0000-0000-0000A5710000}"/>
    <cellStyle name="Normal 5 7 2 4" xfId="33683" xr:uid="{00000000-0005-0000-0000-0000A6710000}"/>
    <cellStyle name="Normal 5 7 2 4 2" xfId="27168" xr:uid="{00000000-0005-0000-0000-0000A7710000}"/>
    <cellStyle name="Normal 5 7 2 5" xfId="30285" xr:uid="{00000000-0005-0000-0000-0000A8710000}"/>
    <cellStyle name="Normal 5 7 2 5 2" xfId="32546" xr:uid="{00000000-0005-0000-0000-0000A9710000}"/>
    <cellStyle name="Normal 5 7 2 6" xfId="32331" xr:uid="{00000000-0005-0000-0000-0000AA710000}"/>
    <cellStyle name="Normal 5 7 2 6 2" xfId="20076" xr:uid="{00000000-0005-0000-0000-0000AB710000}"/>
    <cellStyle name="Normal 5 7 2 7" xfId="33736" xr:uid="{00000000-0005-0000-0000-0000AC710000}"/>
    <cellStyle name="Normal 5 7 3" xfId="30385" xr:uid="{00000000-0005-0000-0000-0000AD710000}"/>
    <cellStyle name="Normal 5 7 3 2" xfId="30025" xr:uid="{00000000-0005-0000-0000-0000AE710000}"/>
    <cellStyle name="Normal 5 7 3 2 2" xfId="30390" xr:uid="{00000000-0005-0000-0000-0000AF710000}"/>
    <cellStyle name="Normal 5 7 3 3" xfId="14510" xr:uid="{00000000-0005-0000-0000-0000B0710000}"/>
    <cellStyle name="Normal 5 7 4" xfId="6302" xr:uid="{00000000-0005-0000-0000-0000B1710000}"/>
    <cellStyle name="Normal 5 7 4 2" xfId="30393" xr:uid="{00000000-0005-0000-0000-0000B2710000}"/>
    <cellStyle name="Normal 5 7 5" xfId="30396" xr:uid="{00000000-0005-0000-0000-0000B3710000}"/>
    <cellStyle name="Normal 5 7 5 2" xfId="30397" xr:uid="{00000000-0005-0000-0000-0000B4710000}"/>
    <cellStyle name="Normal 5 7 6" xfId="30405" xr:uid="{00000000-0005-0000-0000-0000B5710000}"/>
    <cellStyle name="Normal 5 7 6 2" xfId="30416" xr:uid="{00000000-0005-0000-0000-0000B6710000}"/>
    <cellStyle name="Normal 5 7 7" xfId="21467" xr:uid="{00000000-0005-0000-0000-0000B7710000}"/>
    <cellStyle name="Normal 5 7 7 2" xfId="21477" xr:uid="{00000000-0005-0000-0000-0000B8710000}"/>
    <cellStyle name="Normal 5 7 8" xfId="21498" xr:uid="{00000000-0005-0000-0000-0000B9710000}"/>
    <cellStyle name="Normal 5 8" xfId="10385" xr:uid="{00000000-0005-0000-0000-0000BA710000}"/>
    <cellStyle name="Normal 5 8 2" xfId="29633" xr:uid="{00000000-0005-0000-0000-0000BB710000}"/>
    <cellStyle name="Normal 5 8 2 2" xfId="574" xr:uid="{00000000-0005-0000-0000-0000BC710000}"/>
    <cellStyle name="Normal 5 8 2 2 2" xfId="29030" xr:uid="{00000000-0005-0000-0000-0000BD710000}"/>
    <cellStyle name="Normal 5 8 2 3" xfId="19572" xr:uid="{00000000-0005-0000-0000-0000BE710000}"/>
    <cellStyle name="Normal 5 8 2 3 2" xfId="28083" xr:uid="{00000000-0005-0000-0000-0000BF710000}"/>
    <cellStyle name="Normal 5 8 2 4" xfId="30433" xr:uid="{00000000-0005-0000-0000-0000C0710000}"/>
    <cellStyle name="Normal 5 8 2 4 2" xfId="32355" xr:uid="{00000000-0005-0000-0000-0000C1710000}"/>
    <cellStyle name="Normal 5 8 2 5" xfId="19279" xr:uid="{00000000-0005-0000-0000-0000C2710000}"/>
    <cellStyle name="Normal 5 8 2 5 2" xfId="15777" xr:uid="{00000000-0005-0000-0000-0000C3710000}"/>
    <cellStyle name="Normal 5 8 2 6" xfId="32447" xr:uid="{00000000-0005-0000-0000-0000C4710000}"/>
    <cellStyle name="Normal 5 8 2 6 2" xfId="31797" xr:uid="{00000000-0005-0000-0000-0000C5710000}"/>
    <cellStyle name="Normal 5 8 2 7" xfId="9275" xr:uid="{00000000-0005-0000-0000-0000C6710000}"/>
    <cellStyle name="Normal 5 8 3" xfId="4699" xr:uid="{00000000-0005-0000-0000-0000C7710000}"/>
    <cellStyle name="Normal 5 8 3 2" xfId="28855" xr:uid="{00000000-0005-0000-0000-0000C8710000}"/>
    <cellStyle name="Normal 5 8 4" xfId="4708" xr:uid="{00000000-0005-0000-0000-0000C9710000}"/>
    <cellStyle name="Normal 5 8 4 2" xfId="30436" xr:uid="{00000000-0005-0000-0000-0000CA710000}"/>
    <cellStyle name="Normal 5 8 5" xfId="810" xr:uid="{00000000-0005-0000-0000-0000CB710000}"/>
    <cellStyle name="Normal 5 8 5 2" xfId="29679" xr:uid="{00000000-0005-0000-0000-0000CC710000}"/>
    <cellStyle name="Normal 5 8 6" xfId="29684" xr:uid="{00000000-0005-0000-0000-0000CD710000}"/>
    <cellStyle name="Normal 5 8 6 2" xfId="23040" xr:uid="{00000000-0005-0000-0000-0000CE710000}"/>
    <cellStyle name="Normal 5 8 7" xfId="21514" xr:uid="{00000000-0005-0000-0000-0000CF710000}"/>
    <cellStyle name="Normal 5 8 7 2" xfId="22" xr:uid="{00000000-0005-0000-0000-0000D0710000}"/>
    <cellStyle name="Normal 5 8 8" xfId="21525" xr:uid="{00000000-0005-0000-0000-0000D1710000}"/>
    <cellStyle name="Normal 5 9" xfId="10388" xr:uid="{00000000-0005-0000-0000-0000D2710000}"/>
    <cellStyle name="Normal 5 9 2" xfId="21692" xr:uid="{00000000-0005-0000-0000-0000D3710000}"/>
    <cellStyle name="Normal 5 9 2 2" xfId="30451" xr:uid="{00000000-0005-0000-0000-0000D4710000}"/>
    <cellStyle name="Normal 5 9 2 2 2" xfId="5608" xr:uid="{00000000-0005-0000-0000-0000D5710000}"/>
    <cellStyle name="Normal 5 9 2 3" xfId="30454" xr:uid="{00000000-0005-0000-0000-0000D6710000}"/>
    <cellStyle name="Normal 5 9 2 3 2" xfId="29767" xr:uid="{00000000-0005-0000-0000-0000D7710000}"/>
    <cellStyle name="Normal 5 9 2 4" xfId="30458" xr:uid="{00000000-0005-0000-0000-0000D8710000}"/>
    <cellStyle name="Normal 5 9 2 4 2" xfId="29773" xr:uid="{00000000-0005-0000-0000-0000D9710000}"/>
    <cellStyle name="Normal 5 9 2 5" xfId="33707" xr:uid="{00000000-0005-0000-0000-0000DA710000}"/>
    <cellStyle name="Normal 5 9 2 5 2" xfId="32031" xr:uid="{00000000-0005-0000-0000-0000DB710000}"/>
    <cellStyle name="Normal 5 9 2 6" xfId="11502" xr:uid="{00000000-0005-0000-0000-0000DC710000}"/>
    <cellStyle name="Normal 5 9 2 6 2" xfId="33477" xr:uid="{00000000-0005-0000-0000-0000DD710000}"/>
    <cellStyle name="Normal 5 9 2 7" xfId="1522" xr:uid="{00000000-0005-0000-0000-0000DE710000}"/>
    <cellStyle name="Normal 5 9 3" xfId="4717" xr:uid="{00000000-0005-0000-0000-0000DF710000}"/>
    <cellStyle name="Normal 5 9 3 2" xfId="24864" xr:uid="{00000000-0005-0000-0000-0000E0710000}"/>
    <cellStyle name="Normal 5 9 4" xfId="435" xr:uid="{00000000-0005-0000-0000-0000E1710000}"/>
    <cellStyle name="Normal 5 9 4 2" xfId="22622" xr:uid="{00000000-0005-0000-0000-0000E2710000}"/>
    <cellStyle name="Normal 5 9 5" xfId="24737" xr:uid="{00000000-0005-0000-0000-0000E3710000}"/>
    <cellStyle name="Normal 5 9 5 2" xfId="29799" xr:uid="{00000000-0005-0000-0000-0000E4710000}"/>
    <cellStyle name="Normal 5 9 6" xfId="16438" xr:uid="{00000000-0005-0000-0000-0000E5710000}"/>
    <cellStyle name="Normal 5 9 6 2" xfId="3346" xr:uid="{00000000-0005-0000-0000-0000E6710000}"/>
    <cellStyle name="Normal 5 9 7" xfId="16447" xr:uid="{00000000-0005-0000-0000-0000E7710000}"/>
    <cellStyle name="Normal 5 9 7 2" xfId="16450" xr:uid="{00000000-0005-0000-0000-0000E8710000}"/>
    <cellStyle name="Normal 5 9 8" xfId="16463" xr:uid="{00000000-0005-0000-0000-0000E9710000}"/>
    <cellStyle name="Normal 6" xfId="33256" xr:uid="{00000000-0005-0000-0000-0000EA710000}"/>
    <cellStyle name="Normal 6 2" xfId="32703" xr:uid="{00000000-0005-0000-0000-0000EB710000}"/>
    <cellStyle name="Normal 7" xfId="32701" xr:uid="{00000000-0005-0000-0000-0000EC710000}"/>
    <cellStyle name="Normal 7 10" xfId="15302" xr:uid="{00000000-0005-0000-0000-0000ED710000}"/>
    <cellStyle name="Normal 7 2" xfId="27400" xr:uid="{00000000-0005-0000-0000-0000EE710000}"/>
    <cellStyle name="Normal 7 2 2" xfId="26149" xr:uid="{00000000-0005-0000-0000-0000EF710000}"/>
    <cellStyle name="Normal 7 2 2 2" xfId="27547" xr:uid="{00000000-0005-0000-0000-0000F0710000}"/>
    <cellStyle name="Normal 7 2 2 2 2" xfId="12930" xr:uid="{00000000-0005-0000-0000-0000F1710000}"/>
    <cellStyle name="Normal 7 2 2 2 2 2" xfId="16911" xr:uid="{00000000-0005-0000-0000-0000F2710000}"/>
    <cellStyle name="Normal 7 2 2 2 2 2 2" xfId="19499" xr:uid="{00000000-0005-0000-0000-0000F3710000}"/>
    <cellStyle name="Normal 7 2 2 2 2 2 2 2" xfId="30702" xr:uid="{00000000-0005-0000-0000-0000F4710000}"/>
    <cellStyle name="Normal 7 2 2 2 2 2 2 2 2" xfId="1398" xr:uid="{00000000-0005-0000-0000-0000F5710000}"/>
    <cellStyle name="Normal 7 2 2 2 2 2 2 2 2 2" xfId="16022" xr:uid="{00000000-0005-0000-0000-0000F6710000}"/>
    <cellStyle name="Normal 7 2 2 2 2 2 2 2 3" xfId="5648" xr:uid="{00000000-0005-0000-0000-0000F7710000}"/>
    <cellStyle name="Normal 7 2 2 2 2 2 2 3" xfId="30471" xr:uid="{00000000-0005-0000-0000-0000F8710000}"/>
    <cellStyle name="Normal 7 2 2 2 2 2 2 3 2" xfId="5705" xr:uid="{00000000-0005-0000-0000-0000F9710000}"/>
    <cellStyle name="Normal 7 2 2 2 2 2 2 4" xfId="7676" xr:uid="{00000000-0005-0000-0000-0000FA710000}"/>
    <cellStyle name="Normal 7 2 2 2 2 2 3" xfId="30472" xr:uid="{00000000-0005-0000-0000-0000FB710000}"/>
    <cellStyle name="Normal 7 2 2 2 2 2 3 2" xfId="30734" xr:uid="{00000000-0005-0000-0000-0000FC710000}"/>
    <cellStyle name="Normal 7 2 2 2 2 2 3 2 2" xfId="5804" xr:uid="{00000000-0005-0000-0000-0000FD710000}"/>
    <cellStyle name="Normal 7 2 2 2 2 2 3 3" xfId="30673" xr:uid="{00000000-0005-0000-0000-0000FE710000}"/>
    <cellStyle name="Normal 7 2 2 2 2 2 4" xfId="6507" xr:uid="{00000000-0005-0000-0000-0000FF710000}"/>
    <cellStyle name="Normal 7 2 2 2 2 2 4 2" xfId="30473" xr:uid="{00000000-0005-0000-0000-000000720000}"/>
    <cellStyle name="Normal 7 2 2 2 2 2 5" xfId="23463" xr:uid="{00000000-0005-0000-0000-000001720000}"/>
    <cellStyle name="Normal 7 2 2 2 2 3" xfId="9667" xr:uid="{00000000-0005-0000-0000-000002720000}"/>
    <cellStyle name="Normal 7 2 2 2 2 3 2" xfId="30597" xr:uid="{00000000-0005-0000-0000-000003720000}"/>
    <cellStyle name="Normal 7 2 2 2 2 3 2 2" xfId="31178" xr:uid="{00000000-0005-0000-0000-000004720000}"/>
    <cellStyle name="Normal 7 2 2 2 2 3 2 2 2" xfId="6182" xr:uid="{00000000-0005-0000-0000-000005720000}"/>
    <cellStyle name="Normal 7 2 2 2 2 3 2 3" xfId="30480" xr:uid="{00000000-0005-0000-0000-000006720000}"/>
    <cellStyle name="Normal 7 2 2 2 2 3 3" xfId="23502" xr:uid="{00000000-0005-0000-0000-000007720000}"/>
    <cellStyle name="Normal 7 2 2 2 2 3 3 2" xfId="30484" xr:uid="{00000000-0005-0000-0000-000008720000}"/>
    <cellStyle name="Normal 7 2 2 2 2 3 4" xfId="23416" xr:uid="{00000000-0005-0000-0000-000009720000}"/>
    <cellStyle name="Normal 7 2 2 2 2 4" xfId="18938" xr:uid="{00000000-0005-0000-0000-00000A720000}"/>
    <cellStyle name="Normal 7 2 2 2 2 4 2" xfId="18943" xr:uid="{00000000-0005-0000-0000-00000B720000}"/>
    <cellStyle name="Normal 7 2 2 2 2 4 2 2" xfId="5337" xr:uid="{00000000-0005-0000-0000-00000C720000}"/>
    <cellStyle name="Normal 7 2 2 2 2 4 3" xfId="23509" xr:uid="{00000000-0005-0000-0000-00000D720000}"/>
    <cellStyle name="Normal 7 2 2 2 2 5" xfId="22657" xr:uid="{00000000-0005-0000-0000-00000E720000}"/>
    <cellStyle name="Normal 7 2 2 2 2 5 2" xfId="18949" xr:uid="{00000000-0005-0000-0000-00000F720000}"/>
    <cellStyle name="Normal 7 2 2 2 2 6" xfId="18953" xr:uid="{00000000-0005-0000-0000-000010720000}"/>
    <cellStyle name="Normal 7 2 2 2 3" xfId="26767" xr:uid="{00000000-0005-0000-0000-000011720000}"/>
    <cellStyle name="Normal 7 2 2 2 3 2" xfId="16914" xr:uid="{00000000-0005-0000-0000-000012720000}"/>
    <cellStyle name="Normal 7 2 2 2 3 2 2" xfId="31286" xr:uid="{00000000-0005-0000-0000-000013720000}"/>
    <cellStyle name="Normal 7 2 2 2 3 2 2 2" xfId="25732" xr:uid="{00000000-0005-0000-0000-000014720000}"/>
    <cellStyle name="Normal 7 2 2 2 3 2 2 2 2" xfId="3562" xr:uid="{00000000-0005-0000-0000-000015720000}"/>
    <cellStyle name="Normal 7 2 2 2 3 2 2 3" xfId="18349" xr:uid="{00000000-0005-0000-0000-000016720000}"/>
    <cellStyle name="Normal 7 2 2 2 3 2 3" xfId="30807" xr:uid="{00000000-0005-0000-0000-000017720000}"/>
    <cellStyle name="Normal 7 2 2 2 3 2 3 2" xfId="25741" xr:uid="{00000000-0005-0000-0000-000018720000}"/>
    <cellStyle name="Normal 7 2 2 2 3 2 4" xfId="933" xr:uid="{00000000-0005-0000-0000-000019720000}"/>
    <cellStyle name="Normal 7 2 2 2 3 3" xfId="33102" xr:uid="{00000000-0005-0000-0000-00001A720000}"/>
    <cellStyle name="Normal 7 2 2 2 3 3 2" xfId="29217" xr:uid="{00000000-0005-0000-0000-00001B720000}"/>
    <cellStyle name="Normal 7 2 2 2 3 3 2 2" xfId="25757" xr:uid="{00000000-0005-0000-0000-00001C720000}"/>
    <cellStyle name="Normal 7 2 2 2 3 3 3" xfId="23518" xr:uid="{00000000-0005-0000-0000-00001D720000}"/>
    <cellStyle name="Normal 7 2 2 2 3 4" xfId="10138" xr:uid="{00000000-0005-0000-0000-00001E720000}"/>
    <cellStyle name="Normal 7 2 2 2 3 4 2" xfId="13975" xr:uid="{00000000-0005-0000-0000-00001F720000}"/>
    <cellStyle name="Normal 7 2 2 2 3 5" xfId="13980" xr:uid="{00000000-0005-0000-0000-000020720000}"/>
    <cellStyle name="Normal 7 2 2 2 4" xfId="33011" xr:uid="{00000000-0005-0000-0000-000021720000}"/>
    <cellStyle name="Normal 7 2 2 2 4 2" xfId="30486" xr:uid="{00000000-0005-0000-0000-000022720000}"/>
    <cellStyle name="Normal 7 2 2 2 4 2 2" xfId="29336" xr:uid="{00000000-0005-0000-0000-000023720000}"/>
    <cellStyle name="Normal 7 2 2 2 4 2 2 2" xfId="25825" xr:uid="{00000000-0005-0000-0000-000024720000}"/>
    <cellStyle name="Normal 7 2 2 2 4 2 3" xfId="30487" xr:uid="{00000000-0005-0000-0000-000025720000}"/>
    <cellStyle name="Normal 7 2 2 2 4 3" xfId="30488" xr:uid="{00000000-0005-0000-0000-000026720000}"/>
    <cellStyle name="Normal 7 2 2 2 4 3 2" xfId="30319" xr:uid="{00000000-0005-0000-0000-000027720000}"/>
    <cellStyle name="Normal 7 2 2 2 4 4" xfId="13988" xr:uid="{00000000-0005-0000-0000-000028720000}"/>
    <cellStyle name="Normal 7 2 2 2 5" xfId="32866" xr:uid="{00000000-0005-0000-0000-000029720000}"/>
    <cellStyle name="Normal 7 2 2 2 5 2" xfId="30491" xr:uid="{00000000-0005-0000-0000-00002A720000}"/>
    <cellStyle name="Normal 7 2 2 2 5 2 2" xfId="32156" xr:uid="{00000000-0005-0000-0000-00002B720000}"/>
    <cellStyle name="Normal 7 2 2 2 5 3" xfId="31065" xr:uid="{00000000-0005-0000-0000-00002C720000}"/>
    <cellStyle name="Normal 7 2 2 2 6" xfId="4535" xr:uid="{00000000-0005-0000-0000-00002D720000}"/>
    <cellStyle name="Normal 7 2 2 2 6 2" xfId="31744" xr:uid="{00000000-0005-0000-0000-00002E720000}"/>
    <cellStyle name="Normal 7 2 2 2 7" xfId="5162" xr:uid="{00000000-0005-0000-0000-00002F720000}"/>
    <cellStyle name="Normal 7 2 2 3" xfId="25018" xr:uid="{00000000-0005-0000-0000-000030720000}"/>
    <cellStyle name="Normal 7 2 2 3 2" xfId="23866" xr:uid="{00000000-0005-0000-0000-000031720000}"/>
    <cellStyle name="Normal 7 2 2 3 2 2" xfId="12215" xr:uid="{00000000-0005-0000-0000-000032720000}"/>
    <cellStyle name="Normal 7 2 2 3 2 2 2" xfId="20772" xr:uid="{00000000-0005-0000-0000-000033720000}"/>
    <cellStyle name="Normal 7 2 2 3 2 2 2 2" xfId="32234" xr:uid="{00000000-0005-0000-0000-000034720000}"/>
    <cellStyle name="Normal 7 2 2 3 2 2 2 2 2" xfId="33333" xr:uid="{00000000-0005-0000-0000-000035720000}"/>
    <cellStyle name="Normal 7 2 2 3 2 2 2 3" xfId="30493" xr:uid="{00000000-0005-0000-0000-000036720000}"/>
    <cellStyle name="Normal 7 2 2 3 2 2 3" xfId="30494" xr:uid="{00000000-0005-0000-0000-000037720000}"/>
    <cellStyle name="Normal 7 2 2 3 2 2 3 2" xfId="30495" xr:uid="{00000000-0005-0000-0000-000038720000}"/>
    <cellStyle name="Normal 7 2 2 3 2 2 4" xfId="18514" xr:uid="{00000000-0005-0000-0000-000039720000}"/>
    <cellStyle name="Normal 7 2 2 3 2 3" xfId="30497" xr:uid="{00000000-0005-0000-0000-00003A720000}"/>
    <cellStyle name="Normal 7 2 2 3 2 3 2" xfId="30500" xr:uid="{00000000-0005-0000-0000-00003B720000}"/>
    <cellStyle name="Normal 7 2 2 3 2 3 2 2" xfId="30502" xr:uid="{00000000-0005-0000-0000-00003C720000}"/>
    <cellStyle name="Normal 7 2 2 3 2 3 3" xfId="23539" xr:uid="{00000000-0005-0000-0000-00003D720000}"/>
    <cellStyle name="Normal 7 2 2 3 2 4" xfId="20931" xr:uid="{00000000-0005-0000-0000-00003E720000}"/>
    <cellStyle name="Normal 7 2 2 3 2 4 2" xfId="21926" xr:uid="{00000000-0005-0000-0000-00003F720000}"/>
    <cellStyle name="Normal 7 2 2 3 2 5" xfId="19147" xr:uid="{00000000-0005-0000-0000-000040720000}"/>
    <cellStyle name="Normal 7 2 2 3 3" xfId="32940" xr:uid="{00000000-0005-0000-0000-000041720000}"/>
    <cellStyle name="Normal 7 2 2 3 3 2" xfId="30504" xr:uid="{00000000-0005-0000-0000-000042720000}"/>
    <cellStyle name="Normal 7 2 2 3 3 2 2" xfId="26941" xr:uid="{00000000-0005-0000-0000-000043720000}"/>
    <cellStyle name="Normal 7 2 2 3 3 2 2 2" xfId="25957" xr:uid="{00000000-0005-0000-0000-000044720000}"/>
    <cellStyle name="Normal 7 2 2 3 3 2 3" xfId="33017" xr:uid="{00000000-0005-0000-0000-000045720000}"/>
    <cellStyle name="Normal 7 2 2 3 3 3" xfId="30506" xr:uid="{00000000-0005-0000-0000-000046720000}"/>
    <cellStyle name="Normal 7 2 2 3 3 3 2" xfId="30509" xr:uid="{00000000-0005-0000-0000-000047720000}"/>
    <cellStyle name="Normal 7 2 2 3 3 4" xfId="4643" xr:uid="{00000000-0005-0000-0000-000048720000}"/>
    <cellStyle name="Normal 7 2 2 3 4" xfId="15098" xr:uid="{00000000-0005-0000-0000-000049720000}"/>
    <cellStyle name="Normal 7 2 2 3 4 2" xfId="30510" xr:uid="{00000000-0005-0000-0000-00004A720000}"/>
    <cellStyle name="Normal 7 2 2 3 4 2 2" xfId="30523" xr:uid="{00000000-0005-0000-0000-00004B720000}"/>
    <cellStyle name="Normal 7 2 2 3 4 3" xfId="30529" xr:uid="{00000000-0005-0000-0000-00004C720000}"/>
    <cellStyle name="Normal 7 2 2 3 5" xfId="32980" xr:uid="{00000000-0005-0000-0000-00004D720000}"/>
    <cellStyle name="Normal 7 2 2 3 5 2" xfId="31540" xr:uid="{00000000-0005-0000-0000-00004E720000}"/>
    <cellStyle name="Normal 7 2 2 3 6" xfId="5174" xr:uid="{00000000-0005-0000-0000-00004F720000}"/>
    <cellStyle name="Normal 7 2 2 4" xfId="20408" xr:uid="{00000000-0005-0000-0000-000050720000}"/>
    <cellStyle name="Normal 7 2 2 4 2" xfId="33727" xr:uid="{00000000-0005-0000-0000-000051720000}"/>
    <cellStyle name="Normal 7 2 2 4 2 2" xfId="31524" xr:uid="{00000000-0005-0000-0000-000052720000}"/>
    <cellStyle name="Normal 7 2 2 4 2 2 2" xfId="30532" xr:uid="{00000000-0005-0000-0000-000053720000}"/>
    <cellStyle name="Normal 7 2 2 4 2 2 2 2" xfId="32491" xr:uid="{00000000-0005-0000-0000-000054720000}"/>
    <cellStyle name="Normal 7 2 2 4 2 2 3" xfId="24025" xr:uid="{00000000-0005-0000-0000-000055720000}"/>
    <cellStyle name="Normal 7 2 2 4 2 3" xfId="30534" xr:uid="{00000000-0005-0000-0000-000056720000}"/>
    <cellStyle name="Normal 7 2 2 4 2 3 2" xfId="30536" xr:uid="{00000000-0005-0000-0000-000057720000}"/>
    <cellStyle name="Normal 7 2 2 4 2 4" xfId="4553" xr:uid="{00000000-0005-0000-0000-000058720000}"/>
    <cellStyle name="Normal 7 2 2 4 3" xfId="28230" xr:uid="{00000000-0005-0000-0000-000059720000}"/>
    <cellStyle name="Normal 7 2 2 4 3 2" xfId="28325" xr:uid="{00000000-0005-0000-0000-00005A720000}"/>
    <cellStyle name="Normal 7 2 2 4 3 2 2" xfId="30541" xr:uid="{00000000-0005-0000-0000-00005B720000}"/>
    <cellStyle name="Normal 7 2 2 4 3 3" xfId="32850" xr:uid="{00000000-0005-0000-0000-00005C720000}"/>
    <cellStyle name="Normal 7 2 2 4 4" xfId="28241" xr:uid="{00000000-0005-0000-0000-00005D720000}"/>
    <cellStyle name="Normal 7 2 2 4 4 2" xfId="31714" xr:uid="{00000000-0005-0000-0000-00005E720000}"/>
    <cellStyle name="Normal 7 2 2 4 5" xfId="29335" xr:uid="{00000000-0005-0000-0000-00005F720000}"/>
    <cellStyle name="Normal 7 2 2 5" xfId="29087" xr:uid="{00000000-0005-0000-0000-000060720000}"/>
    <cellStyle name="Normal 7 2 2 5 2" xfId="33549" xr:uid="{00000000-0005-0000-0000-000061720000}"/>
    <cellStyle name="Normal 7 2 2 5 2 2" xfId="29519" xr:uid="{00000000-0005-0000-0000-000062720000}"/>
    <cellStyle name="Normal 7 2 2 5 2 2 2" xfId="27785" xr:uid="{00000000-0005-0000-0000-000063720000}"/>
    <cellStyle name="Normal 7 2 2 5 2 3" xfId="26144" xr:uid="{00000000-0005-0000-0000-000064720000}"/>
    <cellStyle name="Normal 7 2 2 5 3" xfId="27377" xr:uid="{00000000-0005-0000-0000-000065720000}"/>
    <cellStyle name="Normal 7 2 2 5 3 2" xfId="31967" xr:uid="{00000000-0005-0000-0000-000066720000}"/>
    <cellStyle name="Normal 7 2 2 5 4" xfId="33167" xr:uid="{00000000-0005-0000-0000-000067720000}"/>
    <cellStyle name="Normal 7 2 2 6" xfId="5084" xr:uid="{00000000-0005-0000-0000-000068720000}"/>
    <cellStyle name="Normal 7 2 2 6 2" xfId="29561" xr:uid="{00000000-0005-0000-0000-000069720000}"/>
    <cellStyle name="Normal 7 2 2 6 2 2" xfId="27787" xr:uid="{00000000-0005-0000-0000-00006A720000}"/>
    <cellStyle name="Normal 7 2 2 6 3" xfId="29573" xr:uid="{00000000-0005-0000-0000-00006B720000}"/>
    <cellStyle name="Normal 7 2 2 7" xfId="3856" xr:uid="{00000000-0005-0000-0000-00006C720000}"/>
    <cellStyle name="Normal 7 2 2 7 2" xfId="28663" xr:uid="{00000000-0005-0000-0000-00006D720000}"/>
    <cellStyle name="Normal 7 2 2 8" xfId="16146" xr:uid="{00000000-0005-0000-0000-00006E720000}"/>
    <cellStyle name="Normal 7 2 3" xfId="22886" xr:uid="{00000000-0005-0000-0000-00006F720000}"/>
    <cellStyle name="Normal 7 2 3 2" xfId="17500" xr:uid="{00000000-0005-0000-0000-000070720000}"/>
    <cellStyle name="Normal 7 2 3 2 2" xfId="27218" xr:uid="{00000000-0005-0000-0000-000071720000}"/>
    <cellStyle name="Normal 7 2 3 2 2 2" xfId="17200" xr:uid="{00000000-0005-0000-0000-000072720000}"/>
    <cellStyle name="Normal 7 2 3 2 2 2 2" xfId="30136" xr:uid="{00000000-0005-0000-0000-000073720000}"/>
    <cellStyle name="Normal 7 2 3 2 2 2 2 2" xfId="30746" xr:uid="{00000000-0005-0000-0000-000074720000}"/>
    <cellStyle name="Normal 7 2 3 2 2 2 2 2 2" xfId="19376" xr:uid="{00000000-0005-0000-0000-000075720000}"/>
    <cellStyle name="Normal 7 2 3 2 2 2 2 3" xfId="33240" xr:uid="{00000000-0005-0000-0000-000076720000}"/>
    <cellStyle name="Normal 7 2 3 2 2 2 3" xfId="30545" xr:uid="{00000000-0005-0000-0000-000077720000}"/>
    <cellStyle name="Normal 7 2 3 2 2 2 3 2" xfId="30547" xr:uid="{00000000-0005-0000-0000-000078720000}"/>
    <cellStyle name="Normal 7 2 3 2 2 2 4" xfId="10253" xr:uid="{00000000-0005-0000-0000-000079720000}"/>
    <cellStyle name="Normal 7 2 3 2 2 3" xfId="31016" xr:uid="{00000000-0005-0000-0000-00007A720000}"/>
    <cellStyle name="Normal 7 2 3 2 2 3 2" xfId="32238" xr:uid="{00000000-0005-0000-0000-00007B720000}"/>
    <cellStyle name="Normal 7 2 3 2 2 3 2 2" xfId="30781" xr:uid="{00000000-0005-0000-0000-00007C720000}"/>
    <cellStyle name="Normal 7 2 3 2 2 3 3" xfId="23564" xr:uid="{00000000-0005-0000-0000-00007D720000}"/>
    <cellStyle name="Normal 7 2 3 2 2 4" xfId="25580" xr:uid="{00000000-0005-0000-0000-00007E720000}"/>
    <cellStyle name="Normal 7 2 3 2 2 4 2" xfId="19585" xr:uid="{00000000-0005-0000-0000-00007F720000}"/>
    <cellStyle name="Normal 7 2 3 2 2 5" xfId="26497" xr:uid="{00000000-0005-0000-0000-000080720000}"/>
    <cellStyle name="Normal 7 2 3 2 3" xfId="29808" xr:uid="{00000000-0005-0000-0000-000081720000}"/>
    <cellStyle name="Normal 7 2 3 2 3 2" xfId="27220" xr:uid="{00000000-0005-0000-0000-000082720000}"/>
    <cellStyle name="Normal 7 2 3 2 3 2 2" xfId="32013" xr:uid="{00000000-0005-0000-0000-000083720000}"/>
    <cellStyle name="Normal 7 2 3 2 3 2 2 2" xfId="893" xr:uid="{00000000-0005-0000-0000-000084720000}"/>
    <cellStyle name="Normal 7 2 3 2 3 2 3" xfId="30552" xr:uid="{00000000-0005-0000-0000-000085720000}"/>
    <cellStyle name="Normal 7 2 3 2 3 3" xfId="30554" xr:uid="{00000000-0005-0000-0000-000086720000}"/>
    <cellStyle name="Normal 7 2 3 2 3 3 2" xfId="31644" xr:uid="{00000000-0005-0000-0000-000087720000}"/>
    <cellStyle name="Normal 7 2 3 2 3 4" xfId="6910" xr:uid="{00000000-0005-0000-0000-000088720000}"/>
    <cellStyle name="Normal 7 2 3 2 4" xfId="26120" xr:uid="{00000000-0005-0000-0000-000089720000}"/>
    <cellStyle name="Normal 7 2 3 2 4 2" xfId="6198" xr:uid="{00000000-0005-0000-0000-00008A720000}"/>
    <cellStyle name="Normal 7 2 3 2 4 2 2" xfId="33752" xr:uid="{00000000-0005-0000-0000-00008B720000}"/>
    <cellStyle name="Normal 7 2 3 2 4 3" xfId="9841" xr:uid="{00000000-0005-0000-0000-00008C720000}"/>
    <cellStyle name="Normal 7 2 3 2 5" xfId="33204" xr:uid="{00000000-0005-0000-0000-00008D720000}"/>
    <cellStyle name="Normal 7 2 3 2 5 2" xfId="9847" xr:uid="{00000000-0005-0000-0000-00008E720000}"/>
    <cellStyle name="Normal 7 2 3 2 6" xfId="469" xr:uid="{00000000-0005-0000-0000-00008F720000}"/>
    <cellStyle name="Normal 7 2 3 3" xfId="446" xr:uid="{00000000-0005-0000-0000-000090720000}"/>
    <cellStyle name="Normal 7 2 3 3 2" xfId="13239" xr:uid="{00000000-0005-0000-0000-000091720000}"/>
    <cellStyle name="Normal 7 2 3 3 2 2" xfId="30267" xr:uid="{00000000-0005-0000-0000-000092720000}"/>
    <cellStyle name="Normal 7 2 3 3 2 2 2" xfId="33247" xr:uid="{00000000-0005-0000-0000-000093720000}"/>
    <cellStyle name="Normal 7 2 3 3 2 2 2 2" xfId="33409" xr:uid="{00000000-0005-0000-0000-000094720000}"/>
    <cellStyle name="Normal 7 2 3 3 2 2 3" xfId="30555" xr:uid="{00000000-0005-0000-0000-000095720000}"/>
    <cellStyle name="Normal 7 2 3 3 2 3" xfId="30560" xr:uid="{00000000-0005-0000-0000-000096720000}"/>
    <cellStyle name="Normal 7 2 3 3 2 3 2" xfId="30563" xr:uid="{00000000-0005-0000-0000-000097720000}"/>
    <cellStyle name="Normal 7 2 3 3 2 4" xfId="14778" xr:uid="{00000000-0005-0000-0000-000098720000}"/>
    <cellStyle name="Normal 7 2 3 3 3" xfId="23342" xr:uid="{00000000-0005-0000-0000-000099720000}"/>
    <cellStyle name="Normal 7 2 3 3 3 2" xfId="23798" xr:uid="{00000000-0005-0000-0000-00009A720000}"/>
    <cellStyle name="Normal 7 2 3 3 3 2 2" xfId="33273" xr:uid="{00000000-0005-0000-0000-00009B720000}"/>
    <cellStyle name="Normal 7 2 3 3 3 3" xfId="33119" xr:uid="{00000000-0005-0000-0000-00009C720000}"/>
    <cellStyle name="Normal 7 2 3 3 4" xfId="5969" xr:uid="{00000000-0005-0000-0000-00009D720000}"/>
    <cellStyle name="Normal 7 2 3 3 4 2" xfId="9866" xr:uid="{00000000-0005-0000-0000-00009E720000}"/>
    <cellStyle name="Normal 7 2 3 3 5" xfId="8803" xr:uid="{00000000-0005-0000-0000-00009F720000}"/>
    <cellStyle name="Normal 7 2 3 4" xfId="28447" xr:uid="{00000000-0005-0000-0000-0000A0720000}"/>
    <cellStyle name="Normal 7 2 3 4 2" xfId="23354" xr:uid="{00000000-0005-0000-0000-0000A1720000}"/>
    <cellStyle name="Normal 7 2 3 4 2 2" xfId="20442" xr:uid="{00000000-0005-0000-0000-0000A2720000}"/>
    <cellStyle name="Normal 7 2 3 4 2 2 2" xfId="34012" xr:uid="{00000000-0005-0000-0000-0000A3720000}"/>
    <cellStyle name="Normal 7 2 3 4 2 3" xfId="29603" xr:uid="{00000000-0005-0000-0000-0000A4720000}"/>
    <cellStyle name="Normal 7 2 3 4 3" xfId="29219" xr:uid="{00000000-0005-0000-0000-0000A5720000}"/>
    <cellStyle name="Normal 7 2 3 4 3 2" xfId="29224" xr:uid="{00000000-0005-0000-0000-0000A6720000}"/>
    <cellStyle name="Normal 7 2 3 4 4" xfId="8461" xr:uid="{00000000-0005-0000-0000-0000A7720000}"/>
    <cellStyle name="Normal 7 2 3 5" xfId="32825" xr:uid="{00000000-0005-0000-0000-0000A8720000}"/>
    <cellStyle name="Normal 7 2 3 5 2" xfId="15915" xr:uid="{00000000-0005-0000-0000-0000A9720000}"/>
    <cellStyle name="Normal 7 2 3 5 2 2" xfId="33602" xr:uid="{00000000-0005-0000-0000-0000AA720000}"/>
    <cellStyle name="Normal 7 2 3 5 3" xfId="23361" xr:uid="{00000000-0005-0000-0000-0000AB720000}"/>
    <cellStyle name="Normal 7 2 3 6" xfId="16791" xr:uid="{00000000-0005-0000-0000-0000AC720000}"/>
    <cellStyle name="Normal 7 2 3 6 2" xfId="27793" xr:uid="{00000000-0005-0000-0000-0000AD720000}"/>
    <cellStyle name="Normal 7 2 3 7" xfId="27796" xr:uid="{00000000-0005-0000-0000-0000AE720000}"/>
    <cellStyle name="Normal 7 2 4" xfId="3267" xr:uid="{00000000-0005-0000-0000-0000AF720000}"/>
    <cellStyle name="Normal 7 2 4 2" xfId="29825" xr:uid="{00000000-0005-0000-0000-0000B0720000}"/>
    <cellStyle name="Normal 7 2 4 2 2" xfId="6512" xr:uid="{00000000-0005-0000-0000-0000B1720000}"/>
    <cellStyle name="Normal 7 2 4 2 2 2" xfId="16306" xr:uid="{00000000-0005-0000-0000-0000B2720000}"/>
    <cellStyle name="Normal 7 2 4 2 2 2 2" xfId="32919" xr:uid="{00000000-0005-0000-0000-0000B3720000}"/>
    <cellStyle name="Normal 7 2 4 2 2 2 2 2" xfId="16789" xr:uid="{00000000-0005-0000-0000-0000B4720000}"/>
    <cellStyle name="Normal 7 2 4 2 2 2 3" xfId="31428" xr:uid="{00000000-0005-0000-0000-0000B5720000}"/>
    <cellStyle name="Normal 7 2 4 2 2 3" xfId="33338" xr:uid="{00000000-0005-0000-0000-0000B6720000}"/>
    <cellStyle name="Normal 7 2 4 2 2 3 2" xfId="30637" xr:uid="{00000000-0005-0000-0000-0000B7720000}"/>
    <cellStyle name="Normal 7 2 4 2 2 4" xfId="26611" xr:uid="{00000000-0005-0000-0000-0000B8720000}"/>
    <cellStyle name="Normal 7 2 4 2 3" xfId="6514" xr:uid="{00000000-0005-0000-0000-0000B9720000}"/>
    <cellStyle name="Normal 7 2 4 2 3 2" xfId="9073" xr:uid="{00000000-0005-0000-0000-0000BA720000}"/>
    <cellStyle name="Normal 7 2 4 2 3 2 2" xfId="33623" xr:uid="{00000000-0005-0000-0000-0000BB720000}"/>
    <cellStyle name="Normal 7 2 4 2 3 3" xfId="3437" xr:uid="{00000000-0005-0000-0000-0000BC720000}"/>
    <cellStyle name="Normal 7 2 4 2 4" xfId="33350" xr:uid="{00000000-0005-0000-0000-0000BD720000}"/>
    <cellStyle name="Normal 7 2 4 2 4 2" xfId="11237" xr:uid="{00000000-0005-0000-0000-0000BE720000}"/>
    <cellStyle name="Normal 7 2 4 2 5" xfId="33618" xr:uid="{00000000-0005-0000-0000-0000BF720000}"/>
    <cellStyle name="Normal 7 2 4 3" xfId="27192" xr:uid="{00000000-0005-0000-0000-0000C0720000}"/>
    <cellStyle name="Normal 7 2 4 3 2" xfId="16421" xr:uid="{00000000-0005-0000-0000-0000C1720000}"/>
    <cellStyle name="Normal 7 2 4 3 2 2" xfId="28168" xr:uid="{00000000-0005-0000-0000-0000C2720000}"/>
    <cellStyle name="Normal 7 2 4 3 2 2 2" xfId="33376" xr:uid="{00000000-0005-0000-0000-0000C3720000}"/>
    <cellStyle name="Normal 7 2 4 3 2 3" xfId="30565" xr:uid="{00000000-0005-0000-0000-0000C4720000}"/>
    <cellStyle name="Normal 7 2 4 3 3" xfId="8127" xr:uid="{00000000-0005-0000-0000-0000C5720000}"/>
    <cellStyle name="Normal 7 2 4 3 3 2" xfId="11244" xr:uid="{00000000-0005-0000-0000-0000C6720000}"/>
    <cellStyle name="Normal 7 2 4 3 4" xfId="8834" xr:uid="{00000000-0005-0000-0000-0000C7720000}"/>
    <cellStyle name="Normal 7 2 4 4" xfId="19672" xr:uid="{00000000-0005-0000-0000-0000C8720000}"/>
    <cellStyle name="Normal 7 2 4 4 2" xfId="23383" xr:uid="{00000000-0005-0000-0000-0000C9720000}"/>
    <cellStyle name="Normal 7 2 4 4 2 2" xfId="31958" xr:uid="{00000000-0005-0000-0000-0000CA720000}"/>
    <cellStyle name="Normal 7 2 4 4 3" xfId="29646" xr:uid="{00000000-0005-0000-0000-0000CB720000}"/>
    <cellStyle name="Normal 7 2 4 5" xfId="29091" xr:uid="{00000000-0005-0000-0000-0000CC720000}"/>
    <cellStyle name="Normal 7 2 4 5 2" xfId="23392" xr:uid="{00000000-0005-0000-0000-0000CD720000}"/>
    <cellStyle name="Normal 7 2 4 6" xfId="30568" xr:uid="{00000000-0005-0000-0000-0000CE720000}"/>
    <cellStyle name="Normal 7 2 5" xfId="6528" xr:uid="{00000000-0005-0000-0000-0000CF720000}"/>
    <cellStyle name="Normal 7 2 5 2" xfId="6532" xr:uid="{00000000-0005-0000-0000-0000D0720000}"/>
    <cellStyle name="Normal 7 2 5 2 2" xfId="10049" xr:uid="{00000000-0005-0000-0000-0000D1720000}"/>
    <cellStyle name="Normal 7 2 5 2 2 2" xfId="27246" xr:uid="{00000000-0005-0000-0000-0000D2720000}"/>
    <cellStyle name="Normal 7 2 5 2 2 2 2" xfId="7395" xr:uid="{00000000-0005-0000-0000-0000D3720000}"/>
    <cellStyle name="Normal 7 2 5 2 2 3" xfId="27229" xr:uid="{00000000-0005-0000-0000-0000D4720000}"/>
    <cellStyle name="Normal 7 2 5 2 3" xfId="27283" xr:uid="{00000000-0005-0000-0000-0000D5720000}"/>
    <cellStyle name="Normal 7 2 5 2 3 2" xfId="11261" xr:uid="{00000000-0005-0000-0000-0000D6720000}"/>
    <cellStyle name="Normal 7 2 5 2 4" xfId="32937" xr:uid="{00000000-0005-0000-0000-0000D7720000}"/>
    <cellStyle name="Normal 7 2 5 3" xfId="29612" xr:uid="{00000000-0005-0000-0000-0000D8720000}"/>
    <cellStyle name="Normal 7 2 5 3 2" xfId="23402" xr:uid="{00000000-0005-0000-0000-0000D9720000}"/>
    <cellStyle name="Normal 7 2 5 3 2 2" xfId="34035" xr:uid="{00000000-0005-0000-0000-0000DA720000}"/>
    <cellStyle name="Normal 7 2 5 3 3" xfId="23404" xr:uid="{00000000-0005-0000-0000-0000DB720000}"/>
    <cellStyle name="Normal 7 2 5 4" xfId="21243" xr:uid="{00000000-0005-0000-0000-0000DC720000}"/>
    <cellStyle name="Normal 7 2 5 4 2" xfId="19191" xr:uid="{00000000-0005-0000-0000-0000DD720000}"/>
    <cellStyle name="Normal 7 2 5 5" xfId="33404" xr:uid="{00000000-0005-0000-0000-0000DE720000}"/>
    <cellStyle name="Normal 7 2 6" xfId="12473" xr:uid="{00000000-0005-0000-0000-0000DF720000}"/>
    <cellStyle name="Normal 7 2 6 2" xfId="6537" xr:uid="{00000000-0005-0000-0000-0000E0720000}"/>
    <cellStyle name="Normal 7 2 6 2 2" xfId="30080" xr:uid="{00000000-0005-0000-0000-0000E1720000}"/>
    <cellStyle name="Normal 7 2 6 2 2 2" xfId="26761" xr:uid="{00000000-0005-0000-0000-0000E2720000}"/>
    <cellStyle name="Normal 7 2 6 2 3" xfId="33418" xr:uid="{00000000-0005-0000-0000-0000E3720000}"/>
    <cellStyle name="Normal 7 2 6 3" xfId="33427" xr:uid="{00000000-0005-0000-0000-0000E4720000}"/>
    <cellStyle name="Normal 7 2 6 3 2" xfId="22009" xr:uid="{00000000-0005-0000-0000-0000E5720000}"/>
    <cellStyle name="Normal 7 2 6 4" xfId="33474" xr:uid="{00000000-0005-0000-0000-0000E6720000}"/>
    <cellStyle name="Normal 7 2 7" xfId="15423" xr:uid="{00000000-0005-0000-0000-0000E7720000}"/>
    <cellStyle name="Normal 7 2 7 2" xfId="33431" xr:uid="{00000000-0005-0000-0000-0000E8720000}"/>
    <cellStyle name="Normal 7 2 7 2 2" xfId="24767" xr:uid="{00000000-0005-0000-0000-0000E9720000}"/>
    <cellStyle name="Normal 7 2 7 3" xfId="29097" xr:uid="{00000000-0005-0000-0000-0000EA720000}"/>
    <cellStyle name="Normal 7 2 8" xfId="6397" xr:uid="{00000000-0005-0000-0000-0000EB720000}"/>
    <cellStyle name="Normal 7 2 8 2" xfId="33629" xr:uid="{00000000-0005-0000-0000-0000EC720000}"/>
    <cellStyle name="Normal 7 2 9" xfId="30570" xr:uid="{00000000-0005-0000-0000-0000ED720000}"/>
    <cellStyle name="Normal 7 3" xfId="28064" xr:uid="{00000000-0005-0000-0000-0000EE720000}"/>
    <cellStyle name="Normal 7 3 2" xfId="22492" xr:uid="{00000000-0005-0000-0000-0000EF720000}"/>
    <cellStyle name="Normal 7 3 2 2" xfId="14565" xr:uid="{00000000-0005-0000-0000-0000F0720000}"/>
    <cellStyle name="Normal 7 3 2 2 2" xfId="26783" xr:uid="{00000000-0005-0000-0000-0000F1720000}"/>
    <cellStyle name="Normal 7 3 2 2 2 2" xfId="8573" xr:uid="{00000000-0005-0000-0000-0000F2720000}"/>
    <cellStyle name="Normal 7 3 2 2 2 2 2" xfId="26573" xr:uid="{00000000-0005-0000-0000-0000F3720000}"/>
    <cellStyle name="Normal 7 3 2 2 2 2 2 2" xfId="19589" xr:uid="{00000000-0005-0000-0000-0000F4720000}"/>
    <cellStyle name="Normal 7 3 2 2 2 2 2 2 2" xfId="19596" xr:uid="{00000000-0005-0000-0000-0000F5720000}"/>
    <cellStyle name="Normal 7 3 2 2 2 2 2 3" xfId="19697" xr:uid="{00000000-0005-0000-0000-0000F6720000}"/>
    <cellStyle name="Normal 7 3 2 2 2 2 3" xfId="28519" xr:uid="{00000000-0005-0000-0000-0000F7720000}"/>
    <cellStyle name="Normal 7 3 2 2 2 2 3 2" xfId="20903" xr:uid="{00000000-0005-0000-0000-0000F8720000}"/>
    <cellStyle name="Normal 7 3 2 2 2 2 4" xfId="12591" xr:uid="{00000000-0005-0000-0000-0000F9720000}"/>
    <cellStyle name="Normal 7 3 2 2 2 3" xfId="33544" xr:uid="{00000000-0005-0000-0000-0000FA720000}"/>
    <cellStyle name="Normal 7 3 2 2 2 3 2" xfId="30573" xr:uid="{00000000-0005-0000-0000-0000FB720000}"/>
    <cellStyle name="Normal 7 3 2 2 2 3 2 2" xfId="2485" xr:uid="{00000000-0005-0000-0000-0000FC720000}"/>
    <cellStyle name="Normal 7 3 2 2 2 3 3" xfId="23747" xr:uid="{00000000-0005-0000-0000-0000FD720000}"/>
    <cellStyle name="Normal 7 3 2 2 2 4" xfId="21118" xr:uid="{00000000-0005-0000-0000-0000FE720000}"/>
    <cellStyle name="Normal 7 3 2 2 2 4 2" xfId="21120" xr:uid="{00000000-0005-0000-0000-0000FF720000}"/>
    <cellStyle name="Normal 7 3 2 2 2 5" xfId="21129" xr:uid="{00000000-0005-0000-0000-000000730000}"/>
    <cellStyle name="Normal 7 3 2 2 3" xfId="26058" xr:uid="{00000000-0005-0000-0000-000001730000}"/>
    <cellStyle name="Normal 7 3 2 2 3 2" xfId="30126" xr:uid="{00000000-0005-0000-0000-000002730000}"/>
    <cellStyle name="Normal 7 3 2 2 3 2 2" xfId="28296" xr:uid="{00000000-0005-0000-0000-000003730000}"/>
    <cellStyle name="Normal 7 3 2 2 3 2 2 2" xfId="19859" xr:uid="{00000000-0005-0000-0000-000004730000}"/>
    <cellStyle name="Normal 7 3 2 2 3 2 3" xfId="32243" xr:uid="{00000000-0005-0000-0000-000005730000}"/>
    <cellStyle name="Normal 7 3 2 2 3 3" xfId="30582" xr:uid="{00000000-0005-0000-0000-000006730000}"/>
    <cellStyle name="Normal 7 3 2 2 3 3 2" xfId="33274" xr:uid="{00000000-0005-0000-0000-000007730000}"/>
    <cellStyle name="Normal 7 3 2 2 3 4" xfId="9603" xr:uid="{00000000-0005-0000-0000-000008730000}"/>
    <cellStyle name="Normal 7 3 2 2 4" xfId="20368" xr:uid="{00000000-0005-0000-0000-000009730000}"/>
    <cellStyle name="Normal 7 3 2 2 4 2" xfId="28247" xr:uid="{00000000-0005-0000-0000-00000A730000}"/>
    <cellStyle name="Normal 7 3 2 2 4 2 2" xfId="30586" xr:uid="{00000000-0005-0000-0000-00000B730000}"/>
    <cellStyle name="Normal 7 3 2 2 4 3" xfId="30591" xr:uid="{00000000-0005-0000-0000-00000C730000}"/>
    <cellStyle name="Normal 7 3 2 2 5" xfId="21877" xr:uid="{00000000-0005-0000-0000-00000D730000}"/>
    <cellStyle name="Normal 7 3 2 2 5 2" xfId="30593" xr:uid="{00000000-0005-0000-0000-00000E730000}"/>
    <cellStyle name="Normal 7 3 2 2 6" xfId="5210" xr:uid="{00000000-0005-0000-0000-00000F730000}"/>
    <cellStyle name="Normal 7 3 2 3" xfId="2279" xr:uid="{00000000-0005-0000-0000-000010730000}"/>
    <cellStyle name="Normal 7 3 2 3 2" xfId="32782" xr:uid="{00000000-0005-0000-0000-000011730000}"/>
    <cellStyle name="Normal 7 3 2 3 2 2" xfId="33451" xr:uid="{00000000-0005-0000-0000-000012730000}"/>
    <cellStyle name="Normal 7 3 2 3 2 2 2" xfId="1696" xr:uid="{00000000-0005-0000-0000-000013730000}"/>
    <cellStyle name="Normal 7 3 2 3 2 2 2 2" xfId="32087" xr:uid="{00000000-0005-0000-0000-000014730000}"/>
    <cellStyle name="Normal 7 3 2 3 2 2 3" xfId="2399" xr:uid="{00000000-0005-0000-0000-000015730000}"/>
    <cellStyle name="Normal 7 3 2 3 2 3" xfId="32751" xr:uid="{00000000-0005-0000-0000-000016730000}"/>
    <cellStyle name="Normal 7 3 2 3 2 3 2" xfId="33852" xr:uid="{00000000-0005-0000-0000-000017730000}"/>
    <cellStyle name="Normal 7 3 2 3 2 4" xfId="21566" xr:uid="{00000000-0005-0000-0000-000018730000}"/>
    <cellStyle name="Normal 7 3 2 3 3" xfId="29111" xr:uid="{00000000-0005-0000-0000-000019730000}"/>
    <cellStyle name="Normal 7 3 2 3 3 2" xfId="30141" xr:uid="{00000000-0005-0000-0000-00001A730000}"/>
    <cellStyle name="Normal 7 3 2 3 3 2 2" xfId="21484" xr:uid="{00000000-0005-0000-0000-00001B730000}"/>
    <cellStyle name="Normal 7 3 2 3 3 3" xfId="20479" xr:uid="{00000000-0005-0000-0000-00001C730000}"/>
    <cellStyle name="Normal 7 3 2 3 4" xfId="16561" xr:uid="{00000000-0005-0000-0000-00001D730000}"/>
    <cellStyle name="Normal 7 3 2 3 4 2" xfId="13563" xr:uid="{00000000-0005-0000-0000-00001E730000}"/>
    <cellStyle name="Normal 7 3 2 3 5" xfId="33160" xr:uid="{00000000-0005-0000-0000-00001F730000}"/>
    <cellStyle name="Normal 7 3 2 4" xfId="27821" xr:uid="{00000000-0005-0000-0000-000020730000}"/>
    <cellStyle name="Normal 7 3 2 4 2" xfId="30887" xr:uid="{00000000-0005-0000-0000-000021730000}"/>
    <cellStyle name="Normal 7 3 2 4 2 2" xfId="30891" xr:uid="{00000000-0005-0000-0000-000022730000}"/>
    <cellStyle name="Normal 7 3 2 4 2 2 2" xfId="27822" xr:uid="{00000000-0005-0000-0000-000023730000}"/>
    <cellStyle name="Normal 7 3 2 4 2 3" xfId="30598" xr:uid="{00000000-0005-0000-0000-000024730000}"/>
    <cellStyle name="Normal 7 3 2 4 3" xfId="28252" xr:uid="{00000000-0005-0000-0000-000025730000}"/>
    <cellStyle name="Normal 7 3 2 4 3 2" xfId="30599" xr:uid="{00000000-0005-0000-0000-000026730000}"/>
    <cellStyle name="Normal 7 3 2 4 4" xfId="33688" xr:uid="{00000000-0005-0000-0000-000027730000}"/>
    <cellStyle name="Normal 7 3 2 5" xfId="29104" xr:uid="{00000000-0005-0000-0000-000028730000}"/>
    <cellStyle name="Normal 7 3 2 5 2" xfId="30794" xr:uid="{00000000-0005-0000-0000-000029730000}"/>
    <cellStyle name="Normal 7 3 2 5 2 2" xfId="18439" xr:uid="{00000000-0005-0000-0000-00002A730000}"/>
    <cellStyle name="Normal 7 3 2 5 3" xfId="29716" xr:uid="{00000000-0005-0000-0000-00002B730000}"/>
    <cellStyle name="Normal 7 3 2 6" xfId="3847" xr:uid="{00000000-0005-0000-0000-00002C730000}"/>
    <cellStyle name="Normal 7 3 2 6 2" xfId="29718" xr:uid="{00000000-0005-0000-0000-00002D730000}"/>
    <cellStyle name="Normal 7 3 2 7" xfId="25713" xr:uid="{00000000-0005-0000-0000-00002E730000}"/>
    <cellStyle name="Normal 7 3 3" xfId="29303" xr:uid="{00000000-0005-0000-0000-00002F730000}"/>
    <cellStyle name="Normal 7 3 3 2" xfId="27695" xr:uid="{00000000-0005-0000-0000-000030730000}"/>
    <cellStyle name="Normal 7 3 3 2 2" xfId="33555" xr:uid="{00000000-0005-0000-0000-000031730000}"/>
    <cellStyle name="Normal 7 3 3 2 2 2" xfId="33394" xr:uid="{00000000-0005-0000-0000-000032730000}"/>
    <cellStyle name="Normal 7 3 3 2 2 2 2" xfId="30617" xr:uid="{00000000-0005-0000-0000-000033730000}"/>
    <cellStyle name="Normal 7 3 3 2 2 2 2 2" xfId="20322" xr:uid="{00000000-0005-0000-0000-000034730000}"/>
    <cellStyle name="Normal 7 3 3 2 2 2 3" xfId="30618" xr:uid="{00000000-0005-0000-0000-000035730000}"/>
    <cellStyle name="Normal 7 3 3 2 2 3" xfId="33220" xr:uid="{00000000-0005-0000-0000-000036730000}"/>
    <cellStyle name="Normal 7 3 3 2 2 3 2" xfId="30620" xr:uid="{00000000-0005-0000-0000-000037730000}"/>
    <cellStyle name="Normal 7 3 3 2 2 4" xfId="14806" xr:uid="{00000000-0005-0000-0000-000038730000}"/>
    <cellStyle name="Normal 7 3 3 2 3" xfId="27132" xr:uid="{00000000-0005-0000-0000-000039730000}"/>
    <cellStyle name="Normal 7 3 3 2 3 2" xfId="33916" xr:uid="{00000000-0005-0000-0000-00003A730000}"/>
    <cellStyle name="Normal 7 3 3 2 3 2 2" xfId="30621" xr:uid="{00000000-0005-0000-0000-00003B730000}"/>
    <cellStyle name="Normal 7 3 3 2 3 3" xfId="30622" xr:uid="{00000000-0005-0000-0000-00003C730000}"/>
    <cellStyle name="Normal 7 3 3 2 4" xfId="29321" xr:uid="{00000000-0005-0000-0000-00003D730000}"/>
    <cellStyle name="Normal 7 3 3 2 4 2" xfId="13541" xr:uid="{00000000-0005-0000-0000-00003E730000}"/>
    <cellStyle name="Normal 7 3 3 2 5" xfId="31698" xr:uid="{00000000-0005-0000-0000-00003F730000}"/>
    <cellStyle name="Normal 7 3 3 3" xfId="30624" xr:uid="{00000000-0005-0000-0000-000040730000}"/>
    <cellStyle name="Normal 7 3 3 3 2" xfId="23429" xr:uid="{00000000-0005-0000-0000-000041730000}"/>
    <cellStyle name="Normal 7 3 3 3 2 2" xfId="19624" xr:uid="{00000000-0005-0000-0000-000042730000}"/>
    <cellStyle name="Normal 7 3 3 3 2 2 2" xfId="9900" xr:uid="{00000000-0005-0000-0000-000043730000}"/>
    <cellStyle name="Normal 7 3 3 3 2 3" xfId="21761" xr:uid="{00000000-0005-0000-0000-000044730000}"/>
    <cellStyle name="Normal 7 3 3 3 3" xfId="3492" xr:uid="{00000000-0005-0000-0000-000045730000}"/>
    <cellStyle name="Normal 7 3 3 3 3 2" xfId="26430" xr:uid="{00000000-0005-0000-0000-000046730000}"/>
    <cellStyle name="Normal 7 3 3 3 4" xfId="3424" xr:uid="{00000000-0005-0000-0000-000047730000}"/>
    <cellStyle name="Normal 7 3 3 4" xfId="32174" xr:uid="{00000000-0005-0000-0000-000048730000}"/>
    <cellStyle name="Normal 7 3 3 4 2" xfId="18055" xr:uid="{00000000-0005-0000-0000-000049730000}"/>
    <cellStyle name="Normal 7 3 3 4 2 2" xfId="29733" xr:uid="{00000000-0005-0000-0000-00004A730000}"/>
    <cellStyle name="Normal 7 3 3 4 3" xfId="29739" xr:uid="{00000000-0005-0000-0000-00004B730000}"/>
    <cellStyle name="Normal 7 3 3 5" xfId="29108" xr:uid="{00000000-0005-0000-0000-00004C730000}"/>
    <cellStyle name="Normal 7 3 3 5 2" xfId="27832" xr:uid="{00000000-0005-0000-0000-00004D730000}"/>
    <cellStyle name="Normal 7 3 3 6" xfId="27833" xr:uid="{00000000-0005-0000-0000-00004E730000}"/>
    <cellStyle name="Normal 7 3 4" xfId="1055" xr:uid="{00000000-0005-0000-0000-00004F730000}"/>
    <cellStyle name="Normal 7 3 4 2" xfId="6539" xr:uid="{00000000-0005-0000-0000-000050730000}"/>
    <cellStyle name="Normal 7 3 4 2 2" xfId="1553" xr:uid="{00000000-0005-0000-0000-000051730000}"/>
    <cellStyle name="Normal 7 3 4 2 2 2" xfId="33725" xr:uid="{00000000-0005-0000-0000-000052730000}"/>
    <cellStyle name="Normal 7 3 4 2 2 2 2" xfId="27830" xr:uid="{00000000-0005-0000-0000-000053730000}"/>
    <cellStyle name="Normal 7 3 4 2 2 3" xfId="33638" xr:uid="{00000000-0005-0000-0000-000054730000}"/>
    <cellStyle name="Normal 7 3 4 2 3" xfId="33056" xr:uid="{00000000-0005-0000-0000-000055730000}"/>
    <cellStyle name="Normal 7 3 4 2 3 2" xfId="11288" xr:uid="{00000000-0005-0000-0000-000056730000}"/>
    <cellStyle name="Normal 7 3 4 2 4" xfId="33719" xr:uid="{00000000-0005-0000-0000-000057730000}"/>
    <cellStyle name="Normal 7 3 4 3" xfId="6544" xr:uid="{00000000-0005-0000-0000-000058730000}"/>
    <cellStyle name="Normal 7 3 4 3 2" xfId="24221" xr:uid="{00000000-0005-0000-0000-000059730000}"/>
    <cellStyle name="Normal 7 3 4 3 2 2" xfId="21767" xr:uid="{00000000-0005-0000-0000-00005A730000}"/>
    <cellStyle name="Normal 7 3 4 3 3" xfId="23449" xr:uid="{00000000-0005-0000-0000-00005B730000}"/>
    <cellStyle name="Normal 7 3 4 4" xfId="33270" xr:uid="{00000000-0005-0000-0000-00005C730000}"/>
    <cellStyle name="Normal 7 3 4 4 2" xfId="10851" xr:uid="{00000000-0005-0000-0000-00005D730000}"/>
    <cellStyle name="Normal 7 3 4 5" xfId="33195" xr:uid="{00000000-0005-0000-0000-00005E730000}"/>
    <cellStyle name="Normal 7 3 5" xfId="6548" xr:uid="{00000000-0005-0000-0000-00005F730000}"/>
    <cellStyle name="Normal 7 3 5 2" xfId="6550" xr:uid="{00000000-0005-0000-0000-000060730000}"/>
    <cellStyle name="Normal 7 3 5 2 2" xfId="32090" xr:uid="{00000000-0005-0000-0000-000061730000}"/>
    <cellStyle name="Normal 7 3 5 2 2 2" xfId="28426" xr:uid="{00000000-0005-0000-0000-000062730000}"/>
    <cellStyle name="Normal 7 3 5 2 3" xfId="32105" xr:uid="{00000000-0005-0000-0000-000063730000}"/>
    <cellStyle name="Normal 7 3 5 3" xfId="33283" xr:uid="{00000000-0005-0000-0000-000064730000}"/>
    <cellStyle name="Normal 7 3 5 3 2" xfId="23464" xr:uid="{00000000-0005-0000-0000-000065730000}"/>
    <cellStyle name="Normal 7 3 5 4" xfId="33632" xr:uid="{00000000-0005-0000-0000-000066730000}"/>
    <cellStyle name="Normal 7 3 6" xfId="3040" xr:uid="{00000000-0005-0000-0000-000067730000}"/>
    <cellStyle name="Normal 7 3 6 2" xfId="12533" xr:uid="{00000000-0005-0000-0000-000068730000}"/>
    <cellStyle name="Normal 7 3 6 2 2" xfId="32138" xr:uid="{00000000-0005-0000-0000-000069730000}"/>
    <cellStyle name="Normal 7 3 6 3" xfId="32962" xr:uid="{00000000-0005-0000-0000-00006A730000}"/>
    <cellStyle name="Normal 7 3 7" xfId="15425" xr:uid="{00000000-0005-0000-0000-00006B730000}"/>
    <cellStyle name="Normal 7 3 7 2" xfId="30235" xr:uid="{00000000-0005-0000-0000-00006C730000}"/>
    <cellStyle name="Normal 7 3 8" xfId="28623" xr:uid="{00000000-0005-0000-0000-00006D730000}"/>
    <cellStyle name="Normal 7 4" xfId="28413" xr:uid="{00000000-0005-0000-0000-00006E730000}"/>
    <cellStyle name="Normal 7 4 2" xfId="30635" xr:uid="{00000000-0005-0000-0000-00006F730000}"/>
    <cellStyle name="Normal 7 4 2 2" xfId="2596" xr:uid="{00000000-0005-0000-0000-000070730000}"/>
    <cellStyle name="Normal 7 4 2 2 2" xfId="27507" xr:uid="{00000000-0005-0000-0000-000071730000}"/>
    <cellStyle name="Normal 7 4 2 2 2 2" xfId="33508" xr:uid="{00000000-0005-0000-0000-000072730000}"/>
    <cellStyle name="Normal 7 4 2 2 2 2 2" xfId="25138" xr:uid="{00000000-0005-0000-0000-000073730000}"/>
    <cellStyle name="Normal 7 4 2 2 2 2 2 2" xfId="28518" xr:uid="{00000000-0005-0000-0000-000074730000}"/>
    <cellStyle name="Normal 7 4 2 2 2 2 3" xfId="29341" xr:uid="{00000000-0005-0000-0000-000075730000}"/>
    <cellStyle name="Normal 7 4 2 2 2 3" xfId="28964" xr:uid="{00000000-0005-0000-0000-000076730000}"/>
    <cellStyle name="Normal 7 4 2 2 2 3 2" xfId="1081" xr:uid="{00000000-0005-0000-0000-000077730000}"/>
    <cellStyle name="Normal 7 4 2 2 2 4" xfId="9501" xr:uid="{00000000-0005-0000-0000-000078730000}"/>
    <cellStyle name="Normal 7 4 2 2 3" xfId="28093" xr:uid="{00000000-0005-0000-0000-000079730000}"/>
    <cellStyle name="Normal 7 4 2 2 3 2" xfId="11517" xr:uid="{00000000-0005-0000-0000-00007A730000}"/>
    <cellStyle name="Normal 7 4 2 2 3 2 2" xfId="28553" xr:uid="{00000000-0005-0000-0000-00007B730000}"/>
    <cellStyle name="Normal 7 4 2 2 3 3" xfId="21683" xr:uid="{00000000-0005-0000-0000-00007C730000}"/>
    <cellStyle name="Normal 7 4 2 2 4" xfId="23959" xr:uid="{00000000-0005-0000-0000-00007D730000}"/>
    <cellStyle name="Normal 7 4 2 2 4 2" xfId="27481" xr:uid="{00000000-0005-0000-0000-00007E730000}"/>
    <cellStyle name="Normal 7 4 2 2 5" xfId="31848" xr:uid="{00000000-0005-0000-0000-00007F730000}"/>
    <cellStyle name="Normal 7 4 2 3" xfId="30707" xr:uid="{00000000-0005-0000-0000-000080730000}"/>
    <cellStyle name="Normal 7 4 2 3 2" xfId="28626" xr:uid="{00000000-0005-0000-0000-000081730000}"/>
    <cellStyle name="Normal 7 4 2 3 2 2" xfId="28499" xr:uid="{00000000-0005-0000-0000-000082730000}"/>
    <cellStyle name="Normal 7 4 2 3 2 2 2" xfId="23339" xr:uid="{00000000-0005-0000-0000-000083730000}"/>
    <cellStyle name="Normal 7 4 2 3 2 3" xfId="28510" xr:uid="{00000000-0005-0000-0000-000084730000}"/>
    <cellStyle name="Normal 7 4 2 3 3" xfId="28108" xr:uid="{00000000-0005-0000-0000-000085730000}"/>
    <cellStyle name="Normal 7 4 2 3 3 2" xfId="11579" xr:uid="{00000000-0005-0000-0000-000086730000}"/>
    <cellStyle name="Normal 7 4 2 3 4" xfId="30639" xr:uid="{00000000-0005-0000-0000-000087730000}"/>
    <cellStyle name="Normal 7 4 2 4" xfId="27843" xr:uid="{00000000-0005-0000-0000-000088730000}"/>
    <cellStyle name="Normal 7 4 2 4 2" xfId="27845" xr:uid="{00000000-0005-0000-0000-000089730000}"/>
    <cellStyle name="Normal 7 4 2 4 2 2" xfId="28526" xr:uid="{00000000-0005-0000-0000-00008A730000}"/>
    <cellStyle name="Normal 7 4 2 4 3" xfId="27847" xr:uid="{00000000-0005-0000-0000-00008B730000}"/>
    <cellStyle name="Normal 7 4 2 5" xfId="27853" xr:uid="{00000000-0005-0000-0000-00008C730000}"/>
    <cellStyle name="Normal 7 4 2 5 2" xfId="33658" xr:uid="{00000000-0005-0000-0000-00008D730000}"/>
    <cellStyle name="Normal 7 4 2 6" xfId="27858" xr:uid="{00000000-0005-0000-0000-00008E730000}"/>
    <cellStyle name="Normal 7 4 3" xfId="26382" xr:uid="{00000000-0005-0000-0000-00008F730000}"/>
    <cellStyle name="Normal 7 4 3 2" xfId="27150" xr:uid="{00000000-0005-0000-0000-000090730000}"/>
    <cellStyle name="Normal 7 4 3 2 2" xfId="31345" xr:uid="{00000000-0005-0000-0000-000091730000}"/>
    <cellStyle name="Normal 7 4 3 2 2 2" xfId="33032" xr:uid="{00000000-0005-0000-0000-000092730000}"/>
    <cellStyle name="Normal 7 4 3 2 2 2 2" xfId="29185" xr:uid="{00000000-0005-0000-0000-000093730000}"/>
    <cellStyle name="Normal 7 4 3 2 2 3" xfId="30646" xr:uid="{00000000-0005-0000-0000-000094730000}"/>
    <cellStyle name="Normal 7 4 3 2 3" xfId="30655" xr:uid="{00000000-0005-0000-0000-000095730000}"/>
    <cellStyle name="Normal 7 4 3 2 3 2" xfId="11685" xr:uid="{00000000-0005-0000-0000-000096730000}"/>
    <cellStyle name="Normal 7 4 3 2 4" xfId="31243" xr:uid="{00000000-0005-0000-0000-000097730000}"/>
    <cellStyle name="Normal 7 4 3 3" xfId="21165" xr:uid="{00000000-0005-0000-0000-000098730000}"/>
    <cellStyle name="Normal 7 4 3 3 2" xfId="23507" xr:uid="{00000000-0005-0000-0000-000099730000}"/>
    <cellStyle name="Normal 7 4 3 3 2 2" xfId="28366" xr:uid="{00000000-0005-0000-0000-00009A730000}"/>
    <cellStyle name="Normal 7 4 3 3 3" xfId="23269" xr:uid="{00000000-0005-0000-0000-00009B730000}"/>
    <cellStyle name="Normal 7 4 3 4" xfId="27865" xr:uid="{00000000-0005-0000-0000-00009C730000}"/>
    <cellStyle name="Normal 7 4 3 4 2" xfId="23519" xr:uid="{00000000-0005-0000-0000-00009D730000}"/>
    <cellStyle name="Normal 7 4 3 5" xfId="27871" xr:uid="{00000000-0005-0000-0000-00009E730000}"/>
    <cellStyle name="Normal 7 4 4" xfId="6559" xr:uid="{00000000-0005-0000-0000-00009F730000}"/>
    <cellStyle name="Normal 7 4 4 2" xfId="5053" xr:uid="{00000000-0005-0000-0000-0000A0730000}"/>
    <cellStyle name="Normal 7 4 4 2 2" xfId="29247" xr:uid="{00000000-0005-0000-0000-0000A1730000}"/>
    <cellStyle name="Normal 7 4 4 2 2 2" xfId="27195" xr:uid="{00000000-0005-0000-0000-0000A2730000}"/>
    <cellStyle name="Normal 7 4 4 2 3" xfId="32407" xr:uid="{00000000-0005-0000-0000-0000A3730000}"/>
    <cellStyle name="Normal 7 4 4 3" xfId="30649" xr:uid="{00000000-0005-0000-0000-0000A4730000}"/>
    <cellStyle name="Normal 7 4 4 3 2" xfId="7909" xr:uid="{00000000-0005-0000-0000-0000A5730000}"/>
    <cellStyle name="Normal 7 4 4 4" xfId="30668" xr:uid="{00000000-0005-0000-0000-0000A6730000}"/>
    <cellStyle name="Normal 7 4 5" xfId="6564" xr:uid="{00000000-0005-0000-0000-0000A7730000}"/>
    <cellStyle name="Normal 7 4 5 2" xfId="22452" xr:uid="{00000000-0005-0000-0000-0000A8730000}"/>
    <cellStyle name="Normal 7 4 5 2 2" xfId="27019" xr:uid="{00000000-0005-0000-0000-0000A9730000}"/>
    <cellStyle name="Normal 7 4 5 3" xfId="33421" xr:uid="{00000000-0005-0000-0000-0000AA730000}"/>
    <cellStyle name="Normal 7 4 6" xfId="22464" xr:uid="{00000000-0005-0000-0000-0000AB730000}"/>
    <cellStyle name="Normal 7 4 6 2" xfId="28329" xr:uid="{00000000-0005-0000-0000-0000AC730000}"/>
    <cellStyle name="Normal 7 4 7" xfId="28333" xr:uid="{00000000-0005-0000-0000-0000AD730000}"/>
    <cellStyle name="Normal 7 5" xfId="30671" xr:uid="{00000000-0005-0000-0000-0000AE730000}"/>
    <cellStyle name="Normal 7 5 2" xfId="30733" xr:uid="{00000000-0005-0000-0000-0000AF730000}"/>
    <cellStyle name="Normal 7 5 2 2" xfId="25140" xr:uid="{00000000-0005-0000-0000-0000B0730000}"/>
    <cellStyle name="Normal 7 5 2 2 2" xfId="31409" xr:uid="{00000000-0005-0000-0000-0000B1730000}"/>
    <cellStyle name="Normal 7 5 2 2 2 2" xfId="33572" xr:uid="{00000000-0005-0000-0000-0000B2730000}"/>
    <cellStyle name="Normal 7 5 2 2 2 2 2" xfId="32606" xr:uid="{00000000-0005-0000-0000-0000B3730000}"/>
    <cellStyle name="Normal 7 5 2 2 2 3" xfId="27755" xr:uid="{00000000-0005-0000-0000-0000B4730000}"/>
    <cellStyle name="Normal 7 5 2 2 3" xfId="28135" xr:uid="{00000000-0005-0000-0000-0000B5730000}"/>
    <cellStyle name="Normal 7 5 2 2 3 2" xfId="7232" xr:uid="{00000000-0005-0000-0000-0000B6730000}"/>
    <cellStyle name="Normal 7 5 2 2 4" xfId="32169" xr:uid="{00000000-0005-0000-0000-0000B7730000}"/>
    <cellStyle name="Normal 7 5 2 3" xfId="33919" xr:uid="{00000000-0005-0000-0000-0000B8730000}"/>
    <cellStyle name="Normal 7 5 2 3 2" xfId="11098" xr:uid="{00000000-0005-0000-0000-0000B9730000}"/>
    <cellStyle name="Normal 7 5 2 3 2 2" xfId="26907" xr:uid="{00000000-0005-0000-0000-0000BA730000}"/>
    <cellStyle name="Normal 7 5 2 3 3" xfId="32661" xr:uid="{00000000-0005-0000-0000-0000BB730000}"/>
    <cellStyle name="Normal 7 5 2 4" xfId="27882" xr:uid="{00000000-0005-0000-0000-0000BC730000}"/>
    <cellStyle name="Normal 7 5 2 4 2" xfId="27889" xr:uid="{00000000-0005-0000-0000-0000BD730000}"/>
    <cellStyle name="Normal 7 5 2 5" xfId="27894" xr:uid="{00000000-0005-0000-0000-0000BE730000}"/>
    <cellStyle name="Normal 7 5 3" xfId="30331" xr:uid="{00000000-0005-0000-0000-0000BF730000}"/>
    <cellStyle name="Normal 7 5 3 2" xfId="31970" xr:uid="{00000000-0005-0000-0000-0000C0730000}"/>
    <cellStyle name="Normal 7 5 3 2 2" xfId="33466" xr:uid="{00000000-0005-0000-0000-0000C1730000}"/>
    <cellStyle name="Normal 7 5 3 2 2 2" xfId="33856" xr:uid="{00000000-0005-0000-0000-0000C2730000}"/>
    <cellStyle name="Normal 7 5 3 2 3" xfId="31362" xr:uid="{00000000-0005-0000-0000-0000C3730000}"/>
    <cellStyle name="Normal 7 5 3 3" xfId="32560" xr:uid="{00000000-0005-0000-0000-0000C4730000}"/>
    <cellStyle name="Normal 7 5 3 3 2" xfId="31071" xr:uid="{00000000-0005-0000-0000-0000C5730000}"/>
    <cellStyle name="Normal 7 5 3 4" xfId="28116" xr:uid="{00000000-0005-0000-0000-0000C6730000}"/>
    <cellStyle name="Normal 7 5 4" xfId="6576" xr:uid="{00000000-0005-0000-0000-0000C7730000}"/>
    <cellStyle name="Normal 7 5 4 2" xfId="33479" xr:uid="{00000000-0005-0000-0000-0000C8730000}"/>
    <cellStyle name="Normal 7 5 4 2 2" xfId="33909" xr:uid="{00000000-0005-0000-0000-0000C9730000}"/>
    <cellStyle name="Normal 7 5 4 3" xfId="30676" xr:uid="{00000000-0005-0000-0000-0000CA730000}"/>
    <cellStyle name="Normal 7 5 5" xfId="32113" xr:uid="{00000000-0005-0000-0000-0000CB730000}"/>
    <cellStyle name="Normal 7 5 5 2" xfId="33961" xr:uid="{00000000-0005-0000-0000-0000CC730000}"/>
    <cellStyle name="Normal 7 5 6" xfId="30683" xr:uid="{00000000-0005-0000-0000-0000CD730000}"/>
    <cellStyle name="Normal 7 6" xfId="32934" xr:uid="{00000000-0005-0000-0000-0000CE730000}"/>
    <cellStyle name="Normal 7 6 2" xfId="21669" xr:uid="{00000000-0005-0000-0000-0000CF730000}"/>
    <cellStyle name="Normal 7 6 2 2" xfId="27082" xr:uid="{00000000-0005-0000-0000-0000D0730000}"/>
    <cellStyle name="Normal 7 6 2 2 2" xfId="21095" xr:uid="{00000000-0005-0000-0000-0000D1730000}"/>
    <cellStyle name="Normal 7 6 2 2 2 2" xfId="21100" xr:uid="{00000000-0005-0000-0000-0000D2730000}"/>
    <cellStyle name="Normal 7 6 2 2 3" xfId="21105" xr:uid="{00000000-0005-0000-0000-0000D3730000}"/>
    <cellStyle name="Normal 7 6 2 3" xfId="31803" xr:uid="{00000000-0005-0000-0000-0000D4730000}"/>
    <cellStyle name="Normal 7 6 2 3 2" xfId="21107" xr:uid="{00000000-0005-0000-0000-0000D5730000}"/>
    <cellStyle name="Normal 7 6 2 4" xfId="18454" xr:uid="{00000000-0005-0000-0000-0000D6730000}"/>
    <cellStyle name="Normal 7 6 3" xfId="30320" xr:uid="{00000000-0005-0000-0000-0000D7730000}"/>
    <cellStyle name="Normal 7 6 3 2" xfId="21135" xr:uid="{00000000-0005-0000-0000-0000D8730000}"/>
    <cellStyle name="Normal 7 6 3 2 2" xfId="21138" xr:uid="{00000000-0005-0000-0000-0000D9730000}"/>
    <cellStyle name="Normal 7 6 3 3" xfId="21140" xr:uid="{00000000-0005-0000-0000-0000DA730000}"/>
    <cellStyle name="Normal 7 6 4" xfId="33964" xr:uid="{00000000-0005-0000-0000-0000DB730000}"/>
    <cellStyle name="Normal 7 6 4 2" xfId="21146" xr:uid="{00000000-0005-0000-0000-0000DC730000}"/>
    <cellStyle name="Normal 7 6 5" xfId="26916" xr:uid="{00000000-0005-0000-0000-0000DD730000}"/>
    <cellStyle name="Normal 7 7" xfId="25352" xr:uid="{00000000-0005-0000-0000-0000DE730000}"/>
    <cellStyle name="Normal 7 7 2" xfId="11584" xr:uid="{00000000-0005-0000-0000-0000DF730000}"/>
    <cellStyle name="Normal 7 7 2 2" xfId="25359" xr:uid="{00000000-0005-0000-0000-0000E0730000}"/>
    <cellStyle name="Normal 7 7 2 2 2" xfId="21555" xr:uid="{00000000-0005-0000-0000-0000E1730000}"/>
    <cellStyle name="Normal 7 7 2 3" xfId="25369" xr:uid="{00000000-0005-0000-0000-0000E2730000}"/>
    <cellStyle name="Normal 7 7 3" xfId="22410" xr:uid="{00000000-0005-0000-0000-0000E3730000}"/>
    <cellStyle name="Normal 7 7 3 2" xfId="22419" xr:uid="{00000000-0005-0000-0000-0000E4730000}"/>
    <cellStyle name="Normal 7 7 4" xfId="25443" xr:uid="{00000000-0005-0000-0000-0000E5730000}"/>
    <cellStyle name="Normal 7 8" xfId="10116" xr:uid="{00000000-0005-0000-0000-0000E6730000}"/>
    <cellStyle name="Normal 7 8 2" xfId="24524" xr:uid="{00000000-0005-0000-0000-0000E7730000}"/>
    <cellStyle name="Normal 7 8 2 2" xfId="25376" xr:uid="{00000000-0005-0000-0000-0000E8730000}"/>
    <cellStyle name="Normal 7 8 3" xfId="22432" xr:uid="{00000000-0005-0000-0000-0000E9730000}"/>
    <cellStyle name="Normal 7 9" xfId="25398" xr:uid="{00000000-0005-0000-0000-0000EA730000}"/>
    <cellStyle name="Normal 7 9 2" xfId="25400" xr:uid="{00000000-0005-0000-0000-0000EB730000}"/>
    <cellStyle name="Normal 8" xfId="29857" xr:uid="{00000000-0005-0000-0000-0000EC730000}"/>
    <cellStyle name="Normal 8 2" xfId="27750" xr:uid="{00000000-0005-0000-0000-0000ED730000}"/>
    <cellStyle name="Normal 9" xfId="30689" xr:uid="{00000000-0005-0000-0000-0000EE730000}"/>
    <cellStyle name="Normal 9 10" xfId="11203" xr:uid="{00000000-0005-0000-0000-0000EF730000}"/>
    <cellStyle name="Normal 9 2" xfId="19921" xr:uid="{00000000-0005-0000-0000-0000F0730000}"/>
    <cellStyle name="Normal 9 2 2" xfId="29437" xr:uid="{00000000-0005-0000-0000-0000F1730000}"/>
    <cellStyle name="Normal 9 2 2 2" xfId="30699" xr:uid="{00000000-0005-0000-0000-0000F2730000}"/>
    <cellStyle name="Normal 9 2 2 2 2" xfId="33034" xr:uid="{00000000-0005-0000-0000-0000F3730000}"/>
    <cellStyle name="Normal 9 2 2 2 2 2" xfId="21125" xr:uid="{00000000-0005-0000-0000-0000F4730000}"/>
    <cellStyle name="Normal 9 2 2 2 2 2 2" xfId="21002" xr:uid="{00000000-0005-0000-0000-0000F5730000}"/>
    <cellStyle name="Normal 9 2 2 2 2 2 2 2" xfId="25074" xr:uid="{00000000-0005-0000-0000-0000F6730000}"/>
    <cellStyle name="Normal 9 2 2 2 2 2 2 2 2" xfId="25076" xr:uid="{00000000-0005-0000-0000-0000F7730000}"/>
    <cellStyle name="Normal 9 2 2 2 2 2 2 3" xfId="25105" xr:uid="{00000000-0005-0000-0000-0000F8730000}"/>
    <cellStyle name="Normal 9 2 2 2 2 2 3" xfId="25143" xr:uid="{00000000-0005-0000-0000-0000F9730000}"/>
    <cellStyle name="Normal 9 2 2 2 2 2 3 2" xfId="25147" xr:uid="{00000000-0005-0000-0000-0000FA730000}"/>
    <cellStyle name="Normal 9 2 2 2 2 2 4" xfId="25204" xr:uid="{00000000-0005-0000-0000-0000FB730000}"/>
    <cellStyle name="Normal 9 2 2 2 2 3" xfId="21127" xr:uid="{00000000-0005-0000-0000-0000FC730000}"/>
    <cellStyle name="Normal 9 2 2 2 2 3 2" xfId="9949" xr:uid="{00000000-0005-0000-0000-0000FD730000}"/>
    <cellStyle name="Normal 9 2 2 2 2 3 2 2" xfId="25354" xr:uid="{00000000-0005-0000-0000-0000FE730000}"/>
    <cellStyle name="Normal 9 2 2 2 2 3 3" xfId="25408" xr:uid="{00000000-0005-0000-0000-0000FF730000}"/>
    <cellStyle name="Normal 9 2 2 2 2 4" xfId="30700" xr:uid="{00000000-0005-0000-0000-000000740000}"/>
    <cellStyle name="Normal 9 2 2 2 2 4 2" xfId="19469" xr:uid="{00000000-0005-0000-0000-000001740000}"/>
    <cellStyle name="Normal 9 2 2 2 2 5" xfId="11156" xr:uid="{00000000-0005-0000-0000-000002740000}"/>
    <cellStyle name="Normal 9 2 2 2 3" xfId="30704" xr:uid="{00000000-0005-0000-0000-000003740000}"/>
    <cellStyle name="Normal 9 2 2 2 3 2" xfId="21133" xr:uid="{00000000-0005-0000-0000-000004740000}"/>
    <cellStyle name="Normal 9 2 2 2 3 2 2" xfId="24398" xr:uid="{00000000-0005-0000-0000-000005740000}"/>
    <cellStyle name="Normal 9 2 2 2 3 2 2 2" xfId="24609" xr:uid="{00000000-0005-0000-0000-000006740000}"/>
    <cellStyle name="Normal 9 2 2 2 3 2 3" xfId="16592" xr:uid="{00000000-0005-0000-0000-000007740000}"/>
    <cellStyle name="Normal 9 2 2 2 3 3" xfId="30710" xr:uid="{00000000-0005-0000-0000-000008740000}"/>
    <cellStyle name="Normal 9 2 2 2 3 3 2" xfId="24624" xr:uid="{00000000-0005-0000-0000-000009740000}"/>
    <cellStyle name="Normal 9 2 2 2 3 4" xfId="31873" xr:uid="{00000000-0005-0000-0000-00000A740000}"/>
    <cellStyle name="Normal 9 2 2 2 4" xfId="5091" xr:uid="{00000000-0005-0000-0000-00000B740000}"/>
    <cellStyle name="Normal 9 2 2 2 4 2" xfId="30640" xr:uid="{00000000-0005-0000-0000-00000C740000}"/>
    <cellStyle name="Normal 9 2 2 2 4 2 2" xfId="31348" xr:uid="{00000000-0005-0000-0000-00000D740000}"/>
    <cellStyle name="Normal 9 2 2 2 4 3" xfId="32150" xr:uid="{00000000-0005-0000-0000-00000E740000}"/>
    <cellStyle name="Normal 9 2 2 2 5" xfId="30714" xr:uid="{00000000-0005-0000-0000-00000F740000}"/>
    <cellStyle name="Normal 9 2 2 2 5 2" xfId="30717" xr:uid="{00000000-0005-0000-0000-000010740000}"/>
    <cellStyle name="Normal 9 2 2 2 6" xfId="21798" xr:uid="{00000000-0005-0000-0000-000011740000}"/>
    <cellStyle name="Normal 9 2 2 3" xfId="30721" xr:uid="{00000000-0005-0000-0000-000012740000}"/>
    <cellStyle name="Normal 9 2 2 3 2" xfId="30723" xr:uid="{00000000-0005-0000-0000-000013740000}"/>
    <cellStyle name="Normal 9 2 2 3 2 2" xfId="21142" xr:uid="{00000000-0005-0000-0000-000014740000}"/>
    <cellStyle name="Normal 9 2 2 3 2 2 2" xfId="31443" xr:uid="{00000000-0005-0000-0000-000015740000}"/>
    <cellStyle name="Normal 9 2 2 3 2 2 2 2" xfId="7319" xr:uid="{00000000-0005-0000-0000-000016740000}"/>
    <cellStyle name="Normal 9 2 2 3 2 2 3" xfId="31877" xr:uid="{00000000-0005-0000-0000-000017740000}"/>
    <cellStyle name="Normal 9 2 2 3 2 3" xfId="30727" xr:uid="{00000000-0005-0000-0000-000018740000}"/>
    <cellStyle name="Normal 9 2 2 3 2 3 2" xfId="30728" xr:uid="{00000000-0005-0000-0000-000019740000}"/>
    <cellStyle name="Normal 9 2 2 3 2 4" xfId="33805" xr:uid="{00000000-0005-0000-0000-00001A740000}"/>
    <cellStyle name="Normal 9 2 2 3 3" xfId="30736" xr:uid="{00000000-0005-0000-0000-00001B740000}"/>
    <cellStyle name="Normal 9 2 2 3 3 2" xfId="30742" xr:uid="{00000000-0005-0000-0000-00001C740000}"/>
    <cellStyle name="Normal 9 2 2 3 3 2 2" xfId="15217" xr:uid="{00000000-0005-0000-0000-00001D740000}"/>
    <cellStyle name="Normal 9 2 2 3 3 3" xfId="1434" xr:uid="{00000000-0005-0000-0000-00001E740000}"/>
    <cellStyle name="Normal 9 2 2 3 4" xfId="25033" xr:uid="{00000000-0005-0000-0000-00001F740000}"/>
    <cellStyle name="Normal 9 2 2 3 4 2" xfId="32549" xr:uid="{00000000-0005-0000-0000-000020740000}"/>
    <cellStyle name="Normal 9 2 2 3 5" xfId="32334" xr:uid="{00000000-0005-0000-0000-000021740000}"/>
    <cellStyle name="Normal 9 2 2 4" xfId="30748" xr:uid="{00000000-0005-0000-0000-000022740000}"/>
    <cellStyle name="Normal 9 2 2 4 2" xfId="30129" xr:uid="{00000000-0005-0000-0000-000023740000}"/>
    <cellStyle name="Normal 9 2 2 4 2 2" xfId="30132" xr:uid="{00000000-0005-0000-0000-000024740000}"/>
    <cellStyle name="Normal 9 2 2 4 2 2 2" xfId="20197" xr:uid="{00000000-0005-0000-0000-000025740000}"/>
    <cellStyle name="Normal 9 2 2 4 2 3" xfId="26730" xr:uid="{00000000-0005-0000-0000-000026740000}"/>
    <cellStyle name="Normal 9 2 2 4 3" xfId="7304" xr:uid="{00000000-0005-0000-0000-000027740000}"/>
    <cellStyle name="Normal 9 2 2 4 3 2" xfId="966" xr:uid="{00000000-0005-0000-0000-000028740000}"/>
    <cellStyle name="Normal 9 2 2 4 4" xfId="9004" xr:uid="{00000000-0005-0000-0000-000029740000}"/>
    <cellStyle name="Normal 9 2 2 5" xfId="30750" xr:uid="{00000000-0005-0000-0000-00002A740000}"/>
    <cellStyle name="Normal 9 2 2 5 2" xfId="27818" xr:uid="{00000000-0005-0000-0000-00002B740000}"/>
    <cellStyle name="Normal 9 2 2 5 2 2" xfId="25942" xr:uid="{00000000-0005-0000-0000-00002C740000}"/>
    <cellStyle name="Normal 9 2 2 5 3" xfId="88" xr:uid="{00000000-0005-0000-0000-00002D740000}"/>
    <cellStyle name="Normal 9 2 2 6" xfId="17227" xr:uid="{00000000-0005-0000-0000-00002E740000}"/>
    <cellStyle name="Normal 9 2 2 6 2" xfId="27827" xr:uid="{00000000-0005-0000-0000-00002F740000}"/>
    <cellStyle name="Normal 9 2 2 7" xfId="30752" xr:uid="{00000000-0005-0000-0000-000030740000}"/>
    <cellStyle name="Normal 9 2 3" xfId="20633" xr:uid="{00000000-0005-0000-0000-000031740000}"/>
    <cellStyle name="Normal 9 2 3 2" xfId="30754" xr:uid="{00000000-0005-0000-0000-000032740000}"/>
    <cellStyle name="Normal 9 2 3 2 2" xfId="6624" xr:uid="{00000000-0005-0000-0000-000033740000}"/>
    <cellStyle name="Normal 9 2 3 2 2 2" xfId="21567" xr:uid="{00000000-0005-0000-0000-000034740000}"/>
    <cellStyle name="Normal 9 2 3 2 2 2 2" xfId="23019" xr:uid="{00000000-0005-0000-0000-000035740000}"/>
    <cellStyle name="Normal 9 2 3 2 2 2 2 2" xfId="25634" xr:uid="{00000000-0005-0000-0000-000036740000}"/>
    <cellStyle name="Normal 9 2 3 2 2 2 3" xfId="5446" xr:uid="{00000000-0005-0000-0000-000037740000}"/>
    <cellStyle name="Normal 9 2 3 2 2 3" xfId="30759" xr:uid="{00000000-0005-0000-0000-000038740000}"/>
    <cellStyle name="Normal 9 2 3 2 2 3 2" xfId="29392" xr:uid="{00000000-0005-0000-0000-000039740000}"/>
    <cellStyle name="Normal 9 2 3 2 2 4" xfId="30763" xr:uid="{00000000-0005-0000-0000-00003A740000}"/>
    <cellStyle name="Normal 9 2 3 2 3" xfId="5808" xr:uid="{00000000-0005-0000-0000-00003B740000}"/>
    <cellStyle name="Normal 9 2 3 2 3 2" xfId="26547" xr:uid="{00000000-0005-0000-0000-00003C740000}"/>
    <cellStyle name="Normal 9 2 3 2 3 2 2" xfId="32018" xr:uid="{00000000-0005-0000-0000-00003D740000}"/>
    <cellStyle name="Normal 9 2 3 2 3 3" xfId="26554" xr:uid="{00000000-0005-0000-0000-00003E740000}"/>
    <cellStyle name="Normal 9 2 3 2 4" xfId="22333" xr:uid="{00000000-0005-0000-0000-00003F740000}"/>
    <cellStyle name="Normal 9 2 3 2 4 2" xfId="30767" xr:uid="{00000000-0005-0000-0000-000040740000}"/>
    <cellStyle name="Normal 9 2 3 2 5" xfId="22342" xr:uid="{00000000-0005-0000-0000-000041740000}"/>
    <cellStyle name="Normal 9 2 3 3" xfId="30771" xr:uid="{00000000-0005-0000-0000-000042740000}"/>
    <cellStyle name="Normal 9 2 3 3 2" xfId="23791" xr:uid="{00000000-0005-0000-0000-000043740000}"/>
    <cellStyle name="Normal 9 2 3 3 2 2" xfId="34002" xr:uid="{00000000-0005-0000-0000-000044740000}"/>
    <cellStyle name="Normal 9 2 3 3 2 2 2" xfId="28673" xr:uid="{00000000-0005-0000-0000-000045740000}"/>
    <cellStyle name="Normal 9 2 3 3 2 3" xfId="29764" xr:uid="{00000000-0005-0000-0000-000046740000}"/>
    <cellStyle name="Normal 9 2 3 3 3" xfId="23794" xr:uid="{00000000-0005-0000-0000-000047740000}"/>
    <cellStyle name="Normal 9 2 3 3 3 2" xfId="26567" xr:uid="{00000000-0005-0000-0000-000048740000}"/>
    <cellStyle name="Normal 9 2 3 3 4" xfId="22354" xr:uid="{00000000-0005-0000-0000-000049740000}"/>
    <cellStyle name="Normal 9 2 3 4" xfId="33398" xr:uid="{00000000-0005-0000-0000-00004A740000}"/>
    <cellStyle name="Normal 9 2 3 4 2" xfId="23796" xr:uid="{00000000-0005-0000-0000-00004B740000}"/>
    <cellStyle name="Normal 9 2 3 4 2 2" xfId="2769" xr:uid="{00000000-0005-0000-0000-00004C740000}"/>
    <cellStyle name="Normal 9 2 3 4 3" xfId="27001" xr:uid="{00000000-0005-0000-0000-00004D740000}"/>
    <cellStyle name="Normal 9 2 3 5" xfId="27674" xr:uid="{00000000-0005-0000-0000-00004E740000}"/>
    <cellStyle name="Normal 9 2 3 5 2" xfId="28927" xr:uid="{00000000-0005-0000-0000-00004F740000}"/>
    <cellStyle name="Normal 9 2 3 6" xfId="29949" xr:uid="{00000000-0005-0000-0000-000050740000}"/>
    <cellStyle name="Normal 9 2 4" xfId="1347" xr:uid="{00000000-0005-0000-0000-000051740000}"/>
    <cellStyle name="Normal 9 2 4 2" xfId="3384" xr:uid="{00000000-0005-0000-0000-000052740000}"/>
    <cellStyle name="Normal 9 2 4 2 2" xfId="5493" xr:uid="{00000000-0005-0000-0000-000053740000}"/>
    <cellStyle name="Normal 9 2 4 2 2 2" xfId="30784" xr:uid="{00000000-0005-0000-0000-000054740000}"/>
    <cellStyle name="Normal 9 2 4 2 2 2 2" xfId="30786" xr:uid="{00000000-0005-0000-0000-000055740000}"/>
    <cellStyle name="Normal 9 2 4 2 2 3" xfId="27427" xr:uid="{00000000-0005-0000-0000-000056740000}"/>
    <cellStyle name="Normal 9 2 4 2 3" xfId="33295" xr:uid="{00000000-0005-0000-0000-000057740000}"/>
    <cellStyle name="Normal 9 2 4 2 3 2" xfId="30722" xr:uid="{00000000-0005-0000-0000-000058740000}"/>
    <cellStyle name="Normal 9 2 4 2 4" xfId="22429" xr:uid="{00000000-0005-0000-0000-000059740000}"/>
    <cellStyle name="Normal 9 2 4 3" xfId="29053" xr:uid="{00000000-0005-0000-0000-00005A740000}"/>
    <cellStyle name="Normal 9 2 4 3 2" xfId="23808" xr:uid="{00000000-0005-0000-0000-00005B740000}"/>
    <cellStyle name="Normal 9 2 4 3 2 2" xfId="27955" xr:uid="{00000000-0005-0000-0000-00005C740000}"/>
    <cellStyle name="Normal 9 2 4 3 3" xfId="14604" xr:uid="{00000000-0005-0000-0000-00005D740000}"/>
    <cellStyle name="Normal 9 2 4 4" xfId="26834" xr:uid="{00000000-0005-0000-0000-00005E740000}"/>
    <cellStyle name="Normal 9 2 4 4 2" xfId="14043" xr:uid="{00000000-0005-0000-0000-00005F740000}"/>
    <cellStyle name="Normal 9 2 4 5" xfId="30800" xr:uid="{00000000-0005-0000-0000-000060740000}"/>
    <cellStyle name="Normal 9 2 5" xfId="214" xr:uid="{00000000-0005-0000-0000-000061740000}"/>
    <cellStyle name="Normal 9 2 5 2" xfId="8398" xr:uid="{00000000-0005-0000-0000-000062740000}"/>
    <cellStyle name="Normal 9 2 5 2 2" xfId="3301" xr:uid="{00000000-0005-0000-0000-000063740000}"/>
    <cellStyle name="Normal 9 2 5 2 2 2" xfId="31548" xr:uid="{00000000-0005-0000-0000-000064740000}"/>
    <cellStyle name="Normal 9 2 5 2 3" xfId="25435" xr:uid="{00000000-0005-0000-0000-000065740000}"/>
    <cellStyle name="Normal 9 2 5 3" xfId="30805" xr:uid="{00000000-0005-0000-0000-000066740000}"/>
    <cellStyle name="Normal 9 2 5 3 2" xfId="14630" xr:uid="{00000000-0005-0000-0000-000067740000}"/>
    <cellStyle name="Normal 9 2 5 4" xfId="31202" xr:uid="{00000000-0005-0000-0000-000068740000}"/>
    <cellStyle name="Normal 9 2 6" xfId="6849" xr:uid="{00000000-0005-0000-0000-000069740000}"/>
    <cellStyle name="Normal 9 2 6 2" xfId="32960" xr:uid="{00000000-0005-0000-0000-00006A740000}"/>
    <cellStyle name="Normal 9 2 6 2 2" xfId="31340" xr:uid="{00000000-0005-0000-0000-00006B740000}"/>
    <cellStyle name="Normal 9 2 6 3" xfId="32841" xr:uid="{00000000-0005-0000-0000-00006C740000}"/>
    <cellStyle name="Normal 9 2 7" xfId="30810" xr:uid="{00000000-0005-0000-0000-00006D740000}"/>
    <cellStyle name="Normal 9 2 7 2" xfId="30812" xr:uid="{00000000-0005-0000-0000-00006E740000}"/>
    <cellStyle name="Normal 9 2 8" xfId="30815" xr:uid="{00000000-0005-0000-0000-00006F740000}"/>
    <cellStyle name="Normal 9 3" xfId="6938" xr:uid="{00000000-0005-0000-0000-000070740000}"/>
    <cellStyle name="Normal 9 3 2" xfId="30819" xr:uid="{00000000-0005-0000-0000-000071740000}"/>
    <cellStyle name="Normal 9 3 2 2" xfId="32218" xr:uid="{00000000-0005-0000-0000-000072740000}"/>
    <cellStyle name="Normal 9 3 2 2 2" xfId="30827" xr:uid="{00000000-0005-0000-0000-000073740000}"/>
    <cellStyle name="Normal 9 3 2 2 2 2" xfId="4602" xr:uid="{00000000-0005-0000-0000-000074740000}"/>
    <cellStyle name="Normal 9 3 2 2 2 2 2" xfId="32091" xr:uid="{00000000-0005-0000-0000-000075740000}"/>
    <cellStyle name="Normal 9 3 2 2 2 2 2 2" xfId="28055" xr:uid="{00000000-0005-0000-0000-000076740000}"/>
    <cellStyle name="Normal 9 3 2 2 2 2 3" xfId="31706" xr:uid="{00000000-0005-0000-0000-000077740000}"/>
    <cellStyle name="Normal 9 3 2 2 2 3" xfId="30830" xr:uid="{00000000-0005-0000-0000-000078740000}"/>
    <cellStyle name="Normal 9 3 2 2 2 3 2" xfId="30831" xr:uid="{00000000-0005-0000-0000-000079740000}"/>
    <cellStyle name="Normal 9 3 2 2 2 4" xfId="8715" xr:uid="{00000000-0005-0000-0000-00007A740000}"/>
    <cellStyle name="Normal 9 3 2 2 3" xfId="11263" xr:uid="{00000000-0005-0000-0000-00007B740000}"/>
    <cellStyle name="Normal 9 3 2 2 3 2" xfId="30835" xr:uid="{00000000-0005-0000-0000-00007C740000}"/>
    <cellStyle name="Normal 9 3 2 2 3 2 2" xfId="31547" xr:uid="{00000000-0005-0000-0000-00007D740000}"/>
    <cellStyle name="Normal 9 3 2 2 3 3" xfId="30837" xr:uid="{00000000-0005-0000-0000-00007E740000}"/>
    <cellStyle name="Normal 9 3 2 2 4" xfId="30838" xr:uid="{00000000-0005-0000-0000-00007F740000}"/>
    <cellStyle name="Normal 9 3 2 2 4 2" xfId="23896" xr:uid="{00000000-0005-0000-0000-000080740000}"/>
    <cellStyle name="Normal 9 3 2 2 5" xfId="30844" xr:uid="{00000000-0005-0000-0000-000081740000}"/>
    <cellStyle name="Normal 9 3 2 3" xfId="30849" xr:uid="{00000000-0005-0000-0000-000082740000}"/>
    <cellStyle name="Normal 9 3 2 3 2" xfId="30851" xr:uid="{00000000-0005-0000-0000-000083740000}"/>
    <cellStyle name="Normal 9 3 2 3 2 2" xfId="30855" xr:uid="{00000000-0005-0000-0000-000084740000}"/>
    <cellStyle name="Normal 9 3 2 3 2 2 2" xfId="31746" xr:uid="{00000000-0005-0000-0000-000085740000}"/>
    <cellStyle name="Normal 9 3 2 3 2 3" xfId="30857" xr:uid="{00000000-0005-0000-0000-000086740000}"/>
    <cellStyle name="Normal 9 3 2 3 3" xfId="30858" xr:uid="{00000000-0005-0000-0000-000087740000}"/>
    <cellStyle name="Normal 9 3 2 3 3 2" xfId="30864" xr:uid="{00000000-0005-0000-0000-000088740000}"/>
    <cellStyle name="Normal 9 3 2 3 4" xfId="28242" xr:uid="{00000000-0005-0000-0000-000089740000}"/>
    <cellStyle name="Normal 9 3 2 4" xfId="30869" xr:uid="{00000000-0005-0000-0000-00008A740000}"/>
    <cellStyle name="Normal 9 3 2 4 2" xfId="30239" xr:uid="{00000000-0005-0000-0000-00008B740000}"/>
    <cellStyle name="Normal 9 3 2 4 2 2" xfId="33318" xr:uid="{00000000-0005-0000-0000-00008C740000}"/>
    <cellStyle name="Normal 9 3 2 4 3" xfId="26246" xr:uid="{00000000-0005-0000-0000-00008D740000}"/>
    <cellStyle name="Normal 9 3 2 5" xfId="30879" xr:uid="{00000000-0005-0000-0000-00008E740000}"/>
    <cellStyle name="Normal 9 3 2 5 2" xfId="27010" xr:uid="{00000000-0005-0000-0000-00008F740000}"/>
    <cellStyle name="Normal 9 3 2 6" xfId="28348" xr:uid="{00000000-0005-0000-0000-000090740000}"/>
    <cellStyle name="Normal 9 3 3" xfId="30889" xr:uid="{00000000-0005-0000-0000-000091740000}"/>
    <cellStyle name="Normal 9 3 3 2" xfId="30892" xr:uid="{00000000-0005-0000-0000-000092740000}"/>
    <cellStyle name="Normal 9 3 3 2 2" xfId="6707" xr:uid="{00000000-0005-0000-0000-000093740000}"/>
    <cellStyle name="Normal 9 3 3 2 2 2" xfId="1838" xr:uid="{00000000-0005-0000-0000-000094740000}"/>
    <cellStyle name="Normal 9 3 3 2 2 2 2" xfId="11766" xr:uid="{00000000-0005-0000-0000-000095740000}"/>
    <cellStyle name="Normal 9 3 3 2 2 3" xfId="16072" xr:uid="{00000000-0005-0000-0000-000096740000}"/>
    <cellStyle name="Normal 9 3 3 2 3" xfId="25498" xr:uid="{00000000-0005-0000-0000-000097740000}"/>
    <cellStyle name="Normal 9 3 3 2 3 2" xfId="12352" xr:uid="{00000000-0005-0000-0000-000098740000}"/>
    <cellStyle name="Normal 9 3 3 2 4" xfId="11447" xr:uid="{00000000-0005-0000-0000-000099740000}"/>
    <cellStyle name="Normal 9 3 3 3" xfId="33873" xr:uid="{00000000-0005-0000-0000-00009A740000}"/>
    <cellStyle name="Normal 9 3 3 3 2" xfId="23834" xr:uid="{00000000-0005-0000-0000-00009B740000}"/>
    <cellStyle name="Normal 9 3 3 3 2 2" xfId="2407" xr:uid="{00000000-0005-0000-0000-00009C740000}"/>
    <cellStyle name="Normal 9 3 3 3 3" xfId="25512" xr:uid="{00000000-0005-0000-0000-00009D740000}"/>
    <cellStyle name="Normal 9 3 3 4" xfId="30894" xr:uid="{00000000-0005-0000-0000-00009E740000}"/>
    <cellStyle name="Normal 9 3 3 4 2" xfId="33105" xr:uid="{00000000-0005-0000-0000-00009F740000}"/>
    <cellStyle name="Normal 9 3 3 5" xfId="33607" xr:uid="{00000000-0005-0000-0000-0000A0740000}"/>
    <cellStyle name="Normal 9 3 4" xfId="1365" xr:uid="{00000000-0005-0000-0000-0000A1740000}"/>
    <cellStyle name="Normal 9 3 4 2" xfId="30896" xr:uid="{00000000-0005-0000-0000-0000A2740000}"/>
    <cellStyle name="Normal 9 3 4 2 2" xfId="7126" xr:uid="{00000000-0005-0000-0000-0000A3740000}"/>
    <cellStyle name="Normal 9 3 4 2 2 2" xfId="30897" xr:uid="{00000000-0005-0000-0000-0000A4740000}"/>
    <cellStyle name="Normal 9 3 4 2 3" xfId="7765" xr:uid="{00000000-0005-0000-0000-0000A5740000}"/>
    <cellStyle name="Normal 9 3 4 3" xfId="30902" xr:uid="{00000000-0005-0000-0000-0000A6740000}"/>
    <cellStyle name="Normal 9 3 4 3 2" xfId="14691" xr:uid="{00000000-0005-0000-0000-0000A7740000}"/>
    <cellStyle name="Normal 9 3 4 4" xfId="30907" xr:uid="{00000000-0005-0000-0000-0000A8740000}"/>
    <cellStyle name="Normal 9 3 5" xfId="30904" xr:uid="{00000000-0005-0000-0000-0000A9740000}"/>
    <cellStyle name="Normal 9 3 5 2" xfId="30911" xr:uid="{00000000-0005-0000-0000-0000AA740000}"/>
    <cellStyle name="Normal 9 3 5 2 2" xfId="3292" xr:uid="{00000000-0005-0000-0000-0000AB740000}"/>
    <cellStyle name="Normal 9 3 5 3" xfId="30912" xr:uid="{00000000-0005-0000-0000-0000AC740000}"/>
    <cellStyle name="Normal 9 3 6" xfId="30916" xr:uid="{00000000-0005-0000-0000-0000AD740000}"/>
    <cellStyle name="Normal 9 3 6 2" xfId="30737" xr:uid="{00000000-0005-0000-0000-0000AE740000}"/>
    <cellStyle name="Normal 9 3 7" xfId="32418" xr:uid="{00000000-0005-0000-0000-0000AF740000}"/>
    <cellStyle name="Normal 9 4" xfId="30925" xr:uid="{00000000-0005-0000-0000-0000B0740000}"/>
    <cellStyle name="Normal 9 4 2" xfId="17506" xr:uid="{00000000-0005-0000-0000-0000B1740000}"/>
    <cellStyle name="Normal 9 4 2 2" xfId="27326" xr:uid="{00000000-0005-0000-0000-0000B2740000}"/>
    <cellStyle name="Normal 9 4 2 2 2" xfId="31028" xr:uid="{00000000-0005-0000-0000-0000B3740000}"/>
    <cellStyle name="Normal 9 4 2 2 2 2" xfId="30846" xr:uid="{00000000-0005-0000-0000-0000B4740000}"/>
    <cellStyle name="Normal 9 4 2 2 2 2 2" xfId="4432" xr:uid="{00000000-0005-0000-0000-0000B5740000}"/>
    <cellStyle name="Normal 9 4 2 2 2 3" xfId="31999" xr:uid="{00000000-0005-0000-0000-0000B6740000}"/>
    <cellStyle name="Normal 9 4 2 2 3" xfId="30930" xr:uid="{00000000-0005-0000-0000-0000B7740000}"/>
    <cellStyle name="Normal 9 4 2 2 3 2" xfId="6349" xr:uid="{00000000-0005-0000-0000-0000B8740000}"/>
    <cellStyle name="Normal 9 4 2 2 4" xfId="30140" xr:uid="{00000000-0005-0000-0000-0000B9740000}"/>
    <cellStyle name="Normal 9 4 2 3" xfId="32206" xr:uid="{00000000-0005-0000-0000-0000BA740000}"/>
    <cellStyle name="Normal 9 4 2 3 2" xfId="31053" xr:uid="{00000000-0005-0000-0000-0000BB740000}"/>
    <cellStyle name="Normal 9 4 2 3 2 2" xfId="29582" xr:uid="{00000000-0005-0000-0000-0000BC740000}"/>
    <cellStyle name="Normal 9 4 2 3 3" xfId="7794" xr:uid="{00000000-0005-0000-0000-0000BD740000}"/>
    <cellStyle name="Normal 9 4 2 4" xfId="32026" xr:uid="{00000000-0005-0000-0000-0000BE740000}"/>
    <cellStyle name="Normal 9 4 2 4 2" xfId="27418" xr:uid="{00000000-0005-0000-0000-0000BF740000}"/>
    <cellStyle name="Normal 9 4 2 5" xfId="32040" xr:uid="{00000000-0005-0000-0000-0000C0740000}"/>
    <cellStyle name="Normal 9 4 3" xfId="28465" xr:uid="{00000000-0005-0000-0000-0000C1740000}"/>
    <cellStyle name="Normal 9 4 3 2" xfId="30935" xr:uid="{00000000-0005-0000-0000-0000C2740000}"/>
    <cellStyle name="Normal 9 4 3 2 2" xfId="29120" xr:uid="{00000000-0005-0000-0000-0000C3740000}"/>
    <cellStyle name="Normal 9 4 3 2 2 2" xfId="30463" xr:uid="{00000000-0005-0000-0000-0000C4740000}"/>
    <cellStyle name="Normal 9 4 3 2 3" xfId="209" xr:uid="{00000000-0005-0000-0000-0000C5740000}"/>
    <cellStyle name="Normal 9 4 3 3" xfId="31006" xr:uid="{00000000-0005-0000-0000-0000C6740000}"/>
    <cellStyle name="Normal 9 4 3 3 2" xfId="31019" xr:uid="{00000000-0005-0000-0000-0000C7740000}"/>
    <cellStyle name="Normal 9 4 3 4" xfId="9917" xr:uid="{00000000-0005-0000-0000-0000C8740000}"/>
    <cellStyle name="Normal 9 4 4" xfId="22753" xr:uid="{00000000-0005-0000-0000-0000C9740000}"/>
    <cellStyle name="Normal 9 4 4 2" xfId="30945" xr:uid="{00000000-0005-0000-0000-0000CA740000}"/>
    <cellStyle name="Normal 9 4 4 2 2" xfId="2510" xr:uid="{00000000-0005-0000-0000-0000CB740000}"/>
    <cellStyle name="Normal 9 4 4 3" xfId="31032" xr:uid="{00000000-0005-0000-0000-0000CC740000}"/>
    <cellStyle name="Normal 9 4 5" xfId="29575" xr:uid="{00000000-0005-0000-0000-0000CD740000}"/>
    <cellStyle name="Normal 9 4 5 2" xfId="23378" xr:uid="{00000000-0005-0000-0000-0000CE740000}"/>
    <cellStyle name="Normal 9 4 6" xfId="30952" xr:uid="{00000000-0005-0000-0000-0000CF740000}"/>
    <cellStyle name="Normal 9 5" xfId="30953" xr:uid="{00000000-0005-0000-0000-0000D0740000}"/>
    <cellStyle name="Normal 9 5 2" xfId="29577" xr:uid="{00000000-0005-0000-0000-0000D1740000}"/>
    <cellStyle name="Normal 9 5 2 2" xfId="7261" xr:uid="{00000000-0005-0000-0000-0000D2740000}"/>
    <cellStyle name="Normal 9 5 2 2 2" xfId="33229" xr:uid="{00000000-0005-0000-0000-0000D3740000}"/>
    <cellStyle name="Normal 9 5 2 2 2 2" xfId="33775" xr:uid="{00000000-0005-0000-0000-0000D4740000}"/>
    <cellStyle name="Normal 9 5 2 2 3" xfId="32095" xr:uid="{00000000-0005-0000-0000-0000D5740000}"/>
    <cellStyle name="Normal 9 5 2 3" xfId="102" xr:uid="{00000000-0005-0000-0000-0000D6740000}"/>
    <cellStyle name="Normal 9 5 2 3 2" xfId="31502" xr:uid="{00000000-0005-0000-0000-0000D7740000}"/>
    <cellStyle name="Normal 9 5 2 4" xfId="30960" xr:uid="{00000000-0005-0000-0000-0000D8740000}"/>
    <cellStyle name="Normal 9 5 3" xfId="22759" xr:uid="{00000000-0005-0000-0000-0000D9740000}"/>
    <cellStyle name="Normal 9 5 3 2" xfId="4356" xr:uid="{00000000-0005-0000-0000-0000DA740000}"/>
    <cellStyle name="Normal 9 5 3 2 2" xfId="33762" xr:uid="{00000000-0005-0000-0000-0000DB740000}"/>
    <cellStyle name="Normal 9 5 3 3" xfId="31692" xr:uid="{00000000-0005-0000-0000-0000DC740000}"/>
    <cellStyle name="Normal 9 5 4" xfId="30792" xr:uid="{00000000-0005-0000-0000-0000DD740000}"/>
    <cellStyle name="Normal 9 5 4 2" xfId="30964" xr:uid="{00000000-0005-0000-0000-0000DE740000}"/>
    <cellStyle name="Normal 9 5 5" xfId="29524" xr:uid="{00000000-0005-0000-0000-0000DF740000}"/>
    <cellStyle name="Normal 9 6" xfId="33087" xr:uid="{00000000-0005-0000-0000-0000E0740000}"/>
    <cellStyle name="Normal 9 6 2" xfId="33990" xr:uid="{00000000-0005-0000-0000-0000E1740000}"/>
    <cellStyle name="Normal 9 6 2 2" xfId="20706" xr:uid="{00000000-0005-0000-0000-0000E2740000}"/>
    <cellStyle name="Normal 9 6 2 2 2" xfId="33800" xr:uid="{00000000-0005-0000-0000-0000E3740000}"/>
    <cellStyle name="Normal 9 6 2 3" xfId="32144" xr:uid="{00000000-0005-0000-0000-0000E4740000}"/>
    <cellStyle name="Normal 9 6 3" xfId="33092" xr:uid="{00000000-0005-0000-0000-0000E5740000}"/>
    <cellStyle name="Normal 9 6 3 2" xfId="33048" xr:uid="{00000000-0005-0000-0000-0000E6740000}"/>
    <cellStyle name="Normal 9 6 4" xfId="31725" xr:uid="{00000000-0005-0000-0000-0000E7740000}"/>
    <cellStyle name="Normal 9 7" xfId="25448" xr:uid="{00000000-0005-0000-0000-0000E8740000}"/>
    <cellStyle name="Normal 9 7 2" xfId="25086" xr:uid="{00000000-0005-0000-0000-0000E9740000}"/>
    <cellStyle name="Normal 9 7 2 2" xfId="25456" xr:uid="{00000000-0005-0000-0000-0000EA740000}"/>
    <cellStyle name="Normal 9 7 3" xfId="22502" xr:uid="{00000000-0005-0000-0000-0000EB740000}"/>
    <cellStyle name="Normal 9 8" xfId="25462" xr:uid="{00000000-0005-0000-0000-0000EC740000}"/>
    <cellStyle name="Normal 9 8 2" xfId="25465" xr:uid="{00000000-0005-0000-0000-0000ED740000}"/>
    <cellStyle name="Normal 9 9" xfId="25470" xr:uid="{00000000-0005-0000-0000-0000EE740000}"/>
    <cellStyle name="Note 10" xfId="30968" xr:uid="{00000000-0005-0000-0000-0000EF740000}"/>
    <cellStyle name="Note 10 2" xfId="31181" xr:uid="{00000000-0005-0000-0000-0000F0740000}"/>
    <cellStyle name="Note 10 2 2" xfId="30971" xr:uid="{00000000-0005-0000-0000-0000F1740000}"/>
    <cellStyle name="Note 10 2 2 2" xfId="30972" xr:uid="{00000000-0005-0000-0000-0000F2740000}"/>
    <cellStyle name="Note 10 2 3" xfId="30917" xr:uid="{00000000-0005-0000-0000-0000F3740000}"/>
    <cellStyle name="Note 10 3" xfId="30973" xr:uid="{00000000-0005-0000-0000-0000F4740000}"/>
    <cellStyle name="Note 10 3 2" xfId="33562" xr:uid="{00000000-0005-0000-0000-0000F5740000}"/>
    <cellStyle name="Note 10 4" xfId="33480" xr:uid="{00000000-0005-0000-0000-0000F6740000}"/>
    <cellStyle name="Note 11" xfId="12422" xr:uid="{00000000-0005-0000-0000-0000F7740000}"/>
    <cellStyle name="Note 11 2" xfId="8654" xr:uid="{00000000-0005-0000-0000-0000F8740000}"/>
    <cellStyle name="Note 11 2 2" xfId="33435" xr:uid="{00000000-0005-0000-0000-0000F9740000}"/>
    <cellStyle name="Note 11 3" xfId="30980" xr:uid="{00000000-0005-0000-0000-0000FA740000}"/>
    <cellStyle name="Note 12" xfId="8310" xr:uid="{00000000-0005-0000-0000-0000FB740000}"/>
    <cellStyle name="Note 12 2" xfId="2956" xr:uid="{00000000-0005-0000-0000-0000FC740000}"/>
    <cellStyle name="Note 13" xfId="6900" xr:uid="{00000000-0005-0000-0000-0000FD740000}"/>
    <cellStyle name="Note 14" xfId="17348" xr:uid="{00000000-0005-0000-0000-0000FE740000}"/>
    <cellStyle name="Note 2" xfId="32704" xr:uid="{00000000-0005-0000-0000-0000FF740000}"/>
    <cellStyle name="Note 2 10" xfId="2453" xr:uid="{00000000-0005-0000-0000-000000750000}"/>
    <cellStyle name="Note 2 10 2" xfId="30982" xr:uid="{00000000-0005-0000-0000-000001750000}"/>
    <cellStyle name="Note 2 10 2 2" xfId="33819" xr:uid="{00000000-0005-0000-0000-000002750000}"/>
    <cellStyle name="Note 2 10 3" xfId="31055" xr:uid="{00000000-0005-0000-0000-000003750000}"/>
    <cellStyle name="Note 2 11" xfId="30899" xr:uid="{00000000-0005-0000-0000-000004750000}"/>
    <cellStyle name="Note 2 11 2" xfId="11218" xr:uid="{00000000-0005-0000-0000-000005750000}"/>
    <cellStyle name="Note 2 12" xfId="30905" xr:uid="{00000000-0005-0000-0000-000006750000}"/>
    <cellStyle name="Note 2 2" xfId="12030" xr:uid="{00000000-0005-0000-0000-000007750000}"/>
    <cellStyle name="Note 2 2 10" xfId="19568" xr:uid="{00000000-0005-0000-0000-000008750000}"/>
    <cellStyle name="Note 2 2 10 2" xfId="30984" xr:uid="{00000000-0005-0000-0000-000009750000}"/>
    <cellStyle name="Note 2 2 11" xfId="4112" xr:uid="{00000000-0005-0000-0000-00000A750000}"/>
    <cellStyle name="Note 2 2 2" xfId="31339" xr:uid="{00000000-0005-0000-0000-00000B750000}"/>
    <cellStyle name="Note 2 2 2 10" xfId="26117" xr:uid="{00000000-0005-0000-0000-00000C750000}"/>
    <cellStyle name="Note 2 2 2 2" xfId="25531" xr:uid="{00000000-0005-0000-0000-00000D750000}"/>
    <cellStyle name="Note 2 2 2 2 2" xfId="12832" xr:uid="{00000000-0005-0000-0000-00000E750000}"/>
    <cellStyle name="Note 2 2 2 2 2 2" xfId="16285" xr:uid="{00000000-0005-0000-0000-00000F750000}"/>
    <cellStyle name="Note 2 2 2 2 2 2 2" xfId="32786" xr:uid="{00000000-0005-0000-0000-000010750000}"/>
    <cellStyle name="Note 2 2 2 2 2 2 2 2" xfId="33573" xr:uid="{00000000-0005-0000-0000-000011750000}"/>
    <cellStyle name="Note 2 2 2 2 2 2 2 2 2" xfId="31519" xr:uid="{00000000-0005-0000-0000-000012750000}"/>
    <cellStyle name="Note 2 2 2 2 2 2 2 2 2 2" xfId="2063" xr:uid="{00000000-0005-0000-0000-000013750000}"/>
    <cellStyle name="Note 2 2 2 2 2 2 2 2 2 2 2" xfId="30991" xr:uid="{00000000-0005-0000-0000-000014750000}"/>
    <cellStyle name="Note 2 2 2 2 2 2 2 2 2 2 2 2" xfId="3544" xr:uid="{00000000-0005-0000-0000-000015750000}"/>
    <cellStyle name="Note 2 2 2 2 2 2 2 2 2 2 3" xfId="29456" xr:uid="{00000000-0005-0000-0000-000016750000}"/>
    <cellStyle name="Note 2 2 2 2 2 2 2 2 2 3" xfId="15224" xr:uid="{00000000-0005-0000-0000-000017750000}"/>
    <cellStyle name="Note 2 2 2 2 2 2 2 2 2 3 2" xfId="2912" xr:uid="{00000000-0005-0000-0000-000018750000}"/>
    <cellStyle name="Note 2 2 2 2 2 2 2 2 2 4" xfId="21943" xr:uid="{00000000-0005-0000-0000-000019750000}"/>
    <cellStyle name="Note 2 2 2 2 2 2 2 2 3" xfId="10250" xr:uid="{00000000-0005-0000-0000-00001A750000}"/>
    <cellStyle name="Note 2 2 2 2 2 2 2 2 3 2" xfId="29687" xr:uid="{00000000-0005-0000-0000-00001B750000}"/>
    <cellStyle name="Note 2 2 2 2 2 2 2 2 3 2 2" xfId="30994" xr:uid="{00000000-0005-0000-0000-00001C750000}"/>
    <cellStyle name="Note 2 2 2 2 2 2 2 2 3 3" xfId="30996" xr:uid="{00000000-0005-0000-0000-00001D750000}"/>
    <cellStyle name="Note 2 2 2 2 2 2 2 2 4" xfId="23161" xr:uid="{00000000-0005-0000-0000-00001E750000}"/>
    <cellStyle name="Note 2 2 2 2 2 2 2 2 4 2" xfId="24753" xr:uid="{00000000-0005-0000-0000-00001F750000}"/>
    <cellStyle name="Note 2 2 2 2 2 2 2 2 5" xfId="21693" xr:uid="{00000000-0005-0000-0000-000020750000}"/>
    <cellStyle name="Note 2 2 2 2 2 2 2 3" xfId="21545" xr:uid="{00000000-0005-0000-0000-000021750000}"/>
    <cellStyle name="Note 2 2 2 2 2 2 2 3 2" xfId="33772" xr:uid="{00000000-0005-0000-0000-000022750000}"/>
    <cellStyle name="Note 2 2 2 2 2 2 2 3 2 2" xfId="15239" xr:uid="{00000000-0005-0000-0000-000023750000}"/>
    <cellStyle name="Note 2 2 2 2 2 2 2 3 2 2 2" xfId="7334" xr:uid="{00000000-0005-0000-0000-000024750000}"/>
    <cellStyle name="Note 2 2 2 2 2 2 2 3 2 3" xfId="32015" xr:uid="{00000000-0005-0000-0000-000025750000}"/>
    <cellStyle name="Note 2 2 2 2 2 2 2 3 3" xfId="26500" xr:uid="{00000000-0005-0000-0000-000026750000}"/>
    <cellStyle name="Note 2 2 2 2 2 2 2 3 3 2" xfId="28527" xr:uid="{00000000-0005-0000-0000-000027750000}"/>
    <cellStyle name="Note 2 2 2 2 2 2 2 3 4" xfId="32042" xr:uid="{00000000-0005-0000-0000-000028750000}"/>
    <cellStyle name="Note 2 2 2 2 2 2 2 4" xfId="31766" xr:uid="{00000000-0005-0000-0000-000029750000}"/>
    <cellStyle name="Note 2 2 2 2 2 2 2 4 2" xfId="31008" xr:uid="{00000000-0005-0000-0000-00002A750000}"/>
    <cellStyle name="Note 2 2 2 2 2 2 2 4 2 2" xfId="27608" xr:uid="{00000000-0005-0000-0000-00002B750000}"/>
    <cellStyle name="Note 2 2 2 2 2 2 2 4 3" xfId="29391" xr:uid="{00000000-0005-0000-0000-00002C750000}"/>
    <cellStyle name="Note 2 2 2 2 2 2 2 5" xfId="31025" xr:uid="{00000000-0005-0000-0000-00002D750000}"/>
    <cellStyle name="Note 2 2 2 2 2 2 2 5 2" xfId="25978" xr:uid="{00000000-0005-0000-0000-00002E750000}"/>
    <cellStyle name="Note 2 2 2 2 2 2 2 6" xfId="13958" xr:uid="{00000000-0005-0000-0000-00002F750000}"/>
    <cellStyle name="Note 2 2 2 2 2 2 3" xfId="33281" xr:uid="{00000000-0005-0000-0000-000030750000}"/>
    <cellStyle name="Note 2 2 2 2 2 2 3 2" xfId="23473" xr:uid="{00000000-0005-0000-0000-000031750000}"/>
    <cellStyle name="Note 2 2 2 2 2 2 3 2 2" xfId="30610" xr:uid="{00000000-0005-0000-0000-000032750000}"/>
    <cellStyle name="Note 2 2 2 2 2 2 3 2 2 2" xfId="15258" xr:uid="{00000000-0005-0000-0000-000033750000}"/>
    <cellStyle name="Note 2 2 2 2 2 2 3 2 2 2 2" xfId="31041" xr:uid="{00000000-0005-0000-0000-000034750000}"/>
    <cellStyle name="Note 2 2 2 2 2 2 3 2 2 3" xfId="31044" xr:uid="{00000000-0005-0000-0000-000035750000}"/>
    <cellStyle name="Note 2 2 2 2 2 2 3 2 3" xfId="31048" xr:uid="{00000000-0005-0000-0000-000036750000}"/>
    <cellStyle name="Note 2 2 2 2 2 2 3 2 3 2" xfId="12575" xr:uid="{00000000-0005-0000-0000-000037750000}"/>
    <cellStyle name="Note 2 2 2 2 2 2 3 2 4" xfId="23185" xr:uid="{00000000-0005-0000-0000-000038750000}"/>
    <cellStyle name="Note 2 2 2 2 2 2 3 3" xfId="32503" xr:uid="{00000000-0005-0000-0000-000039750000}"/>
    <cellStyle name="Note 2 2 2 2 2 2 3 3 2" xfId="25337" xr:uid="{00000000-0005-0000-0000-00003A750000}"/>
    <cellStyle name="Note 2 2 2 2 2 2 3 3 2 2" xfId="30284" xr:uid="{00000000-0005-0000-0000-00003B750000}"/>
    <cellStyle name="Note 2 2 2 2 2 2 3 3 3" xfId="844" xr:uid="{00000000-0005-0000-0000-00003C750000}"/>
    <cellStyle name="Note 2 2 2 2 2 2 3 4" xfId="13048" xr:uid="{00000000-0005-0000-0000-00003D750000}"/>
    <cellStyle name="Note 2 2 2 2 2 2 3 4 2" xfId="19897" xr:uid="{00000000-0005-0000-0000-00003E750000}"/>
    <cellStyle name="Note 2 2 2 2 2 2 3 5" xfId="30244" xr:uid="{00000000-0005-0000-0000-00003F750000}"/>
    <cellStyle name="Note 2 2 2 2 2 2 4" xfId="16198" xr:uid="{00000000-0005-0000-0000-000040750000}"/>
    <cellStyle name="Note 2 2 2 2 2 2 4 2" xfId="33754" xr:uid="{00000000-0005-0000-0000-000041750000}"/>
    <cellStyle name="Note 2 2 2 2 2 2 4 2 2" xfId="31060" xr:uid="{00000000-0005-0000-0000-000042750000}"/>
    <cellStyle name="Note 2 2 2 2 2 2 4 2 2 2" xfId="15229" xr:uid="{00000000-0005-0000-0000-000043750000}"/>
    <cellStyle name="Note 2 2 2 2 2 2 4 2 3" xfId="31068" xr:uid="{00000000-0005-0000-0000-000044750000}"/>
    <cellStyle name="Note 2 2 2 2 2 2 4 3" xfId="6516" xr:uid="{00000000-0005-0000-0000-000045750000}"/>
    <cellStyle name="Note 2 2 2 2 2 2 4 3 2" xfId="20195" xr:uid="{00000000-0005-0000-0000-000046750000}"/>
    <cellStyle name="Note 2 2 2 2 2 2 4 4" xfId="31073" xr:uid="{00000000-0005-0000-0000-000047750000}"/>
    <cellStyle name="Note 2 2 2 2 2 2 5" xfId="8827" xr:uid="{00000000-0005-0000-0000-000048750000}"/>
    <cellStyle name="Note 2 2 2 2 2 2 5 2" xfId="31076" xr:uid="{00000000-0005-0000-0000-000049750000}"/>
    <cellStyle name="Note 2 2 2 2 2 2 5 2 2" xfId="28492" xr:uid="{00000000-0005-0000-0000-00004A750000}"/>
    <cellStyle name="Note 2 2 2 2 2 2 5 3" xfId="32284" xr:uid="{00000000-0005-0000-0000-00004B750000}"/>
    <cellStyle name="Note 2 2 2 2 2 2 6" xfId="33334" xr:uid="{00000000-0005-0000-0000-00004C750000}"/>
    <cellStyle name="Note 2 2 2 2 2 2 6 2" xfId="33116" xr:uid="{00000000-0005-0000-0000-00004D750000}"/>
    <cellStyle name="Note 2 2 2 2 2 2 7" xfId="33118" xr:uid="{00000000-0005-0000-0000-00004E750000}"/>
    <cellStyle name="Note 2 2 2 2 2 3" xfId="32790" xr:uid="{00000000-0005-0000-0000-00004F750000}"/>
    <cellStyle name="Note 2 2 2 2 2 3 2" xfId="33509" xr:uid="{00000000-0005-0000-0000-000050750000}"/>
    <cellStyle name="Note 2 2 2 2 2 3 2 2" xfId="33516" xr:uid="{00000000-0005-0000-0000-000051750000}"/>
    <cellStyle name="Note 2 2 2 2 2 3 2 2 2" xfId="31079" xr:uid="{00000000-0005-0000-0000-000052750000}"/>
    <cellStyle name="Note 2 2 2 2 2 3 2 2 2 2" xfId="8304" xr:uid="{00000000-0005-0000-0000-000053750000}"/>
    <cellStyle name="Note 2 2 2 2 2 3 2 2 2 2 2" xfId="27592" xr:uid="{00000000-0005-0000-0000-000054750000}"/>
    <cellStyle name="Note 2 2 2 2 2 3 2 2 2 3" xfId="31080" xr:uid="{00000000-0005-0000-0000-000055750000}"/>
    <cellStyle name="Note 2 2 2 2 2 3 2 2 3" xfId="31083" xr:uid="{00000000-0005-0000-0000-000056750000}"/>
    <cellStyle name="Note 2 2 2 2 2 3 2 2 3 2" xfId="29759" xr:uid="{00000000-0005-0000-0000-000057750000}"/>
    <cellStyle name="Note 2 2 2 2 2 3 2 2 4" xfId="32061" xr:uid="{00000000-0005-0000-0000-000058750000}"/>
    <cellStyle name="Note 2 2 2 2 2 3 2 3" xfId="28658" xr:uid="{00000000-0005-0000-0000-000059750000}"/>
    <cellStyle name="Note 2 2 2 2 2 3 2 3 2" xfId="24010" xr:uid="{00000000-0005-0000-0000-00005A750000}"/>
    <cellStyle name="Note 2 2 2 2 2 3 2 3 2 2" xfId="28660" xr:uid="{00000000-0005-0000-0000-00005B750000}"/>
    <cellStyle name="Note 2 2 2 2 2 3 2 3 3" xfId="28670" xr:uid="{00000000-0005-0000-0000-00005C750000}"/>
    <cellStyle name="Note 2 2 2 2 2 3 2 4" xfId="28130" xr:uid="{00000000-0005-0000-0000-00005D750000}"/>
    <cellStyle name="Note 2 2 2 2 2 3 2 4 2" xfId="27799" xr:uid="{00000000-0005-0000-0000-00005E750000}"/>
    <cellStyle name="Note 2 2 2 2 2 3 2 5" xfId="14306" xr:uid="{00000000-0005-0000-0000-00005F750000}"/>
    <cellStyle name="Note 2 2 2 2 2 3 3" xfId="33197" xr:uid="{00000000-0005-0000-0000-000060750000}"/>
    <cellStyle name="Note 2 2 2 2 2 3 3 2" xfId="32612" xr:uid="{00000000-0005-0000-0000-000061750000}"/>
    <cellStyle name="Note 2 2 2 2 2 3 3 2 2" xfId="23952" xr:uid="{00000000-0005-0000-0000-000062750000}"/>
    <cellStyle name="Note 2 2 2 2 2 3 3 2 2 2" xfId="33497" xr:uid="{00000000-0005-0000-0000-000063750000}"/>
    <cellStyle name="Note 2 2 2 2 2 3 3 2 3" xfId="32350" xr:uid="{00000000-0005-0000-0000-000064750000}"/>
    <cellStyle name="Note 2 2 2 2 2 3 3 3" xfId="19025" xr:uid="{00000000-0005-0000-0000-000065750000}"/>
    <cellStyle name="Note 2 2 2 2 2 3 3 3 2" xfId="25944" xr:uid="{00000000-0005-0000-0000-000066750000}"/>
    <cellStyle name="Note 2 2 2 2 2 3 3 4" xfId="21777" xr:uid="{00000000-0005-0000-0000-000067750000}"/>
    <cellStyle name="Note 2 2 2 2 2 3 4" xfId="16249" xr:uid="{00000000-0005-0000-0000-000068750000}"/>
    <cellStyle name="Note 2 2 2 2 2 3 4 2" xfId="10964" xr:uid="{00000000-0005-0000-0000-000069750000}"/>
    <cellStyle name="Note 2 2 2 2 2 3 4 2 2" xfId="6719" xr:uid="{00000000-0005-0000-0000-00006A750000}"/>
    <cellStyle name="Note 2 2 2 2 2 3 4 3" xfId="8932" xr:uid="{00000000-0005-0000-0000-00006B750000}"/>
    <cellStyle name="Note 2 2 2 2 2 3 5" xfId="31085" xr:uid="{00000000-0005-0000-0000-00006C750000}"/>
    <cellStyle name="Note 2 2 2 2 2 3 5 2" xfId="8933" xr:uid="{00000000-0005-0000-0000-00006D750000}"/>
    <cellStyle name="Note 2 2 2 2 2 3 6" xfId="31086" xr:uid="{00000000-0005-0000-0000-00006E750000}"/>
    <cellStyle name="Note 2 2 2 2 2 4" xfId="8197" xr:uid="{00000000-0005-0000-0000-00006F750000}"/>
    <cellStyle name="Note 2 2 2 2 2 4 2" xfId="3540" xr:uid="{00000000-0005-0000-0000-000070750000}"/>
    <cellStyle name="Note 2 2 2 2 2 4 2 2" xfId="33747" xr:uid="{00000000-0005-0000-0000-000071750000}"/>
    <cellStyle name="Note 2 2 2 2 2 4 2 2 2" xfId="9286" xr:uid="{00000000-0005-0000-0000-000072750000}"/>
    <cellStyle name="Note 2 2 2 2 2 4 2 2 2 2" xfId="24403" xr:uid="{00000000-0005-0000-0000-000073750000}"/>
    <cellStyle name="Note 2 2 2 2 2 4 2 2 3" xfId="9288" xr:uid="{00000000-0005-0000-0000-000074750000}"/>
    <cellStyle name="Note 2 2 2 2 2 4 2 3" xfId="29154" xr:uid="{00000000-0005-0000-0000-000075750000}"/>
    <cellStyle name="Note 2 2 2 2 2 4 2 3 2" xfId="9297" xr:uid="{00000000-0005-0000-0000-000076750000}"/>
    <cellStyle name="Note 2 2 2 2 2 4 2 4" xfId="3566" xr:uid="{00000000-0005-0000-0000-000077750000}"/>
    <cellStyle name="Note 2 2 2 2 2 4 3" xfId="4283" xr:uid="{00000000-0005-0000-0000-000078750000}"/>
    <cellStyle name="Note 2 2 2 2 2 4 3 2" xfId="21677" xr:uid="{00000000-0005-0000-0000-000079750000}"/>
    <cellStyle name="Note 2 2 2 2 2 4 3 2 2" xfId="9408" xr:uid="{00000000-0005-0000-0000-00007A750000}"/>
    <cellStyle name="Note 2 2 2 2 2 4 3 3" xfId="23255" xr:uid="{00000000-0005-0000-0000-00007B750000}"/>
    <cellStyle name="Note 2 2 2 2 2 4 4" xfId="3061" xr:uid="{00000000-0005-0000-0000-00007C750000}"/>
    <cellStyle name="Note 2 2 2 2 2 4 4 2" xfId="8941" xr:uid="{00000000-0005-0000-0000-00007D750000}"/>
    <cellStyle name="Note 2 2 2 2 2 4 5" xfId="31094" xr:uid="{00000000-0005-0000-0000-00007E750000}"/>
    <cellStyle name="Note 2 2 2 2 2 5" xfId="6027" xr:uid="{00000000-0005-0000-0000-00007F750000}"/>
    <cellStyle name="Note 2 2 2 2 2 5 2" xfId="3558" xr:uid="{00000000-0005-0000-0000-000080750000}"/>
    <cellStyle name="Note 2 2 2 2 2 5 2 2" xfId="31096" xr:uid="{00000000-0005-0000-0000-000081750000}"/>
    <cellStyle name="Note 2 2 2 2 2 5 2 2 2" xfId="9350" xr:uid="{00000000-0005-0000-0000-000082750000}"/>
    <cellStyle name="Note 2 2 2 2 2 5 2 3" xfId="30654" xr:uid="{00000000-0005-0000-0000-000083750000}"/>
    <cellStyle name="Note 2 2 2 2 2 5 3" xfId="3074" xr:uid="{00000000-0005-0000-0000-000084750000}"/>
    <cellStyle name="Note 2 2 2 2 2 5 3 2" xfId="24103" xr:uid="{00000000-0005-0000-0000-000085750000}"/>
    <cellStyle name="Note 2 2 2 2 2 5 4" xfId="31788" xr:uid="{00000000-0005-0000-0000-000086750000}"/>
    <cellStyle name="Note 2 2 2 2 2 6" xfId="5009" xr:uid="{00000000-0005-0000-0000-000087750000}"/>
    <cellStyle name="Note 2 2 2 2 2 6 2" xfId="14493" xr:uid="{00000000-0005-0000-0000-000088750000}"/>
    <cellStyle name="Note 2 2 2 2 2 6 2 2" xfId="31098" xr:uid="{00000000-0005-0000-0000-000089750000}"/>
    <cellStyle name="Note 2 2 2 2 2 6 3" xfId="31100" xr:uid="{00000000-0005-0000-0000-00008A750000}"/>
    <cellStyle name="Note 2 2 2 2 2 7" xfId="8180" xr:uid="{00000000-0005-0000-0000-00008B750000}"/>
    <cellStyle name="Note 2 2 2 2 2 7 2" xfId="31102" xr:uid="{00000000-0005-0000-0000-00008C750000}"/>
    <cellStyle name="Note 2 2 2 2 2 8" xfId="31295" xr:uid="{00000000-0005-0000-0000-00008D750000}"/>
    <cellStyle name="Note 2 2 2 2 3" xfId="11498" xr:uid="{00000000-0005-0000-0000-00008E750000}"/>
    <cellStyle name="Note 2 2 2 2 3 2" xfId="29581" xr:uid="{00000000-0005-0000-0000-00008F750000}"/>
    <cellStyle name="Note 2 2 2 2 3 2 2" xfId="33524" xr:uid="{00000000-0005-0000-0000-000090750000}"/>
    <cellStyle name="Note 2 2 2 2 3 2 2 2" xfId="30513" xr:uid="{00000000-0005-0000-0000-000091750000}"/>
    <cellStyle name="Note 2 2 2 2 3 2 2 2 2" xfId="31509" xr:uid="{00000000-0005-0000-0000-000092750000}"/>
    <cellStyle name="Note 2 2 2 2 3 2 2 2 2 2" xfId="15917" xr:uid="{00000000-0005-0000-0000-000093750000}"/>
    <cellStyle name="Note 2 2 2 2 3 2 2 2 2 2 2" xfId="26326" xr:uid="{00000000-0005-0000-0000-000094750000}"/>
    <cellStyle name="Note 2 2 2 2 3 2 2 2 2 3" xfId="32367" xr:uid="{00000000-0005-0000-0000-000095750000}"/>
    <cellStyle name="Note 2 2 2 2 3 2 2 2 3" xfId="30520" xr:uid="{00000000-0005-0000-0000-000096750000}"/>
    <cellStyle name="Note 2 2 2 2 3 2 2 2 3 2" xfId="33378" xr:uid="{00000000-0005-0000-0000-000097750000}"/>
    <cellStyle name="Note 2 2 2 2 3 2 2 2 4" xfId="25524" xr:uid="{00000000-0005-0000-0000-000098750000}"/>
    <cellStyle name="Note 2 2 2 2 3 2 2 3" xfId="23587" xr:uid="{00000000-0005-0000-0000-000099750000}"/>
    <cellStyle name="Note 2 2 2 2 3 2 2 3 2" xfId="31950" xr:uid="{00000000-0005-0000-0000-00009A750000}"/>
    <cellStyle name="Note 2 2 2 2 3 2 2 3 2 2" xfId="29866" xr:uid="{00000000-0005-0000-0000-00009B750000}"/>
    <cellStyle name="Note 2 2 2 2 3 2 2 3 3" xfId="30785" xr:uid="{00000000-0005-0000-0000-00009C750000}"/>
    <cellStyle name="Note 2 2 2 2 3 2 2 4" xfId="23594" xr:uid="{00000000-0005-0000-0000-00009D750000}"/>
    <cellStyle name="Note 2 2 2 2 3 2 2 4 2" xfId="21013" xr:uid="{00000000-0005-0000-0000-00009E750000}"/>
    <cellStyle name="Note 2 2 2 2 3 2 2 5" xfId="23599" xr:uid="{00000000-0005-0000-0000-00009F750000}"/>
    <cellStyle name="Note 2 2 2 2 3 2 3" xfId="34017" xr:uid="{00000000-0005-0000-0000-0000A0750000}"/>
    <cellStyle name="Note 2 2 2 2 3 2 3 2" xfId="31107" xr:uid="{00000000-0005-0000-0000-0000A1750000}"/>
    <cellStyle name="Note 2 2 2 2 3 2 3 2 2" xfId="31111" xr:uid="{00000000-0005-0000-0000-0000A2750000}"/>
    <cellStyle name="Note 2 2 2 2 3 2 3 2 2 2" xfId="32027" xr:uid="{00000000-0005-0000-0000-0000A3750000}"/>
    <cellStyle name="Note 2 2 2 2 3 2 3 2 3" xfId="33186" xr:uid="{00000000-0005-0000-0000-0000A4750000}"/>
    <cellStyle name="Note 2 2 2 2 3 2 3 3" xfId="23603" xr:uid="{00000000-0005-0000-0000-0000A5750000}"/>
    <cellStyle name="Note 2 2 2 2 3 2 3 3 2" xfId="10204" xr:uid="{00000000-0005-0000-0000-0000A6750000}"/>
    <cellStyle name="Note 2 2 2 2 3 2 3 4" xfId="23609" xr:uid="{00000000-0005-0000-0000-0000A7750000}"/>
    <cellStyle name="Note 2 2 2 2 3 2 4" xfId="16368" xr:uid="{00000000-0005-0000-0000-0000A8750000}"/>
    <cellStyle name="Note 2 2 2 2 3 2 4 2" xfId="31112" xr:uid="{00000000-0005-0000-0000-0000A9750000}"/>
    <cellStyle name="Note 2 2 2 2 3 2 4 2 2" xfId="31113" xr:uid="{00000000-0005-0000-0000-0000AA750000}"/>
    <cellStyle name="Note 2 2 2 2 3 2 4 3" xfId="28362" xr:uid="{00000000-0005-0000-0000-0000AB750000}"/>
    <cellStyle name="Note 2 2 2 2 3 2 5" xfId="33665" xr:uid="{00000000-0005-0000-0000-0000AC750000}"/>
    <cellStyle name="Note 2 2 2 2 3 2 5 2" xfId="23945" xr:uid="{00000000-0005-0000-0000-0000AD750000}"/>
    <cellStyle name="Note 2 2 2 2 3 2 6" xfId="33120" xr:uid="{00000000-0005-0000-0000-0000AE750000}"/>
    <cellStyle name="Note 2 2 2 2 3 3" xfId="33570" xr:uid="{00000000-0005-0000-0000-0000AF750000}"/>
    <cellStyle name="Note 2 2 2 2 3 3 2" xfId="33037" xr:uid="{00000000-0005-0000-0000-0000B0750000}"/>
    <cellStyle name="Note 2 2 2 2 3 3 2 2" xfId="33292" xr:uid="{00000000-0005-0000-0000-0000B1750000}"/>
    <cellStyle name="Note 2 2 2 2 3 3 2 2 2" xfId="30193" xr:uid="{00000000-0005-0000-0000-0000B2750000}"/>
    <cellStyle name="Note 2 2 2 2 3 3 2 2 2 2" xfId="30399" xr:uid="{00000000-0005-0000-0000-0000B3750000}"/>
    <cellStyle name="Note 2 2 2 2 3 3 2 2 3" xfId="33941" xr:uid="{00000000-0005-0000-0000-0000B4750000}"/>
    <cellStyle name="Note 2 2 2 2 3 3 2 3" xfId="31120" xr:uid="{00000000-0005-0000-0000-0000B5750000}"/>
    <cellStyle name="Note 2 2 2 2 3 3 2 3 2" xfId="33212" xr:uid="{00000000-0005-0000-0000-0000B6750000}"/>
    <cellStyle name="Note 2 2 2 2 3 3 2 4" xfId="31121" xr:uid="{00000000-0005-0000-0000-0000B7750000}"/>
    <cellStyle name="Note 2 2 2 2 3 3 3" xfId="33355" xr:uid="{00000000-0005-0000-0000-0000B8750000}"/>
    <cellStyle name="Note 2 2 2 2 3 3 3 2" xfId="31122" xr:uid="{00000000-0005-0000-0000-0000B9750000}"/>
    <cellStyle name="Note 2 2 2 2 3 3 3 2 2" xfId="11561" xr:uid="{00000000-0005-0000-0000-0000BA750000}"/>
    <cellStyle name="Note 2 2 2 2 3 3 3 3" xfId="28729" xr:uid="{00000000-0005-0000-0000-0000BB750000}"/>
    <cellStyle name="Note 2 2 2 2 3 3 4" xfId="31145" xr:uid="{00000000-0005-0000-0000-0000BC750000}"/>
    <cellStyle name="Note 2 2 2 2 3 3 4 2" xfId="8949" xr:uid="{00000000-0005-0000-0000-0000BD750000}"/>
    <cellStyle name="Note 2 2 2 2 3 3 5" xfId="31146" xr:uid="{00000000-0005-0000-0000-0000BE750000}"/>
    <cellStyle name="Note 2 2 2 2 3 4" xfId="11509" xr:uid="{00000000-0005-0000-0000-0000BF750000}"/>
    <cellStyle name="Note 2 2 2 2 3 4 2" xfId="7473" xr:uid="{00000000-0005-0000-0000-0000C0750000}"/>
    <cellStyle name="Note 2 2 2 2 3 4 2 2" xfId="31131" xr:uid="{00000000-0005-0000-0000-0000C1750000}"/>
    <cellStyle name="Note 2 2 2 2 3 4 2 2 2" xfId="9425" xr:uid="{00000000-0005-0000-0000-0000C2750000}"/>
    <cellStyle name="Note 2 2 2 2 3 4 2 3" xfId="31133" xr:uid="{00000000-0005-0000-0000-0000C3750000}"/>
    <cellStyle name="Note 2 2 2 2 3 4 3" xfId="7399" xr:uid="{00000000-0005-0000-0000-0000C4750000}"/>
    <cellStyle name="Note 2 2 2 2 3 4 3 2" xfId="24281" xr:uid="{00000000-0005-0000-0000-0000C5750000}"/>
    <cellStyle name="Note 2 2 2 2 3 4 4" xfId="31154" xr:uid="{00000000-0005-0000-0000-0000C6750000}"/>
    <cellStyle name="Note 2 2 2 2 3 5" xfId="13069" xr:uid="{00000000-0005-0000-0000-0000C7750000}"/>
    <cellStyle name="Note 2 2 2 2 3 5 2" xfId="3584" xr:uid="{00000000-0005-0000-0000-0000C8750000}"/>
    <cellStyle name="Note 2 2 2 2 3 5 2 2" xfId="31137" xr:uid="{00000000-0005-0000-0000-0000C9750000}"/>
    <cellStyle name="Note 2 2 2 2 3 5 3" xfId="31161" xr:uid="{00000000-0005-0000-0000-0000CA750000}"/>
    <cellStyle name="Note 2 2 2 2 3 6" xfId="4053" xr:uid="{00000000-0005-0000-0000-0000CB750000}"/>
    <cellStyle name="Note 2 2 2 2 3 6 2" xfId="31143" xr:uid="{00000000-0005-0000-0000-0000CC750000}"/>
    <cellStyle name="Note 2 2 2 2 3 7" xfId="31144" xr:uid="{00000000-0005-0000-0000-0000CD750000}"/>
    <cellStyle name="Note 2 2 2 2 4" xfId="31290" xr:uid="{00000000-0005-0000-0000-0000CE750000}"/>
    <cellStyle name="Note 2 2 2 2 4 2" xfId="33628" xr:uid="{00000000-0005-0000-0000-0000CF750000}"/>
    <cellStyle name="Note 2 2 2 2 4 2 2" xfId="21929" xr:uid="{00000000-0005-0000-0000-0000D0750000}"/>
    <cellStyle name="Note 2 2 2 2 4 2 2 2" xfId="33356" xr:uid="{00000000-0005-0000-0000-0000D1750000}"/>
    <cellStyle name="Note 2 2 2 2 4 2 2 2 2" xfId="2017" xr:uid="{00000000-0005-0000-0000-0000D2750000}"/>
    <cellStyle name="Note 2 2 2 2 4 2 2 2 2 2" xfId="13392" xr:uid="{00000000-0005-0000-0000-0000D3750000}"/>
    <cellStyle name="Note 2 2 2 2 4 2 2 2 3" xfId="387" xr:uid="{00000000-0005-0000-0000-0000D4750000}"/>
    <cellStyle name="Note 2 2 2 2 4 2 2 3" xfId="27470" xr:uid="{00000000-0005-0000-0000-0000D5750000}"/>
    <cellStyle name="Note 2 2 2 2 4 2 2 3 2" xfId="21470" xr:uid="{00000000-0005-0000-0000-0000D6750000}"/>
    <cellStyle name="Note 2 2 2 2 4 2 2 4" xfId="31148" xr:uid="{00000000-0005-0000-0000-0000D7750000}"/>
    <cellStyle name="Note 2 2 2 2 4 2 3" xfId="11153" xr:uid="{00000000-0005-0000-0000-0000D8750000}"/>
    <cellStyle name="Note 2 2 2 2 4 2 3 2" xfId="31152" xr:uid="{00000000-0005-0000-0000-0000D9750000}"/>
    <cellStyle name="Note 2 2 2 2 4 2 3 2 2" xfId="353" xr:uid="{00000000-0005-0000-0000-0000DA750000}"/>
    <cellStyle name="Note 2 2 2 2 4 2 3 3" xfId="27292" xr:uid="{00000000-0005-0000-0000-0000DB750000}"/>
    <cellStyle name="Note 2 2 2 2 4 2 4" xfId="23573" xr:uid="{00000000-0005-0000-0000-0000DC750000}"/>
    <cellStyle name="Note 2 2 2 2 4 2 4 2" xfId="31165" xr:uid="{00000000-0005-0000-0000-0000DD750000}"/>
    <cellStyle name="Note 2 2 2 2 4 2 5" xfId="26374" xr:uid="{00000000-0005-0000-0000-0000DE750000}"/>
    <cellStyle name="Note 2 2 2 2 4 3" xfId="3157" xr:uid="{00000000-0005-0000-0000-0000DF750000}"/>
    <cellStyle name="Note 2 2 2 2 4 3 2" xfId="23982" xr:uid="{00000000-0005-0000-0000-0000E0750000}"/>
    <cellStyle name="Note 2 2 2 2 4 3 2 2" xfId="28797" xr:uid="{00000000-0005-0000-0000-0000E1750000}"/>
    <cellStyle name="Note 2 2 2 2 4 3 2 2 2" xfId="30882" xr:uid="{00000000-0005-0000-0000-0000E2750000}"/>
    <cellStyle name="Note 2 2 2 2 4 3 2 3" xfId="32903" xr:uid="{00000000-0005-0000-0000-0000E3750000}"/>
    <cellStyle name="Note 2 2 2 2 4 3 3" xfId="20724" xr:uid="{00000000-0005-0000-0000-0000E4750000}"/>
    <cellStyle name="Note 2 2 2 2 4 3 3 2" xfId="28824" xr:uid="{00000000-0005-0000-0000-0000E5750000}"/>
    <cellStyle name="Note 2 2 2 2 4 3 4" xfId="32905" xr:uid="{00000000-0005-0000-0000-0000E6750000}"/>
    <cellStyle name="Note 2 2 2 2 4 4" xfId="24461" xr:uid="{00000000-0005-0000-0000-0000E7750000}"/>
    <cellStyle name="Note 2 2 2 2 4 4 2" xfId="10953" xr:uid="{00000000-0005-0000-0000-0000E8750000}"/>
    <cellStyle name="Note 2 2 2 2 4 4 2 2" xfId="31166" xr:uid="{00000000-0005-0000-0000-0000E9750000}"/>
    <cellStyle name="Note 2 2 2 2 4 4 3" xfId="31171" xr:uid="{00000000-0005-0000-0000-0000EA750000}"/>
    <cellStyle name="Note 2 2 2 2 4 5" xfId="5884" xr:uid="{00000000-0005-0000-0000-0000EB750000}"/>
    <cellStyle name="Note 2 2 2 2 4 5 2" xfId="31773" xr:uid="{00000000-0005-0000-0000-0000EC750000}"/>
    <cellStyle name="Note 2 2 2 2 4 6" xfId="31179" xr:uid="{00000000-0005-0000-0000-0000ED750000}"/>
    <cellStyle name="Note 2 2 2 2 5" xfId="27626" xr:uid="{00000000-0005-0000-0000-0000EE750000}"/>
    <cellStyle name="Note 2 2 2 2 5 2" xfId="31835" xr:uid="{00000000-0005-0000-0000-0000EF750000}"/>
    <cellStyle name="Note 2 2 2 2 5 2 2" xfId="31841" xr:uid="{00000000-0005-0000-0000-0000F0750000}"/>
    <cellStyle name="Note 2 2 2 2 5 2 2 2" xfId="32609" xr:uid="{00000000-0005-0000-0000-0000F1750000}"/>
    <cellStyle name="Note 2 2 2 2 5 2 2 2 2" xfId="31312" xr:uid="{00000000-0005-0000-0000-0000F2750000}"/>
    <cellStyle name="Note 2 2 2 2 5 2 2 3" xfId="9031" xr:uid="{00000000-0005-0000-0000-0000F3750000}"/>
    <cellStyle name="Note 2 2 2 2 5 2 3" xfId="11442" xr:uid="{00000000-0005-0000-0000-0000F4750000}"/>
    <cellStyle name="Note 2 2 2 2 5 2 3 2" xfId="31186" xr:uid="{00000000-0005-0000-0000-0000F5750000}"/>
    <cellStyle name="Note 2 2 2 2 5 2 4" xfId="25763" xr:uid="{00000000-0005-0000-0000-0000F6750000}"/>
    <cellStyle name="Note 2 2 2 2 5 3" xfId="26790" xr:uid="{00000000-0005-0000-0000-0000F7750000}"/>
    <cellStyle name="Note 2 2 2 2 5 3 2" xfId="3724" xr:uid="{00000000-0005-0000-0000-0000F8750000}"/>
    <cellStyle name="Note 2 2 2 2 5 3 2 2" xfId="31334" xr:uid="{00000000-0005-0000-0000-0000F9750000}"/>
    <cellStyle name="Note 2 2 2 2 5 3 3" xfId="25780" xr:uid="{00000000-0005-0000-0000-0000FA750000}"/>
    <cellStyle name="Note 2 2 2 2 5 4" xfId="5936" xr:uid="{00000000-0005-0000-0000-0000FB750000}"/>
    <cellStyle name="Note 2 2 2 2 5 4 2" xfId="25787" xr:uid="{00000000-0005-0000-0000-0000FC750000}"/>
    <cellStyle name="Note 2 2 2 2 5 5" xfId="27198" xr:uid="{00000000-0005-0000-0000-0000FD750000}"/>
    <cellStyle name="Note 2 2 2 2 6" xfId="31839" xr:uid="{00000000-0005-0000-0000-0000FE750000}"/>
    <cellStyle name="Note 2 2 2 2 6 2" xfId="29702" xr:uid="{00000000-0005-0000-0000-0000FF750000}"/>
    <cellStyle name="Note 2 2 2 2 6 2 2" xfId="3735" xr:uid="{00000000-0005-0000-0000-000000760000}"/>
    <cellStyle name="Note 2 2 2 2 6 2 2 2" xfId="31191" xr:uid="{00000000-0005-0000-0000-000001760000}"/>
    <cellStyle name="Note 2 2 2 2 6 2 3" xfId="25844" xr:uid="{00000000-0005-0000-0000-000002760000}"/>
    <cellStyle name="Note 2 2 2 2 6 3" xfId="31194" xr:uid="{00000000-0005-0000-0000-000003760000}"/>
    <cellStyle name="Note 2 2 2 2 6 3 2" xfId="3100" xr:uid="{00000000-0005-0000-0000-000004760000}"/>
    <cellStyle name="Note 2 2 2 2 6 4" xfId="31198" xr:uid="{00000000-0005-0000-0000-000005760000}"/>
    <cellStyle name="Note 2 2 2 2 7" xfId="30893" xr:uid="{00000000-0005-0000-0000-000006760000}"/>
    <cellStyle name="Note 2 2 2 2 7 2" xfId="5400" xr:uid="{00000000-0005-0000-0000-000007760000}"/>
    <cellStyle name="Note 2 2 2 2 7 2 2" xfId="25875" xr:uid="{00000000-0005-0000-0000-000008760000}"/>
    <cellStyle name="Note 2 2 2 2 7 3" xfId="31199" xr:uid="{00000000-0005-0000-0000-000009760000}"/>
    <cellStyle name="Note 2 2 2 2 8" xfId="31787" xr:uid="{00000000-0005-0000-0000-00000A760000}"/>
    <cellStyle name="Note 2 2 2 2 8 2" xfId="31200" xr:uid="{00000000-0005-0000-0000-00000B760000}"/>
    <cellStyle name="Note 2 2 2 2 9" xfId="122" xr:uid="{00000000-0005-0000-0000-00000C760000}"/>
    <cellStyle name="Note 2 2 2 3" xfId="32681" xr:uid="{00000000-0005-0000-0000-00000D760000}"/>
    <cellStyle name="Note 2 2 2 3 2" xfId="13074" xr:uid="{00000000-0005-0000-0000-00000E760000}"/>
    <cellStyle name="Note 2 2 2 3 2 2" xfId="31209" xr:uid="{00000000-0005-0000-0000-00000F760000}"/>
    <cellStyle name="Note 2 2 2 3 2 2 2" xfId="23385" xr:uid="{00000000-0005-0000-0000-000010760000}"/>
    <cellStyle name="Note 2 2 2 3 2 2 2 2" xfId="32161" xr:uid="{00000000-0005-0000-0000-000011760000}"/>
    <cellStyle name="Note 2 2 2 3 2 2 2 2 2" xfId="31757" xr:uid="{00000000-0005-0000-0000-000012760000}"/>
    <cellStyle name="Note 2 2 2 3 2 2 2 2 2 2" xfId="15643" xr:uid="{00000000-0005-0000-0000-000013760000}"/>
    <cellStyle name="Note 2 2 2 3 2 2 2 2 2 2 2" xfId="30137" xr:uid="{00000000-0005-0000-0000-000014760000}"/>
    <cellStyle name="Note 2 2 2 3 2 2 2 2 2 3" xfId="17329" xr:uid="{00000000-0005-0000-0000-000015760000}"/>
    <cellStyle name="Note 2 2 2 3 2 2 2 2 3" xfId="8776" xr:uid="{00000000-0005-0000-0000-000016760000}"/>
    <cellStyle name="Note 2 2 2 3 2 2 2 2 3 2" xfId="17333" xr:uid="{00000000-0005-0000-0000-000017760000}"/>
    <cellStyle name="Note 2 2 2 3 2 2 2 2 4" xfId="30630" xr:uid="{00000000-0005-0000-0000-000018760000}"/>
    <cellStyle name="Note 2 2 2 3 2 2 2 3" xfId="31218" xr:uid="{00000000-0005-0000-0000-000019760000}"/>
    <cellStyle name="Note 2 2 2 3 2 2 2 3 2" xfId="12315" xr:uid="{00000000-0005-0000-0000-00001A760000}"/>
    <cellStyle name="Note 2 2 2 3 2 2 2 3 2 2" xfId="17345" xr:uid="{00000000-0005-0000-0000-00001B760000}"/>
    <cellStyle name="Note 2 2 2 3 2 2 2 3 3" xfId="13507" xr:uid="{00000000-0005-0000-0000-00001C760000}"/>
    <cellStyle name="Note 2 2 2 3 2 2 2 4" xfId="9116" xr:uid="{00000000-0005-0000-0000-00001D760000}"/>
    <cellStyle name="Note 2 2 2 3 2 2 2 4 2" xfId="13514" xr:uid="{00000000-0005-0000-0000-00001E760000}"/>
    <cellStyle name="Note 2 2 2 3 2 2 2 5" xfId="22775" xr:uid="{00000000-0005-0000-0000-00001F760000}"/>
    <cellStyle name="Note 2 2 2 3 2 2 3" xfId="23393" xr:uid="{00000000-0005-0000-0000-000020760000}"/>
    <cellStyle name="Note 2 2 2 3 2 2 3 2" xfId="31227" xr:uid="{00000000-0005-0000-0000-000021760000}"/>
    <cellStyle name="Note 2 2 2 3 2 2 3 2 2" xfId="26464" xr:uid="{00000000-0005-0000-0000-000022760000}"/>
    <cellStyle name="Note 2 2 2 3 2 2 3 2 2 2" xfId="17363" xr:uid="{00000000-0005-0000-0000-000023760000}"/>
    <cellStyle name="Note 2 2 2 3 2 2 3 2 3" xfId="33636" xr:uid="{00000000-0005-0000-0000-000024760000}"/>
    <cellStyle name="Note 2 2 2 3 2 2 3 3" xfId="31231" xr:uid="{00000000-0005-0000-0000-000025760000}"/>
    <cellStyle name="Note 2 2 2 3 2 2 3 3 2" xfId="10406" xr:uid="{00000000-0005-0000-0000-000026760000}"/>
    <cellStyle name="Note 2 2 2 3 2 2 3 4" xfId="24043" xr:uid="{00000000-0005-0000-0000-000027760000}"/>
    <cellStyle name="Note 2 2 2 3 2 2 4" xfId="18128" xr:uid="{00000000-0005-0000-0000-000028760000}"/>
    <cellStyle name="Note 2 2 2 3 2 2 4 2" xfId="31236" xr:uid="{00000000-0005-0000-0000-000029760000}"/>
    <cellStyle name="Note 2 2 2 3 2 2 4 2 2" xfId="26487" xr:uid="{00000000-0005-0000-0000-00002A760000}"/>
    <cellStyle name="Note 2 2 2 3 2 2 4 3" xfId="23769" xr:uid="{00000000-0005-0000-0000-00002B760000}"/>
    <cellStyle name="Note 2 2 2 3 2 2 5" xfId="28909" xr:uid="{00000000-0005-0000-0000-00002C760000}"/>
    <cellStyle name="Note 2 2 2 3 2 2 5 2" xfId="31247" xr:uid="{00000000-0005-0000-0000-00002D760000}"/>
    <cellStyle name="Note 2 2 2 3 2 2 6" xfId="31248" xr:uid="{00000000-0005-0000-0000-00002E760000}"/>
    <cellStyle name="Note 2 2 2 3 2 3" xfId="21460" xr:uid="{00000000-0005-0000-0000-00002F760000}"/>
    <cellStyle name="Note 2 2 2 3 2 3 2" xfId="23394" xr:uid="{00000000-0005-0000-0000-000030760000}"/>
    <cellStyle name="Note 2 2 2 3 2 3 2 2" xfId="31215" xr:uid="{00000000-0005-0000-0000-000031760000}"/>
    <cellStyle name="Note 2 2 2 3 2 3 2 2 2" xfId="32415" xr:uid="{00000000-0005-0000-0000-000032760000}"/>
    <cellStyle name="Note 2 2 2 3 2 3 2 2 2 2" xfId="17427" xr:uid="{00000000-0005-0000-0000-000033760000}"/>
    <cellStyle name="Note 2 2 2 3 2 3 2 2 3" xfId="31256" xr:uid="{00000000-0005-0000-0000-000034760000}"/>
    <cellStyle name="Note 2 2 2 3 2 3 2 3" xfId="32390" xr:uid="{00000000-0005-0000-0000-000035760000}"/>
    <cellStyle name="Note 2 2 2 3 2 3 2 3 2" xfId="9533" xr:uid="{00000000-0005-0000-0000-000036760000}"/>
    <cellStyle name="Note 2 2 2 3 2 3 2 4" xfId="24072" xr:uid="{00000000-0005-0000-0000-000037760000}"/>
    <cellStyle name="Note 2 2 2 3 2 3 3" xfId="32499" xr:uid="{00000000-0005-0000-0000-000038760000}"/>
    <cellStyle name="Note 2 2 2 3 2 3 3 2" xfId="31229" xr:uid="{00000000-0005-0000-0000-000039760000}"/>
    <cellStyle name="Note 2 2 2 3 2 3 3 2 2" xfId="32435" xr:uid="{00000000-0005-0000-0000-00003A760000}"/>
    <cellStyle name="Note 2 2 2 3 2 3 3 3" xfId="24081" xr:uid="{00000000-0005-0000-0000-00003B760000}"/>
    <cellStyle name="Note 2 2 2 3 2 3 4" xfId="32502" xr:uid="{00000000-0005-0000-0000-00003C760000}"/>
    <cellStyle name="Note 2 2 2 3 2 3 4 2" xfId="1153" xr:uid="{00000000-0005-0000-0000-00003D760000}"/>
    <cellStyle name="Note 2 2 2 3 2 3 5" xfId="28911" xr:uid="{00000000-0005-0000-0000-00003E760000}"/>
    <cellStyle name="Note 2 2 2 3 2 4" xfId="8232" xr:uid="{00000000-0005-0000-0000-00003F760000}"/>
    <cellStyle name="Note 2 2 2 3 2 4 2" xfId="2663" xr:uid="{00000000-0005-0000-0000-000040760000}"/>
    <cellStyle name="Note 2 2 2 3 2 4 2 2" xfId="31266" xr:uid="{00000000-0005-0000-0000-000041760000}"/>
    <cellStyle name="Note 2 2 2 3 2 4 2 2 2" xfId="14827" xr:uid="{00000000-0005-0000-0000-000042760000}"/>
    <cellStyle name="Note 2 2 2 3 2 4 2 3" xfId="31271" xr:uid="{00000000-0005-0000-0000-000043760000}"/>
    <cellStyle name="Note 2 2 2 3 2 4 3" xfId="9958" xr:uid="{00000000-0005-0000-0000-000044760000}"/>
    <cellStyle name="Note 2 2 2 3 2 4 3 2" xfId="31257" xr:uid="{00000000-0005-0000-0000-000045760000}"/>
    <cellStyle name="Note 2 2 2 3 2 4 4" xfId="9963" xr:uid="{00000000-0005-0000-0000-000046760000}"/>
    <cellStyle name="Note 2 2 2 3 2 5" xfId="3755" xr:uid="{00000000-0005-0000-0000-000047760000}"/>
    <cellStyle name="Note 2 2 2 3 2 5 2" xfId="3759" xr:uid="{00000000-0005-0000-0000-000048760000}"/>
    <cellStyle name="Note 2 2 2 3 2 5 2 2" xfId="31275" xr:uid="{00000000-0005-0000-0000-000049760000}"/>
    <cellStyle name="Note 2 2 2 3 2 5 3" xfId="4477" xr:uid="{00000000-0005-0000-0000-00004A760000}"/>
    <cellStyle name="Note 2 2 2 3 2 6" xfId="12942" xr:uid="{00000000-0005-0000-0000-00004B760000}"/>
    <cellStyle name="Note 2 2 2 3 2 6 2" xfId="31279" xr:uid="{00000000-0005-0000-0000-00004C760000}"/>
    <cellStyle name="Note 2 2 2 3 2 7" xfId="29298" xr:uid="{00000000-0005-0000-0000-00004D760000}"/>
    <cellStyle name="Note 2 2 2 3 3" xfId="31282" xr:uid="{00000000-0005-0000-0000-00004E760000}"/>
    <cellStyle name="Note 2 2 2 3 3 2" xfId="27094" xr:uid="{00000000-0005-0000-0000-00004F760000}"/>
    <cellStyle name="Note 2 2 2 3 3 2 2" xfId="23409" xr:uid="{00000000-0005-0000-0000-000050760000}"/>
    <cellStyle name="Note 2 2 2 3 3 2 2 2" xfId="32966" xr:uid="{00000000-0005-0000-0000-000051760000}"/>
    <cellStyle name="Note 2 2 2 3 3 2 2 2 2" xfId="11848" xr:uid="{00000000-0005-0000-0000-000052760000}"/>
    <cellStyle name="Note 2 2 2 3 3 2 2 2 2 2" xfId="1107" xr:uid="{00000000-0005-0000-0000-000053760000}"/>
    <cellStyle name="Note 2 2 2 3 3 2 2 2 3" xfId="23714" xr:uid="{00000000-0005-0000-0000-000054760000}"/>
    <cellStyle name="Note 2 2 2 3 3 2 2 3" xfId="31357" xr:uid="{00000000-0005-0000-0000-000055760000}"/>
    <cellStyle name="Note 2 2 2 3 3 2 2 3 2" xfId="33090" xr:uid="{00000000-0005-0000-0000-000056760000}"/>
    <cellStyle name="Note 2 2 2 3 3 2 2 4" xfId="24138" xr:uid="{00000000-0005-0000-0000-000057760000}"/>
    <cellStyle name="Note 2 2 2 3 3 2 3" xfId="33979" xr:uid="{00000000-0005-0000-0000-000058760000}"/>
    <cellStyle name="Note 2 2 2 3 3 2 3 2" xfId="27483" xr:uid="{00000000-0005-0000-0000-000059760000}"/>
    <cellStyle name="Note 2 2 2 3 3 2 3 2 2" xfId="23390" xr:uid="{00000000-0005-0000-0000-00005A760000}"/>
    <cellStyle name="Note 2 2 2 3 3 2 3 3" xfId="24151" xr:uid="{00000000-0005-0000-0000-00005B760000}"/>
    <cellStyle name="Note 2 2 2 3 3 2 4" xfId="31296" xr:uid="{00000000-0005-0000-0000-00005C760000}"/>
    <cellStyle name="Note 2 2 2 3 3 2 4 2" xfId="5384" xr:uid="{00000000-0005-0000-0000-00005D760000}"/>
    <cellStyle name="Note 2 2 2 3 3 2 5" xfId="31297" xr:uid="{00000000-0005-0000-0000-00005E760000}"/>
    <cellStyle name="Note 2 2 2 3 3 3" xfId="31299" xr:uid="{00000000-0005-0000-0000-00005F760000}"/>
    <cellStyle name="Note 2 2 2 3 3 3 2" xfId="32505" xr:uid="{00000000-0005-0000-0000-000060760000}"/>
    <cellStyle name="Note 2 2 2 3 3 3 2 2" xfId="31352" xr:uid="{00000000-0005-0000-0000-000061760000}"/>
    <cellStyle name="Note 2 2 2 3 3 3 2 2 2" xfId="31304" xr:uid="{00000000-0005-0000-0000-000062760000}"/>
    <cellStyle name="Note 2 2 2 3 3 3 2 3" xfId="24171" xr:uid="{00000000-0005-0000-0000-000063760000}"/>
    <cellStyle name="Note 2 2 2 3 3 3 3" xfId="32610" xr:uid="{00000000-0005-0000-0000-000064760000}"/>
    <cellStyle name="Note 2 2 2 3 3 3 3 2" xfId="31291" xr:uid="{00000000-0005-0000-0000-000065760000}"/>
    <cellStyle name="Note 2 2 2 3 3 3 4" xfId="29064" xr:uid="{00000000-0005-0000-0000-000066760000}"/>
    <cellStyle name="Note 2 2 2 3 3 4" xfId="3770" xr:uid="{00000000-0005-0000-0000-000067760000}"/>
    <cellStyle name="Note 2 2 2 3 3 4 2" xfId="3772" xr:uid="{00000000-0005-0000-0000-000068760000}"/>
    <cellStyle name="Note 2 2 2 3 3 4 2 2" xfId="31305" xr:uid="{00000000-0005-0000-0000-000069760000}"/>
    <cellStyle name="Note 2 2 2 3 3 4 3" xfId="1647" xr:uid="{00000000-0005-0000-0000-00006A760000}"/>
    <cellStyle name="Note 2 2 2 3 3 5" xfId="3775" xr:uid="{00000000-0005-0000-0000-00006B760000}"/>
    <cellStyle name="Note 2 2 2 3 3 5 2" xfId="20659" xr:uid="{00000000-0005-0000-0000-00006C760000}"/>
    <cellStyle name="Note 2 2 2 3 3 6" xfId="31326" xr:uid="{00000000-0005-0000-0000-00006D760000}"/>
    <cellStyle name="Note 2 2 2 3 4" xfId="29830" xr:uid="{00000000-0005-0000-0000-00006E760000}"/>
    <cellStyle name="Note 2 2 2 3 4 2" xfId="27488" xr:uid="{00000000-0005-0000-0000-00006F760000}"/>
    <cellStyle name="Note 2 2 2 3 4 2 2" xfId="33968" xr:uid="{00000000-0005-0000-0000-000070760000}"/>
    <cellStyle name="Note 2 2 2 3 4 2 2 2" xfId="31595" xr:uid="{00000000-0005-0000-0000-000071760000}"/>
    <cellStyle name="Note 2 2 2 3 4 2 2 2 2" xfId="31494" xr:uid="{00000000-0005-0000-0000-000072760000}"/>
    <cellStyle name="Note 2 2 2 3 4 2 2 3" xfId="23710" xr:uid="{00000000-0005-0000-0000-000073760000}"/>
    <cellStyle name="Note 2 2 2 3 4 2 3" xfId="31329" xr:uid="{00000000-0005-0000-0000-000074760000}"/>
    <cellStyle name="Note 2 2 2 3 4 2 3 2" xfId="31505" xr:uid="{00000000-0005-0000-0000-000075760000}"/>
    <cellStyle name="Note 2 2 2 3 4 2 4" xfId="31331" xr:uid="{00000000-0005-0000-0000-000076760000}"/>
    <cellStyle name="Note 2 2 2 3 4 3" xfId="24467" xr:uid="{00000000-0005-0000-0000-000077760000}"/>
    <cellStyle name="Note 2 2 2 3 4 3 2" xfId="33182" xr:uid="{00000000-0005-0000-0000-000078760000}"/>
    <cellStyle name="Note 2 2 2 3 4 3 2 2" xfId="30977" xr:uid="{00000000-0005-0000-0000-000079760000}"/>
    <cellStyle name="Note 2 2 2 3 4 3 3" xfId="31335" xr:uid="{00000000-0005-0000-0000-00007A760000}"/>
    <cellStyle name="Note 2 2 2 3 4 4" xfId="9304" xr:uid="{00000000-0005-0000-0000-00007B760000}"/>
    <cellStyle name="Note 2 2 2 3 4 4 2" xfId="31336" xr:uid="{00000000-0005-0000-0000-00007C760000}"/>
    <cellStyle name="Note 2 2 2 3 4 5" xfId="31341" xr:uid="{00000000-0005-0000-0000-00007D760000}"/>
    <cellStyle name="Note 2 2 2 3 5" xfId="30895" xr:uid="{00000000-0005-0000-0000-00007E760000}"/>
    <cellStyle name="Note 2 2 2 3 5 2" xfId="22386" xr:uid="{00000000-0005-0000-0000-00007F760000}"/>
    <cellStyle name="Note 2 2 2 3 5 2 2" xfId="5524" xr:uid="{00000000-0005-0000-0000-000080760000}"/>
    <cellStyle name="Note 2 2 2 3 5 2 2 2" xfId="31569" xr:uid="{00000000-0005-0000-0000-000081760000}"/>
    <cellStyle name="Note 2 2 2 3 5 2 3" xfId="8762" xr:uid="{00000000-0005-0000-0000-000082760000}"/>
    <cellStyle name="Note 2 2 2 3 5 3" xfId="33262" xr:uid="{00000000-0005-0000-0000-000083760000}"/>
    <cellStyle name="Note 2 2 2 3 5 3 2" xfId="8773" xr:uid="{00000000-0005-0000-0000-000084760000}"/>
    <cellStyle name="Note 2 2 2 3 5 4" xfId="31358" xr:uid="{00000000-0005-0000-0000-000085760000}"/>
    <cellStyle name="Note 2 2 2 3 6" xfId="30901" xr:uid="{00000000-0005-0000-0000-000086760000}"/>
    <cellStyle name="Note 2 2 2 3 6 2" xfId="10987" xr:uid="{00000000-0005-0000-0000-000087760000}"/>
    <cellStyle name="Note 2 2 2 3 6 2 2" xfId="8786" xr:uid="{00000000-0005-0000-0000-000088760000}"/>
    <cellStyle name="Note 2 2 2 3 6 3" xfId="9322" xr:uid="{00000000-0005-0000-0000-000089760000}"/>
    <cellStyle name="Note 2 2 2 3 7" xfId="31798" xr:uid="{00000000-0005-0000-0000-00008A760000}"/>
    <cellStyle name="Note 2 2 2 3 7 2" xfId="10990" xr:uid="{00000000-0005-0000-0000-00008B760000}"/>
    <cellStyle name="Note 2 2 2 3 8" xfId="31359" xr:uid="{00000000-0005-0000-0000-00008C760000}"/>
    <cellStyle name="Note 2 2 2 4" xfId="31361" xr:uid="{00000000-0005-0000-0000-00008D760000}"/>
    <cellStyle name="Note 2 2 2 4 2" xfId="31365" xr:uid="{00000000-0005-0000-0000-00008E760000}"/>
    <cellStyle name="Note 2 2 2 4 2 2" xfId="10699" xr:uid="{00000000-0005-0000-0000-00008F760000}"/>
    <cellStyle name="Note 2 2 2 4 2 2 2" xfId="10868" xr:uid="{00000000-0005-0000-0000-000090760000}"/>
    <cellStyle name="Note 2 2 2 4 2 2 2 2" xfId="5860" xr:uid="{00000000-0005-0000-0000-000091760000}"/>
    <cellStyle name="Note 2 2 2 4 2 2 2 2 2" xfId="29498" xr:uid="{00000000-0005-0000-0000-000092760000}"/>
    <cellStyle name="Note 2 2 2 4 2 2 2 2 2 2" xfId="17579" xr:uid="{00000000-0005-0000-0000-000093760000}"/>
    <cellStyle name="Note 2 2 2 4 2 2 2 2 3" xfId="4606" xr:uid="{00000000-0005-0000-0000-000094760000}"/>
    <cellStyle name="Note 2 2 2 4 2 2 2 3" xfId="31366" xr:uid="{00000000-0005-0000-0000-000095760000}"/>
    <cellStyle name="Note 2 2 2 4 2 2 2 3 2" xfId="16328" xr:uid="{00000000-0005-0000-0000-000096760000}"/>
    <cellStyle name="Note 2 2 2 4 2 2 2 4" xfId="33171" xr:uid="{00000000-0005-0000-0000-000097760000}"/>
    <cellStyle name="Note 2 2 2 4 2 2 3" xfId="33223" xr:uid="{00000000-0005-0000-0000-000098760000}"/>
    <cellStyle name="Note 2 2 2 4 2 2 3 2" xfId="31367" xr:uid="{00000000-0005-0000-0000-000099760000}"/>
    <cellStyle name="Note 2 2 2 4 2 2 3 2 2" xfId="29616" xr:uid="{00000000-0005-0000-0000-00009A760000}"/>
    <cellStyle name="Note 2 2 2 4 2 2 3 3" xfId="28342" xr:uid="{00000000-0005-0000-0000-00009B760000}"/>
    <cellStyle name="Note 2 2 2 4 2 2 4" xfId="31370" xr:uid="{00000000-0005-0000-0000-00009C760000}"/>
    <cellStyle name="Note 2 2 2 4 2 2 4 2" xfId="26595" xr:uid="{00000000-0005-0000-0000-00009D760000}"/>
    <cellStyle name="Note 2 2 2 4 2 2 5" xfId="31372" xr:uid="{00000000-0005-0000-0000-00009E760000}"/>
    <cellStyle name="Note 2 2 2 4 2 3" xfId="28864" xr:uid="{00000000-0005-0000-0000-00009F760000}"/>
    <cellStyle name="Note 2 2 2 4 2 3 2" xfId="32836" xr:uid="{00000000-0005-0000-0000-0000A0760000}"/>
    <cellStyle name="Note 2 2 2 4 2 3 2 2" xfId="22477" xr:uid="{00000000-0005-0000-0000-0000A1760000}"/>
    <cellStyle name="Note 2 2 2 4 2 3 2 2 2" xfId="31375" xr:uid="{00000000-0005-0000-0000-0000A2760000}"/>
    <cellStyle name="Note 2 2 2 4 2 3 2 3" xfId="24308" xr:uid="{00000000-0005-0000-0000-0000A3760000}"/>
    <cellStyle name="Note 2 2 2 4 2 3 3" xfId="31379" xr:uid="{00000000-0005-0000-0000-0000A4760000}"/>
    <cellStyle name="Note 2 2 2 4 2 3 3 2" xfId="20052" xr:uid="{00000000-0005-0000-0000-0000A5760000}"/>
    <cellStyle name="Note 2 2 2 4 2 3 4" xfId="31383" xr:uid="{00000000-0005-0000-0000-0000A6760000}"/>
    <cellStyle name="Note 2 2 2 4 2 4" xfId="3889" xr:uid="{00000000-0005-0000-0000-0000A7760000}"/>
    <cellStyle name="Note 2 2 2 4 2 4 2" xfId="9369" xr:uid="{00000000-0005-0000-0000-0000A8760000}"/>
    <cellStyle name="Note 2 2 2 4 2 4 2 2" xfId="22822" xr:uid="{00000000-0005-0000-0000-0000A9760000}"/>
    <cellStyle name="Note 2 2 2 4 2 4 3" xfId="10018" xr:uid="{00000000-0005-0000-0000-0000AA760000}"/>
    <cellStyle name="Note 2 2 2 4 2 5" xfId="3893" xr:uid="{00000000-0005-0000-0000-0000AB760000}"/>
    <cellStyle name="Note 2 2 2 4 2 5 2" xfId="11160" xr:uid="{00000000-0005-0000-0000-0000AC760000}"/>
    <cellStyle name="Note 2 2 2 4 2 6" xfId="31838" xr:uid="{00000000-0005-0000-0000-0000AD760000}"/>
    <cellStyle name="Note 2 2 2 4 3" xfId="33766" xr:uid="{00000000-0005-0000-0000-0000AE760000}"/>
    <cellStyle name="Note 2 2 2 4 3 2" xfId="5626" xr:uid="{00000000-0005-0000-0000-0000AF760000}"/>
    <cellStyle name="Note 2 2 2 4 3 2 2" xfId="14571" xr:uid="{00000000-0005-0000-0000-0000B0760000}"/>
    <cellStyle name="Note 2 2 2 4 3 2 2 2" xfId="1680" xr:uid="{00000000-0005-0000-0000-0000B1760000}"/>
    <cellStyle name="Note 2 2 2 4 3 2 2 2 2" xfId="3259" xr:uid="{00000000-0005-0000-0000-0000B2760000}"/>
    <cellStyle name="Note 2 2 2 4 3 2 2 3" xfId="6273" xr:uid="{00000000-0005-0000-0000-0000B3760000}"/>
    <cellStyle name="Note 2 2 2 4 3 2 3" xfId="31423" xr:uid="{00000000-0005-0000-0000-0000B4760000}"/>
    <cellStyle name="Note 2 2 2 4 3 2 3 2" xfId="4484" xr:uid="{00000000-0005-0000-0000-0000B5760000}"/>
    <cellStyle name="Note 2 2 2 4 3 2 4" xfId="31386" xr:uid="{00000000-0005-0000-0000-0000B6760000}"/>
    <cellStyle name="Note 2 2 2 4 3 3" xfId="450" xr:uid="{00000000-0005-0000-0000-0000B7760000}"/>
    <cellStyle name="Note 2 2 2 4 3 3 2" xfId="32927" xr:uid="{00000000-0005-0000-0000-0000B8760000}"/>
    <cellStyle name="Note 2 2 2 4 3 3 2 2" xfId="9340" xr:uid="{00000000-0005-0000-0000-0000B9760000}"/>
    <cellStyle name="Note 2 2 2 4 3 3 3" xfId="17238" xr:uid="{00000000-0005-0000-0000-0000BA760000}"/>
    <cellStyle name="Note 2 2 2 4 3 4" xfId="3905" xr:uid="{00000000-0005-0000-0000-0000BB760000}"/>
    <cellStyle name="Note 2 2 2 4 3 4 2" xfId="4239" xr:uid="{00000000-0005-0000-0000-0000BC760000}"/>
    <cellStyle name="Note 2 2 2 4 3 5" xfId="27311" xr:uid="{00000000-0005-0000-0000-0000BD760000}"/>
    <cellStyle name="Note 2 2 2 4 4" xfId="27336" xr:uid="{00000000-0005-0000-0000-0000BE760000}"/>
    <cellStyle name="Note 2 2 2 4 4 2" xfId="2321" xr:uid="{00000000-0005-0000-0000-0000BF760000}"/>
    <cellStyle name="Note 2 2 2 4 4 2 2" xfId="30125" xr:uid="{00000000-0005-0000-0000-0000C0760000}"/>
    <cellStyle name="Note 2 2 2 4 4 2 2 2" xfId="9582" xr:uid="{00000000-0005-0000-0000-0000C1760000}"/>
    <cellStyle name="Note 2 2 2 4 4 2 3" xfId="30581" xr:uid="{00000000-0005-0000-0000-0000C2760000}"/>
    <cellStyle name="Note 2 2 2 4 4 3" xfId="20364" xr:uid="{00000000-0005-0000-0000-0000C3760000}"/>
    <cellStyle name="Note 2 2 2 4 4 3 2" xfId="28249" xr:uid="{00000000-0005-0000-0000-0000C4760000}"/>
    <cellStyle name="Note 2 2 2 4 4 4" xfId="30067" xr:uid="{00000000-0005-0000-0000-0000C5760000}"/>
    <cellStyle name="Note 2 2 2 4 5" xfId="41" xr:uid="{00000000-0005-0000-0000-0000C6760000}"/>
    <cellStyle name="Note 2 2 2 4 5 2" xfId="29113" xr:uid="{00000000-0005-0000-0000-0000C7760000}"/>
    <cellStyle name="Note 2 2 2 4 5 2 2" xfId="8812" xr:uid="{00000000-0005-0000-0000-0000C8760000}"/>
    <cellStyle name="Note 2 2 2 4 5 3" xfId="23875" xr:uid="{00000000-0005-0000-0000-0000C9760000}"/>
    <cellStyle name="Note 2 2 2 4 6" xfId="3828" xr:uid="{00000000-0005-0000-0000-0000CA760000}"/>
    <cellStyle name="Note 2 2 2 4 6 2" xfId="11002" xr:uid="{00000000-0005-0000-0000-0000CB760000}"/>
    <cellStyle name="Note 2 2 2 4 7" xfId="17173" xr:uid="{00000000-0005-0000-0000-0000CC760000}"/>
    <cellStyle name="Note 2 2 2 5" xfId="31399" xr:uid="{00000000-0005-0000-0000-0000CD760000}"/>
    <cellStyle name="Note 2 2 2 5 2" xfId="31403" xr:uid="{00000000-0005-0000-0000-0000CE760000}"/>
    <cellStyle name="Note 2 2 2 5 2 2" xfId="29156" xr:uid="{00000000-0005-0000-0000-0000CF760000}"/>
    <cellStyle name="Note 2 2 2 5 2 2 2" xfId="33276" xr:uid="{00000000-0005-0000-0000-0000D0760000}"/>
    <cellStyle name="Note 2 2 2 5 2 2 2 2" xfId="14562" xr:uid="{00000000-0005-0000-0000-0000D1760000}"/>
    <cellStyle name="Note 2 2 2 5 2 2 2 2 2" xfId="1732" xr:uid="{00000000-0005-0000-0000-0000D2760000}"/>
    <cellStyle name="Note 2 2 2 5 2 2 2 3" xfId="8040" xr:uid="{00000000-0005-0000-0000-0000D3760000}"/>
    <cellStyle name="Note 2 2 2 5 2 2 3" xfId="31406" xr:uid="{00000000-0005-0000-0000-0000D4760000}"/>
    <cellStyle name="Note 2 2 2 5 2 2 3 2" xfId="31407" xr:uid="{00000000-0005-0000-0000-0000D5760000}"/>
    <cellStyle name="Note 2 2 2 5 2 2 4" xfId="26281" xr:uid="{00000000-0005-0000-0000-0000D6760000}"/>
    <cellStyle name="Note 2 2 2 5 2 3" xfId="31418" xr:uid="{00000000-0005-0000-0000-0000D7760000}"/>
    <cellStyle name="Note 2 2 2 5 2 3 2" xfId="28980" xr:uid="{00000000-0005-0000-0000-0000D8760000}"/>
    <cellStyle name="Note 2 2 2 5 2 3 2 2" xfId="20996" xr:uid="{00000000-0005-0000-0000-0000D9760000}"/>
    <cellStyle name="Note 2 2 2 5 2 3 3" xfId="31424" xr:uid="{00000000-0005-0000-0000-0000DA760000}"/>
    <cellStyle name="Note 2 2 2 5 2 4" xfId="3941" xr:uid="{00000000-0005-0000-0000-0000DB760000}"/>
    <cellStyle name="Note 2 2 2 5 2 4 2" xfId="11324" xr:uid="{00000000-0005-0000-0000-0000DC760000}"/>
    <cellStyle name="Note 2 2 2 5 2 5" xfId="31844" xr:uid="{00000000-0005-0000-0000-0000DD760000}"/>
    <cellStyle name="Note 2 2 2 5 3" xfId="33780" xr:uid="{00000000-0005-0000-0000-0000DE760000}"/>
    <cellStyle name="Note 2 2 2 5 3 2" xfId="6083" xr:uid="{00000000-0005-0000-0000-0000DF760000}"/>
    <cellStyle name="Note 2 2 2 5 3 2 2" xfId="31429" xr:uid="{00000000-0005-0000-0000-0000E0760000}"/>
    <cellStyle name="Note 2 2 2 5 3 2 2 2" xfId="10000" xr:uid="{00000000-0005-0000-0000-0000E1760000}"/>
    <cellStyle name="Note 2 2 2 5 3 2 3" xfId="29184" xr:uid="{00000000-0005-0000-0000-0000E2760000}"/>
    <cellStyle name="Note 2 2 2 5 3 3" xfId="27628" xr:uid="{00000000-0005-0000-0000-0000E3760000}"/>
    <cellStyle name="Note 2 2 2 5 3 3 2" xfId="29006" xr:uid="{00000000-0005-0000-0000-0000E4760000}"/>
    <cellStyle name="Note 2 2 2 5 3 4" xfId="31431" xr:uid="{00000000-0005-0000-0000-0000E5760000}"/>
    <cellStyle name="Note 2 2 2 5 4" xfId="11841" xr:uid="{00000000-0005-0000-0000-0000E6760000}"/>
    <cellStyle name="Note 2 2 2 5 4 2" xfId="27131" xr:uid="{00000000-0005-0000-0000-0000E7760000}"/>
    <cellStyle name="Note 2 2 2 5 4 2 2" xfId="33915" xr:uid="{00000000-0005-0000-0000-0000E8760000}"/>
    <cellStyle name="Note 2 2 2 5 4 3" xfId="29319" xr:uid="{00000000-0005-0000-0000-0000E9760000}"/>
    <cellStyle name="Note 2 2 2 5 5" xfId="430" xr:uid="{00000000-0005-0000-0000-0000EA760000}"/>
    <cellStyle name="Note 2 2 2 5 5 2" xfId="2015" xr:uid="{00000000-0005-0000-0000-0000EB760000}"/>
    <cellStyle name="Note 2 2 2 5 6" xfId="31444" xr:uid="{00000000-0005-0000-0000-0000EC760000}"/>
    <cellStyle name="Note 2 2 2 6" xfId="5599" xr:uid="{00000000-0005-0000-0000-0000ED760000}"/>
    <cellStyle name="Note 2 2 2 6 2" xfId="23744" xr:uid="{00000000-0005-0000-0000-0000EE760000}"/>
    <cellStyle name="Note 2 2 2 6 2 2" xfId="31557" xr:uid="{00000000-0005-0000-0000-0000EF760000}"/>
    <cellStyle name="Note 2 2 2 6 2 2 2" xfId="31445" xr:uid="{00000000-0005-0000-0000-0000F0760000}"/>
    <cellStyle name="Note 2 2 2 6 2 2 2 2" xfId="31253" xr:uid="{00000000-0005-0000-0000-0000F1760000}"/>
    <cellStyle name="Note 2 2 2 6 2 2 3" xfId="24666" xr:uid="{00000000-0005-0000-0000-0000F2760000}"/>
    <cellStyle name="Note 2 2 2 6 2 3" xfId="27633" xr:uid="{00000000-0005-0000-0000-0000F3760000}"/>
    <cellStyle name="Note 2 2 2 6 2 3 2" xfId="258" xr:uid="{00000000-0005-0000-0000-0000F4760000}"/>
    <cellStyle name="Note 2 2 2 6 2 4" xfId="31449" xr:uid="{00000000-0005-0000-0000-0000F5760000}"/>
    <cellStyle name="Note 2 2 2 6 3" xfId="23748" xr:uid="{00000000-0005-0000-0000-0000F6760000}"/>
    <cellStyle name="Note 2 2 2 6 3 2" xfId="33892" xr:uid="{00000000-0005-0000-0000-0000F7760000}"/>
    <cellStyle name="Note 2 2 2 6 3 2 2" xfId="33459" xr:uid="{00000000-0005-0000-0000-0000F8760000}"/>
    <cellStyle name="Note 2 2 2 6 3 3" xfId="31450" xr:uid="{00000000-0005-0000-0000-0000F9760000}"/>
    <cellStyle name="Note 2 2 2 6 4" xfId="33741" xr:uid="{00000000-0005-0000-0000-0000FA760000}"/>
    <cellStyle name="Note 2 2 2 6 4 2" xfId="31116" xr:uid="{00000000-0005-0000-0000-0000FB760000}"/>
    <cellStyle name="Note 2 2 2 6 5" xfId="28172" xr:uid="{00000000-0005-0000-0000-0000FC760000}"/>
    <cellStyle name="Note 2 2 2 7" xfId="22233" xr:uid="{00000000-0005-0000-0000-0000FD760000}"/>
    <cellStyle name="Note 2 2 2 7 2" xfId="30652" xr:uid="{00000000-0005-0000-0000-0000FE760000}"/>
    <cellStyle name="Note 2 2 2 7 2 2" xfId="30660" xr:uid="{00000000-0005-0000-0000-0000FF760000}"/>
    <cellStyle name="Note 2 2 2 7 2 2 2" xfId="11596" xr:uid="{00000000-0005-0000-0000-000000770000}"/>
    <cellStyle name="Note 2 2 2 7 2 3" xfId="30666" xr:uid="{00000000-0005-0000-0000-000001770000}"/>
    <cellStyle name="Note 2 2 2 7 3" xfId="33717" xr:uid="{00000000-0005-0000-0000-000002770000}"/>
    <cellStyle name="Note 2 2 2 7 3 2" xfId="31454" xr:uid="{00000000-0005-0000-0000-000003770000}"/>
    <cellStyle name="Note 2 2 2 7 4" xfId="31128" xr:uid="{00000000-0005-0000-0000-000004770000}"/>
    <cellStyle name="Note 2 2 2 8" xfId="9438" xr:uid="{00000000-0005-0000-0000-000005770000}"/>
    <cellStyle name="Note 2 2 2 8 2" xfId="33189" xr:uid="{00000000-0005-0000-0000-000006770000}"/>
    <cellStyle name="Note 2 2 2 8 2 2" xfId="30675" xr:uid="{00000000-0005-0000-0000-000007770000}"/>
    <cellStyle name="Note 2 2 2 8 3" xfId="31959" xr:uid="{00000000-0005-0000-0000-000008770000}"/>
    <cellStyle name="Note 2 2 2 9" xfId="14290" xr:uid="{00000000-0005-0000-0000-000009770000}"/>
    <cellStyle name="Note 2 2 2 9 2" xfId="32996" xr:uid="{00000000-0005-0000-0000-00000A770000}"/>
    <cellStyle name="Note 2 2 3" xfId="31461" xr:uid="{00000000-0005-0000-0000-00000B770000}"/>
    <cellStyle name="Note 2 2 3 2" xfId="31462" xr:uid="{00000000-0005-0000-0000-00000C770000}"/>
    <cellStyle name="Note 2 2 3 2 2" xfId="13275" xr:uid="{00000000-0005-0000-0000-00000D770000}"/>
    <cellStyle name="Note 2 2 3 2 2 2" xfId="17531" xr:uid="{00000000-0005-0000-0000-00000E770000}"/>
    <cellStyle name="Note 2 2 3 2 2 2 2" xfId="33868" xr:uid="{00000000-0005-0000-0000-00000F770000}"/>
    <cellStyle name="Note 2 2 3 2 2 2 2 2" xfId="32420" xr:uid="{00000000-0005-0000-0000-000010770000}"/>
    <cellStyle name="Note 2 2 3 2 2 2 2 2 2" xfId="20983" xr:uid="{00000000-0005-0000-0000-000011770000}"/>
    <cellStyle name="Note 2 2 3 2 2 2 2 2 2 2" xfId="31512" xr:uid="{00000000-0005-0000-0000-000012770000}"/>
    <cellStyle name="Note 2 2 3 2 2 2 2 2 2 2 2" xfId="32913" xr:uid="{00000000-0005-0000-0000-000013770000}"/>
    <cellStyle name="Note 2 2 3 2 2 2 2 2 2 3" xfId="1079" xr:uid="{00000000-0005-0000-0000-000014770000}"/>
    <cellStyle name="Note 2 2 3 2 2 2 2 2 3" xfId="31983" xr:uid="{00000000-0005-0000-0000-000015770000}"/>
    <cellStyle name="Note 2 2 3 2 2 2 2 2 3 2" xfId="28176" xr:uid="{00000000-0005-0000-0000-000016770000}"/>
    <cellStyle name="Note 2 2 3 2 2 2 2 2 4" xfId="6380" xr:uid="{00000000-0005-0000-0000-000017770000}"/>
    <cellStyle name="Note 2 2 3 2 2 2 2 3" xfId="31874" xr:uid="{00000000-0005-0000-0000-000018770000}"/>
    <cellStyle name="Note 2 2 3 2 2 2 2 3 2" xfId="31989" xr:uid="{00000000-0005-0000-0000-000019770000}"/>
    <cellStyle name="Note 2 2 3 2 2 2 2 3 2 2" xfId="33080" xr:uid="{00000000-0005-0000-0000-00001A770000}"/>
    <cellStyle name="Note 2 2 3 2 2 2 2 3 3" xfId="31463" xr:uid="{00000000-0005-0000-0000-00001B770000}"/>
    <cellStyle name="Note 2 2 3 2 2 2 2 4" xfId="26243" xr:uid="{00000000-0005-0000-0000-00001C770000}"/>
    <cellStyle name="Note 2 2 3 2 2 2 2 4 2" xfId="6770" xr:uid="{00000000-0005-0000-0000-00001D770000}"/>
    <cellStyle name="Note 2 2 3 2 2 2 2 5" xfId="30168" xr:uid="{00000000-0005-0000-0000-00001E770000}"/>
    <cellStyle name="Note 2 2 3 2 2 2 3" xfId="30162" xr:uid="{00000000-0005-0000-0000-00001F770000}"/>
    <cellStyle name="Note 2 2 3 2 2 2 3 2" xfId="31160" xr:uid="{00000000-0005-0000-0000-000020770000}"/>
    <cellStyle name="Note 2 2 3 2 2 2 3 2 2" xfId="31478" xr:uid="{00000000-0005-0000-0000-000021770000}"/>
    <cellStyle name="Note 2 2 3 2 2 2 3 2 2 2" xfId="1631" xr:uid="{00000000-0005-0000-0000-000022770000}"/>
    <cellStyle name="Note 2 2 3 2 2 2 3 2 3" xfId="29900" xr:uid="{00000000-0005-0000-0000-000023770000}"/>
    <cellStyle name="Note 2 2 3 2 2 2 3 3" xfId="31480" xr:uid="{00000000-0005-0000-0000-000024770000}"/>
    <cellStyle name="Note 2 2 3 2 2 2 3 3 2" xfId="33833" xr:uid="{00000000-0005-0000-0000-000025770000}"/>
    <cellStyle name="Note 2 2 3 2 2 2 3 4" xfId="25380" xr:uid="{00000000-0005-0000-0000-000026770000}"/>
    <cellStyle name="Note 2 2 3 2 2 2 4" xfId="18906" xr:uid="{00000000-0005-0000-0000-000027770000}"/>
    <cellStyle name="Note 2 2 3 2 2 2 4 2" xfId="31517" xr:uid="{00000000-0005-0000-0000-000028770000}"/>
    <cellStyle name="Note 2 2 3 2 2 2 4 2 2" xfId="33211" xr:uid="{00000000-0005-0000-0000-000029770000}"/>
    <cellStyle name="Note 2 2 3 2 2 2 4 3" xfId="29596" xr:uid="{00000000-0005-0000-0000-00002A770000}"/>
    <cellStyle name="Note 2 2 3 2 2 2 5" xfId="31518" xr:uid="{00000000-0005-0000-0000-00002B770000}"/>
    <cellStyle name="Note 2 2 3 2 2 2 5 2" xfId="31350" xr:uid="{00000000-0005-0000-0000-00002C770000}"/>
    <cellStyle name="Note 2 2 3 2 2 2 6" xfId="24679" xr:uid="{00000000-0005-0000-0000-00002D770000}"/>
    <cellStyle name="Note 2 2 3 2 2 3" xfId="8798" xr:uid="{00000000-0005-0000-0000-00002E770000}"/>
    <cellStyle name="Note 2 2 3 2 2 3 2" xfId="33804" xr:uid="{00000000-0005-0000-0000-00002F770000}"/>
    <cellStyle name="Note 2 2 3 2 2 3 2 2" xfId="31636" xr:uid="{00000000-0005-0000-0000-000030770000}"/>
    <cellStyle name="Note 2 2 3 2 2 3 2 2 2" xfId="33488" xr:uid="{00000000-0005-0000-0000-000031770000}"/>
    <cellStyle name="Note 2 2 3 2 2 3 2 2 2 2" xfId="20200" xr:uid="{00000000-0005-0000-0000-000032770000}"/>
    <cellStyle name="Note 2 2 3 2 2 3 2 2 3" xfId="20101" xr:uid="{00000000-0005-0000-0000-000033770000}"/>
    <cellStyle name="Note 2 2 3 2 2 3 2 3" xfId="29441" xr:uid="{00000000-0005-0000-0000-000034770000}"/>
    <cellStyle name="Note 2 2 3 2 2 3 2 3 2" xfId="29443" xr:uid="{00000000-0005-0000-0000-000035770000}"/>
    <cellStyle name="Note 2 2 3 2 2 3 2 4" xfId="26983" xr:uid="{00000000-0005-0000-0000-000036770000}"/>
    <cellStyle name="Note 2 2 3 2 2 3 3" xfId="31640" xr:uid="{00000000-0005-0000-0000-000037770000}"/>
    <cellStyle name="Note 2 2 3 2 2 3 3 2" xfId="31469" xr:uid="{00000000-0005-0000-0000-000038770000}"/>
    <cellStyle name="Note 2 2 3 2 2 3 3 2 2" xfId="31472" xr:uid="{00000000-0005-0000-0000-000039770000}"/>
    <cellStyle name="Note 2 2 3 2 2 3 3 3" xfId="18963" xr:uid="{00000000-0005-0000-0000-00003A770000}"/>
    <cellStyle name="Note 2 2 3 2 2 3 4" xfId="31523" xr:uid="{00000000-0005-0000-0000-00003B770000}"/>
    <cellStyle name="Note 2 2 3 2 2 3 4 2" xfId="8367" xr:uid="{00000000-0005-0000-0000-00003C770000}"/>
    <cellStyle name="Note 2 2 3 2 2 3 5" xfId="32493" xr:uid="{00000000-0005-0000-0000-00003D770000}"/>
    <cellStyle name="Note 2 2 3 2 2 4" xfId="8263" xr:uid="{00000000-0005-0000-0000-00003E770000}"/>
    <cellStyle name="Note 2 2 3 2 2 4 2" xfId="4140" xr:uid="{00000000-0005-0000-0000-00003F770000}"/>
    <cellStyle name="Note 2 2 3 2 2 4 2 2" xfId="23881" xr:uid="{00000000-0005-0000-0000-000040770000}"/>
    <cellStyle name="Note 2 2 3 2 2 4 2 2 2" xfId="14209" xr:uid="{00000000-0005-0000-0000-000041770000}"/>
    <cellStyle name="Note 2 2 3 2 2 4 2 3" xfId="29512" xr:uid="{00000000-0005-0000-0000-000042770000}"/>
    <cellStyle name="Note 2 2 3 2 2 4 3" xfId="4144" xr:uid="{00000000-0005-0000-0000-000043770000}"/>
    <cellStyle name="Note 2 2 3 2 2 4 3 2" xfId="31474" xr:uid="{00000000-0005-0000-0000-000044770000}"/>
    <cellStyle name="Note 2 2 3 2 2 4 4" xfId="31475" xr:uid="{00000000-0005-0000-0000-000045770000}"/>
    <cellStyle name="Note 2 2 3 2 2 5" xfId="4151" xr:uid="{00000000-0005-0000-0000-000046770000}"/>
    <cellStyle name="Note 2 2 3 2 2 5 2" xfId="14678" xr:uid="{00000000-0005-0000-0000-000047770000}"/>
    <cellStyle name="Note 2 2 3 2 2 5 2 2" xfId="31905" xr:uid="{00000000-0005-0000-0000-000048770000}"/>
    <cellStyle name="Note 2 2 3 2 2 5 3" xfId="30908" xr:uid="{00000000-0005-0000-0000-000049770000}"/>
    <cellStyle name="Note 2 2 3 2 2 6" xfId="1252" xr:uid="{00000000-0005-0000-0000-00004A770000}"/>
    <cellStyle name="Note 2 2 3 2 2 6 2" xfId="29418" xr:uid="{00000000-0005-0000-0000-00004B770000}"/>
    <cellStyle name="Note 2 2 3 2 2 7" xfId="26337" xr:uid="{00000000-0005-0000-0000-00004C770000}"/>
    <cellStyle name="Note 2 2 3 2 3" xfId="31018" xr:uid="{00000000-0005-0000-0000-00004D770000}"/>
    <cellStyle name="Note 2 2 3 2 3 2" xfId="19192" xr:uid="{00000000-0005-0000-0000-00004E770000}"/>
    <cellStyle name="Note 2 2 3 2 3 2 2" xfId="27113" xr:uid="{00000000-0005-0000-0000-00004F770000}"/>
    <cellStyle name="Note 2 2 3 2 3 2 2 2" xfId="30104" xr:uid="{00000000-0005-0000-0000-000050770000}"/>
    <cellStyle name="Note 2 2 3 2 3 2 2 2 2" xfId="28363" xr:uid="{00000000-0005-0000-0000-000051770000}"/>
    <cellStyle name="Note 2 2 3 2 3 2 2 2 2 2" xfId="588" xr:uid="{00000000-0005-0000-0000-000052770000}"/>
    <cellStyle name="Note 2 2 3 2 3 2 2 2 3" xfId="30942" xr:uid="{00000000-0005-0000-0000-000053770000}"/>
    <cellStyle name="Note 2 2 3 2 3 2 2 3" xfId="9829" xr:uid="{00000000-0005-0000-0000-000054770000}"/>
    <cellStyle name="Note 2 2 3 2 3 2 2 3 2" xfId="31477" xr:uid="{00000000-0005-0000-0000-000055770000}"/>
    <cellStyle name="Note 2 2 3 2 3 2 2 4" xfId="23789" xr:uid="{00000000-0005-0000-0000-000056770000}"/>
    <cellStyle name="Note 2 2 3 2 3 2 3" xfId="31753" xr:uid="{00000000-0005-0000-0000-000057770000}"/>
    <cellStyle name="Note 2 2 3 2 3 2 3 2" xfId="31586" xr:uid="{00000000-0005-0000-0000-000058770000}"/>
    <cellStyle name="Note 2 2 3 2 3 2 3 2 2" xfId="31663" xr:uid="{00000000-0005-0000-0000-000059770000}"/>
    <cellStyle name="Note 2 2 3 2 3 2 3 3" xfId="24924" xr:uid="{00000000-0005-0000-0000-00005A770000}"/>
    <cellStyle name="Note 2 2 3 2 3 2 4" xfId="31590" xr:uid="{00000000-0005-0000-0000-00005B770000}"/>
    <cellStyle name="Note 2 2 3 2 3 2 4 2" xfId="31479" xr:uid="{00000000-0005-0000-0000-00005C770000}"/>
    <cellStyle name="Note 2 2 3 2 3 2 5" xfId="31482" xr:uid="{00000000-0005-0000-0000-00005D770000}"/>
    <cellStyle name="Note 2 2 3 2 3 3" xfId="31593" xr:uid="{00000000-0005-0000-0000-00005E770000}"/>
    <cellStyle name="Note 2 2 3 2 3 3 2" xfId="31769" xr:uid="{00000000-0005-0000-0000-00005F770000}"/>
    <cellStyle name="Note 2 2 3 2 3 3 2 2" xfId="31483" xr:uid="{00000000-0005-0000-0000-000060770000}"/>
    <cellStyle name="Note 2 2 3 2 3 3 2 2 2" xfId="31484" xr:uid="{00000000-0005-0000-0000-000061770000}"/>
    <cellStyle name="Note 2 2 3 2 3 3 2 3" xfId="25103" xr:uid="{00000000-0005-0000-0000-000062770000}"/>
    <cellStyle name="Note 2 2 3 2 3 3 3" xfId="31597" xr:uid="{00000000-0005-0000-0000-000063770000}"/>
    <cellStyle name="Note 2 2 3 2 3 3 3 2" xfId="31495" xr:uid="{00000000-0005-0000-0000-000064770000}"/>
    <cellStyle name="Note 2 2 3 2 3 3 4" xfId="31516" xr:uid="{00000000-0005-0000-0000-000065770000}"/>
    <cellStyle name="Note 2 2 3 2 3 4" xfId="18290" xr:uid="{00000000-0005-0000-0000-000066770000}"/>
    <cellStyle name="Note 2 2 3 2 3 4 2" xfId="4161" xr:uid="{00000000-0005-0000-0000-000067770000}"/>
    <cellStyle name="Note 2 2 3 2 3 4 2 2" xfId="31500" xr:uid="{00000000-0005-0000-0000-000068770000}"/>
    <cellStyle name="Note 2 2 3 2 3 4 3" xfId="31508" xr:uid="{00000000-0005-0000-0000-000069770000}"/>
    <cellStyle name="Note 2 2 3 2 3 5" xfId="18293" xr:uid="{00000000-0005-0000-0000-00006A770000}"/>
    <cellStyle name="Note 2 2 3 2 3 5 2" xfId="26118" xr:uid="{00000000-0005-0000-0000-00006B770000}"/>
    <cellStyle name="Note 2 2 3 2 3 6" xfId="4049" xr:uid="{00000000-0005-0000-0000-00006C770000}"/>
    <cellStyle name="Note 2 2 3 2 4" xfId="31511" xr:uid="{00000000-0005-0000-0000-00006D770000}"/>
    <cellStyle name="Note 2 2 3 2 4 2" xfId="33869" xr:uid="{00000000-0005-0000-0000-00006E770000}"/>
    <cellStyle name="Note 2 2 3 2 4 2 2" xfId="32768" xr:uid="{00000000-0005-0000-0000-00006F770000}"/>
    <cellStyle name="Note 2 2 3 2 4 2 2 2" xfId="28199" xr:uid="{00000000-0005-0000-0000-000070770000}"/>
    <cellStyle name="Note 2 2 3 2 4 2 2 2 2" xfId="30629" xr:uid="{00000000-0005-0000-0000-000071770000}"/>
    <cellStyle name="Note 2 2 3 2 4 2 2 3" xfId="27391" xr:uid="{00000000-0005-0000-0000-000072770000}"/>
    <cellStyle name="Note 2 2 3 2 4 2 3" xfId="29560" xr:uid="{00000000-0005-0000-0000-000073770000}"/>
    <cellStyle name="Note 2 2 3 2 4 2 3 2" xfId="29050" xr:uid="{00000000-0005-0000-0000-000074770000}"/>
    <cellStyle name="Note 2 2 3 2 4 2 4" xfId="29569" xr:uid="{00000000-0005-0000-0000-000075770000}"/>
    <cellStyle name="Note 2 2 3 2 4 3" xfId="24554" xr:uid="{00000000-0005-0000-0000-000076770000}"/>
    <cellStyle name="Note 2 2 3 2 4 3 2" xfId="28213" xr:uid="{00000000-0005-0000-0000-000077770000}"/>
    <cellStyle name="Note 2 2 3 2 4 3 2 2" xfId="28215" xr:uid="{00000000-0005-0000-0000-000078770000}"/>
    <cellStyle name="Note 2 2 3 2 4 3 3" xfId="30032" xr:uid="{00000000-0005-0000-0000-000079770000}"/>
    <cellStyle name="Note 2 2 3 2 4 4" xfId="18298" xr:uid="{00000000-0005-0000-0000-00007A770000}"/>
    <cellStyle name="Note 2 2 3 2 4 4 2" xfId="29288" xr:uid="{00000000-0005-0000-0000-00007B770000}"/>
    <cellStyle name="Note 2 2 3 2 4 5" xfId="31522" xr:uid="{00000000-0005-0000-0000-00007C770000}"/>
    <cellStyle name="Note 2 2 3 2 5" xfId="29028" xr:uid="{00000000-0005-0000-0000-00007D770000}"/>
    <cellStyle name="Note 2 2 3 2 5 2" xfId="30937" xr:uid="{00000000-0005-0000-0000-00007E770000}"/>
    <cellStyle name="Note 2 2 3 2 5 2 2" xfId="8278" xr:uid="{00000000-0005-0000-0000-00007F770000}"/>
    <cellStyle name="Note 2 2 3 2 5 2 2 2" xfId="29523" xr:uid="{00000000-0005-0000-0000-000080770000}"/>
    <cellStyle name="Note 2 2 3 2 5 2 3" xfId="22240" xr:uid="{00000000-0005-0000-0000-000081770000}"/>
    <cellStyle name="Note 2 2 3 2 5 3" xfId="31642" xr:uid="{00000000-0005-0000-0000-000082770000}"/>
    <cellStyle name="Note 2 2 3 2 5 3 2" xfId="26223" xr:uid="{00000000-0005-0000-0000-000083770000}"/>
    <cellStyle name="Note 2 2 3 2 5 4" xfId="31525" xr:uid="{00000000-0005-0000-0000-000084770000}"/>
    <cellStyle name="Note 2 2 3 2 6" xfId="12878" xr:uid="{00000000-0005-0000-0000-000085770000}"/>
    <cellStyle name="Note 2 2 3 2 6 2" xfId="6841" xr:uid="{00000000-0005-0000-0000-000086770000}"/>
    <cellStyle name="Note 2 2 3 2 6 2 2" xfId="26245" xr:uid="{00000000-0005-0000-0000-000087770000}"/>
    <cellStyle name="Note 2 2 3 2 6 3" xfId="15305" xr:uid="{00000000-0005-0000-0000-000088770000}"/>
    <cellStyle name="Note 2 2 3 2 7" xfId="20759" xr:uid="{00000000-0005-0000-0000-000089770000}"/>
    <cellStyle name="Note 2 2 3 2 7 2" xfId="18763" xr:uid="{00000000-0005-0000-0000-00008A770000}"/>
    <cellStyle name="Note 2 2 3 2 8" xfId="781" xr:uid="{00000000-0005-0000-0000-00008B770000}"/>
    <cellStyle name="Note 2 2 3 3" xfId="29192" xr:uid="{00000000-0005-0000-0000-00008C770000}"/>
    <cellStyle name="Note 2 2 3 3 2" xfId="31536" xr:uid="{00000000-0005-0000-0000-00008D770000}"/>
    <cellStyle name="Note 2 2 3 3 2 2" xfId="22010" xr:uid="{00000000-0005-0000-0000-00008E770000}"/>
    <cellStyle name="Note 2 2 3 3 2 2 2" xfId="24024" xr:uid="{00000000-0005-0000-0000-00008F770000}"/>
    <cellStyle name="Note 2 2 3 3 2 2 2 2" xfId="31538" xr:uid="{00000000-0005-0000-0000-000090770000}"/>
    <cellStyle name="Note 2 2 3 3 2 2 2 2 2" xfId="32266" xr:uid="{00000000-0005-0000-0000-000091770000}"/>
    <cellStyle name="Note 2 2 3 3 2 2 2 2 2 2" xfId="21187" xr:uid="{00000000-0005-0000-0000-000092770000}"/>
    <cellStyle name="Note 2 2 3 3 2 2 2 2 3" xfId="31544" xr:uid="{00000000-0005-0000-0000-000093770000}"/>
    <cellStyle name="Note 2 2 3 3 2 2 2 3" xfId="24872" xr:uid="{00000000-0005-0000-0000-000094770000}"/>
    <cellStyle name="Note 2 2 3 3 2 2 2 3 2" xfId="13722" xr:uid="{00000000-0005-0000-0000-000095770000}"/>
    <cellStyle name="Note 2 2 3 3 2 2 2 4" xfId="30743" xr:uid="{00000000-0005-0000-0000-000096770000}"/>
    <cellStyle name="Note 2 2 3 3 2 2 3" xfId="21918" xr:uid="{00000000-0005-0000-0000-000097770000}"/>
    <cellStyle name="Note 2 2 3 3 2 2 3 2" xfId="31686" xr:uid="{00000000-0005-0000-0000-000098770000}"/>
    <cellStyle name="Note 2 2 3 3 2 2 3 2 2" xfId="26342" xr:uid="{00000000-0005-0000-0000-000099770000}"/>
    <cellStyle name="Note 2 2 3 3 2 2 3 3" xfId="27964" xr:uid="{00000000-0005-0000-0000-00009A770000}"/>
    <cellStyle name="Note 2 2 3 3 2 2 4" xfId="28731" xr:uid="{00000000-0005-0000-0000-00009B770000}"/>
    <cellStyle name="Note 2 2 3 3 2 2 4 2" xfId="33314" xr:uid="{00000000-0005-0000-0000-00009C770000}"/>
    <cellStyle name="Note 2 2 3 3 2 2 5" xfId="31546" xr:uid="{00000000-0005-0000-0000-00009D770000}"/>
    <cellStyle name="Note 2 2 3 3 2 3" xfId="30832" xr:uid="{00000000-0005-0000-0000-00009E770000}"/>
    <cellStyle name="Note 2 2 3 3 2 3 2" xfId="31550" xr:uid="{00000000-0005-0000-0000-00009F770000}"/>
    <cellStyle name="Note 2 2 3 3 2 3 2 2" xfId="33836" xr:uid="{00000000-0005-0000-0000-0000A0770000}"/>
    <cellStyle name="Note 2 2 3 3 2 3 2 2 2" xfId="30713" xr:uid="{00000000-0005-0000-0000-0000A1770000}"/>
    <cellStyle name="Note 2 2 3 3 2 3 2 3" xfId="28644" xr:uid="{00000000-0005-0000-0000-0000A2770000}"/>
    <cellStyle name="Note 2 2 3 3 2 3 3" xfId="27923" xr:uid="{00000000-0005-0000-0000-0000A3770000}"/>
    <cellStyle name="Note 2 2 3 3 2 3 3 2" xfId="31289" xr:uid="{00000000-0005-0000-0000-0000A4770000}"/>
    <cellStyle name="Note 2 2 3 3 2 3 4" xfId="29874" xr:uid="{00000000-0005-0000-0000-0000A5770000}"/>
    <cellStyle name="Note 2 2 3 3 2 4" xfId="3805" xr:uid="{00000000-0005-0000-0000-0000A6770000}"/>
    <cellStyle name="Note 2 2 3 3 2 4 2" xfId="4305" xr:uid="{00000000-0005-0000-0000-0000A7770000}"/>
    <cellStyle name="Note 2 2 3 3 2 4 2 2" xfId="11785" xr:uid="{00000000-0005-0000-0000-0000A8770000}"/>
    <cellStyle name="Note 2 2 3 3 2 4 3" xfId="10859" xr:uid="{00000000-0005-0000-0000-0000A9770000}"/>
    <cellStyle name="Note 2 2 3 3 2 5" xfId="3628" xr:uid="{00000000-0005-0000-0000-0000AA770000}"/>
    <cellStyle name="Note 2 2 3 3 2 5 2" xfId="6484" xr:uid="{00000000-0005-0000-0000-0000AB770000}"/>
    <cellStyle name="Note 2 2 3 3 2 6" xfId="31942" xr:uid="{00000000-0005-0000-0000-0000AC770000}"/>
    <cellStyle name="Note 2 2 3 3 3" xfId="31561" xr:uid="{00000000-0005-0000-0000-0000AD770000}"/>
    <cellStyle name="Note 2 2 3 3 3 2" xfId="31729" xr:uid="{00000000-0005-0000-0000-0000AE770000}"/>
    <cellStyle name="Note 2 2 3 3 3 2 2" xfId="31562" xr:uid="{00000000-0005-0000-0000-0000AF770000}"/>
    <cellStyle name="Note 2 2 3 3 3 2 2 2" xfId="30474" xr:uid="{00000000-0005-0000-0000-0000B0770000}"/>
    <cellStyle name="Note 2 2 3 3 3 2 2 2 2" xfId="30157" xr:uid="{00000000-0005-0000-0000-0000B1770000}"/>
    <cellStyle name="Note 2 2 3 3 3 2 2 3" xfId="23830" xr:uid="{00000000-0005-0000-0000-0000B2770000}"/>
    <cellStyle name="Note 2 2 3 3 3 2 3" xfId="31733" xr:uid="{00000000-0005-0000-0000-0000B3770000}"/>
    <cellStyle name="Note 2 2 3 3 3 2 3 2" xfId="31567" xr:uid="{00000000-0005-0000-0000-0000B4770000}"/>
    <cellStyle name="Note 2 2 3 3 3 2 4" xfId="29895" xr:uid="{00000000-0005-0000-0000-0000B5770000}"/>
    <cellStyle name="Note 2 2 3 3 3 3" xfId="30840" xr:uid="{00000000-0005-0000-0000-0000B6770000}"/>
    <cellStyle name="Note 2 2 3 3 3 3 2" xfId="31740" xr:uid="{00000000-0005-0000-0000-0000B7770000}"/>
    <cellStyle name="Note 2 2 3 3 3 3 2 2" xfId="30182" xr:uid="{00000000-0005-0000-0000-0000B8770000}"/>
    <cellStyle name="Note 2 2 3 3 3 3 3" xfId="31572" xr:uid="{00000000-0005-0000-0000-0000B9770000}"/>
    <cellStyle name="Note 2 2 3 3 3 4" xfId="18300" xr:uid="{00000000-0005-0000-0000-0000BA770000}"/>
    <cellStyle name="Note 2 2 3 3 3 4 2" xfId="4957" xr:uid="{00000000-0005-0000-0000-0000BB770000}"/>
    <cellStyle name="Note 2 2 3 3 3 5" xfId="30196" xr:uid="{00000000-0005-0000-0000-0000BC770000}"/>
    <cellStyle name="Note 2 2 3 3 4" xfId="31581" xr:uid="{00000000-0005-0000-0000-0000BD770000}"/>
    <cellStyle name="Note 2 2 3 3 4 2" xfId="32591" xr:uid="{00000000-0005-0000-0000-0000BE770000}"/>
    <cellStyle name="Note 2 2 3 3 4 2 2" xfId="27541" xr:uid="{00000000-0005-0000-0000-0000BF770000}"/>
    <cellStyle name="Note 2 2 3 3 4 2 2 2" xfId="28451" xr:uid="{00000000-0005-0000-0000-0000C0770000}"/>
    <cellStyle name="Note 2 2 3 3 4 2 3" xfId="21339" xr:uid="{00000000-0005-0000-0000-0000C1770000}"/>
    <cellStyle name="Note 2 2 3 3 4 3" xfId="31755" xr:uid="{00000000-0005-0000-0000-0000C2770000}"/>
    <cellStyle name="Note 2 2 3 3 4 3 2" xfId="31588" xr:uid="{00000000-0005-0000-0000-0000C3770000}"/>
    <cellStyle name="Note 2 2 3 3 4 4" xfId="31591" xr:uid="{00000000-0005-0000-0000-0000C4770000}"/>
    <cellStyle name="Note 2 2 3 3 5" xfId="30790" xr:uid="{00000000-0005-0000-0000-0000C5770000}"/>
    <cellStyle name="Note 2 2 3 3 5 2" xfId="29496" xr:uid="{00000000-0005-0000-0000-0000C6770000}"/>
    <cellStyle name="Note 2 2 3 3 5 2 2" xfId="30824" xr:uid="{00000000-0005-0000-0000-0000C7770000}"/>
    <cellStyle name="Note 2 2 3 3 5 3" xfId="31598" xr:uid="{00000000-0005-0000-0000-0000C8770000}"/>
    <cellStyle name="Note 2 2 3 3 6" xfId="20778" xr:uid="{00000000-0005-0000-0000-0000C9770000}"/>
    <cellStyle name="Note 2 2 3 3 6 2" xfId="15956" xr:uid="{00000000-0005-0000-0000-0000CA770000}"/>
    <cellStyle name="Note 2 2 3 3 7" xfId="20788" xr:uid="{00000000-0005-0000-0000-0000CB770000}"/>
    <cellStyle name="Note 2 2 3 4" xfId="9956" xr:uid="{00000000-0005-0000-0000-0000CC770000}"/>
    <cellStyle name="Note 2 2 3 4 2" xfId="6035" xr:uid="{00000000-0005-0000-0000-0000CD770000}"/>
    <cellStyle name="Note 2 2 3 4 2 2" xfId="31600" xr:uid="{00000000-0005-0000-0000-0000CE770000}"/>
    <cellStyle name="Note 2 2 3 4 2 2 2" xfId="31603" xr:uid="{00000000-0005-0000-0000-0000CF770000}"/>
    <cellStyle name="Note 2 2 3 4 2 2 2 2" xfId="20657" xr:uid="{00000000-0005-0000-0000-0000D0770000}"/>
    <cellStyle name="Note 2 2 3 4 2 2 2 2 2" xfId="24437" xr:uid="{00000000-0005-0000-0000-0000D1770000}"/>
    <cellStyle name="Note 2 2 3 4 2 2 2 3" xfId="31605" xr:uid="{00000000-0005-0000-0000-0000D2770000}"/>
    <cellStyle name="Note 2 2 3 4 2 2 3" xfId="31781" xr:uid="{00000000-0005-0000-0000-0000D3770000}"/>
    <cellStyle name="Note 2 2 3 4 2 2 3 2" xfId="31609" xr:uid="{00000000-0005-0000-0000-0000D4770000}"/>
    <cellStyle name="Note 2 2 3 4 2 2 4" xfId="31402" xr:uid="{00000000-0005-0000-0000-0000D5770000}"/>
    <cellStyle name="Note 2 2 3 4 2 3" xfId="30863" xr:uid="{00000000-0005-0000-0000-0000D6770000}"/>
    <cellStyle name="Note 2 2 3 4 2 3 2" xfId="33505" xr:uid="{00000000-0005-0000-0000-0000D7770000}"/>
    <cellStyle name="Note 2 2 3 4 2 3 2 2" xfId="30051" xr:uid="{00000000-0005-0000-0000-0000D8770000}"/>
    <cellStyle name="Note 2 2 3 4 2 3 3" xfId="31618" xr:uid="{00000000-0005-0000-0000-0000D9770000}"/>
    <cellStyle name="Note 2 2 3 4 2 4" xfId="3821" xr:uid="{00000000-0005-0000-0000-0000DA770000}"/>
    <cellStyle name="Note 2 2 3 4 2 4 2" xfId="12254" xr:uid="{00000000-0005-0000-0000-0000DB770000}"/>
    <cellStyle name="Note 2 2 3 4 2 5" xfId="30063" xr:uid="{00000000-0005-0000-0000-0000DC770000}"/>
    <cellStyle name="Note 2 2 3 4 3" xfId="33975" xr:uid="{00000000-0005-0000-0000-0000DD770000}"/>
    <cellStyle name="Note 2 2 3 4 3 2" xfId="2348" xr:uid="{00000000-0005-0000-0000-0000DE770000}"/>
    <cellStyle name="Note 2 2 3 4 3 2 2" xfId="33882" xr:uid="{00000000-0005-0000-0000-0000DF770000}"/>
    <cellStyle name="Note 2 2 3 4 3 2 2 2" xfId="11094" xr:uid="{00000000-0005-0000-0000-0000E0770000}"/>
    <cellStyle name="Note 2 2 3 4 3 2 3" xfId="31623" xr:uid="{00000000-0005-0000-0000-0000E1770000}"/>
    <cellStyle name="Note 2 2 3 4 3 3" xfId="31852" xr:uid="{00000000-0005-0000-0000-0000E2770000}"/>
    <cellStyle name="Note 2 2 3 4 3 3 2" xfId="30209" xr:uid="{00000000-0005-0000-0000-0000E3770000}"/>
    <cellStyle name="Note 2 2 3 4 3 4" xfId="31871" xr:uid="{00000000-0005-0000-0000-0000E4770000}"/>
    <cellStyle name="Note 2 2 3 4 4" xfId="33872" xr:uid="{00000000-0005-0000-0000-0000E5770000}"/>
    <cellStyle name="Note 2 2 3 4 4 2" xfId="28091" xr:uid="{00000000-0005-0000-0000-0000E6770000}"/>
    <cellStyle name="Note 2 2 3 4 4 2 2" xfId="31648" xr:uid="{00000000-0005-0000-0000-0000E7770000}"/>
    <cellStyle name="Note 2 2 3 4 4 3" xfId="23961" xr:uid="{00000000-0005-0000-0000-0000E8770000}"/>
    <cellStyle name="Note 2 2 3 4 5" xfId="4704" xr:uid="{00000000-0005-0000-0000-0000E9770000}"/>
    <cellStyle name="Note 2 2 3 4 5 2" xfId="28109" xr:uid="{00000000-0005-0000-0000-0000EA770000}"/>
    <cellStyle name="Note 2 2 3 4 6" xfId="20805" xr:uid="{00000000-0005-0000-0000-0000EB770000}"/>
    <cellStyle name="Note 2 2 3 5" xfId="3745" xr:uid="{00000000-0005-0000-0000-0000EC770000}"/>
    <cellStyle name="Note 2 2 3 5 2" xfId="31629" xr:uid="{00000000-0005-0000-0000-0000ED770000}"/>
    <cellStyle name="Note 2 2 3 5 2 2" xfId="31631" xr:uid="{00000000-0005-0000-0000-0000EE770000}"/>
    <cellStyle name="Note 2 2 3 5 2 2 2" xfId="31823" xr:uid="{00000000-0005-0000-0000-0000EF770000}"/>
    <cellStyle name="Note 2 2 3 5 2 2 2 2" xfId="560" xr:uid="{00000000-0005-0000-0000-0000F0770000}"/>
    <cellStyle name="Note 2 2 3 5 2 2 3" xfId="31633" xr:uid="{00000000-0005-0000-0000-0000F1770000}"/>
    <cellStyle name="Note 2 2 3 5 2 3" xfId="26782" xr:uid="{00000000-0005-0000-0000-0000F2770000}"/>
    <cellStyle name="Note 2 2 3 5 2 3 2" xfId="31635" xr:uid="{00000000-0005-0000-0000-0000F3770000}"/>
    <cellStyle name="Note 2 2 3 5 2 4" xfId="33384" xr:uid="{00000000-0005-0000-0000-0000F4770000}"/>
    <cellStyle name="Note 2 2 3 5 3" xfId="33797" xr:uid="{00000000-0005-0000-0000-0000F5770000}"/>
    <cellStyle name="Note 2 2 3 5 3 2" xfId="33227" xr:uid="{00000000-0005-0000-0000-0000F6770000}"/>
    <cellStyle name="Note 2 2 3 5 3 2 2" xfId="33770" xr:uid="{00000000-0005-0000-0000-0000F7770000}"/>
    <cellStyle name="Note 2 2 3 5 3 3" xfId="31779" xr:uid="{00000000-0005-0000-0000-0000F8770000}"/>
    <cellStyle name="Note 2 2 3 5 4" xfId="23731" xr:uid="{00000000-0005-0000-0000-0000F9770000}"/>
    <cellStyle name="Note 2 2 3 5 4 2" xfId="31638" xr:uid="{00000000-0005-0000-0000-0000FA770000}"/>
    <cellStyle name="Note 2 2 3 5 5" xfId="28120" xr:uid="{00000000-0005-0000-0000-0000FB770000}"/>
    <cellStyle name="Note 2 2 3 6" xfId="22244" xr:uid="{00000000-0005-0000-0000-0000FC770000}"/>
    <cellStyle name="Note 2 2 3 6 2" xfId="23767" xr:uid="{00000000-0005-0000-0000-0000FD770000}"/>
    <cellStyle name="Note 2 2 3 6 2 2" xfId="32581" xr:uid="{00000000-0005-0000-0000-0000FE770000}"/>
    <cellStyle name="Note 2 2 3 6 2 2 2" xfId="30948" xr:uid="{00000000-0005-0000-0000-0000FF770000}"/>
    <cellStyle name="Note 2 2 3 6 2 3" xfId="29700" xr:uid="{00000000-0005-0000-0000-000000780000}"/>
    <cellStyle name="Note 2 2 3 6 3" xfId="25607" xr:uid="{00000000-0005-0000-0000-000001780000}"/>
    <cellStyle name="Note 2 2 3 6 3 2" xfId="33440" xr:uid="{00000000-0005-0000-0000-000002780000}"/>
    <cellStyle name="Note 2 2 3 6 4" xfId="30174" xr:uid="{00000000-0005-0000-0000-000003780000}"/>
    <cellStyle name="Note 2 2 3 7" xfId="22255" xr:uid="{00000000-0005-0000-0000-000004780000}"/>
    <cellStyle name="Note 2 2 3 7 2" xfId="33858" xr:uid="{00000000-0005-0000-0000-000005780000}"/>
    <cellStyle name="Note 2 2 3 7 2 2" xfId="29506" xr:uid="{00000000-0005-0000-0000-000006780000}"/>
    <cellStyle name="Note 2 2 3 7 3" xfId="31651" xr:uid="{00000000-0005-0000-0000-000007780000}"/>
    <cellStyle name="Note 2 2 3 8" xfId="9449" xr:uid="{00000000-0005-0000-0000-000008780000}"/>
    <cellStyle name="Note 2 2 3 8 2" xfId="33470" xr:uid="{00000000-0005-0000-0000-000009780000}"/>
    <cellStyle name="Note 2 2 3 9" xfId="28056" xr:uid="{00000000-0005-0000-0000-00000A780000}"/>
    <cellStyle name="Note 2 2 4" xfId="12887" xr:uid="{00000000-0005-0000-0000-00000B780000}"/>
    <cellStyle name="Note 2 2 4 2" xfId="13735" xr:uid="{00000000-0005-0000-0000-00000C780000}"/>
    <cellStyle name="Note 2 2 4 2 2" xfId="31659" xr:uid="{00000000-0005-0000-0000-00000D780000}"/>
    <cellStyle name="Note 2 2 4 2 2 2" xfId="19199" xr:uid="{00000000-0005-0000-0000-00000E780000}"/>
    <cellStyle name="Note 2 2 4 2 2 2 2" xfId="32840" xr:uid="{00000000-0005-0000-0000-00000F780000}"/>
    <cellStyle name="Note 2 2 4 2 2 2 2 2" xfId="29907" xr:uid="{00000000-0005-0000-0000-000010780000}"/>
    <cellStyle name="Note 2 2 4 2 2 2 2 2 2" xfId="29908" xr:uid="{00000000-0005-0000-0000-000011780000}"/>
    <cellStyle name="Note 2 2 4 2 2 2 2 2 2 2" xfId="28481" xr:uid="{00000000-0005-0000-0000-000012780000}"/>
    <cellStyle name="Note 2 2 4 2 2 2 2 2 3" xfId="31660" xr:uid="{00000000-0005-0000-0000-000013780000}"/>
    <cellStyle name="Note 2 2 4 2 2 2 2 3" xfId="23620" xr:uid="{00000000-0005-0000-0000-000014780000}"/>
    <cellStyle name="Note 2 2 4 2 2 2 2 3 2" xfId="27176" xr:uid="{00000000-0005-0000-0000-000015780000}"/>
    <cellStyle name="Note 2 2 4 2 2 2 2 4" xfId="29913" xr:uid="{00000000-0005-0000-0000-000016780000}"/>
    <cellStyle name="Note 2 2 4 2 2 2 3" xfId="32097" xr:uid="{00000000-0005-0000-0000-000017780000}"/>
    <cellStyle name="Note 2 2 4 2 2 2 3 2" xfId="33650" xr:uid="{00000000-0005-0000-0000-000018780000}"/>
    <cellStyle name="Note 2 2 4 2 2 2 3 2 2" xfId="26408" xr:uid="{00000000-0005-0000-0000-000019780000}"/>
    <cellStyle name="Note 2 2 4 2 2 2 3 3" xfId="31213" xr:uid="{00000000-0005-0000-0000-00001A780000}"/>
    <cellStyle name="Note 2 2 4 2 2 2 4" xfId="33930" xr:uid="{00000000-0005-0000-0000-00001B780000}"/>
    <cellStyle name="Note 2 2 4 2 2 2 4 2" xfId="31664" xr:uid="{00000000-0005-0000-0000-00001C780000}"/>
    <cellStyle name="Note 2 2 4 2 2 2 5" xfId="29987" xr:uid="{00000000-0005-0000-0000-00001D780000}"/>
    <cellStyle name="Note 2 2 4 2 2 3" xfId="32102" xr:uid="{00000000-0005-0000-0000-00001E780000}"/>
    <cellStyle name="Note 2 2 4 2 2 3 2" xfId="28584" xr:uid="{00000000-0005-0000-0000-00001F780000}"/>
    <cellStyle name="Note 2 2 4 2 2 3 2 2" xfId="31665" xr:uid="{00000000-0005-0000-0000-000020780000}"/>
    <cellStyle name="Note 2 2 4 2 2 3 2 2 2" xfId="25720" xr:uid="{00000000-0005-0000-0000-000021780000}"/>
    <cellStyle name="Note 2 2 4 2 2 3 2 3" xfId="29944" xr:uid="{00000000-0005-0000-0000-000022780000}"/>
    <cellStyle name="Note 2 2 4 2 2 3 3" xfId="29628" xr:uid="{00000000-0005-0000-0000-000023780000}"/>
    <cellStyle name="Note 2 2 4 2 2 3 3 2" xfId="31668" xr:uid="{00000000-0005-0000-0000-000024780000}"/>
    <cellStyle name="Note 2 2 4 2 2 3 4" xfId="31671" xr:uid="{00000000-0005-0000-0000-000025780000}"/>
    <cellStyle name="Note 2 2 4 2 2 4" xfId="4641" xr:uid="{00000000-0005-0000-0000-000026780000}"/>
    <cellStyle name="Note 2 2 4 2 2 4 2" xfId="9016" xr:uid="{00000000-0005-0000-0000-000027780000}"/>
    <cellStyle name="Note 2 2 4 2 2 4 2 2" xfId="28952" xr:uid="{00000000-0005-0000-0000-000028780000}"/>
    <cellStyle name="Note 2 2 4 2 2 4 3" xfId="31673" xr:uid="{00000000-0005-0000-0000-000029780000}"/>
    <cellStyle name="Note 2 2 4 2 2 5" xfId="4650" xr:uid="{00000000-0005-0000-0000-00002A780000}"/>
    <cellStyle name="Note 2 2 4 2 2 5 2" xfId="31674" xr:uid="{00000000-0005-0000-0000-00002B780000}"/>
    <cellStyle name="Note 2 2 4 2 2 6" xfId="31968" xr:uid="{00000000-0005-0000-0000-00002C780000}"/>
    <cellStyle name="Note 2 2 4 2 3" xfId="16956" xr:uid="{00000000-0005-0000-0000-00002D780000}"/>
    <cellStyle name="Note 2 2 4 2 3 2" xfId="31676" xr:uid="{00000000-0005-0000-0000-00002E780000}"/>
    <cellStyle name="Note 2 2 4 2 3 2 2" xfId="33765" xr:uid="{00000000-0005-0000-0000-00002F780000}"/>
    <cellStyle name="Note 2 2 4 2 3 2 2 2" xfId="31678" xr:uid="{00000000-0005-0000-0000-000030780000}"/>
    <cellStyle name="Note 2 2 4 2 3 2 2 2 2" xfId="28953" xr:uid="{00000000-0005-0000-0000-000031780000}"/>
    <cellStyle name="Note 2 2 4 2 3 2 2 3" xfId="24492" xr:uid="{00000000-0005-0000-0000-000032780000}"/>
    <cellStyle name="Note 2 2 4 2 3 2 3" xfId="31684" xr:uid="{00000000-0005-0000-0000-000033780000}"/>
    <cellStyle name="Note 2 2 4 2 3 2 3 2" xfId="31685" xr:uid="{00000000-0005-0000-0000-000034780000}"/>
    <cellStyle name="Note 2 2 4 2 3 2 4" xfId="22685" xr:uid="{00000000-0005-0000-0000-000035780000}"/>
    <cellStyle name="Note 2 2 4 2 3 3" xfId="31694" xr:uid="{00000000-0005-0000-0000-000036780000}"/>
    <cellStyle name="Note 2 2 4 2 3 3 2" xfId="31696" xr:uid="{00000000-0005-0000-0000-000037780000}"/>
    <cellStyle name="Note 2 2 4 2 3 3 2 2" xfId="31701" xr:uid="{00000000-0005-0000-0000-000038780000}"/>
    <cellStyle name="Note 2 2 4 2 3 3 3" xfId="31703" xr:uid="{00000000-0005-0000-0000-000039780000}"/>
    <cellStyle name="Note 2 2 4 2 3 4" xfId="18322" xr:uid="{00000000-0005-0000-0000-00003A780000}"/>
    <cellStyle name="Note 2 2 4 2 3 4 2" xfId="26148" xr:uid="{00000000-0005-0000-0000-00003B780000}"/>
    <cellStyle name="Note 2 2 4 2 3 5" xfId="28066" xr:uid="{00000000-0005-0000-0000-00003C780000}"/>
    <cellStyle name="Note 2 2 4 2 4" xfId="29698" xr:uid="{00000000-0005-0000-0000-00003D780000}"/>
    <cellStyle name="Note 2 2 4 2 4 2" xfId="5319" xr:uid="{00000000-0005-0000-0000-00003E780000}"/>
    <cellStyle name="Note 2 2 4 2 4 2 2" xfId="15087" xr:uid="{00000000-0005-0000-0000-00003F780000}"/>
    <cellStyle name="Note 2 2 4 2 4 2 2 2" xfId="32268" xr:uid="{00000000-0005-0000-0000-000040780000}"/>
    <cellStyle name="Note 2 2 4 2 4 2 3" xfId="15092" xr:uid="{00000000-0005-0000-0000-000041780000}"/>
    <cellStyle name="Note 2 2 4 2 4 3" xfId="5329" xr:uid="{00000000-0005-0000-0000-000042780000}"/>
    <cellStyle name="Note 2 2 4 2 4 3 2" xfId="6166" xr:uid="{00000000-0005-0000-0000-000043780000}"/>
    <cellStyle name="Note 2 2 4 2 4 4" xfId="28918" xr:uid="{00000000-0005-0000-0000-000044780000}"/>
    <cellStyle name="Note 2 2 4 2 5" xfId="29697" xr:uid="{00000000-0005-0000-0000-000045780000}"/>
    <cellStyle name="Note 2 2 4 2 5 2" xfId="5342" xr:uid="{00000000-0005-0000-0000-000046780000}"/>
    <cellStyle name="Note 2 2 4 2 5 2 2" xfId="26396" xr:uid="{00000000-0005-0000-0000-000047780000}"/>
    <cellStyle name="Note 2 2 4 2 5 3" xfId="30924" xr:uid="{00000000-0005-0000-0000-000048780000}"/>
    <cellStyle name="Note 2 2 4 2 6" xfId="20828" xr:uid="{00000000-0005-0000-0000-000049780000}"/>
    <cellStyle name="Note 2 2 4 2 6 2" xfId="17416" xr:uid="{00000000-0005-0000-0000-00004A780000}"/>
    <cellStyle name="Note 2 2 4 2 7" xfId="23804" xr:uid="{00000000-0005-0000-0000-00004B780000}"/>
    <cellStyle name="Note 2 2 4 3" xfId="17253" xr:uid="{00000000-0005-0000-0000-00004C780000}"/>
    <cellStyle name="Note 2 2 4 3 2" xfId="33799" xr:uid="{00000000-0005-0000-0000-00004D780000}"/>
    <cellStyle name="Note 2 2 4 3 2 2" xfId="22038" xr:uid="{00000000-0005-0000-0000-00004E780000}"/>
    <cellStyle name="Note 2 2 4 3 2 2 2" xfId="27581" xr:uid="{00000000-0005-0000-0000-00004F780000}"/>
    <cellStyle name="Note 2 2 4 3 2 2 2 2" xfId="17825" xr:uid="{00000000-0005-0000-0000-000050780000}"/>
    <cellStyle name="Note 2 2 4 3 2 2 2 2 2" xfId="17829" xr:uid="{00000000-0005-0000-0000-000051780000}"/>
    <cellStyle name="Note 2 2 4 3 2 2 2 3" xfId="17841" xr:uid="{00000000-0005-0000-0000-000052780000}"/>
    <cellStyle name="Note 2 2 4 3 2 2 3" xfId="26351" xr:uid="{00000000-0005-0000-0000-000053780000}"/>
    <cellStyle name="Note 2 2 4 3 2 2 3 2" xfId="17866" xr:uid="{00000000-0005-0000-0000-000054780000}"/>
    <cellStyle name="Note 2 2 4 3 2 2 4" xfId="31709" xr:uid="{00000000-0005-0000-0000-000055780000}"/>
    <cellStyle name="Note 2 2 4 3 2 3" xfId="22053" xr:uid="{00000000-0005-0000-0000-000056780000}"/>
    <cellStyle name="Note 2 2 4 3 2 3 2" xfId="24285" xr:uid="{00000000-0005-0000-0000-000057780000}"/>
    <cellStyle name="Note 2 2 4 3 2 3 2 2" xfId="18207" xr:uid="{00000000-0005-0000-0000-000058780000}"/>
    <cellStyle name="Note 2 2 4 3 2 3 3" xfId="28898" xr:uid="{00000000-0005-0000-0000-000059780000}"/>
    <cellStyle name="Note 2 2 4 3 2 4" xfId="3864" xr:uid="{00000000-0005-0000-0000-00005A780000}"/>
    <cellStyle name="Note 2 2 4 3 2 4 2" xfId="4293" xr:uid="{00000000-0005-0000-0000-00005B780000}"/>
    <cellStyle name="Note 2 2 4 3 2 5" xfId="23779" xr:uid="{00000000-0005-0000-0000-00005C780000}"/>
    <cellStyle name="Note 2 2 4 3 3" xfId="33097" xr:uid="{00000000-0005-0000-0000-00005D780000}"/>
    <cellStyle name="Note 2 2 4 3 3 2" xfId="22056" xr:uid="{00000000-0005-0000-0000-00005E780000}"/>
    <cellStyle name="Note 2 2 4 3 3 2 2" xfId="31720" xr:uid="{00000000-0005-0000-0000-00005F780000}"/>
    <cellStyle name="Note 2 2 4 3 3 2 2 2" xfId="19723" xr:uid="{00000000-0005-0000-0000-000060780000}"/>
    <cellStyle name="Note 2 2 4 3 3 2 3" xfId="32697" xr:uid="{00000000-0005-0000-0000-000061780000}"/>
    <cellStyle name="Note 2 2 4 3 3 3" xfId="31724" xr:uid="{00000000-0005-0000-0000-000062780000}"/>
    <cellStyle name="Note 2 2 4 3 3 3 2" xfId="32713" xr:uid="{00000000-0005-0000-0000-000063780000}"/>
    <cellStyle name="Note 2 2 4 3 3 4" xfId="27204" xr:uid="{00000000-0005-0000-0000-000064780000}"/>
    <cellStyle name="Note 2 2 4 3 4" xfId="31731" xr:uid="{00000000-0005-0000-0000-000065780000}"/>
    <cellStyle name="Note 2 2 4 3 4 2" xfId="5451" xr:uid="{00000000-0005-0000-0000-000066780000}"/>
    <cellStyle name="Note 2 2 4 3 4 2 2" xfId="15109" xr:uid="{00000000-0005-0000-0000-000067780000}"/>
    <cellStyle name="Note 2 2 4 3 4 3" xfId="31737" xr:uid="{00000000-0005-0000-0000-000068780000}"/>
    <cellStyle name="Note 2 2 4 3 5" xfId="20111" xr:uid="{00000000-0005-0000-0000-000069780000}"/>
    <cellStyle name="Note 2 2 4 3 5 2" xfId="31741" xr:uid="{00000000-0005-0000-0000-00006A780000}"/>
    <cellStyle name="Note 2 2 4 3 6" xfId="15068" xr:uid="{00000000-0005-0000-0000-00006B780000}"/>
    <cellStyle name="Note 2 2 4 4" xfId="15027" xr:uid="{00000000-0005-0000-0000-00006C780000}"/>
    <cellStyle name="Note 2 2 4 4 2" xfId="31126" xr:uid="{00000000-0005-0000-0000-00006D780000}"/>
    <cellStyle name="Note 2 2 4 4 2 2" xfId="22158" xr:uid="{00000000-0005-0000-0000-00006E780000}"/>
    <cellStyle name="Note 2 2 4 4 2 2 2" xfId="15" xr:uid="{00000000-0005-0000-0000-00006F780000}"/>
    <cellStyle name="Note 2 2 4 4 2 2 2 2" xfId="33234" xr:uid="{00000000-0005-0000-0000-000070780000}"/>
    <cellStyle name="Note 2 2 4 4 2 2 3" xfId="31747" xr:uid="{00000000-0005-0000-0000-000071780000}"/>
    <cellStyle name="Note 2 2 4 4 2 3" xfId="32372" xr:uid="{00000000-0005-0000-0000-000072780000}"/>
    <cellStyle name="Note 2 2 4 4 2 3 2" xfId="31783" xr:uid="{00000000-0005-0000-0000-000073780000}"/>
    <cellStyle name="Note 2 2 4 4 2 4" xfId="26267" xr:uid="{00000000-0005-0000-0000-000074780000}"/>
    <cellStyle name="Note 2 2 4 4 3" xfId="33982" xr:uid="{00000000-0005-0000-0000-000075780000}"/>
    <cellStyle name="Note 2 2 4 4 3 2" xfId="33934" xr:uid="{00000000-0005-0000-0000-000076780000}"/>
    <cellStyle name="Note 2 2 4 4 3 2 2" xfId="32864" xr:uid="{00000000-0005-0000-0000-000077780000}"/>
    <cellStyle name="Note 2 2 4 4 3 3" xfId="31801" xr:uid="{00000000-0005-0000-0000-000078780000}"/>
    <cellStyle name="Note 2 2 4 4 4" xfId="23135" xr:uid="{00000000-0005-0000-0000-000079780000}"/>
    <cellStyle name="Note 2 2 4 4 4 2" xfId="28136" xr:uid="{00000000-0005-0000-0000-00007A780000}"/>
    <cellStyle name="Note 2 2 4 4 5" xfId="28143" xr:uid="{00000000-0005-0000-0000-00007B780000}"/>
    <cellStyle name="Note 2 2 4 5" xfId="26222" xr:uid="{00000000-0005-0000-0000-00007C780000}"/>
    <cellStyle name="Note 2 2 4 5 2" xfId="31758" xr:uid="{00000000-0005-0000-0000-00007D780000}"/>
    <cellStyle name="Note 2 2 4 5 2 2" xfId="34022" xr:uid="{00000000-0005-0000-0000-00007E780000}"/>
    <cellStyle name="Note 2 2 4 5 2 2 2" xfId="31763" xr:uid="{00000000-0005-0000-0000-00007F780000}"/>
    <cellStyle name="Note 2 2 4 5 2 3" xfId="31900" xr:uid="{00000000-0005-0000-0000-000080780000}"/>
    <cellStyle name="Note 2 2 4 5 3" xfId="31765" xr:uid="{00000000-0005-0000-0000-000081780000}"/>
    <cellStyle name="Note 2 2 4 5 3 2" xfId="31767" xr:uid="{00000000-0005-0000-0000-000082780000}"/>
    <cellStyle name="Note 2 2 4 5 4" xfId="30202" xr:uid="{00000000-0005-0000-0000-000083780000}"/>
    <cellStyle name="Note 2 2 4 6" xfId="31167" xr:uid="{00000000-0005-0000-0000-000084780000}"/>
    <cellStyle name="Note 2 2 4 6 2" xfId="31772" xr:uid="{00000000-0005-0000-0000-000085780000}"/>
    <cellStyle name="Note 2 2 4 6 2 2" xfId="31775" xr:uid="{00000000-0005-0000-0000-000086780000}"/>
    <cellStyle name="Note 2 2 4 6 3" xfId="31776" xr:uid="{00000000-0005-0000-0000-000087780000}"/>
    <cellStyle name="Note 2 2 4 7" xfId="22263" xr:uid="{00000000-0005-0000-0000-000088780000}"/>
    <cellStyle name="Note 2 2 4 7 2" xfId="31778" xr:uid="{00000000-0005-0000-0000-000089780000}"/>
    <cellStyle name="Note 2 2 4 8" xfId="31221" xr:uid="{00000000-0005-0000-0000-00008A780000}"/>
    <cellStyle name="Note 2 2 5" xfId="6495" xr:uid="{00000000-0005-0000-0000-00008B780000}"/>
    <cellStyle name="Note 2 2 5 2" xfId="29362" xr:uid="{00000000-0005-0000-0000-00008C780000}"/>
    <cellStyle name="Note 2 2 5 2 2" xfId="29367" xr:uid="{00000000-0005-0000-0000-00008D780000}"/>
    <cellStyle name="Note 2 2 5 2 2 2" xfId="25032" xr:uid="{00000000-0005-0000-0000-00008E780000}"/>
    <cellStyle name="Note 2 2 5 2 2 2 2" xfId="32550" xr:uid="{00000000-0005-0000-0000-00008F780000}"/>
    <cellStyle name="Note 2 2 5 2 2 2 2 2" xfId="33502" xr:uid="{00000000-0005-0000-0000-000090780000}"/>
    <cellStyle name="Note 2 2 5 2 2 2 2 2 2" xfId="26090" xr:uid="{00000000-0005-0000-0000-000091780000}"/>
    <cellStyle name="Note 2 2 5 2 2 2 2 3" xfId="27599" xr:uid="{00000000-0005-0000-0000-000092780000}"/>
    <cellStyle name="Note 2 2 5 2 2 2 3" xfId="32276" xr:uid="{00000000-0005-0000-0000-000093780000}"/>
    <cellStyle name="Note 2 2 5 2 2 2 3 2" xfId="2294" xr:uid="{00000000-0005-0000-0000-000094780000}"/>
    <cellStyle name="Note 2 2 5 2 2 2 4" xfId="31860" xr:uid="{00000000-0005-0000-0000-000095780000}"/>
    <cellStyle name="Note 2 2 5 2 2 3" xfId="32335" xr:uid="{00000000-0005-0000-0000-000096780000}"/>
    <cellStyle name="Note 2 2 5 2 2 3 2" xfId="31850" xr:uid="{00000000-0005-0000-0000-000097780000}"/>
    <cellStyle name="Note 2 2 5 2 2 3 2 2" xfId="31856" xr:uid="{00000000-0005-0000-0000-000098780000}"/>
    <cellStyle name="Note 2 2 5 2 2 3 3" xfId="31870" xr:uid="{00000000-0005-0000-0000-000099780000}"/>
    <cellStyle name="Note 2 2 5 2 2 4" xfId="4917" xr:uid="{00000000-0005-0000-0000-00009A780000}"/>
    <cellStyle name="Note 2 2 5 2 2 4 2" xfId="31876" xr:uid="{00000000-0005-0000-0000-00009B780000}"/>
    <cellStyle name="Note 2 2 5 2 2 5" xfId="32164" xr:uid="{00000000-0005-0000-0000-00009C780000}"/>
    <cellStyle name="Note 2 2 5 2 3" xfId="14542" xr:uid="{00000000-0005-0000-0000-00009D780000}"/>
    <cellStyle name="Note 2 2 5 2 3 2" xfId="32339" xr:uid="{00000000-0005-0000-0000-00009E780000}"/>
    <cellStyle name="Note 2 2 5 2 3 2 2" xfId="32193" xr:uid="{00000000-0005-0000-0000-00009F780000}"/>
    <cellStyle name="Note 2 2 5 2 3 2 2 2" xfId="31634" xr:uid="{00000000-0005-0000-0000-0000A0780000}"/>
    <cellStyle name="Note 2 2 5 2 3 2 3" xfId="33385" xr:uid="{00000000-0005-0000-0000-0000A1780000}"/>
    <cellStyle name="Note 2 2 5 2 3 3" xfId="32341" xr:uid="{00000000-0005-0000-0000-0000A2780000}"/>
    <cellStyle name="Note 2 2 5 2 3 3 2" xfId="31780" xr:uid="{00000000-0005-0000-0000-0000A3780000}"/>
    <cellStyle name="Note 2 2 5 2 3 4" xfId="33703" xr:uid="{00000000-0005-0000-0000-0000A4780000}"/>
    <cellStyle name="Note 2 2 5 2 4" xfId="14875" xr:uid="{00000000-0005-0000-0000-0000A5780000}"/>
    <cellStyle name="Note 2 2 5 2 4 2" xfId="5675" xr:uid="{00000000-0005-0000-0000-0000A6780000}"/>
    <cellStyle name="Note 2 2 5 2 4 2 2" xfId="9989" xr:uid="{00000000-0005-0000-0000-0000A7780000}"/>
    <cellStyle name="Note 2 2 5 2 4 3" xfId="31782" xr:uid="{00000000-0005-0000-0000-0000A8780000}"/>
    <cellStyle name="Note 2 2 5 2 5" xfId="11724" xr:uid="{00000000-0005-0000-0000-0000A9780000}"/>
    <cellStyle name="Note 2 2 5 2 5 2" xfId="32194" xr:uid="{00000000-0005-0000-0000-0000AA780000}"/>
    <cellStyle name="Note 2 2 5 2 6" xfId="20861" xr:uid="{00000000-0005-0000-0000-0000AB780000}"/>
    <cellStyle name="Note 2 2 5 3" xfId="29198" xr:uid="{00000000-0005-0000-0000-0000AC780000}"/>
    <cellStyle name="Note 2 2 5 3 2" xfId="29371" xr:uid="{00000000-0005-0000-0000-0000AD780000}"/>
    <cellStyle name="Note 2 2 5 3 2 2" xfId="22353" xr:uid="{00000000-0005-0000-0000-0000AE780000}"/>
    <cellStyle name="Note 2 2 5 3 2 2 2" xfId="32373" xr:uid="{00000000-0005-0000-0000-0000AF780000}"/>
    <cellStyle name="Note 2 2 5 3 2 2 2 2" xfId="31784" xr:uid="{00000000-0005-0000-0000-0000B0780000}"/>
    <cellStyle name="Note 2 2 5 3 2 2 3" xfId="31791" xr:uid="{00000000-0005-0000-0000-0000B1780000}"/>
    <cellStyle name="Note 2 2 5 3 2 3" xfId="32448" xr:uid="{00000000-0005-0000-0000-0000B2780000}"/>
    <cellStyle name="Note 2 2 5 3 2 3 2" xfId="31804" xr:uid="{00000000-0005-0000-0000-0000B3780000}"/>
    <cellStyle name="Note 2 2 5 3 2 4" xfId="31807" xr:uid="{00000000-0005-0000-0000-0000B4780000}"/>
    <cellStyle name="Note 2 2 5 3 3" xfId="3154" xr:uid="{00000000-0005-0000-0000-0000B5780000}"/>
    <cellStyle name="Note 2 2 5 3 3 2" xfId="32383" xr:uid="{00000000-0005-0000-0000-0000B6780000}"/>
    <cellStyle name="Note 2 2 5 3 3 2 2" xfId="31901" xr:uid="{00000000-0005-0000-0000-0000B7780000}"/>
    <cellStyle name="Note 2 2 5 3 3 3" xfId="31808" xr:uid="{00000000-0005-0000-0000-0000B8780000}"/>
    <cellStyle name="Note 2 2 5 3 4" xfId="7779" xr:uid="{00000000-0005-0000-0000-0000B9780000}"/>
    <cellStyle name="Note 2 2 5 3 4 2" xfId="33748" xr:uid="{00000000-0005-0000-0000-0000BA780000}"/>
    <cellStyle name="Note 2 2 5 3 5" xfId="27384" xr:uid="{00000000-0005-0000-0000-0000BB780000}"/>
    <cellStyle name="Note 2 2 5 4" xfId="29839" xr:uid="{00000000-0005-0000-0000-0000BC780000}"/>
    <cellStyle name="Note 2 2 5 4 2" xfId="29977" xr:uid="{00000000-0005-0000-0000-0000BD780000}"/>
    <cellStyle name="Note 2 2 5 4 2 2" xfId="33895" xr:uid="{00000000-0005-0000-0000-0000BE780000}"/>
    <cellStyle name="Note 2 2 5 4 2 2 2" xfId="32043" xr:uid="{00000000-0005-0000-0000-0000BF780000}"/>
    <cellStyle name="Note 2 2 5 4 2 3" xfId="31327" xr:uid="{00000000-0005-0000-0000-0000C0780000}"/>
    <cellStyle name="Note 2 2 5 4 3" xfId="2906" xr:uid="{00000000-0005-0000-0000-0000C1780000}"/>
    <cellStyle name="Note 2 2 5 4 3 2" xfId="27299" xr:uid="{00000000-0005-0000-0000-0000C2780000}"/>
    <cellStyle name="Note 2 2 5 4 4" xfId="27393" xr:uid="{00000000-0005-0000-0000-0000C3780000}"/>
    <cellStyle name="Note 2 2 5 5" xfId="31226" xr:uid="{00000000-0005-0000-0000-0000C4780000}"/>
    <cellStyle name="Note 2 2 5 5 2" xfId="1586" xr:uid="{00000000-0005-0000-0000-0000C5780000}"/>
    <cellStyle name="Note 2 2 5 5 2 2" xfId="31810" xr:uid="{00000000-0005-0000-0000-0000C6780000}"/>
    <cellStyle name="Note 2 2 5 5 3" xfId="33635" xr:uid="{00000000-0005-0000-0000-0000C7780000}"/>
    <cellStyle name="Note 2 2 5 6" xfId="30756" xr:uid="{00000000-0005-0000-0000-0000C8780000}"/>
    <cellStyle name="Note 2 2 5 6 2" xfId="26469" xr:uid="{00000000-0005-0000-0000-0000C9780000}"/>
    <cellStyle name="Note 2 2 5 7" xfId="31233" xr:uid="{00000000-0005-0000-0000-0000CA780000}"/>
    <cellStyle name="Note 2 2 6" xfId="17410" xr:uid="{00000000-0005-0000-0000-0000CB780000}"/>
    <cellStyle name="Note 2 2 6 2" xfId="31812" xr:uid="{00000000-0005-0000-0000-0000CC780000}"/>
    <cellStyle name="Note 2 2 6 2 2" xfId="31815" xr:uid="{00000000-0005-0000-0000-0000CD780000}"/>
    <cellStyle name="Note 2 2 6 2 2 2" xfId="26949" xr:uid="{00000000-0005-0000-0000-0000CE780000}"/>
    <cellStyle name="Note 2 2 6 2 2 2 2" xfId="13232" xr:uid="{00000000-0005-0000-0000-0000CF780000}"/>
    <cellStyle name="Note 2 2 6 2 2 2 2 2" xfId="13236" xr:uid="{00000000-0005-0000-0000-0000D0780000}"/>
    <cellStyle name="Note 2 2 6 2 2 2 3" xfId="13242" xr:uid="{00000000-0005-0000-0000-0000D1780000}"/>
    <cellStyle name="Note 2 2 6 2 2 3" xfId="32480" xr:uid="{00000000-0005-0000-0000-0000D2780000}"/>
    <cellStyle name="Note 2 2 6 2 2 3 2" xfId="13257" xr:uid="{00000000-0005-0000-0000-0000D3780000}"/>
    <cellStyle name="Note 2 2 6 2 2 4" xfId="33483" xr:uid="{00000000-0005-0000-0000-0000D4780000}"/>
    <cellStyle name="Note 2 2 6 2 3" xfId="14530" xr:uid="{00000000-0005-0000-0000-0000D5780000}"/>
    <cellStyle name="Note 2 2 6 2 3 2" xfId="33921" xr:uid="{00000000-0005-0000-0000-0000D6780000}"/>
    <cellStyle name="Note 2 2 6 2 3 2 2" xfId="31816" xr:uid="{00000000-0005-0000-0000-0000D7780000}"/>
    <cellStyle name="Note 2 2 6 2 3 3" xfId="31817" xr:uid="{00000000-0005-0000-0000-0000D8780000}"/>
    <cellStyle name="Note 2 2 6 2 4" xfId="14536" xr:uid="{00000000-0005-0000-0000-0000D9780000}"/>
    <cellStyle name="Note 2 2 6 2 4 2" xfId="31826" xr:uid="{00000000-0005-0000-0000-0000DA780000}"/>
    <cellStyle name="Note 2 2 6 2 5" xfId="31827" xr:uid="{00000000-0005-0000-0000-0000DB780000}"/>
    <cellStyle name="Note 2 2 6 3" xfId="19654" xr:uid="{00000000-0005-0000-0000-0000DC780000}"/>
    <cellStyle name="Note 2 2 6 3 2" xfId="19014" xr:uid="{00000000-0005-0000-0000-0000DD780000}"/>
    <cellStyle name="Note 2 2 6 3 2 2" xfId="19019" xr:uid="{00000000-0005-0000-0000-0000DE780000}"/>
    <cellStyle name="Note 2 2 6 3 2 2 2" xfId="32740" xr:uid="{00000000-0005-0000-0000-0000DF780000}"/>
    <cellStyle name="Note 2 2 6 3 2 3" xfId="19023" xr:uid="{00000000-0005-0000-0000-0000E0780000}"/>
    <cellStyle name="Note 2 2 6 3 3" xfId="6001" xr:uid="{00000000-0005-0000-0000-0000E1780000}"/>
    <cellStyle name="Note 2 2 6 3 3 2" xfId="27756" xr:uid="{00000000-0005-0000-0000-0000E2780000}"/>
    <cellStyle name="Note 2 2 6 3 4" xfId="27759" xr:uid="{00000000-0005-0000-0000-0000E3780000}"/>
    <cellStyle name="Note 2 2 6 4" xfId="31945" xr:uid="{00000000-0005-0000-0000-0000E4780000}"/>
    <cellStyle name="Note 2 2 6 4 2" xfId="5755" xr:uid="{00000000-0005-0000-0000-0000E5780000}"/>
    <cellStyle name="Note 2 2 6 4 2 2" xfId="19051" xr:uid="{00000000-0005-0000-0000-0000E6780000}"/>
    <cellStyle name="Note 2 2 6 4 3" xfId="25506" xr:uid="{00000000-0005-0000-0000-0000E7780000}"/>
    <cellStyle name="Note 2 2 6 5" xfId="31235" xr:uid="{00000000-0005-0000-0000-0000E8780000}"/>
    <cellStyle name="Note 2 2 6 5 2" xfId="19056" xr:uid="{00000000-0005-0000-0000-0000E9780000}"/>
    <cellStyle name="Note 2 2 6 6" xfId="27917" xr:uid="{00000000-0005-0000-0000-0000EA780000}"/>
    <cellStyle name="Note 2 2 7" xfId="19171" xr:uid="{00000000-0005-0000-0000-0000EB780000}"/>
    <cellStyle name="Note 2 2 7 2" xfId="33718" xr:uid="{00000000-0005-0000-0000-0000EC780000}"/>
    <cellStyle name="Note 2 2 7 2 2" xfId="22613" xr:uid="{00000000-0005-0000-0000-0000ED780000}"/>
    <cellStyle name="Note 2 2 7 2 2 2" xfId="27625" xr:uid="{00000000-0005-0000-0000-0000EE780000}"/>
    <cellStyle name="Note 2 2 7 2 2 2 2" xfId="31836" xr:uid="{00000000-0005-0000-0000-0000EF780000}"/>
    <cellStyle name="Note 2 2 7 2 2 3" xfId="31840" xr:uid="{00000000-0005-0000-0000-0000F0780000}"/>
    <cellStyle name="Note 2 2 7 2 3" xfId="14540" xr:uid="{00000000-0005-0000-0000-0000F1780000}"/>
    <cellStyle name="Note 2 2 7 2 3 2" xfId="24" xr:uid="{00000000-0005-0000-0000-0000F2780000}"/>
    <cellStyle name="Note 2 2 7 2 4" xfId="28733" xr:uid="{00000000-0005-0000-0000-0000F3780000}"/>
    <cellStyle name="Note 2 2 7 3" xfId="29200" xr:uid="{00000000-0005-0000-0000-0000F4780000}"/>
    <cellStyle name="Note 2 2 7 3 2" xfId="26181" xr:uid="{00000000-0005-0000-0000-0000F5780000}"/>
    <cellStyle name="Note 2 2 7 3 2 2" xfId="29029" xr:uid="{00000000-0005-0000-0000-0000F6780000}"/>
    <cellStyle name="Note 2 2 7 3 3" xfId="29805" xr:uid="{00000000-0005-0000-0000-0000F7780000}"/>
    <cellStyle name="Note 2 2 7 4" xfId="31863" xr:uid="{00000000-0005-0000-0000-0000F8780000}"/>
    <cellStyle name="Note 2 2 7 4 2" xfId="19527" xr:uid="{00000000-0005-0000-0000-0000F9780000}"/>
    <cellStyle name="Note 2 2 7 5" xfId="31246" xr:uid="{00000000-0005-0000-0000-0000FA780000}"/>
    <cellStyle name="Note 2 2 8" xfId="3617" xr:uid="{00000000-0005-0000-0000-0000FB780000}"/>
    <cellStyle name="Note 2 2 8 2" xfId="31855" xr:uid="{00000000-0005-0000-0000-0000FC780000}"/>
    <cellStyle name="Note 2 2 8 2 2" xfId="31857" xr:uid="{00000000-0005-0000-0000-0000FD780000}"/>
    <cellStyle name="Note 2 2 8 2 2 2" xfId="29734" xr:uid="{00000000-0005-0000-0000-0000FE780000}"/>
    <cellStyle name="Note 2 2 8 2 3" xfId="30275" xr:uid="{00000000-0005-0000-0000-0000FF780000}"/>
    <cellStyle name="Note 2 2 8 3" xfId="31872" xr:uid="{00000000-0005-0000-0000-000000790000}"/>
    <cellStyle name="Note 2 2 8 3 2" xfId="24710" xr:uid="{00000000-0005-0000-0000-000001790000}"/>
    <cellStyle name="Note 2 2 8 4" xfId="30638" xr:uid="{00000000-0005-0000-0000-000002790000}"/>
    <cellStyle name="Note 2 2 9" xfId="31374" xr:uid="{00000000-0005-0000-0000-000003790000}"/>
    <cellStyle name="Note 2 2 9 2" xfId="31880" xr:uid="{00000000-0005-0000-0000-000004790000}"/>
    <cellStyle name="Note 2 2 9 2 2" xfId="30548" xr:uid="{00000000-0005-0000-0000-000005790000}"/>
    <cellStyle name="Note 2 2 9 3" xfId="31886" xr:uid="{00000000-0005-0000-0000-000006790000}"/>
    <cellStyle name="Note 2 3" xfId="30102" xr:uid="{00000000-0005-0000-0000-000007790000}"/>
    <cellStyle name="Note 2 3 10" xfId="8418" xr:uid="{00000000-0005-0000-0000-000008790000}"/>
    <cellStyle name="Note 2 3 2" xfId="9524" xr:uid="{00000000-0005-0000-0000-000009790000}"/>
    <cellStyle name="Note 2 3 2 2" xfId="32760" xr:uid="{00000000-0005-0000-0000-00000A790000}"/>
    <cellStyle name="Note 2 3 2 2 2" xfId="15045" xr:uid="{00000000-0005-0000-0000-00000B790000}"/>
    <cellStyle name="Note 2 3 2 2 2 2" xfId="18215" xr:uid="{00000000-0005-0000-0000-00000C790000}"/>
    <cellStyle name="Note 2 3 2 2 2 2 2" xfId="32380" xr:uid="{00000000-0005-0000-0000-00000D790000}"/>
    <cellStyle name="Note 2 3 2 2 2 2 2 2" xfId="33591" xr:uid="{00000000-0005-0000-0000-00000E790000}"/>
    <cellStyle name="Note 2 3 2 2 2 2 2 2 2" xfId="25441" xr:uid="{00000000-0005-0000-0000-00000F790000}"/>
    <cellStyle name="Note 2 3 2 2 2 2 2 2 2 2" xfId="22427" xr:uid="{00000000-0005-0000-0000-000010790000}"/>
    <cellStyle name="Note 2 3 2 2 2 2 2 2 2 2 2" xfId="6572" xr:uid="{00000000-0005-0000-0000-000011790000}"/>
    <cellStyle name="Note 2 3 2 2 2 2 2 2 2 3" xfId="6318" xr:uid="{00000000-0005-0000-0000-000012790000}"/>
    <cellStyle name="Note 2 3 2 2 2 2 2 2 3" xfId="14374" xr:uid="{00000000-0005-0000-0000-000013790000}"/>
    <cellStyle name="Note 2 3 2 2 2 2 2 2 3 2" xfId="15337" xr:uid="{00000000-0005-0000-0000-000014790000}"/>
    <cellStyle name="Note 2 3 2 2 2 2 2 2 4" xfId="31887" xr:uid="{00000000-0005-0000-0000-000015790000}"/>
    <cellStyle name="Note 2 3 2 2 2 2 2 3" xfId="23907" xr:uid="{00000000-0005-0000-0000-000016790000}"/>
    <cellStyle name="Note 2 3 2 2 2 2 2 3 2" xfId="23909" xr:uid="{00000000-0005-0000-0000-000017790000}"/>
    <cellStyle name="Note 2 3 2 2 2 2 2 3 2 2" xfId="31894" xr:uid="{00000000-0005-0000-0000-000018790000}"/>
    <cellStyle name="Note 2 3 2 2 2 2 2 3 3" xfId="30616" xr:uid="{00000000-0005-0000-0000-000019790000}"/>
    <cellStyle name="Note 2 3 2 2 2 2 2 4" xfId="23912" xr:uid="{00000000-0005-0000-0000-00001A790000}"/>
    <cellStyle name="Note 2 3 2 2 2 2 2 4 2" xfId="32225" xr:uid="{00000000-0005-0000-0000-00001B790000}"/>
    <cellStyle name="Note 2 3 2 2 2 2 2 5" xfId="19586" xr:uid="{00000000-0005-0000-0000-00001C790000}"/>
    <cellStyle name="Note 2 3 2 2 2 2 3" xfId="32384" xr:uid="{00000000-0005-0000-0000-00001D790000}"/>
    <cellStyle name="Note 2 3 2 2 2 2 3 2" xfId="31902" xr:uid="{00000000-0005-0000-0000-00001E790000}"/>
    <cellStyle name="Note 2 3 2 2 2 2 3 2 2" xfId="23651" xr:uid="{00000000-0005-0000-0000-00001F790000}"/>
    <cellStyle name="Note 2 3 2 2 2 2 3 2 2 2" xfId="26394" xr:uid="{00000000-0005-0000-0000-000020790000}"/>
    <cellStyle name="Note 2 3 2 2 2 2 3 2 3" xfId="31906" xr:uid="{00000000-0005-0000-0000-000021790000}"/>
    <cellStyle name="Note 2 3 2 2 2 2 3 3" xfId="23918" xr:uid="{00000000-0005-0000-0000-000022790000}"/>
    <cellStyle name="Note 2 3 2 2 2 2 3 3 2" xfId="26406" xr:uid="{00000000-0005-0000-0000-000023790000}"/>
    <cellStyle name="Note 2 3 2 2 2 2 3 4" xfId="31920" xr:uid="{00000000-0005-0000-0000-000024790000}"/>
    <cellStyle name="Note 2 3 2 2 2 2 4" xfId="5026" xr:uid="{00000000-0005-0000-0000-000025790000}"/>
    <cellStyle name="Note 2 3 2 2 2 2 4 2" xfId="30179" xr:uid="{00000000-0005-0000-0000-000026790000}"/>
    <cellStyle name="Note 2 3 2 2 2 2 4 2 2" xfId="29741" xr:uid="{00000000-0005-0000-0000-000027790000}"/>
    <cellStyle name="Note 2 3 2 2 2 2 4 3" xfId="25680" xr:uid="{00000000-0005-0000-0000-000028790000}"/>
    <cellStyle name="Note 2 3 2 2 2 2 5" xfId="31926" xr:uid="{00000000-0005-0000-0000-000029790000}"/>
    <cellStyle name="Note 2 3 2 2 2 2 5 2" xfId="3980" xr:uid="{00000000-0005-0000-0000-00002A790000}"/>
    <cellStyle name="Note 2 3 2 2 2 2 6" xfId="32917" xr:uid="{00000000-0005-0000-0000-00002B790000}"/>
    <cellStyle name="Note 2 3 2 2 2 3" xfId="30522" xr:uid="{00000000-0005-0000-0000-00002C790000}"/>
    <cellStyle name="Note 2 3 2 2 2 3 2" xfId="32423" xr:uid="{00000000-0005-0000-0000-00002D790000}"/>
    <cellStyle name="Note 2 3 2 2 2 3 2 2" xfId="31933" xr:uid="{00000000-0005-0000-0000-00002E790000}"/>
    <cellStyle name="Note 2 3 2 2 2 3 2 2 2" xfId="20605" xr:uid="{00000000-0005-0000-0000-00002F790000}"/>
    <cellStyle name="Note 2 3 2 2 2 3 2 2 2 2" xfId="77" xr:uid="{00000000-0005-0000-0000-000030790000}"/>
    <cellStyle name="Note 2 3 2 2 2 3 2 2 3" xfId="19379" xr:uid="{00000000-0005-0000-0000-000031790000}"/>
    <cellStyle name="Note 2 3 2 2 2 3 2 3" xfId="23929" xr:uid="{00000000-0005-0000-0000-000032790000}"/>
    <cellStyle name="Note 2 3 2 2 2 3 2 3 2" xfId="26215" xr:uid="{00000000-0005-0000-0000-000033790000}"/>
    <cellStyle name="Note 2 3 2 2 2 3 2 4" xfId="30415" xr:uid="{00000000-0005-0000-0000-000034790000}"/>
    <cellStyle name="Note 2 3 2 2 2 3 3" xfId="32587" xr:uid="{00000000-0005-0000-0000-000035790000}"/>
    <cellStyle name="Note 2 3 2 2 2 3 3 2" xfId="20817" xr:uid="{00000000-0005-0000-0000-000036790000}"/>
    <cellStyle name="Note 2 3 2 2 2 3 3 2 2" xfId="2797" xr:uid="{00000000-0005-0000-0000-000037790000}"/>
    <cellStyle name="Note 2 3 2 2 2 3 3 3" xfId="31943" xr:uid="{00000000-0005-0000-0000-000038790000}"/>
    <cellStyle name="Note 2 3 2 2 2 3 4" xfId="9184" xr:uid="{00000000-0005-0000-0000-000039790000}"/>
    <cellStyle name="Note 2 3 2 2 2 3 4 2" xfId="28724" xr:uid="{00000000-0005-0000-0000-00003A790000}"/>
    <cellStyle name="Note 2 3 2 2 2 3 5" xfId="32922" xr:uid="{00000000-0005-0000-0000-00003B790000}"/>
    <cellStyle name="Note 2 3 2 2 2 4" xfId="8397" xr:uid="{00000000-0005-0000-0000-00003C790000}"/>
    <cellStyle name="Note 2 3 2 2 2 4 2" xfId="5296" xr:uid="{00000000-0005-0000-0000-00003D790000}"/>
    <cellStyle name="Note 2 3 2 2 2 4 2 2" xfId="21261" xr:uid="{00000000-0005-0000-0000-00003E790000}"/>
    <cellStyle name="Note 2 3 2 2 2 4 2 2 2" xfId="32811" xr:uid="{00000000-0005-0000-0000-00003F790000}"/>
    <cellStyle name="Note 2 3 2 2 2 4 2 3" xfId="31948" xr:uid="{00000000-0005-0000-0000-000040790000}"/>
    <cellStyle name="Note 2 3 2 2 2 4 3" xfId="5301" xr:uid="{00000000-0005-0000-0000-000041790000}"/>
    <cellStyle name="Note 2 3 2 2 2 4 3 2" xfId="8087" xr:uid="{00000000-0005-0000-0000-000042790000}"/>
    <cellStyle name="Note 2 3 2 2 2 4 4" xfId="30515" xr:uid="{00000000-0005-0000-0000-000043790000}"/>
    <cellStyle name="Note 2 3 2 2 2 5" xfId="5304" xr:uid="{00000000-0005-0000-0000-000044790000}"/>
    <cellStyle name="Note 2 3 2 2 2 5 2" xfId="5309" xr:uid="{00000000-0005-0000-0000-000045790000}"/>
    <cellStyle name="Note 2 3 2 2 2 5 2 2" xfId="32190" xr:uid="{00000000-0005-0000-0000-000046790000}"/>
    <cellStyle name="Note 2 3 2 2 2 5 3" xfId="31953" xr:uid="{00000000-0005-0000-0000-000047790000}"/>
    <cellStyle name="Note 2 3 2 2 2 6" xfId="5311" xr:uid="{00000000-0005-0000-0000-000048790000}"/>
    <cellStyle name="Note 2 3 2 2 2 6 2" xfId="20025" xr:uid="{00000000-0005-0000-0000-000049790000}"/>
    <cellStyle name="Note 2 3 2 2 2 7" xfId="28524" xr:uid="{00000000-0005-0000-0000-00004A790000}"/>
    <cellStyle name="Note 2 3 2 2 3" xfId="31503" xr:uid="{00000000-0005-0000-0000-00004B790000}"/>
    <cellStyle name="Note 2 3 2 2 3 2" xfId="31961" xr:uid="{00000000-0005-0000-0000-00004C790000}"/>
    <cellStyle name="Note 2 3 2 2 3 2 2" xfId="33307" xr:uid="{00000000-0005-0000-0000-00004D790000}"/>
    <cellStyle name="Note 2 3 2 2 3 2 2 2" xfId="31962" xr:uid="{00000000-0005-0000-0000-00004E790000}"/>
    <cellStyle name="Note 2 3 2 2 3 2 2 2 2" xfId="20841" xr:uid="{00000000-0005-0000-0000-00004F790000}"/>
    <cellStyle name="Note 2 3 2 2 3 2 2 2 2 2" xfId="17456" xr:uid="{00000000-0005-0000-0000-000050790000}"/>
    <cellStyle name="Note 2 3 2 2 3 2 2 2 3" xfId="15117" xr:uid="{00000000-0005-0000-0000-000051790000}"/>
    <cellStyle name="Note 2 3 2 2 3 2 2 3" xfId="24272" xr:uid="{00000000-0005-0000-0000-000052790000}"/>
    <cellStyle name="Note 2 3 2 2 3 2 2 3 2" xfId="15077" xr:uid="{00000000-0005-0000-0000-000053790000}"/>
    <cellStyle name="Note 2 3 2 2 3 2 2 4" xfId="31965" xr:uid="{00000000-0005-0000-0000-000054790000}"/>
    <cellStyle name="Note 2 3 2 2 3 2 3" xfId="31966" xr:uid="{00000000-0005-0000-0000-000055790000}"/>
    <cellStyle name="Note 2 3 2 2 3 2 3 2" xfId="30351" xr:uid="{00000000-0005-0000-0000-000056790000}"/>
    <cellStyle name="Note 2 3 2 2 3 2 3 2 2" xfId="20768" xr:uid="{00000000-0005-0000-0000-000057790000}"/>
    <cellStyle name="Note 2 3 2 2 3 2 3 3" xfId="28162" xr:uid="{00000000-0005-0000-0000-000058790000}"/>
    <cellStyle name="Note 2 3 2 2 3 2 4" xfId="30335" xr:uid="{00000000-0005-0000-0000-000059790000}"/>
    <cellStyle name="Note 2 3 2 2 3 2 4 2" xfId="31972" xr:uid="{00000000-0005-0000-0000-00005A790000}"/>
    <cellStyle name="Note 2 3 2 2 3 2 5" xfId="6710" xr:uid="{00000000-0005-0000-0000-00005B790000}"/>
    <cellStyle name="Note 2 3 2 2 3 3" xfId="31977" xr:uid="{00000000-0005-0000-0000-00005C790000}"/>
    <cellStyle name="Note 2 3 2 2 3 3 2" xfId="33022" xr:uid="{00000000-0005-0000-0000-00005D790000}"/>
    <cellStyle name="Note 2 3 2 2 3 3 2 2" xfId="16777" xr:uid="{00000000-0005-0000-0000-00005E790000}"/>
    <cellStyle name="Note 2 3 2 2 3 3 2 2 2" xfId="21023" xr:uid="{00000000-0005-0000-0000-00005F790000}"/>
    <cellStyle name="Note 2 3 2 2 3 3 2 3" xfId="16782" xr:uid="{00000000-0005-0000-0000-000060790000}"/>
    <cellStyle name="Note 2 3 2 2 3 3 3" xfId="31982" xr:uid="{00000000-0005-0000-0000-000061790000}"/>
    <cellStyle name="Note 2 3 2 2 3 3 3 2" xfId="18730" xr:uid="{00000000-0005-0000-0000-000062790000}"/>
    <cellStyle name="Note 2 3 2 2 3 3 4" xfId="31986" xr:uid="{00000000-0005-0000-0000-000063790000}"/>
    <cellStyle name="Note 2 3 2 2 3 4" xfId="5322" xr:uid="{00000000-0005-0000-0000-000064790000}"/>
    <cellStyle name="Note 2 3 2 2 3 4 2" xfId="9575" xr:uid="{00000000-0005-0000-0000-000065790000}"/>
    <cellStyle name="Note 2 3 2 2 3 4 2 2" xfId="12919" xr:uid="{00000000-0005-0000-0000-000066790000}"/>
    <cellStyle name="Note 2 3 2 2 3 4 3" xfId="31108" xr:uid="{00000000-0005-0000-0000-000067790000}"/>
    <cellStyle name="Note 2 3 2 2 3 5" xfId="20908" xr:uid="{00000000-0005-0000-0000-000068790000}"/>
    <cellStyle name="Note 2 3 2 2 3 5 2" xfId="31995" xr:uid="{00000000-0005-0000-0000-000069790000}"/>
    <cellStyle name="Note 2 3 2 2 3 6" xfId="20918" xr:uid="{00000000-0005-0000-0000-00006A790000}"/>
    <cellStyle name="Note 2 3 2 2 4" xfId="31997" xr:uid="{00000000-0005-0000-0000-00006B790000}"/>
    <cellStyle name="Note 2 3 2 2 4 2" xfId="31024" xr:uid="{00000000-0005-0000-0000-00006C790000}"/>
    <cellStyle name="Note 2 3 2 2 4 2 2" xfId="25977" xr:uid="{00000000-0005-0000-0000-00006D790000}"/>
    <cellStyle name="Note 2 3 2 2 4 2 2 2" xfId="19076" xr:uid="{00000000-0005-0000-0000-00006E790000}"/>
    <cellStyle name="Note 2 3 2 2 4 2 2 2 2" xfId="33744" xr:uid="{00000000-0005-0000-0000-00006F790000}"/>
    <cellStyle name="Note 2 3 2 2 4 2 2 3" xfId="25706" xr:uid="{00000000-0005-0000-0000-000070790000}"/>
    <cellStyle name="Note 2 3 2 2 4 2 3" xfId="27238" xr:uid="{00000000-0005-0000-0000-000071790000}"/>
    <cellStyle name="Note 2 3 2 2 4 2 3 2" xfId="19093" xr:uid="{00000000-0005-0000-0000-000072790000}"/>
    <cellStyle name="Note 2 3 2 2 4 2 4" xfId="29474" xr:uid="{00000000-0005-0000-0000-000073790000}"/>
    <cellStyle name="Note 2 3 2 2 4 3" xfId="13960" xr:uid="{00000000-0005-0000-0000-000074790000}"/>
    <cellStyle name="Note 2 3 2 2 4 3 2" xfId="32011" xr:uid="{00000000-0005-0000-0000-000075790000}"/>
    <cellStyle name="Note 2 3 2 2 4 3 2 2" xfId="16795" xr:uid="{00000000-0005-0000-0000-000076790000}"/>
    <cellStyle name="Note 2 3 2 2 4 3 3" xfId="32012" xr:uid="{00000000-0005-0000-0000-000077790000}"/>
    <cellStyle name="Note 2 3 2 2 4 4" xfId="8347" xr:uid="{00000000-0005-0000-0000-000078790000}"/>
    <cellStyle name="Note 2 3 2 2 4 4 2" xfId="29373" xr:uid="{00000000-0005-0000-0000-000079790000}"/>
    <cellStyle name="Note 2 3 2 2 4 5" xfId="20920" xr:uid="{00000000-0005-0000-0000-00007A790000}"/>
    <cellStyle name="Note 2 3 2 2 5" xfId="29735" xr:uid="{00000000-0005-0000-0000-00007B790000}"/>
    <cellStyle name="Note 2 3 2 2 5 2" xfId="30245" xr:uid="{00000000-0005-0000-0000-00007C790000}"/>
    <cellStyle name="Note 2 3 2 2 5 2 2" xfId="10215" xr:uid="{00000000-0005-0000-0000-00007D790000}"/>
    <cellStyle name="Note 2 3 2 2 5 2 2 2" xfId="32908" xr:uid="{00000000-0005-0000-0000-00007E790000}"/>
    <cellStyle name="Note 2 3 2 2 5 2 3" xfId="9814" xr:uid="{00000000-0005-0000-0000-00007F790000}"/>
    <cellStyle name="Note 2 3 2 2 5 3" xfId="32016" xr:uid="{00000000-0005-0000-0000-000080790000}"/>
    <cellStyle name="Note 2 3 2 2 5 3 2" xfId="9821" xr:uid="{00000000-0005-0000-0000-000081790000}"/>
    <cellStyle name="Note 2 3 2 2 5 4" xfId="32019" xr:uid="{00000000-0005-0000-0000-000082790000}"/>
    <cellStyle name="Note 2 3 2 2 6" xfId="29736" xr:uid="{00000000-0005-0000-0000-000083790000}"/>
    <cellStyle name="Note 2 3 2 2 6 2" xfId="33447" xr:uid="{00000000-0005-0000-0000-000084790000}"/>
    <cellStyle name="Note 2 3 2 2 6 2 2" xfId="9836" xr:uid="{00000000-0005-0000-0000-000085790000}"/>
    <cellStyle name="Note 2 3 2 2 6 3" xfId="31010" xr:uid="{00000000-0005-0000-0000-000086790000}"/>
    <cellStyle name="Note 2 3 2 2 7" xfId="32044" xr:uid="{00000000-0005-0000-0000-000087790000}"/>
    <cellStyle name="Note 2 3 2 2 7 2" xfId="25631" xr:uid="{00000000-0005-0000-0000-000088790000}"/>
    <cellStyle name="Note 2 3 2 2 8" xfId="32045" xr:uid="{00000000-0005-0000-0000-000089790000}"/>
    <cellStyle name="Note 2 3 2 3" xfId="32050" xr:uid="{00000000-0005-0000-0000-00008A790000}"/>
    <cellStyle name="Note 2 3 2 3 2" xfId="4974" xr:uid="{00000000-0005-0000-0000-00008B790000}"/>
    <cellStyle name="Note 2 3 2 3 2 2" xfId="13513" xr:uid="{00000000-0005-0000-0000-00008C790000}"/>
    <cellStyle name="Note 2 3 2 3 2 2 2" xfId="3696" xr:uid="{00000000-0005-0000-0000-00008D790000}"/>
    <cellStyle name="Note 2 3 2 3 2 2 2 2" xfId="9401" xr:uid="{00000000-0005-0000-0000-00008E790000}"/>
    <cellStyle name="Note 2 3 2 3 2 2 2 2 2" xfId="5029" xr:uid="{00000000-0005-0000-0000-00008F790000}"/>
    <cellStyle name="Note 2 3 2 3 2 2 2 2 2 2" xfId="11137" xr:uid="{00000000-0005-0000-0000-000090790000}"/>
    <cellStyle name="Note 2 3 2 3 2 2 2 2 3" xfId="5038" xr:uid="{00000000-0005-0000-0000-000091790000}"/>
    <cellStyle name="Note 2 3 2 3 2 2 2 3" xfId="3140" xr:uid="{00000000-0005-0000-0000-000092790000}"/>
    <cellStyle name="Note 2 3 2 3 2 2 2 3 2" xfId="13085" xr:uid="{00000000-0005-0000-0000-000093790000}"/>
    <cellStyle name="Note 2 3 2 3 2 2 2 4" xfId="5048" xr:uid="{00000000-0005-0000-0000-000094790000}"/>
    <cellStyle name="Note 2 3 2 3 2 2 3" xfId="2802" xr:uid="{00000000-0005-0000-0000-000095790000}"/>
    <cellStyle name="Note 2 3 2 3 2 2 3 2" xfId="9416" xr:uid="{00000000-0005-0000-0000-000096790000}"/>
    <cellStyle name="Note 2 3 2 3 2 2 3 2 2" xfId="3508" xr:uid="{00000000-0005-0000-0000-000097790000}"/>
    <cellStyle name="Note 2 3 2 3 2 2 3 3" xfId="5059" xr:uid="{00000000-0005-0000-0000-000098790000}"/>
    <cellStyle name="Note 2 3 2 3 2 2 4" xfId="4394" xr:uid="{00000000-0005-0000-0000-000099790000}"/>
    <cellStyle name="Note 2 3 2 3 2 2 4 2" xfId="5073" xr:uid="{00000000-0005-0000-0000-00009A790000}"/>
    <cellStyle name="Note 2 3 2 3 2 2 5" xfId="5087" xr:uid="{00000000-0005-0000-0000-00009B790000}"/>
    <cellStyle name="Note 2 3 2 3 2 3" xfId="13524" xr:uid="{00000000-0005-0000-0000-00009C790000}"/>
    <cellStyle name="Note 2 3 2 3 2 3 2" xfId="4185" xr:uid="{00000000-0005-0000-0000-00009D790000}"/>
    <cellStyle name="Note 2 3 2 3 2 3 2 2" xfId="9421" xr:uid="{00000000-0005-0000-0000-00009E790000}"/>
    <cellStyle name="Note 2 3 2 3 2 3 2 2 2" xfId="22097" xr:uid="{00000000-0005-0000-0000-00009F790000}"/>
    <cellStyle name="Note 2 3 2 3 2 3 2 3" xfId="5111" xr:uid="{00000000-0005-0000-0000-0000A0790000}"/>
    <cellStyle name="Note 2 3 2 3 2 3 3" xfId="4196" xr:uid="{00000000-0005-0000-0000-0000A1790000}"/>
    <cellStyle name="Note 2 3 2 3 2 3 3 2" xfId="5121" xr:uid="{00000000-0005-0000-0000-0000A2790000}"/>
    <cellStyle name="Note 2 3 2 3 2 3 4" xfId="3992" xr:uid="{00000000-0005-0000-0000-0000A3790000}"/>
    <cellStyle name="Note 2 3 2 3 2 4" xfId="14301" xr:uid="{00000000-0005-0000-0000-0000A4790000}"/>
    <cellStyle name="Note 2 3 2 3 2 4 2" xfId="12201" xr:uid="{00000000-0005-0000-0000-0000A5790000}"/>
    <cellStyle name="Note 2 3 2 3 2 4 2 2" xfId="5141" xr:uid="{00000000-0005-0000-0000-0000A6790000}"/>
    <cellStyle name="Note 2 3 2 3 2 4 3" xfId="10191" xr:uid="{00000000-0005-0000-0000-0000A7790000}"/>
    <cellStyle name="Note 2 3 2 3 2 5" xfId="5437" xr:uid="{00000000-0005-0000-0000-0000A8790000}"/>
    <cellStyle name="Note 2 3 2 3 2 5 2" xfId="3764" xr:uid="{00000000-0005-0000-0000-0000A9790000}"/>
    <cellStyle name="Note 2 3 2 3 2 6" xfId="6793" xr:uid="{00000000-0005-0000-0000-0000AA790000}"/>
    <cellStyle name="Note 2 3 2 3 3" xfId="6296" xr:uid="{00000000-0005-0000-0000-0000AB790000}"/>
    <cellStyle name="Note 2 3 2 3 3 2" xfId="18591" xr:uid="{00000000-0005-0000-0000-0000AC790000}"/>
    <cellStyle name="Note 2 3 2 3 3 2 2" xfId="8123" xr:uid="{00000000-0005-0000-0000-0000AD790000}"/>
    <cellStyle name="Note 2 3 2 3 3 2 2 2" xfId="9442" xr:uid="{00000000-0005-0000-0000-0000AE790000}"/>
    <cellStyle name="Note 2 3 2 3 3 2 2 2 2" xfId="13485" xr:uid="{00000000-0005-0000-0000-0000AF790000}"/>
    <cellStyle name="Note 2 3 2 3 3 2 2 3" xfId="1784" xr:uid="{00000000-0005-0000-0000-0000B0790000}"/>
    <cellStyle name="Note 2 3 2 3 3 2 3" xfId="1762" xr:uid="{00000000-0005-0000-0000-0000B1790000}"/>
    <cellStyle name="Note 2 3 2 3 3 2 3 2" xfId="9175" xr:uid="{00000000-0005-0000-0000-0000B2790000}"/>
    <cellStyle name="Note 2 3 2 3 3 2 4" xfId="2257" xr:uid="{00000000-0005-0000-0000-0000B3790000}"/>
    <cellStyle name="Note 2 3 2 3 3 3" xfId="14302" xr:uid="{00000000-0005-0000-0000-0000B4790000}"/>
    <cellStyle name="Note 2 3 2 3 3 3 2" xfId="3653" xr:uid="{00000000-0005-0000-0000-0000B5790000}"/>
    <cellStyle name="Note 2 3 2 3 3 3 2 2" xfId="16807" xr:uid="{00000000-0005-0000-0000-0000B6790000}"/>
    <cellStyle name="Note 2 3 2 3 3 3 3" xfId="1798" xr:uid="{00000000-0005-0000-0000-0000B7790000}"/>
    <cellStyle name="Note 2 3 2 3 3 4" xfId="5457" xr:uid="{00000000-0005-0000-0000-0000B8790000}"/>
    <cellStyle name="Note 2 3 2 3 3 4 2" xfId="14444" xr:uid="{00000000-0005-0000-0000-0000B9790000}"/>
    <cellStyle name="Note 2 3 2 3 3 5" xfId="20952" xr:uid="{00000000-0005-0000-0000-0000BA790000}"/>
    <cellStyle name="Note 2 3 2 3 4" xfId="8620" xr:uid="{00000000-0005-0000-0000-0000BB790000}"/>
    <cellStyle name="Note 2 3 2 3 4 2" xfId="14307" xr:uid="{00000000-0005-0000-0000-0000BC790000}"/>
    <cellStyle name="Note 2 3 2 3 4 2 2" xfId="3665" xr:uid="{00000000-0005-0000-0000-0000BD790000}"/>
    <cellStyle name="Note 2 3 2 3 4 2 2 2" xfId="1891" xr:uid="{00000000-0005-0000-0000-0000BE790000}"/>
    <cellStyle name="Note 2 3 2 3 4 2 3" xfId="3273" xr:uid="{00000000-0005-0000-0000-0000BF790000}"/>
    <cellStyle name="Note 2 3 2 3 4 3" xfId="4533" xr:uid="{00000000-0005-0000-0000-0000C0790000}"/>
    <cellStyle name="Note 2 3 2 3 4 3 2" xfId="3678" xr:uid="{00000000-0005-0000-0000-0000C1790000}"/>
    <cellStyle name="Note 2 3 2 3 4 4" xfId="5157" xr:uid="{00000000-0005-0000-0000-0000C2790000}"/>
    <cellStyle name="Note 2 3 2 3 5" xfId="5167" xr:uid="{00000000-0005-0000-0000-0000C3790000}"/>
    <cellStyle name="Note 2 3 2 3 5 2" xfId="10421" xr:uid="{00000000-0005-0000-0000-0000C4790000}"/>
    <cellStyle name="Note 2 3 2 3 5 2 2" xfId="8929" xr:uid="{00000000-0005-0000-0000-0000C5790000}"/>
    <cellStyle name="Note 2 3 2 3 5 3" xfId="11362" xr:uid="{00000000-0005-0000-0000-0000C6790000}"/>
    <cellStyle name="Note 2 3 2 3 6" xfId="32051" xr:uid="{00000000-0005-0000-0000-0000C7790000}"/>
    <cellStyle name="Note 2 3 2 3 6 2" xfId="7424" xr:uid="{00000000-0005-0000-0000-0000C8790000}"/>
    <cellStyle name="Note 2 3 2 3 7" xfId="33478" xr:uid="{00000000-0005-0000-0000-0000C9790000}"/>
    <cellStyle name="Note 2 3 2 4" xfId="31796" xr:uid="{00000000-0005-0000-0000-0000CA790000}"/>
    <cellStyle name="Note 2 3 2 4 2" xfId="6055" xr:uid="{00000000-0005-0000-0000-0000CB790000}"/>
    <cellStyle name="Note 2 3 2 4 2 2" xfId="13533" xr:uid="{00000000-0005-0000-0000-0000CC790000}"/>
    <cellStyle name="Note 2 3 2 4 2 2 2" xfId="3106" xr:uid="{00000000-0005-0000-0000-0000CD790000}"/>
    <cellStyle name="Note 2 3 2 4 2 2 2 2" xfId="9466" xr:uid="{00000000-0005-0000-0000-0000CE790000}"/>
    <cellStyle name="Note 2 3 2 4 2 2 2 2 2" xfId="1515" xr:uid="{00000000-0005-0000-0000-0000CF790000}"/>
    <cellStyle name="Note 2 3 2 4 2 2 2 3" xfId="5065" xr:uid="{00000000-0005-0000-0000-0000D0790000}"/>
    <cellStyle name="Note 2 3 2 4 2 2 3" xfId="4397" xr:uid="{00000000-0005-0000-0000-0000D1790000}"/>
    <cellStyle name="Note 2 3 2 4 2 2 3 2" xfId="5081" xr:uid="{00000000-0005-0000-0000-0000D2790000}"/>
    <cellStyle name="Note 2 3 2 4 2 2 4" xfId="5089" xr:uid="{00000000-0005-0000-0000-0000D3790000}"/>
    <cellStyle name="Note 2 3 2 4 2 3" xfId="14320" xr:uid="{00000000-0005-0000-0000-0000D4790000}"/>
    <cellStyle name="Note 2 3 2 4 2 3 2" xfId="4201" xr:uid="{00000000-0005-0000-0000-0000D5790000}"/>
    <cellStyle name="Note 2 3 2 4 2 3 2 2" xfId="8683" xr:uid="{00000000-0005-0000-0000-0000D6790000}"/>
    <cellStyle name="Note 2 3 2 4 2 3 3" xfId="3995" xr:uid="{00000000-0005-0000-0000-0000D7790000}"/>
    <cellStyle name="Note 2 3 2 4 2 4" xfId="4969" xr:uid="{00000000-0005-0000-0000-0000D8790000}"/>
    <cellStyle name="Note 2 3 2 4 2 4 2" xfId="11312" xr:uid="{00000000-0005-0000-0000-0000D9790000}"/>
    <cellStyle name="Note 2 3 2 4 2 5" xfId="5944" xr:uid="{00000000-0005-0000-0000-0000DA790000}"/>
    <cellStyle name="Note 2 3 2 4 3" xfId="9112" xr:uid="{00000000-0005-0000-0000-0000DB790000}"/>
    <cellStyle name="Note 2 3 2 4 3 2" xfId="14321" xr:uid="{00000000-0005-0000-0000-0000DC790000}"/>
    <cellStyle name="Note 2 3 2 4 3 2 2" xfId="3397" xr:uid="{00000000-0005-0000-0000-0000DD790000}"/>
    <cellStyle name="Note 2 3 2 4 3 2 2 2" xfId="2804" xr:uid="{00000000-0005-0000-0000-0000DE790000}"/>
    <cellStyle name="Note 2 3 2 4 3 2 3" xfId="2254" xr:uid="{00000000-0005-0000-0000-0000DF790000}"/>
    <cellStyle name="Note 2 3 2 4 3 3" xfId="2532" xr:uid="{00000000-0005-0000-0000-0000E0790000}"/>
    <cellStyle name="Note 2 3 2 4 3 3 2" xfId="1802" xr:uid="{00000000-0005-0000-0000-0000E1790000}"/>
    <cellStyle name="Note 2 3 2 4 3 4" xfId="1050" xr:uid="{00000000-0005-0000-0000-0000E2790000}"/>
    <cellStyle name="Note 2 3 2 4 4" xfId="22773" xr:uid="{00000000-0005-0000-0000-0000E3790000}"/>
    <cellStyle name="Note 2 3 2 4 4 2" xfId="5953" xr:uid="{00000000-0005-0000-0000-0000E4790000}"/>
    <cellStyle name="Note 2 3 2 4 4 2 2" xfId="3689" xr:uid="{00000000-0005-0000-0000-0000E5790000}"/>
    <cellStyle name="Note 2 3 2 4 4 3" xfId="3468" xr:uid="{00000000-0005-0000-0000-0000E6790000}"/>
    <cellStyle name="Note 2 3 2 4 5" xfId="5956" xr:uid="{00000000-0005-0000-0000-0000E7790000}"/>
    <cellStyle name="Note 2 3 2 4 5 2" xfId="10435" xr:uid="{00000000-0005-0000-0000-0000E8790000}"/>
    <cellStyle name="Note 2 3 2 4 6" xfId="20548" xr:uid="{00000000-0005-0000-0000-0000E9790000}"/>
    <cellStyle name="Note 2 3 2 5" xfId="31938" xr:uid="{00000000-0005-0000-0000-0000EA790000}"/>
    <cellStyle name="Note 2 3 2 5 2" xfId="9124" xr:uid="{00000000-0005-0000-0000-0000EB790000}"/>
    <cellStyle name="Note 2 3 2 5 2 2" xfId="14328" xr:uid="{00000000-0005-0000-0000-0000EC790000}"/>
    <cellStyle name="Note 2 3 2 5 2 2 2" xfId="4713" xr:uid="{00000000-0005-0000-0000-0000ED790000}"/>
    <cellStyle name="Note 2 3 2 5 2 2 2 2" xfId="9229" xr:uid="{00000000-0005-0000-0000-0000EE790000}"/>
    <cellStyle name="Note 2 3 2 5 2 2 3" xfId="4807" xr:uid="{00000000-0005-0000-0000-0000EF790000}"/>
    <cellStyle name="Note 2 3 2 5 2 3" xfId="6287" xr:uid="{00000000-0005-0000-0000-0000F0790000}"/>
    <cellStyle name="Note 2 3 2 5 2 3 2" xfId="1867" xr:uid="{00000000-0005-0000-0000-0000F1790000}"/>
    <cellStyle name="Note 2 3 2 5 2 4" xfId="6290" xr:uid="{00000000-0005-0000-0000-0000F2790000}"/>
    <cellStyle name="Note 2 3 2 5 3" xfId="24046" xr:uid="{00000000-0005-0000-0000-0000F3790000}"/>
    <cellStyle name="Note 2 3 2 5 3 2" xfId="6299" xr:uid="{00000000-0005-0000-0000-0000F4790000}"/>
    <cellStyle name="Note 2 3 2 5 3 2 2" xfId="11671" xr:uid="{00000000-0005-0000-0000-0000F5790000}"/>
    <cellStyle name="Note 2 3 2 5 3 3" xfId="3497" xr:uid="{00000000-0005-0000-0000-0000F6790000}"/>
    <cellStyle name="Note 2 3 2 5 4" xfId="14994" xr:uid="{00000000-0005-0000-0000-0000F7790000}"/>
    <cellStyle name="Note 2 3 2 5 4 2" xfId="6303" xr:uid="{00000000-0005-0000-0000-0000F8790000}"/>
    <cellStyle name="Note 2 3 2 5 5" xfId="15002" xr:uid="{00000000-0005-0000-0000-0000F9790000}"/>
    <cellStyle name="Note 2 3 2 6" xfId="22269" xr:uid="{00000000-0005-0000-0000-0000FA790000}"/>
    <cellStyle name="Note 2 3 2 6 2" xfId="23772" xr:uid="{00000000-0005-0000-0000-0000FB790000}"/>
    <cellStyle name="Note 2 3 2 6 2 2" xfId="6455" xr:uid="{00000000-0005-0000-0000-0000FC790000}"/>
    <cellStyle name="Note 2 3 2 6 2 2 2" xfId="4947" xr:uid="{00000000-0005-0000-0000-0000FD790000}"/>
    <cellStyle name="Note 2 3 2 6 2 3" xfId="6459" xr:uid="{00000000-0005-0000-0000-0000FE790000}"/>
    <cellStyle name="Note 2 3 2 6 3" xfId="6462" xr:uid="{00000000-0005-0000-0000-0000FF790000}"/>
    <cellStyle name="Note 2 3 2 6 3 2" xfId="847" xr:uid="{00000000-0005-0000-0000-0000007A0000}"/>
    <cellStyle name="Note 2 3 2 6 4" xfId="15010" xr:uid="{00000000-0005-0000-0000-0000017A0000}"/>
    <cellStyle name="Note 2 3 2 7" xfId="22286" xr:uid="{00000000-0005-0000-0000-0000027A0000}"/>
    <cellStyle name="Note 2 3 2 7 2" xfId="6567" xr:uid="{00000000-0005-0000-0000-0000037A0000}"/>
    <cellStyle name="Note 2 3 2 7 2 2" xfId="6577" xr:uid="{00000000-0005-0000-0000-0000047A0000}"/>
    <cellStyle name="Note 2 3 2 7 3" xfId="6580" xr:uid="{00000000-0005-0000-0000-0000057A0000}"/>
    <cellStyle name="Note 2 3 2 8" xfId="3001" xr:uid="{00000000-0005-0000-0000-0000067A0000}"/>
    <cellStyle name="Note 2 3 2 8 2" xfId="5857" xr:uid="{00000000-0005-0000-0000-0000077A0000}"/>
    <cellStyle name="Note 2 3 2 9" xfId="33571" xr:uid="{00000000-0005-0000-0000-0000087A0000}"/>
    <cellStyle name="Note 2 3 3" xfId="33158" xr:uid="{00000000-0005-0000-0000-0000097A0000}"/>
    <cellStyle name="Note 2 3 3 2" xfId="28289" xr:uid="{00000000-0005-0000-0000-00000A7A0000}"/>
    <cellStyle name="Note 2 3 3 2 2" xfId="32651" xr:uid="{00000000-0005-0000-0000-00000B7A0000}"/>
    <cellStyle name="Note 2 3 3 2 2 2" xfId="19214" xr:uid="{00000000-0005-0000-0000-00000C7A0000}"/>
    <cellStyle name="Note 2 3 3 2 2 2 2" xfId="27697" xr:uid="{00000000-0005-0000-0000-00000D7A0000}"/>
    <cellStyle name="Note 2 3 3 2 2 2 2 2" xfId="32743" xr:uid="{00000000-0005-0000-0000-00000E7A0000}"/>
    <cellStyle name="Note 2 3 3 2 2 2 2 2 2" xfId="32855" xr:uid="{00000000-0005-0000-0000-00000F7A0000}"/>
    <cellStyle name="Note 2 3 3 2 2 2 2 2 2 2" xfId="32062" xr:uid="{00000000-0005-0000-0000-0000107A0000}"/>
    <cellStyle name="Note 2 3 3 2 2 2 2 2 3" xfId="32063" xr:uid="{00000000-0005-0000-0000-0000117A0000}"/>
    <cellStyle name="Note 2 3 3 2 2 2 2 3" xfId="32857" xr:uid="{00000000-0005-0000-0000-0000127A0000}"/>
    <cellStyle name="Note 2 3 3 2 2 2 2 3 2" xfId="32064" xr:uid="{00000000-0005-0000-0000-0000137A0000}"/>
    <cellStyle name="Note 2 3 3 2 2 2 2 4" xfId="31555" xr:uid="{00000000-0005-0000-0000-0000147A0000}"/>
    <cellStyle name="Note 2 3 3 2 2 2 3" xfId="28222" xr:uid="{00000000-0005-0000-0000-0000157A0000}"/>
    <cellStyle name="Note 2 3 3 2 2 2 3 2" xfId="28225" xr:uid="{00000000-0005-0000-0000-0000167A0000}"/>
    <cellStyle name="Note 2 3 3 2 2 2 3 2 2" xfId="32351" xr:uid="{00000000-0005-0000-0000-0000177A0000}"/>
    <cellStyle name="Note 2 3 3 2 2 2 3 3" xfId="32834" xr:uid="{00000000-0005-0000-0000-0000187A0000}"/>
    <cellStyle name="Note 2 3 3 2 2 2 4" xfId="28227" xr:uid="{00000000-0005-0000-0000-0000197A0000}"/>
    <cellStyle name="Note 2 3 3 2 2 2 4 2" xfId="32706" xr:uid="{00000000-0005-0000-0000-00001A7A0000}"/>
    <cellStyle name="Note 2 3 3 2 2 2 5" xfId="32075" xr:uid="{00000000-0005-0000-0000-00001B7A0000}"/>
    <cellStyle name="Note 2 3 3 2 2 3" xfId="30770" xr:uid="{00000000-0005-0000-0000-00001C7A0000}"/>
    <cellStyle name="Note 2 3 3 2 2 3 2" xfId="28050" xr:uid="{00000000-0005-0000-0000-00001D7A0000}"/>
    <cellStyle name="Note 2 3 3 2 2 3 2 2" xfId="32862" xr:uid="{00000000-0005-0000-0000-00001E7A0000}"/>
    <cellStyle name="Note 2 3 3 2 2 3 2 2 2" xfId="33577" xr:uid="{00000000-0005-0000-0000-00001F7A0000}"/>
    <cellStyle name="Note 2 3 3 2 2 3 2 3" xfId="21862" xr:uid="{00000000-0005-0000-0000-0000207A0000}"/>
    <cellStyle name="Note 2 3 3 2 2 3 3" xfId="27404" xr:uid="{00000000-0005-0000-0000-0000217A0000}"/>
    <cellStyle name="Note 2 3 3 2 2 3 3 2" xfId="32874" xr:uid="{00000000-0005-0000-0000-0000227A0000}"/>
    <cellStyle name="Note 2 3 3 2 2 3 4" xfId="29541" xr:uid="{00000000-0005-0000-0000-0000237A0000}"/>
    <cellStyle name="Note 2 3 3 2 2 4" xfId="5653" xr:uid="{00000000-0005-0000-0000-0000247A0000}"/>
    <cellStyle name="Note 2 3 3 2 2 4 2" xfId="5657" xr:uid="{00000000-0005-0000-0000-0000257A0000}"/>
    <cellStyle name="Note 2 3 3 2 2 4 2 2" xfId="31743" xr:uid="{00000000-0005-0000-0000-0000267A0000}"/>
    <cellStyle name="Note 2 3 3 2 2 4 3" xfId="26053" xr:uid="{00000000-0005-0000-0000-0000277A0000}"/>
    <cellStyle name="Note 2 3 3 2 2 5" xfId="5662" xr:uid="{00000000-0005-0000-0000-0000287A0000}"/>
    <cellStyle name="Note 2 3 3 2 2 5 2" xfId="32993" xr:uid="{00000000-0005-0000-0000-0000297A0000}"/>
    <cellStyle name="Note 2 3 3 2 2 6" xfId="27812" xr:uid="{00000000-0005-0000-0000-00002A7A0000}"/>
    <cellStyle name="Note 2 3 3 2 3" xfId="25065" xr:uid="{00000000-0005-0000-0000-00002B7A0000}"/>
    <cellStyle name="Note 2 3 3 2 3 2" xfId="33611" xr:uid="{00000000-0005-0000-0000-00002C7A0000}"/>
    <cellStyle name="Note 2 3 3 2 3 2 2" xfId="31197" xr:uid="{00000000-0005-0000-0000-00002D7A0000}"/>
    <cellStyle name="Note 2 3 3 2 3 2 2 2" xfId="32079" xr:uid="{00000000-0005-0000-0000-00002E7A0000}"/>
    <cellStyle name="Note 2 3 3 2 3 2 2 2 2" xfId="33070" xr:uid="{00000000-0005-0000-0000-00002F7A0000}"/>
    <cellStyle name="Note 2 3 3 2 3 2 2 3" xfId="26676" xr:uid="{00000000-0005-0000-0000-0000307A0000}"/>
    <cellStyle name="Note 2 3 3 2 3 2 3" xfId="32879" xr:uid="{00000000-0005-0000-0000-0000317A0000}"/>
    <cellStyle name="Note 2 3 3 2 3 2 3 2" xfId="34033" xr:uid="{00000000-0005-0000-0000-0000327A0000}"/>
    <cellStyle name="Note 2 3 3 2 3 2 4" xfId="32991" xr:uid="{00000000-0005-0000-0000-0000337A0000}"/>
    <cellStyle name="Note 2 3 3 2 3 3" xfId="32085" xr:uid="{00000000-0005-0000-0000-0000347A0000}"/>
    <cellStyle name="Note 2 3 3 2 3 3 2" xfId="32943" xr:uid="{00000000-0005-0000-0000-0000357A0000}"/>
    <cellStyle name="Note 2 3 3 2 3 3 2 2" xfId="2913" xr:uid="{00000000-0005-0000-0000-0000367A0000}"/>
    <cellStyle name="Note 2 3 3 2 3 3 3" xfId="33816" xr:uid="{00000000-0005-0000-0000-0000377A0000}"/>
    <cellStyle name="Note 2 3 3 2 3 4" xfId="5682" xr:uid="{00000000-0005-0000-0000-0000387A0000}"/>
    <cellStyle name="Note 2 3 3 2 3 4 2" xfId="33123" xr:uid="{00000000-0005-0000-0000-0000397A0000}"/>
    <cellStyle name="Note 2 3 3 2 3 5" xfId="21044" xr:uid="{00000000-0005-0000-0000-00003A7A0000}"/>
    <cellStyle name="Note 2 3 3 2 4" xfId="20649" xr:uid="{00000000-0005-0000-0000-00003B7A0000}"/>
    <cellStyle name="Note 2 3 3 2 4 2" xfId="23597" xr:uid="{00000000-0005-0000-0000-00003C7A0000}"/>
    <cellStyle name="Note 2 3 3 2 4 2 2" xfId="33779" xr:uid="{00000000-0005-0000-0000-00003D7A0000}"/>
    <cellStyle name="Note 2 3 3 2 4 2 2 2" xfId="7100" xr:uid="{00000000-0005-0000-0000-00003E7A0000}"/>
    <cellStyle name="Note 2 3 3 2 4 2 3" xfId="23641" xr:uid="{00000000-0005-0000-0000-00003F7A0000}"/>
    <cellStyle name="Note 2 3 3 2 4 3" xfId="32100" xr:uid="{00000000-0005-0000-0000-0000407A0000}"/>
    <cellStyle name="Note 2 3 3 2 4 3 2" xfId="33713" xr:uid="{00000000-0005-0000-0000-0000417A0000}"/>
    <cellStyle name="Note 2 3 3 2 4 4" xfId="33931" xr:uid="{00000000-0005-0000-0000-0000427A0000}"/>
    <cellStyle name="Note 2 3 3 2 5" xfId="27410" xr:uid="{00000000-0005-0000-0000-0000437A0000}"/>
    <cellStyle name="Note 2 3 3 2 5 2" xfId="33787" xr:uid="{00000000-0005-0000-0000-0000447A0000}"/>
    <cellStyle name="Note 2 3 3 2 5 2 2" xfId="10342" xr:uid="{00000000-0005-0000-0000-0000457A0000}"/>
    <cellStyle name="Note 2 3 3 2 5 3" xfId="32106" xr:uid="{00000000-0005-0000-0000-0000467A0000}"/>
    <cellStyle name="Note 2 3 3 2 6" xfId="20948" xr:uid="{00000000-0005-0000-0000-0000477A0000}"/>
    <cellStyle name="Note 2 3 3 2 6 2" xfId="22812" xr:uid="{00000000-0005-0000-0000-0000487A0000}"/>
    <cellStyle name="Note 2 3 3 2 7" xfId="20977" xr:uid="{00000000-0005-0000-0000-0000497A0000}"/>
    <cellStyle name="Note 2 3 3 3" xfId="32112" xr:uid="{00000000-0005-0000-0000-00004A7A0000}"/>
    <cellStyle name="Note 2 3 3 3 2" xfId="7904" xr:uid="{00000000-0005-0000-0000-00004B7A0000}"/>
    <cellStyle name="Note 2 3 3 3 2 2" xfId="13552" xr:uid="{00000000-0005-0000-0000-00004C7A0000}"/>
    <cellStyle name="Note 2 3 3 3 2 2 2" xfId="7541" xr:uid="{00000000-0005-0000-0000-00004D7A0000}"/>
    <cellStyle name="Note 2 3 3 3 2 2 2 2" xfId="12477" xr:uid="{00000000-0005-0000-0000-00004E7A0000}"/>
    <cellStyle name="Note 2 3 3 3 2 2 2 2 2" xfId="5767" xr:uid="{00000000-0005-0000-0000-00004F7A0000}"/>
    <cellStyle name="Note 2 3 3 3 2 2 2 3" xfId="7563" xr:uid="{00000000-0005-0000-0000-0000507A0000}"/>
    <cellStyle name="Note 2 3 3 3 2 2 3" xfId="7575" xr:uid="{00000000-0005-0000-0000-0000517A0000}"/>
    <cellStyle name="Note 2 3 3 3 2 2 3 2" xfId="7585" xr:uid="{00000000-0005-0000-0000-0000527A0000}"/>
    <cellStyle name="Note 2 3 3 3 2 2 4" xfId="5396" xr:uid="{00000000-0005-0000-0000-0000537A0000}"/>
    <cellStyle name="Note 2 3 3 3 2 3" xfId="14341" xr:uid="{00000000-0005-0000-0000-0000547A0000}"/>
    <cellStyle name="Note 2 3 3 3 2 3 2" xfId="7604" xr:uid="{00000000-0005-0000-0000-0000557A0000}"/>
    <cellStyle name="Note 2 3 3 3 2 3 2 2" xfId="9522" xr:uid="{00000000-0005-0000-0000-0000567A0000}"/>
    <cellStyle name="Note 2 3 3 3 2 3 3" xfId="7616" xr:uid="{00000000-0005-0000-0000-0000577A0000}"/>
    <cellStyle name="Note 2 3 3 3 2 4" xfId="9932" xr:uid="{00000000-0005-0000-0000-0000587A0000}"/>
    <cellStyle name="Note 2 3 3 3 2 4 2" xfId="13043" xr:uid="{00000000-0005-0000-0000-0000597A0000}"/>
    <cellStyle name="Note 2 3 3 3 2 5" xfId="7939" xr:uid="{00000000-0005-0000-0000-00005A7A0000}"/>
    <cellStyle name="Note 2 3 3 3 3" xfId="8983" xr:uid="{00000000-0005-0000-0000-00005B7A0000}"/>
    <cellStyle name="Note 2 3 3 3 3 2" xfId="14345" xr:uid="{00000000-0005-0000-0000-00005C7A0000}"/>
    <cellStyle name="Note 2 3 3 3 3 2 2" xfId="5487" xr:uid="{00000000-0005-0000-0000-00005D7A0000}"/>
    <cellStyle name="Note 2 3 3 3 3 2 2 2" xfId="14176" xr:uid="{00000000-0005-0000-0000-00005E7A0000}"/>
    <cellStyle name="Note 2 3 3 3 3 2 3" xfId="7673" xr:uid="{00000000-0005-0000-0000-00005F7A0000}"/>
    <cellStyle name="Note 2 3 3 3 3 3" xfId="7959" xr:uid="{00000000-0005-0000-0000-0000607A0000}"/>
    <cellStyle name="Note 2 3 3 3 3 3 2" xfId="7697" xr:uid="{00000000-0005-0000-0000-0000617A0000}"/>
    <cellStyle name="Note 2 3 3 3 3 4" xfId="7966" xr:uid="{00000000-0005-0000-0000-0000627A0000}"/>
    <cellStyle name="Note 2 3 3 3 4" xfId="4590" xr:uid="{00000000-0005-0000-0000-0000637A0000}"/>
    <cellStyle name="Note 2 3 3 3 4 2" xfId="7979" xr:uid="{00000000-0005-0000-0000-0000647A0000}"/>
    <cellStyle name="Note 2 3 3 3 4 2 2" xfId="5526" xr:uid="{00000000-0005-0000-0000-0000657A0000}"/>
    <cellStyle name="Note 2 3 3 3 4 3" xfId="7988" xr:uid="{00000000-0005-0000-0000-0000667A0000}"/>
    <cellStyle name="Note 2 3 3 3 5" xfId="7992" xr:uid="{00000000-0005-0000-0000-0000677A0000}"/>
    <cellStyle name="Note 2 3 3 3 5 2" xfId="10469" xr:uid="{00000000-0005-0000-0000-0000687A0000}"/>
    <cellStyle name="Note 2 3 3 3 6" xfId="20980" xr:uid="{00000000-0005-0000-0000-0000697A0000}"/>
    <cellStyle name="Note 2 3 3 4" xfId="294" xr:uid="{00000000-0005-0000-0000-00006A7A0000}"/>
    <cellStyle name="Note 2 3 3 4 2" xfId="8548" xr:uid="{00000000-0005-0000-0000-00006B7A0000}"/>
    <cellStyle name="Note 2 3 3 4 2 2" xfId="2954" xr:uid="{00000000-0005-0000-0000-00006C7A0000}"/>
    <cellStyle name="Note 2 3 3 4 2 2 2" xfId="19821" xr:uid="{00000000-0005-0000-0000-00006D7A0000}"/>
    <cellStyle name="Note 2 3 3 4 2 2 2 2" xfId="7837" xr:uid="{00000000-0005-0000-0000-00006E7A0000}"/>
    <cellStyle name="Note 2 3 3 4 2 2 3" xfId="19831" xr:uid="{00000000-0005-0000-0000-00006F7A0000}"/>
    <cellStyle name="Note 2 3 3 4 2 3" xfId="7621" xr:uid="{00000000-0005-0000-0000-0000707A0000}"/>
    <cellStyle name="Note 2 3 3 4 2 3 2" xfId="19834" xr:uid="{00000000-0005-0000-0000-0000717A0000}"/>
    <cellStyle name="Note 2 3 3 4 2 4" xfId="4526" xr:uid="{00000000-0005-0000-0000-0000727A0000}"/>
    <cellStyle name="Note 2 3 3 4 3" xfId="24067" xr:uid="{00000000-0005-0000-0000-0000737A0000}"/>
    <cellStyle name="Note 2 3 3 4 3 2" xfId="8521" xr:uid="{00000000-0005-0000-0000-0000747A0000}"/>
    <cellStyle name="Note 2 3 3 4 3 2 2" xfId="12757" xr:uid="{00000000-0005-0000-0000-0000757A0000}"/>
    <cellStyle name="Note 2 3 3 4 3 3" xfId="9169" xr:uid="{00000000-0005-0000-0000-0000767A0000}"/>
    <cellStyle name="Note 2 3 3 4 4" xfId="10298" xr:uid="{00000000-0005-0000-0000-0000777A0000}"/>
    <cellStyle name="Note 2 3 3 4 4 2" xfId="9204" xr:uid="{00000000-0005-0000-0000-0000787A0000}"/>
    <cellStyle name="Note 2 3 3 4 5" xfId="25388" xr:uid="{00000000-0005-0000-0000-0000797A0000}"/>
    <cellStyle name="Note 2 3 3 5" xfId="28988" xr:uid="{00000000-0005-0000-0000-00007A7A0000}"/>
    <cellStyle name="Note 2 3 3 5 2" xfId="24076" xr:uid="{00000000-0005-0000-0000-00007B7A0000}"/>
    <cellStyle name="Note 2 3 3 5 2 2" xfId="8756" xr:uid="{00000000-0005-0000-0000-00007C7A0000}"/>
    <cellStyle name="Note 2 3 3 5 2 2 2" xfId="19861" xr:uid="{00000000-0005-0000-0000-00007D7A0000}"/>
    <cellStyle name="Note 2 3 3 5 2 3" xfId="7711" xr:uid="{00000000-0005-0000-0000-00007E7A0000}"/>
    <cellStyle name="Note 2 3 3 5 3" xfId="25029" xr:uid="{00000000-0005-0000-0000-00007F7A0000}"/>
    <cellStyle name="Note 2 3 3 5 3 2" xfId="28641" xr:uid="{00000000-0005-0000-0000-0000807A0000}"/>
    <cellStyle name="Note 2 3 3 5 4" xfId="15013" xr:uid="{00000000-0005-0000-0000-0000817A0000}"/>
    <cellStyle name="Note 2 3 3 6" xfId="22307" xr:uid="{00000000-0005-0000-0000-0000827A0000}"/>
    <cellStyle name="Note 2 3 3 6 2" xfId="7009" xr:uid="{00000000-0005-0000-0000-0000837A0000}"/>
    <cellStyle name="Note 2 3 3 6 2 2" xfId="8924" xr:uid="{00000000-0005-0000-0000-0000847A0000}"/>
    <cellStyle name="Note 2 3 3 6 3" xfId="2577" xr:uid="{00000000-0005-0000-0000-0000857A0000}"/>
    <cellStyle name="Note 2 3 3 7" xfId="22319" xr:uid="{00000000-0005-0000-0000-0000867A0000}"/>
    <cellStyle name="Note 2 3 3 7 2" xfId="6157" xr:uid="{00000000-0005-0000-0000-0000877A0000}"/>
    <cellStyle name="Note 2 3 3 8" xfId="32119" xr:uid="{00000000-0005-0000-0000-0000887A0000}"/>
    <cellStyle name="Note 2 3 4" xfId="21065" xr:uid="{00000000-0005-0000-0000-0000897A0000}"/>
    <cellStyle name="Note 2 3 4 2" xfId="15965" xr:uid="{00000000-0005-0000-0000-00008A7A0000}"/>
    <cellStyle name="Note 2 3 4 2 2" xfId="32125" xr:uid="{00000000-0005-0000-0000-00008B7A0000}"/>
    <cellStyle name="Note 2 3 4 2 2 2" xfId="32629" xr:uid="{00000000-0005-0000-0000-00008C7A0000}"/>
    <cellStyle name="Note 2 3 4 2 2 2 2" xfId="21278" xr:uid="{00000000-0005-0000-0000-00008D7A0000}"/>
    <cellStyle name="Note 2 3 4 2 2 2 2 2" xfId="28308" xr:uid="{00000000-0005-0000-0000-00008E7A0000}"/>
    <cellStyle name="Note 2 3 4 2 2 2 2 2 2" xfId="14427" xr:uid="{00000000-0005-0000-0000-00008F7A0000}"/>
    <cellStyle name="Note 2 3 4 2 2 2 2 3" xfId="21291" xr:uid="{00000000-0005-0000-0000-0000907A0000}"/>
    <cellStyle name="Note 2 3 4 2 2 2 3" xfId="21300" xr:uid="{00000000-0005-0000-0000-0000917A0000}"/>
    <cellStyle name="Note 2 3 4 2 2 2 3 2" xfId="15751" xr:uid="{00000000-0005-0000-0000-0000927A0000}"/>
    <cellStyle name="Note 2 3 4 2 2 2 4" xfId="21306" xr:uid="{00000000-0005-0000-0000-0000937A0000}"/>
    <cellStyle name="Note 2 3 4 2 2 3" xfId="30634" xr:uid="{00000000-0005-0000-0000-0000947A0000}"/>
    <cellStyle name="Note 2 3 4 2 2 3 2" xfId="10413" xr:uid="{00000000-0005-0000-0000-0000957A0000}"/>
    <cellStyle name="Note 2 3 4 2 2 3 2 2" xfId="21311" xr:uid="{00000000-0005-0000-0000-0000967A0000}"/>
    <cellStyle name="Note 2 3 4 2 2 3 3" xfId="13376" xr:uid="{00000000-0005-0000-0000-0000977A0000}"/>
    <cellStyle name="Note 2 3 4 2 2 4" xfId="5819" xr:uid="{00000000-0005-0000-0000-0000987A0000}"/>
    <cellStyle name="Note 2 3 4 2 2 4 2" xfId="25652" xr:uid="{00000000-0005-0000-0000-0000997A0000}"/>
    <cellStyle name="Note 2 3 4 2 2 5" xfId="2521" xr:uid="{00000000-0005-0000-0000-00009A7A0000}"/>
    <cellStyle name="Note 2 3 4 2 3" xfId="33952" xr:uid="{00000000-0005-0000-0000-00009B7A0000}"/>
    <cellStyle name="Note 2 3 4 2 3 2" xfId="32755" xr:uid="{00000000-0005-0000-0000-00009C7A0000}"/>
    <cellStyle name="Note 2 3 4 2 3 2 2" xfId="21432" xr:uid="{00000000-0005-0000-0000-00009D7A0000}"/>
    <cellStyle name="Note 2 3 4 2 3 2 2 2" xfId="21435" xr:uid="{00000000-0005-0000-0000-00009E7A0000}"/>
    <cellStyle name="Note 2 3 4 2 3 2 3" xfId="20199" xr:uid="{00000000-0005-0000-0000-00009F7A0000}"/>
    <cellStyle name="Note 2 3 4 2 3 3" xfId="32131" xr:uid="{00000000-0005-0000-0000-0000A07A0000}"/>
    <cellStyle name="Note 2 3 4 2 3 3 2" xfId="25672" xr:uid="{00000000-0005-0000-0000-0000A17A0000}"/>
    <cellStyle name="Note 2 3 4 2 3 4" xfId="24633" xr:uid="{00000000-0005-0000-0000-0000A27A0000}"/>
    <cellStyle name="Note 2 3 4 2 4" xfId="20692" xr:uid="{00000000-0005-0000-0000-0000A37A0000}"/>
    <cellStyle name="Note 2 3 4 2 4 2" xfId="6629" xr:uid="{00000000-0005-0000-0000-0000A47A0000}"/>
    <cellStyle name="Note 2 3 4 2 4 2 2" xfId="21534" xr:uid="{00000000-0005-0000-0000-0000A57A0000}"/>
    <cellStyle name="Note 2 3 4 2 4 3" xfId="27624" xr:uid="{00000000-0005-0000-0000-0000A67A0000}"/>
    <cellStyle name="Note 2 3 4 2 5" xfId="32153" xr:uid="{00000000-0005-0000-0000-0000A77A0000}"/>
    <cellStyle name="Note 2 3 4 2 5 2" xfId="33596" xr:uid="{00000000-0005-0000-0000-0000A87A0000}"/>
    <cellStyle name="Note 2 3 4 2 6" xfId="21008" xr:uid="{00000000-0005-0000-0000-0000A97A0000}"/>
    <cellStyle name="Note 2 3 4 3" xfId="32158" xr:uid="{00000000-0005-0000-0000-0000AA7A0000}"/>
    <cellStyle name="Note 2 3 4 3 2" xfId="9870" xr:uid="{00000000-0005-0000-0000-0000AB7A0000}"/>
    <cellStyle name="Note 2 3 4 3 2 2" xfId="14356" xr:uid="{00000000-0005-0000-0000-0000AC7A0000}"/>
    <cellStyle name="Note 2 3 4 3 2 2 2" xfId="21654" xr:uid="{00000000-0005-0000-0000-0000AD7A0000}"/>
    <cellStyle name="Note 2 3 4 3 2 2 2 2" xfId="21657" xr:uid="{00000000-0005-0000-0000-0000AE7A0000}"/>
    <cellStyle name="Note 2 3 4 3 2 2 3" xfId="21665" xr:uid="{00000000-0005-0000-0000-0000AF7A0000}"/>
    <cellStyle name="Note 2 3 4 3 2 3" xfId="23345" xr:uid="{00000000-0005-0000-0000-0000B07A0000}"/>
    <cellStyle name="Note 2 3 4 3 2 3 2" xfId="25702" xr:uid="{00000000-0005-0000-0000-0000B17A0000}"/>
    <cellStyle name="Note 2 3 4 3 2 4" xfId="24478" xr:uid="{00000000-0005-0000-0000-0000B27A0000}"/>
    <cellStyle name="Note 2 3 4 3 3" xfId="9887" xr:uid="{00000000-0005-0000-0000-0000B37A0000}"/>
    <cellStyle name="Note 2 3 4 3 3 2" xfId="23349" xr:uid="{00000000-0005-0000-0000-0000B47A0000}"/>
    <cellStyle name="Note 2 3 4 3 3 2 2" xfId="21719" xr:uid="{00000000-0005-0000-0000-0000B57A0000}"/>
    <cellStyle name="Note 2 3 4 3 3 3" xfId="1131" xr:uid="{00000000-0005-0000-0000-0000B67A0000}"/>
    <cellStyle name="Note 2 3 4 3 4" xfId="10312" xr:uid="{00000000-0005-0000-0000-0000B77A0000}"/>
    <cellStyle name="Note 2 3 4 3 4 2" xfId="9897" xr:uid="{00000000-0005-0000-0000-0000B87A0000}"/>
    <cellStyle name="Note 2 3 4 3 5" xfId="3172" xr:uid="{00000000-0005-0000-0000-0000B97A0000}"/>
    <cellStyle name="Note 2 3 4 4" xfId="32162" xr:uid="{00000000-0005-0000-0000-0000BA7A0000}"/>
    <cellStyle name="Note 2 3 4 4 2" xfId="10374" xr:uid="{00000000-0005-0000-0000-0000BB7A0000}"/>
    <cellStyle name="Note 2 3 4 4 2 2" xfId="23357" xr:uid="{00000000-0005-0000-0000-0000BC7A0000}"/>
    <cellStyle name="Note 2 3 4 4 2 2 2" xfId="21789" xr:uid="{00000000-0005-0000-0000-0000BD7A0000}"/>
    <cellStyle name="Note 2 3 4 4 2 3" xfId="4680" xr:uid="{00000000-0005-0000-0000-0000BE7A0000}"/>
    <cellStyle name="Note 2 3 4 4 3" xfId="10383" xr:uid="{00000000-0005-0000-0000-0000BF7A0000}"/>
    <cellStyle name="Note 2 3 4 4 3 2" xfId="10984" xr:uid="{00000000-0005-0000-0000-0000C07A0000}"/>
    <cellStyle name="Note 2 3 4 4 4" xfId="10389" xr:uid="{00000000-0005-0000-0000-0000C17A0000}"/>
    <cellStyle name="Note 2 3 4 5" xfId="31216" xr:uid="{00000000-0005-0000-0000-0000C27A0000}"/>
    <cellStyle name="Note 2 3 4 5 2" xfId="10606" xr:uid="{00000000-0005-0000-0000-0000C37A0000}"/>
    <cellStyle name="Note 2 3 4 5 2 2" xfId="10609" xr:uid="{00000000-0005-0000-0000-0000C47A0000}"/>
    <cellStyle name="Note 2 3 4 5 3" xfId="10614" xr:uid="{00000000-0005-0000-0000-0000C57A0000}"/>
    <cellStyle name="Note 2 3 4 6" xfId="362" xr:uid="{00000000-0005-0000-0000-0000C67A0000}"/>
    <cellStyle name="Note 2 3 4 6 2" xfId="11652" xr:uid="{00000000-0005-0000-0000-0000C77A0000}"/>
    <cellStyle name="Note 2 3 4 7" xfId="31219" xr:uid="{00000000-0005-0000-0000-0000C87A0000}"/>
    <cellStyle name="Note 2 3 5" xfId="32166" xr:uid="{00000000-0005-0000-0000-0000C97A0000}"/>
    <cellStyle name="Note 2 3 5 2" xfId="32171" xr:uid="{00000000-0005-0000-0000-0000CA7A0000}"/>
    <cellStyle name="Note 2 3 5 2 2" xfId="33966" xr:uid="{00000000-0005-0000-0000-0000CB7A0000}"/>
    <cellStyle name="Note 2 3 5 2 2 2" xfId="32172" xr:uid="{00000000-0005-0000-0000-0000CC7A0000}"/>
    <cellStyle name="Note 2 3 5 2 2 2 2" xfId="22359" xr:uid="{00000000-0005-0000-0000-0000CD7A0000}"/>
    <cellStyle name="Note 2 3 5 2 2 2 2 2" xfId="22370" xr:uid="{00000000-0005-0000-0000-0000CE7A0000}"/>
    <cellStyle name="Note 2 3 5 2 2 2 3" xfId="22378" xr:uid="{00000000-0005-0000-0000-0000CF7A0000}"/>
    <cellStyle name="Note 2 3 5 2 2 3" xfId="32177" xr:uid="{00000000-0005-0000-0000-0000D07A0000}"/>
    <cellStyle name="Note 2 3 5 2 2 3 2" xfId="25798" xr:uid="{00000000-0005-0000-0000-0000D17A0000}"/>
    <cellStyle name="Note 2 3 5 2 2 4" xfId="32178" xr:uid="{00000000-0005-0000-0000-0000D27A0000}"/>
    <cellStyle name="Note 2 3 5 2 3" xfId="14555" xr:uid="{00000000-0005-0000-0000-0000D37A0000}"/>
    <cellStyle name="Note 2 3 5 2 3 2" xfId="33285" xr:uid="{00000000-0005-0000-0000-0000D47A0000}"/>
    <cellStyle name="Note 2 3 5 2 3 2 2" xfId="28546" xr:uid="{00000000-0005-0000-0000-0000D57A0000}"/>
    <cellStyle name="Note 2 3 5 2 3 3" xfId="33134" xr:uid="{00000000-0005-0000-0000-0000D67A0000}"/>
    <cellStyle name="Note 2 3 5 2 4" xfId="19231" xr:uid="{00000000-0005-0000-0000-0000D77A0000}"/>
    <cellStyle name="Note 2 3 5 2 4 2" xfId="29359" xr:uid="{00000000-0005-0000-0000-0000D87A0000}"/>
    <cellStyle name="Note 2 3 5 2 5" xfId="32500" xr:uid="{00000000-0005-0000-0000-0000D97A0000}"/>
    <cellStyle name="Note 2 3 5 3" xfId="32179" xr:uid="{00000000-0005-0000-0000-0000DA7A0000}"/>
    <cellStyle name="Note 2 3 5 3 2" xfId="11017" xr:uid="{00000000-0005-0000-0000-0000DB7A0000}"/>
    <cellStyle name="Note 2 3 5 3 2 2" xfId="12226" xr:uid="{00000000-0005-0000-0000-0000DC7A0000}"/>
    <cellStyle name="Note 2 3 5 3 2 2 2" xfId="658" xr:uid="{00000000-0005-0000-0000-0000DD7A0000}"/>
    <cellStyle name="Note 2 3 5 3 2 3" xfId="5222" xr:uid="{00000000-0005-0000-0000-0000DE7A0000}"/>
    <cellStyle name="Note 2 3 5 3 3" xfId="6479" xr:uid="{00000000-0005-0000-0000-0000DF7A0000}"/>
    <cellStyle name="Note 2 3 5 3 3 2" xfId="168" xr:uid="{00000000-0005-0000-0000-0000E07A0000}"/>
    <cellStyle name="Note 2 3 5 3 4" xfId="2266" xr:uid="{00000000-0005-0000-0000-0000E17A0000}"/>
    <cellStyle name="Note 2 3 5 4" xfId="31225" xr:uid="{00000000-0005-0000-0000-0000E27A0000}"/>
    <cellStyle name="Note 2 3 5 4 2" xfId="972" xr:uid="{00000000-0005-0000-0000-0000E37A0000}"/>
    <cellStyle name="Note 2 3 5 4 2 2" xfId="17555" xr:uid="{00000000-0005-0000-0000-0000E47A0000}"/>
    <cellStyle name="Note 2 3 5 4 3" xfId="2194" xr:uid="{00000000-0005-0000-0000-0000E57A0000}"/>
    <cellStyle name="Note 2 3 5 5" xfId="31230" xr:uid="{00000000-0005-0000-0000-0000E67A0000}"/>
    <cellStyle name="Note 2 3 5 5 2" xfId="256" xr:uid="{00000000-0005-0000-0000-0000E77A0000}"/>
    <cellStyle name="Note 2 3 5 6" xfId="17030" xr:uid="{00000000-0005-0000-0000-0000E87A0000}"/>
    <cellStyle name="Note 2 3 6" xfId="17605" xr:uid="{00000000-0005-0000-0000-0000E97A0000}"/>
    <cellStyle name="Note 2 3 6 2" xfId="32183" xr:uid="{00000000-0005-0000-0000-0000EA7A0000}"/>
    <cellStyle name="Note 2 3 6 2 2" xfId="32188" xr:uid="{00000000-0005-0000-0000-0000EB7A0000}"/>
    <cellStyle name="Note 2 3 6 2 2 2" xfId="25321" xr:uid="{00000000-0005-0000-0000-0000EC7A0000}"/>
    <cellStyle name="Note 2 3 6 2 2 2 2" xfId="1706" xr:uid="{00000000-0005-0000-0000-0000ED7A0000}"/>
    <cellStyle name="Note 2 3 6 2 2 3" xfId="9699" xr:uid="{00000000-0005-0000-0000-0000EE7A0000}"/>
    <cellStyle name="Note 2 3 6 2 3" xfId="14575" xr:uid="{00000000-0005-0000-0000-0000EF7A0000}"/>
    <cellStyle name="Note 2 3 6 2 3 2" xfId="18" xr:uid="{00000000-0005-0000-0000-0000F07A0000}"/>
    <cellStyle name="Note 2 3 6 2 4" xfId="32507" xr:uid="{00000000-0005-0000-0000-0000F17A0000}"/>
    <cellStyle name="Note 2 3 6 3" xfId="32189" xr:uid="{00000000-0005-0000-0000-0000F27A0000}"/>
    <cellStyle name="Note 2 3 6 3 2" xfId="6489" xr:uid="{00000000-0005-0000-0000-0000F37A0000}"/>
    <cellStyle name="Note 2 3 6 3 2 2" xfId="623" xr:uid="{00000000-0005-0000-0000-0000F47A0000}"/>
    <cellStyle name="Note 2 3 6 3 3" xfId="1156" xr:uid="{00000000-0005-0000-0000-0000F57A0000}"/>
    <cellStyle name="Note 2 3 6 4" xfId="31234" xr:uid="{00000000-0005-0000-0000-0000F67A0000}"/>
    <cellStyle name="Note 2 3 6 4 2" xfId="1749" xr:uid="{00000000-0005-0000-0000-0000F77A0000}"/>
    <cellStyle name="Note 2 3 6 5" xfId="31237" xr:uid="{00000000-0005-0000-0000-0000F87A0000}"/>
    <cellStyle name="Note 2 3 7" xfId="16775" xr:uid="{00000000-0005-0000-0000-0000F97A0000}"/>
    <cellStyle name="Note 2 3 7 2" xfId="31347" xr:uid="{00000000-0005-0000-0000-0000FA7A0000}"/>
    <cellStyle name="Note 2 3 7 2 2" xfId="2604" xr:uid="{00000000-0005-0000-0000-0000FB7A0000}"/>
    <cellStyle name="Note 2 3 7 2 2 2" xfId="211" xr:uid="{00000000-0005-0000-0000-0000FC7A0000}"/>
    <cellStyle name="Note 2 3 7 2 3" xfId="785" xr:uid="{00000000-0005-0000-0000-0000FD7A0000}"/>
    <cellStyle name="Note 2 3 7 3" xfId="33648" xr:uid="{00000000-0005-0000-0000-0000FE7A0000}"/>
    <cellStyle name="Note 2 3 7 3 2" xfId="15637" xr:uid="{00000000-0005-0000-0000-0000FF7A0000}"/>
    <cellStyle name="Note 2 3 7 4" xfId="31244" xr:uid="{00000000-0005-0000-0000-0000007B0000}"/>
    <cellStyle name="Note 2 3 8" xfId="32147" xr:uid="{00000000-0005-0000-0000-0000017B0000}"/>
    <cellStyle name="Note 2 3 8 2" xfId="32199" xr:uid="{00000000-0005-0000-0000-0000027B0000}"/>
    <cellStyle name="Note 2 3 8 2 2" xfId="862" xr:uid="{00000000-0005-0000-0000-0000037B0000}"/>
    <cellStyle name="Note 2 3 8 3" xfId="32800" xr:uid="{00000000-0005-0000-0000-0000047B0000}"/>
    <cellStyle name="Note 2 3 9" xfId="27641" xr:uid="{00000000-0005-0000-0000-0000057B0000}"/>
    <cellStyle name="Note 2 3 9 2" xfId="32200" xr:uid="{00000000-0005-0000-0000-0000067B0000}"/>
    <cellStyle name="Note 2 4" xfId="8118" xr:uid="{00000000-0005-0000-0000-0000077B0000}"/>
    <cellStyle name="Note 2 4 2" xfId="2281" xr:uid="{00000000-0005-0000-0000-0000087B0000}"/>
    <cellStyle name="Note 2 4 2 2" xfId="6375" xr:uid="{00000000-0005-0000-0000-0000097B0000}"/>
    <cellStyle name="Note 2 4 2 2 2" xfId="6377" xr:uid="{00000000-0005-0000-0000-00000A7B0000}"/>
    <cellStyle name="Note 2 4 2 2 2 2" xfId="19776" xr:uid="{00000000-0005-0000-0000-00000B7B0000}"/>
    <cellStyle name="Note 2 4 2 2 2 2 2" xfId="32207" xr:uid="{00000000-0005-0000-0000-00000C7B0000}"/>
    <cellStyle name="Note 2 4 2 2 2 2 2 2" xfId="30457" xr:uid="{00000000-0005-0000-0000-00000D7B0000}"/>
    <cellStyle name="Note 2 4 2 2 2 2 2 2 2" xfId="30933" xr:uid="{00000000-0005-0000-0000-00000E7B0000}"/>
    <cellStyle name="Note 2 4 2 2 2 2 2 2 2 2" xfId="31828" xr:uid="{00000000-0005-0000-0000-00000F7B0000}"/>
    <cellStyle name="Note 2 4 2 2 2 2 2 2 3" xfId="25900" xr:uid="{00000000-0005-0000-0000-0000107B0000}"/>
    <cellStyle name="Note 2 4 2 2 2 2 2 3" xfId="32115" xr:uid="{00000000-0005-0000-0000-0000117B0000}"/>
    <cellStyle name="Note 2 4 2 2 2 2 2 3 2" xfId="32030" xr:uid="{00000000-0005-0000-0000-0000127B0000}"/>
    <cellStyle name="Note 2 4 2 2 2 2 2 4" xfId="21305" xr:uid="{00000000-0005-0000-0000-0000137B0000}"/>
    <cellStyle name="Note 2 4 2 2 2 2 3" xfId="28078" xr:uid="{00000000-0005-0000-0000-0000147B0000}"/>
    <cellStyle name="Note 2 4 2 2 2 2 3 2" xfId="29859" xr:uid="{00000000-0005-0000-0000-0000157B0000}"/>
    <cellStyle name="Note 2 4 2 2 2 2 3 2 2" xfId="32215" xr:uid="{00000000-0005-0000-0000-0000167B0000}"/>
    <cellStyle name="Note 2 4 2 2 2 2 3 3" xfId="31338" xr:uid="{00000000-0005-0000-0000-0000177B0000}"/>
    <cellStyle name="Note 2 4 2 2 2 2 4" xfId="22734" xr:uid="{00000000-0005-0000-0000-0000187B0000}"/>
    <cellStyle name="Note 2 4 2 2 2 2 4 2" xfId="32347" xr:uid="{00000000-0005-0000-0000-0000197B0000}"/>
    <cellStyle name="Note 2 4 2 2 2 2 5" xfId="22738" xr:uid="{00000000-0005-0000-0000-00001A7B0000}"/>
    <cellStyle name="Note 2 4 2 2 2 3" xfId="28718" xr:uid="{00000000-0005-0000-0000-00001B7B0000}"/>
    <cellStyle name="Note 2 4 2 2 2 3 2" xfId="31005" xr:uid="{00000000-0005-0000-0000-00001C7B0000}"/>
    <cellStyle name="Note 2 4 2 2 2 3 2 2" xfId="31011" xr:uid="{00000000-0005-0000-0000-00001D7B0000}"/>
    <cellStyle name="Note 2 4 2 2 2 3 2 2 2" xfId="32241" xr:uid="{00000000-0005-0000-0000-00001E7B0000}"/>
    <cellStyle name="Note 2 4 2 2 2 3 2 3" xfId="21434" xr:uid="{00000000-0005-0000-0000-00001F7B0000}"/>
    <cellStyle name="Note 2 4 2 2 2 3 3" xfId="28423" xr:uid="{00000000-0005-0000-0000-0000207B0000}"/>
    <cellStyle name="Note 2 4 2 2 2 3 3 2" xfId="30553" xr:uid="{00000000-0005-0000-0000-0000217B0000}"/>
    <cellStyle name="Note 2 4 2 2 2 3 4" xfId="20655" xr:uid="{00000000-0005-0000-0000-0000227B0000}"/>
    <cellStyle name="Note 2 4 2 2 2 4" xfId="6604" xr:uid="{00000000-0005-0000-0000-0000237B0000}"/>
    <cellStyle name="Note 2 4 2 2 2 4 2" xfId="6045" xr:uid="{00000000-0005-0000-0000-0000247B0000}"/>
    <cellStyle name="Note 2 4 2 2 2 4 2 2" xfId="30559" xr:uid="{00000000-0005-0000-0000-0000257B0000}"/>
    <cellStyle name="Note 2 4 2 2 2 4 3" xfId="32259" xr:uid="{00000000-0005-0000-0000-0000267B0000}"/>
    <cellStyle name="Note 2 4 2 2 2 5" xfId="6609" xr:uid="{00000000-0005-0000-0000-0000277B0000}"/>
    <cellStyle name="Note 2 4 2 2 2 5 2" xfId="32412" xr:uid="{00000000-0005-0000-0000-0000287B0000}"/>
    <cellStyle name="Note 2 4 2 2 2 6" xfId="32260" xr:uid="{00000000-0005-0000-0000-0000297B0000}"/>
    <cellStyle name="Note 2 4 2 2 3" xfId="2075" xr:uid="{00000000-0005-0000-0000-00002A7B0000}"/>
    <cellStyle name="Note 2 4 2 2 3 2" xfId="33413" xr:uid="{00000000-0005-0000-0000-00002B7B0000}"/>
    <cellStyle name="Note 2 4 2 2 3 2 2" xfId="33923" xr:uid="{00000000-0005-0000-0000-00002C7B0000}"/>
    <cellStyle name="Note 2 4 2 2 3 2 2 2" xfId="33138" xr:uid="{00000000-0005-0000-0000-00002D7B0000}"/>
    <cellStyle name="Note 2 4 2 2 3 2 2 2 2" xfId="32263" xr:uid="{00000000-0005-0000-0000-00002E7B0000}"/>
    <cellStyle name="Note 2 4 2 2 3 2 2 3" xfId="21651" xr:uid="{00000000-0005-0000-0000-00002F7B0000}"/>
    <cellStyle name="Note 2 4 2 2 3 2 3" xfId="30959" xr:uid="{00000000-0005-0000-0000-0000307B0000}"/>
    <cellStyle name="Note 2 4 2 2 3 2 3 2" xfId="32264" xr:uid="{00000000-0005-0000-0000-0000317B0000}"/>
    <cellStyle name="Note 2 4 2 2 3 2 4" xfId="19562" xr:uid="{00000000-0005-0000-0000-0000327B0000}"/>
    <cellStyle name="Note 2 4 2 2 3 3" xfId="14467" xr:uid="{00000000-0005-0000-0000-0000337B0000}"/>
    <cellStyle name="Note 2 4 2 2 3 3 2" xfId="21149" xr:uid="{00000000-0005-0000-0000-0000347B0000}"/>
    <cellStyle name="Note 2 4 2 2 3 3 2 2" xfId="17099" xr:uid="{00000000-0005-0000-0000-0000357B0000}"/>
    <cellStyle name="Note 2 4 2 2 3 3 3" xfId="21983" xr:uid="{00000000-0005-0000-0000-0000367B0000}"/>
    <cellStyle name="Note 2 4 2 2 3 4" xfId="6634" xr:uid="{00000000-0005-0000-0000-0000377B0000}"/>
    <cellStyle name="Note 2 4 2 2 3 4 2" xfId="25959" xr:uid="{00000000-0005-0000-0000-0000387B0000}"/>
    <cellStyle name="Note 2 4 2 2 3 5" xfId="5690" xr:uid="{00000000-0005-0000-0000-0000397B0000}"/>
    <cellStyle name="Note 2 4 2 2 4" xfId="32279" xr:uid="{00000000-0005-0000-0000-00003A7B0000}"/>
    <cellStyle name="Note 2 4 2 2 4 2" xfId="22774" xr:uid="{00000000-0005-0000-0000-00003B7B0000}"/>
    <cellStyle name="Note 2 4 2 2 4 2 2" xfId="32143" xr:uid="{00000000-0005-0000-0000-00003C7B0000}"/>
    <cellStyle name="Note 2 4 2 2 4 2 2 2" xfId="32281" xr:uid="{00000000-0005-0000-0000-00003D7B0000}"/>
    <cellStyle name="Note 2 4 2 2 4 2 3" xfId="27116" xr:uid="{00000000-0005-0000-0000-00003E7B0000}"/>
    <cellStyle name="Note 2 4 2 2 4 3" xfId="31499" xr:uid="{00000000-0005-0000-0000-00003F7B0000}"/>
    <cellStyle name="Note 2 4 2 2 4 3 2" xfId="20674" xr:uid="{00000000-0005-0000-0000-0000407B0000}"/>
    <cellStyle name="Note 2 4 2 2 4 4" xfId="31419" xr:uid="{00000000-0005-0000-0000-0000417B0000}"/>
    <cellStyle name="Note 2 4 2 2 5" xfId="30372" xr:uid="{00000000-0005-0000-0000-0000427B0000}"/>
    <cellStyle name="Note 2 4 2 2 5 2" xfId="32289" xr:uid="{00000000-0005-0000-0000-0000437B0000}"/>
    <cellStyle name="Note 2 4 2 2 5 2 2" xfId="5736" xr:uid="{00000000-0005-0000-0000-0000447B0000}"/>
    <cellStyle name="Note 2 4 2 2 5 3" xfId="21713" xr:uid="{00000000-0005-0000-0000-0000457B0000}"/>
    <cellStyle name="Note 2 4 2 2 6" xfId="34028" xr:uid="{00000000-0005-0000-0000-0000467B0000}"/>
    <cellStyle name="Note 2 4 2 2 6 2" xfId="32616" xr:uid="{00000000-0005-0000-0000-0000477B0000}"/>
    <cellStyle name="Note 2 4 2 2 7" xfId="32626" xr:uid="{00000000-0005-0000-0000-0000487B0000}"/>
    <cellStyle name="Note 2 4 2 3" xfId="6120" xr:uid="{00000000-0005-0000-0000-0000497B0000}"/>
    <cellStyle name="Note 2 4 2 3 2" xfId="13039" xr:uid="{00000000-0005-0000-0000-00004A7B0000}"/>
    <cellStyle name="Note 2 4 2 3 2 2" xfId="14197" xr:uid="{00000000-0005-0000-0000-00004B7B0000}"/>
    <cellStyle name="Note 2 4 2 3 2 2 2" xfId="24404" xr:uid="{00000000-0005-0000-0000-00004C7B0000}"/>
    <cellStyle name="Note 2 4 2 3 2 2 2 2" xfId="33972" xr:uid="{00000000-0005-0000-0000-00004D7B0000}"/>
    <cellStyle name="Note 2 4 2 3 2 2 2 2 2" xfId="32297" xr:uid="{00000000-0005-0000-0000-00004E7B0000}"/>
    <cellStyle name="Note 2 4 2 3 2 2 2 3" xfId="32912" xr:uid="{00000000-0005-0000-0000-00004F7B0000}"/>
    <cellStyle name="Note 2 4 2 3 2 2 3" xfId="32302" xr:uid="{00000000-0005-0000-0000-0000507B0000}"/>
    <cellStyle name="Note 2 4 2 3 2 2 3 2" xfId="31413" xr:uid="{00000000-0005-0000-0000-0000517B0000}"/>
    <cellStyle name="Note 2 4 2 3 2 2 4" xfId="31242" xr:uid="{00000000-0005-0000-0000-0000527B0000}"/>
    <cellStyle name="Note 2 4 2 3 2 3" xfId="1733" xr:uid="{00000000-0005-0000-0000-0000537B0000}"/>
    <cellStyle name="Note 2 4 2 3 2 3 2" xfId="7430" xr:uid="{00000000-0005-0000-0000-0000547B0000}"/>
    <cellStyle name="Note 2 4 2 3 2 3 2 2" xfId="33221" xr:uid="{00000000-0005-0000-0000-0000557B0000}"/>
    <cellStyle name="Note 2 4 2 3 2 3 3" xfId="7445" xr:uid="{00000000-0005-0000-0000-0000567B0000}"/>
    <cellStyle name="Note 2 4 2 3 2 4" xfId="1350" xr:uid="{00000000-0005-0000-0000-0000577B0000}"/>
    <cellStyle name="Note 2 4 2 3 2 4 2" xfId="7729" xr:uid="{00000000-0005-0000-0000-0000587B0000}"/>
    <cellStyle name="Note 2 4 2 3 2 5" xfId="32126" xr:uid="{00000000-0005-0000-0000-0000597B0000}"/>
    <cellStyle name="Note 2 4 2 3 3" xfId="11015" xr:uid="{00000000-0005-0000-0000-00005A7B0000}"/>
    <cellStyle name="Note 2 4 2 3 3 2" xfId="5117" xr:uid="{00000000-0005-0000-0000-00005B7B0000}"/>
    <cellStyle name="Note 2 4 2 3 3 2 2" xfId="32309" xr:uid="{00000000-0005-0000-0000-00005C7B0000}"/>
    <cellStyle name="Note 2 4 2 3 3 2 2 2" xfId="32047" xr:uid="{00000000-0005-0000-0000-00005D7B0000}"/>
    <cellStyle name="Note 2 4 2 3 3 2 3" xfId="32310" xr:uid="{00000000-0005-0000-0000-00005E7B0000}"/>
    <cellStyle name="Note 2 4 2 3 3 3" xfId="31384" xr:uid="{00000000-0005-0000-0000-00005F7B0000}"/>
    <cellStyle name="Note 2 4 2 3 3 3 2" xfId="4979" xr:uid="{00000000-0005-0000-0000-0000607B0000}"/>
    <cellStyle name="Note 2 4 2 3 3 4" xfId="32312" xr:uid="{00000000-0005-0000-0000-0000617B0000}"/>
    <cellStyle name="Note 2 4 2 3 4" xfId="10141" xr:uid="{00000000-0005-0000-0000-0000627B0000}"/>
    <cellStyle name="Note 2 4 2 3 4 2" xfId="33679" xr:uid="{00000000-0005-0000-0000-0000637B0000}"/>
    <cellStyle name="Note 2 4 2 3 4 2 2" xfId="5915" xr:uid="{00000000-0005-0000-0000-0000647B0000}"/>
    <cellStyle name="Note 2 4 2 3 4 3" xfId="32314" xr:uid="{00000000-0005-0000-0000-0000657B0000}"/>
    <cellStyle name="Note 2 4 2 3 5" xfId="27200" xr:uid="{00000000-0005-0000-0000-0000667B0000}"/>
    <cellStyle name="Note 2 4 2 3 5 2" xfId="33424" xr:uid="{00000000-0005-0000-0000-0000677B0000}"/>
    <cellStyle name="Note 2 4 2 3 6" xfId="32640" xr:uid="{00000000-0005-0000-0000-0000687B0000}"/>
    <cellStyle name="Note 2 4 2 4" xfId="905" xr:uid="{00000000-0005-0000-0000-0000697B0000}"/>
    <cellStyle name="Note 2 4 2 4 2" xfId="11026" xr:uid="{00000000-0005-0000-0000-00006A7B0000}"/>
    <cellStyle name="Note 2 4 2 4 2 2" xfId="33275" xr:uid="{00000000-0005-0000-0000-00006B7B0000}"/>
    <cellStyle name="Note 2 4 2 4 2 2 2" xfId="21586" xr:uid="{00000000-0005-0000-0000-00006C7B0000}"/>
    <cellStyle name="Note 2 4 2 4 2 2 2 2" xfId="31554" xr:uid="{00000000-0005-0000-0000-00006D7B0000}"/>
    <cellStyle name="Note 2 4 2 4 2 2 3" xfId="32057" xr:uid="{00000000-0005-0000-0000-00006E7B0000}"/>
    <cellStyle name="Note 2 4 2 4 2 3" xfId="32787" xr:uid="{00000000-0005-0000-0000-00006F7B0000}"/>
    <cellStyle name="Note 2 4 2 4 2 3 2" xfId="3373" xr:uid="{00000000-0005-0000-0000-0000707B0000}"/>
    <cellStyle name="Note 2 4 2 4 2 4" xfId="28360" xr:uid="{00000000-0005-0000-0000-0000717B0000}"/>
    <cellStyle name="Note 2 4 2 4 3" xfId="24132" xr:uid="{00000000-0005-0000-0000-0000727B0000}"/>
    <cellStyle name="Note 2 4 2 4 3 2" xfId="24264" xr:uid="{00000000-0005-0000-0000-0000737B0000}"/>
    <cellStyle name="Note 2 4 2 4 3 2 2" xfId="32318" xr:uid="{00000000-0005-0000-0000-0000747B0000}"/>
    <cellStyle name="Note 2 4 2 4 3 3" xfId="26976" xr:uid="{00000000-0005-0000-0000-0000757B0000}"/>
    <cellStyle name="Note 2 4 2 4 4" xfId="26979" xr:uid="{00000000-0005-0000-0000-0000767B0000}"/>
    <cellStyle name="Note 2 4 2 4 4 2" xfId="28258" xr:uid="{00000000-0005-0000-0000-0000777B0000}"/>
    <cellStyle name="Note 2 4 2 4 5" xfId="26986" xr:uid="{00000000-0005-0000-0000-0000787B0000}"/>
    <cellStyle name="Note 2 4 2 5" xfId="29269" xr:uid="{00000000-0005-0000-0000-0000797B0000}"/>
    <cellStyle name="Note 2 4 2 5 2" xfId="24142" xr:uid="{00000000-0005-0000-0000-00007A7B0000}"/>
    <cellStyle name="Note 2 4 2 5 2 2" xfId="27225" xr:uid="{00000000-0005-0000-0000-00007B7B0000}"/>
    <cellStyle name="Note 2 4 2 5 2 2 2" xfId="32877" xr:uid="{00000000-0005-0000-0000-00007C7B0000}"/>
    <cellStyle name="Note 2 4 2 5 2 3" xfId="33890" xr:uid="{00000000-0005-0000-0000-00007D7B0000}"/>
    <cellStyle name="Note 2 4 2 5 3" xfId="22816" xr:uid="{00000000-0005-0000-0000-00007E7B0000}"/>
    <cellStyle name="Note 2 4 2 5 3 2" xfId="1478" xr:uid="{00000000-0005-0000-0000-00007F7B0000}"/>
    <cellStyle name="Note 2 4 2 5 4" xfId="19387" xr:uid="{00000000-0005-0000-0000-0000807B0000}"/>
    <cellStyle name="Note 2 4 2 6" xfId="22338" xr:uid="{00000000-0005-0000-0000-0000817B0000}"/>
    <cellStyle name="Note 2 4 2 6 2" xfId="30987" xr:uid="{00000000-0005-0000-0000-0000827B0000}"/>
    <cellStyle name="Note 2 4 2 6 2 2" xfId="26699" xr:uid="{00000000-0005-0000-0000-0000837B0000}"/>
    <cellStyle name="Note 2 4 2 6 3" xfId="26579" xr:uid="{00000000-0005-0000-0000-0000847B0000}"/>
    <cellStyle name="Note 2 4 2 7" xfId="22745" xr:uid="{00000000-0005-0000-0000-0000857B0000}"/>
    <cellStyle name="Note 2 4 2 7 2" xfId="27294" xr:uid="{00000000-0005-0000-0000-0000867B0000}"/>
    <cellStyle name="Note 2 4 2 8" xfId="27680" xr:uid="{00000000-0005-0000-0000-0000877B0000}"/>
    <cellStyle name="Note 2 4 3" xfId="27153" xr:uid="{00000000-0005-0000-0000-0000887B0000}"/>
    <cellStyle name="Note 2 4 3 2" xfId="10089" xr:uid="{00000000-0005-0000-0000-0000897B0000}"/>
    <cellStyle name="Note 2 4 3 2 2" xfId="27159" xr:uid="{00000000-0005-0000-0000-00008A7B0000}"/>
    <cellStyle name="Note 2 4 3 2 2 2" xfId="25933" xr:uid="{00000000-0005-0000-0000-00008B7B0000}"/>
    <cellStyle name="Note 2 4 3 2 2 2 2" xfId="33995" xr:uid="{00000000-0005-0000-0000-00008C7B0000}"/>
    <cellStyle name="Note 2 4 3 2 2 2 2 2" xfId="30117" xr:uid="{00000000-0005-0000-0000-00008D7B0000}"/>
    <cellStyle name="Note 2 4 3 2 2 2 2 2 2" xfId="31175" xr:uid="{00000000-0005-0000-0000-00008E7B0000}"/>
    <cellStyle name="Note 2 4 3 2 2 2 2 3" xfId="30445" xr:uid="{00000000-0005-0000-0000-00008F7B0000}"/>
    <cellStyle name="Note 2 4 3 2 2 2 3" xfId="32518" xr:uid="{00000000-0005-0000-0000-0000907B0000}"/>
    <cellStyle name="Note 2 4 3 2 2 2 3 2" xfId="17520" xr:uid="{00000000-0005-0000-0000-0000917B0000}"/>
    <cellStyle name="Note 2 4 3 2 2 2 4" xfId="19182" xr:uid="{00000000-0005-0000-0000-0000927B0000}"/>
    <cellStyle name="Note 2 4 3 2 2 3" xfId="33830" xr:uid="{00000000-0005-0000-0000-0000937B0000}"/>
    <cellStyle name="Note 2 4 3 2 2 3 2" xfId="32634" xr:uid="{00000000-0005-0000-0000-0000947B0000}"/>
    <cellStyle name="Note 2 4 3 2 2 3 2 2" xfId="32323" xr:uid="{00000000-0005-0000-0000-0000957B0000}"/>
    <cellStyle name="Note 2 4 3 2 2 3 3" xfId="32655" xr:uid="{00000000-0005-0000-0000-0000967B0000}"/>
    <cellStyle name="Note 2 4 3 2 2 4" xfId="7082" xr:uid="{00000000-0005-0000-0000-0000977B0000}"/>
    <cellStyle name="Note 2 4 3 2 2 4 2" xfId="32660" xr:uid="{00000000-0005-0000-0000-0000987B0000}"/>
    <cellStyle name="Note 2 4 3 2 2 5" xfId="34005" xr:uid="{00000000-0005-0000-0000-0000997B0000}"/>
    <cellStyle name="Note 2 4 3 2 3" xfId="33686" xr:uid="{00000000-0005-0000-0000-00009A7B0000}"/>
    <cellStyle name="Note 2 4 3 2 3 2" xfId="32677" xr:uid="{00000000-0005-0000-0000-00009B7B0000}"/>
    <cellStyle name="Note 2 4 3 2 3 2 2" xfId="33654" xr:uid="{00000000-0005-0000-0000-00009C7B0000}"/>
    <cellStyle name="Note 2 4 3 2 3 2 2 2" xfId="32770" xr:uid="{00000000-0005-0000-0000-00009D7B0000}"/>
    <cellStyle name="Note 2 4 3 2 3 2 3" xfId="32687" xr:uid="{00000000-0005-0000-0000-00009E7B0000}"/>
    <cellStyle name="Note 2 4 3 2 3 3" xfId="32691" xr:uid="{00000000-0005-0000-0000-00009F7B0000}"/>
    <cellStyle name="Note 2 4 3 2 3 3 2" xfId="19165" xr:uid="{00000000-0005-0000-0000-0000A07B0000}"/>
    <cellStyle name="Note 2 4 3 2 3 4" xfId="27438" xr:uid="{00000000-0005-0000-0000-0000A17B0000}"/>
    <cellStyle name="Note 2 4 3 2 4" xfId="20863" xr:uid="{00000000-0005-0000-0000-0000A27B0000}"/>
    <cellStyle name="Note 2 4 3 2 4 2" xfId="32555" xr:uid="{00000000-0005-0000-0000-0000A37B0000}"/>
    <cellStyle name="Note 2 4 3 2 4 2 2" xfId="33659" xr:uid="{00000000-0005-0000-0000-0000A47B0000}"/>
    <cellStyle name="Note 2 4 3 2 4 3" xfId="32714" xr:uid="{00000000-0005-0000-0000-0000A57B0000}"/>
    <cellStyle name="Note 2 4 3 2 5" xfId="32337" xr:uid="{00000000-0005-0000-0000-0000A67B0000}"/>
    <cellStyle name="Note 2 4 3 2 5 2" xfId="32730" xr:uid="{00000000-0005-0000-0000-0000A77B0000}"/>
    <cellStyle name="Note 2 4 3 2 6" xfId="21067" xr:uid="{00000000-0005-0000-0000-0000A87B0000}"/>
    <cellStyle name="Note 2 4 3 3" xfId="27161" xr:uid="{00000000-0005-0000-0000-0000A97B0000}"/>
    <cellStyle name="Note 2 4 3 3 2" xfId="13890" xr:uid="{00000000-0005-0000-0000-0000AA7B0000}"/>
    <cellStyle name="Note 2 4 3 3 2 2" xfId="33311" xr:uid="{00000000-0005-0000-0000-0000AB7B0000}"/>
    <cellStyle name="Note 2 4 3 3 2 2 2" xfId="33878" xr:uid="{00000000-0005-0000-0000-0000AC7B0000}"/>
    <cellStyle name="Note 2 4 3 3 2 2 2 2" xfId="4546" xr:uid="{00000000-0005-0000-0000-0000AD7B0000}"/>
    <cellStyle name="Note 2 4 3 3 2 2 3" xfId="32957" xr:uid="{00000000-0005-0000-0000-0000AE7B0000}"/>
    <cellStyle name="Note 2 4 3 3 2 3" xfId="30178" xr:uid="{00000000-0005-0000-0000-0000AF7B0000}"/>
    <cellStyle name="Note 2 4 3 3 2 3 2" xfId="23740" xr:uid="{00000000-0005-0000-0000-0000B07B0000}"/>
    <cellStyle name="Note 2 4 3 3 2 4" xfId="32909" xr:uid="{00000000-0005-0000-0000-0000B17B0000}"/>
    <cellStyle name="Note 2 4 3 3 3" xfId="9867" xr:uid="{00000000-0005-0000-0000-0000B27B0000}"/>
    <cellStyle name="Note 2 4 3 3 3 2" xfId="33368" xr:uid="{00000000-0005-0000-0000-0000B37B0000}"/>
    <cellStyle name="Note 2 4 3 3 3 2 2" xfId="33482" xr:uid="{00000000-0005-0000-0000-0000B47B0000}"/>
    <cellStyle name="Note 2 4 3 3 3 3" xfId="32914" xr:uid="{00000000-0005-0000-0000-0000B57B0000}"/>
    <cellStyle name="Note 2 4 3 3 4" xfId="23818" xr:uid="{00000000-0005-0000-0000-0000B67B0000}"/>
    <cellStyle name="Note 2 4 3 3 4 2" xfId="33434" xr:uid="{00000000-0005-0000-0000-0000B77B0000}"/>
    <cellStyle name="Note 2 4 3 3 5" xfId="32343" xr:uid="{00000000-0005-0000-0000-0000B87B0000}"/>
    <cellStyle name="Note 2 4 3 4" xfId="26255" xr:uid="{00000000-0005-0000-0000-0000B97B0000}"/>
    <cellStyle name="Note 2 4 3 4 2" xfId="24163" xr:uid="{00000000-0005-0000-0000-0000BA7B0000}"/>
    <cellStyle name="Note 2 4 3 4 2 2" xfId="33280" xr:uid="{00000000-0005-0000-0000-0000BB7B0000}"/>
    <cellStyle name="Note 2 4 3 4 2 2 2" xfId="17799" xr:uid="{00000000-0005-0000-0000-0000BC7B0000}"/>
    <cellStyle name="Note 2 4 3 4 2 3" xfId="28721" xr:uid="{00000000-0005-0000-0000-0000BD7B0000}"/>
    <cellStyle name="Note 2 4 3 4 3" xfId="23312" xr:uid="{00000000-0005-0000-0000-0000BE7B0000}"/>
    <cellStyle name="Note 2 4 3 4 3 2" xfId="26998" xr:uid="{00000000-0005-0000-0000-0000BF7B0000}"/>
    <cellStyle name="Note 2 4 3 4 4" xfId="26559" xr:uid="{00000000-0005-0000-0000-0000C07B0000}"/>
    <cellStyle name="Note 2 4 3 5" xfId="19566" xr:uid="{00000000-0005-0000-0000-0000C17B0000}"/>
    <cellStyle name="Note 2 4 3 5 2" xfId="30983" xr:uid="{00000000-0005-0000-0000-0000C27B0000}"/>
    <cellStyle name="Note 2 4 3 5 2 2" xfId="34014" xr:uid="{00000000-0005-0000-0000-0000C37B0000}"/>
    <cellStyle name="Note 2 4 3 5 3" xfId="26597" xr:uid="{00000000-0005-0000-0000-0000C47B0000}"/>
    <cellStyle name="Note 2 4 3 6" xfId="17586" xr:uid="{00000000-0005-0000-0000-0000C57B0000}"/>
    <cellStyle name="Note 2 4 3 6 2" xfId="33594" xr:uid="{00000000-0005-0000-0000-0000C67B0000}"/>
    <cellStyle name="Note 2 4 3 7" xfId="32893" xr:uid="{00000000-0005-0000-0000-0000C77B0000}"/>
    <cellStyle name="Note 2 4 4" xfId="19117" xr:uid="{00000000-0005-0000-0000-0000C87B0000}"/>
    <cellStyle name="Note 2 4 4 2" xfId="1690" xr:uid="{00000000-0005-0000-0000-0000C97B0000}"/>
    <cellStyle name="Note 2 4 4 2 2" xfId="883" xr:uid="{00000000-0005-0000-0000-0000CA7B0000}"/>
    <cellStyle name="Note 2 4 4 2 2 2" xfId="30443" xr:uid="{00000000-0005-0000-0000-0000CB7B0000}"/>
    <cellStyle name="Note 2 4 4 2 2 2 2" xfId="24084" xr:uid="{00000000-0005-0000-0000-0000CC7B0000}"/>
    <cellStyle name="Note 2 4 4 2 2 2 2 2" xfId="28127" xr:uid="{00000000-0005-0000-0000-0000CD7B0000}"/>
    <cellStyle name="Note 2 4 4 2 2 2 3" xfId="28128" xr:uid="{00000000-0005-0000-0000-0000CE7B0000}"/>
    <cellStyle name="Note 2 4 4 2 2 3" xfId="30449" xr:uid="{00000000-0005-0000-0000-0000CF7B0000}"/>
    <cellStyle name="Note 2 4 4 2 2 3 2" xfId="20314" xr:uid="{00000000-0005-0000-0000-0000D07B0000}"/>
    <cellStyle name="Note 2 4 4 2 2 4" xfId="32449" xr:uid="{00000000-0005-0000-0000-0000D17B0000}"/>
    <cellStyle name="Note 2 4 4 2 3" xfId="30205" xr:uid="{00000000-0005-0000-0000-0000D27B0000}"/>
    <cellStyle name="Note 2 4 4 2 3 2" xfId="32359" xr:uid="{00000000-0005-0000-0000-0000D37B0000}"/>
    <cellStyle name="Note 2 4 4 2 3 2 2" xfId="22384" xr:uid="{00000000-0005-0000-0000-0000D47B0000}"/>
    <cellStyle name="Note 2 4 4 2 3 3" xfId="32360" xr:uid="{00000000-0005-0000-0000-0000D57B0000}"/>
    <cellStyle name="Note 2 4 4 2 4" xfId="32365" xr:uid="{00000000-0005-0000-0000-0000D67B0000}"/>
    <cellStyle name="Note 2 4 4 2 4 2" xfId="27207" xr:uid="{00000000-0005-0000-0000-0000D77B0000}"/>
    <cellStyle name="Note 2 4 4 2 5" xfId="31022" xr:uid="{00000000-0005-0000-0000-0000D87B0000}"/>
    <cellStyle name="Note 2 4 4 3" xfId="33107" xr:uid="{00000000-0005-0000-0000-0000D97B0000}"/>
    <cellStyle name="Note 2 4 4 3 2" xfId="10370" xr:uid="{00000000-0005-0000-0000-0000DA7B0000}"/>
    <cellStyle name="Note 2 4 4 3 2 2" xfId="29395" xr:uid="{00000000-0005-0000-0000-0000DB7B0000}"/>
    <cellStyle name="Note 2 4 4 3 2 2 2" xfId="20954" xr:uid="{00000000-0005-0000-0000-0000DC7B0000}"/>
    <cellStyle name="Note 2 4 4 3 2 3" xfId="32871" xr:uid="{00000000-0005-0000-0000-0000DD7B0000}"/>
    <cellStyle name="Note 2 4 4 3 3" xfId="29402" xr:uid="{00000000-0005-0000-0000-0000DE7B0000}"/>
    <cellStyle name="Note 2 4 4 3 3 2" xfId="29406" xr:uid="{00000000-0005-0000-0000-0000DF7B0000}"/>
    <cellStyle name="Note 2 4 4 3 4" xfId="29409" xr:uid="{00000000-0005-0000-0000-0000E07B0000}"/>
    <cellStyle name="Note 2 4 4 4" xfId="6395" xr:uid="{00000000-0005-0000-0000-0000E17B0000}"/>
    <cellStyle name="Note 2 4 4 4 2" xfId="32416" xr:uid="{00000000-0005-0000-0000-0000E27B0000}"/>
    <cellStyle name="Note 2 4 4 4 2 2" xfId="32419" xr:uid="{00000000-0005-0000-0000-0000E37B0000}"/>
    <cellStyle name="Note 2 4 4 4 3" xfId="27005" xr:uid="{00000000-0005-0000-0000-0000E47B0000}"/>
    <cellStyle name="Note 2 4 4 5" xfId="31263" xr:uid="{00000000-0005-0000-0000-0000E57B0000}"/>
    <cellStyle name="Note 2 4 4 5 2" xfId="32430" xr:uid="{00000000-0005-0000-0000-0000E67B0000}"/>
    <cellStyle name="Note 2 4 4 6" xfId="31270" xr:uid="{00000000-0005-0000-0000-0000E77B0000}"/>
    <cellStyle name="Note 2 4 5" xfId="22801" xr:uid="{00000000-0005-0000-0000-0000E87B0000}"/>
    <cellStyle name="Note 2 4 5 2" xfId="27986" xr:uid="{00000000-0005-0000-0000-0000E97B0000}"/>
    <cellStyle name="Note 2 4 5 2 2" xfId="18221" xr:uid="{00000000-0005-0000-0000-0000EA7B0000}"/>
    <cellStyle name="Note 2 4 5 2 2 2" xfId="32403" xr:uid="{00000000-0005-0000-0000-0000EB7B0000}"/>
    <cellStyle name="Note 2 4 5 2 2 2 2" xfId="9674" xr:uid="{00000000-0005-0000-0000-0000EC7B0000}"/>
    <cellStyle name="Note 2 4 5 2 2 3" xfId="32404" xr:uid="{00000000-0005-0000-0000-0000ED7B0000}"/>
    <cellStyle name="Note 2 4 5 2 3" xfId="3339" xr:uid="{00000000-0005-0000-0000-0000EE7B0000}"/>
    <cellStyle name="Note 2 4 5 2 3 2" xfId="61" xr:uid="{00000000-0005-0000-0000-0000EF7B0000}"/>
    <cellStyle name="Note 2 4 5 2 4" xfId="32838" xr:uid="{00000000-0005-0000-0000-0000F07B0000}"/>
    <cellStyle name="Note 2 4 5 3" xfId="29653" xr:uid="{00000000-0005-0000-0000-0000F17B0000}"/>
    <cellStyle name="Note 2 4 5 3 2" xfId="22832" xr:uid="{00000000-0005-0000-0000-0000F27B0000}"/>
    <cellStyle name="Note 2 4 5 3 2 2" xfId="32936" xr:uid="{00000000-0005-0000-0000-0000F37B0000}"/>
    <cellStyle name="Note 2 4 5 3 3" xfId="33310" xr:uid="{00000000-0005-0000-0000-0000F47B0000}"/>
    <cellStyle name="Note 2 4 5 4" xfId="31604" xr:uid="{00000000-0005-0000-0000-0000F57B0000}"/>
    <cellStyle name="Note 2 4 5 4 2" xfId="27590" xr:uid="{00000000-0005-0000-0000-0000F67B0000}"/>
    <cellStyle name="Note 2 4 5 5" xfId="31258" xr:uid="{00000000-0005-0000-0000-0000F77B0000}"/>
    <cellStyle name="Note 2 4 6" xfId="16778" xr:uid="{00000000-0005-0000-0000-0000F87B0000}"/>
    <cellStyle name="Note 2 4 6 2" xfId="30880" xr:uid="{00000000-0005-0000-0000-0000F97B0000}"/>
    <cellStyle name="Note 2 4 6 2 2" xfId="22895" xr:uid="{00000000-0005-0000-0000-0000FA7B0000}"/>
    <cellStyle name="Note 2 4 6 2 2 2" xfId="32982" xr:uid="{00000000-0005-0000-0000-0000FB7B0000}"/>
    <cellStyle name="Note 2 4 6 2 3" xfId="32716" xr:uid="{00000000-0005-0000-0000-0000FC7B0000}"/>
    <cellStyle name="Note 2 4 6 3" xfId="31608" xr:uid="{00000000-0005-0000-0000-0000FD7B0000}"/>
    <cellStyle name="Note 2 4 6 3 2" xfId="536" xr:uid="{00000000-0005-0000-0000-0000FE7B0000}"/>
    <cellStyle name="Note 2 4 6 4" xfId="21950" xr:uid="{00000000-0005-0000-0000-0000FF7B0000}"/>
    <cellStyle name="Note 2 4 7" xfId="19646" xr:uid="{00000000-0005-0000-0000-0000007C0000}"/>
    <cellStyle name="Note 2 4 7 2" xfId="33008" xr:uid="{00000000-0005-0000-0000-0000017C0000}"/>
    <cellStyle name="Note 2 4 7 2 2" xfId="1271" xr:uid="{00000000-0005-0000-0000-0000027C0000}"/>
    <cellStyle name="Note 2 4 7 3" xfId="32411" xr:uid="{00000000-0005-0000-0000-0000037C0000}"/>
    <cellStyle name="Note 2 4 8" xfId="30663" xr:uid="{00000000-0005-0000-0000-0000047C0000}"/>
    <cellStyle name="Note 2 4 8 2" xfId="32890" xr:uid="{00000000-0005-0000-0000-0000057C0000}"/>
    <cellStyle name="Note 2 4 9" xfId="30525" xr:uid="{00000000-0005-0000-0000-0000067C0000}"/>
    <cellStyle name="Note 2 5" xfId="4290" xr:uid="{00000000-0005-0000-0000-0000077C0000}"/>
    <cellStyle name="Note 2 5 2" xfId="6399" xr:uid="{00000000-0005-0000-0000-0000087C0000}"/>
    <cellStyle name="Note 2 5 2 2" xfId="10033" xr:uid="{00000000-0005-0000-0000-0000097C0000}"/>
    <cellStyle name="Note 2 5 2 2 2" xfId="6401" xr:uid="{00000000-0005-0000-0000-00000A7C0000}"/>
    <cellStyle name="Note 2 5 2 2 2 2" xfId="21092" xr:uid="{00000000-0005-0000-0000-00000B7C0000}"/>
    <cellStyle name="Note 2 5 2 2 2 2 2" xfId="29301" xr:uid="{00000000-0005-0000-0000-00000C7C0000}"/>
    <cellStyle name="Note 2 5 2 2 2 2 2 2" xfId="28077" xr:uid="{00000000-0005-0000-0000-00000D7C0000}"/>
    <cellStyle name="Note 2 5 2 2 2 2 2 2 2" xfId="29860" xr:uid="{00000000-0005-0000-0000-00000E7C0000}"/>
    <cellStyle name="Note 2 5 2 2 2 2 2 3" xfId="22732" xr:uid="{00000000-0005-0000-0000-00000F7C0000}"/>
    <cellStyle name="Note 2 5 2 2 2 2 3" xfId="11797" xr:uid="{00000000-0005-0000-0000-0000107C0000}"/>
    <cellStyle name="Note 2 5 2 2 2 2 3 2" xfId="28424" xr:uid="{00000000-0005-0000-0000-0000117C0000}"/>
    <cellStyle name="Note 2 5 2 2 2 2 4" xfId="28829" xr:uid="{00000000-0005-0000-0000-0000127C0000}"/>
    <cellStyle name="Note 2 5 2 2 2 3" xfId="32432" xr:uid="{00000000-0005-0000-0000-0000137C0000}"/>
    <cellStyle name="Note 2 5 2 2 2 3 2" xfId="26220" xr:uid="{00000000-0005-0000-0000-0000147C0000}"/>
    <cellStyle name="Note 2 5 2 2 2 3 2 2" xfId="30958" xr:uid="{00000000-0005-0000-0000-0000157C0000}"/>
    <cellStyle name="Note 2 5 2 2 2 3 3" xfId="32444" xr:uid="{00000000-0005-0000-0000-0000167C0000}"/>
    <cellStyle name="Note 2 5 2 2 2 4" xfId="6327" xr:uid="{00000000-0005-0000-0000-0000177C0000}"/>
    <cellStyle name="Note 2 5 2 2 2 4 2" xfId="30978" xr:uid="{00000000-0005-0000-0000-0000187C0000}"/>
    <cellStyle name="Note 2 5 2 2 2 5" xfId="22171" xr:uid="{00000000-0005-0000-0000-0000197C0000}"/>
    <cellStyle name="Note 2 5 2 2 3" xfId="26175" xr:uid="{00000000-0005-0000-0000-00001A7C0000}"/>
    <cellStyle name="Note 2 5 2 2 3 2" xfId="32453" xr:uid="{00000000-0005-0000-0000-00001B7C0000}"/>
    <cellStyle name="Note 2 5 2 2 3 2 2" xfId="32455" xr:uid="{00000000-0005-0000-0000-00001C7C0000}"/>
    <cellStyle name="Note 2 5 2 2 3 2 2 2" xfId="32301" xr:uid="{00000000-0005-0000-0000-00001D7C0000}"/>
    <cellStyle name="Note 2 5 2 2 3 2 3" xfId="33807" xr:uid="{00000000-0005-0000-0000-00001E7C0000}"/>
    <cellStyle name="Note 2 5 2 2 3 3" xfId="32457" xr:uid="{00000000-0005-0000-0000-00001F7C0000}"/>
    <cellStyle name="Note 2 5 2 2 3 3 2" xfId="29429" xr:uid="{00000000-0005-0000-0000-0000207C0000}"/>
    <cellStyle name="Note 2 5 2 2 3 4" xfId="30760" xr:uid="{00000000-0005-0000-0000-0000217C0000}"/>
    <cellStyle name="Note 2 5 2 2 4" xfId="11887" xr:uid="{00000000-0005-0000-0000-0000227C0000}"/>
    <cellStyle name="Note 2 5 2 2 4 2" xfId="33792" xr:uid="{00000000-0005-0000-0000-0000237C0000}"/>
    <cellStyle name="Note 2 5 2 2 4 2 2" xfId="33832" xr:uid="{00000000-0005-0000-0000-0000247C0000}"/>
    <cellStyle name="Note 2 5 2 2 4 3" xfId="32459" xr:uid="{00000000-0005-0000-0000-0000257C0000}"/>
    <cellStyle name="Note 2 5 2 2 5" xfId="31897" xr:uid="{00000000-0005-0000-0000-0000267C0000}"/>
    <cellStyle name="Note 2 5 2 2 5 2" xfId="28146" xr:uid="{00000000-0005-0000-0000-0000277C0000}"/>
    <cellStyle name="Note 2 5 2 2 6" xfId="33732" xr:uid="{00000000-0005-0000-0000-0000287C0000}"/>
    <cellStyle name="Note 2 5 2 3" xfId="6406" xr:uid="{00000000-0005-0000-0000-0000297C0000}"/>
    <cellStyle name="Note 2 5 2 3 2" xfId="11061" xr:uid="{00000000-0005-0000-0000-00002A7C0000}"/>
    <cellStyle name="Note 2 5 2 3 2 2" xfId="33255" xr:uid="{00000000-0005-0000-0000-00002B7C0000}"/>
    <cellStyle name="Note 2 5 2 3 2 2 2" xfId="33323" xr:uid="{00000000-0005-0000-0000-00002C7C0000}"/>
    <cellStyle name="Note 2 5 2 3 2 2 2 2" xfId="32519" xr:uid="{00000000-0005-0000-0000-00002D7C0000}"/>
    <cellStyle name="Note 2 5 2 3 2 2 3" xfId="32523" xr:uid="{00000000-0005-0000-0000-00002E7C0000}"/>
    <cellStyle name="Note 2 5 2 3 2 3" xfId="4322" xr:uid="{00000000-0005-0000-0000-00002F7C0000}"/>
    <cellStyle name="Note 2 5 2 3 2 3 2" xfId="22609" xr:uid="{00000000-0005-0000-0000-0000307C0000}"/>
    <cellStyle name="Note 2 5 2 3 2 4" xfId="30437" xr:uid="{00000000-0005-0000-0000-0000317C0000}"/>
    <cellStyle name="Note 2 5 2 3 3" xfId="9607" xr:uid="{00000000-0005-0000-0000-0000327C0000}"/>
    <cellStyle name="Note 2 5 2 3 3 2" xfId="32463" xr:uid="{00000000-0005-0000-0000-0000337C0000}"/>
    <cellStyle name="Note 2 5 2 3 3 2 2" xfId="32465" xr:uid="{00000000-0005-0000-0000-0000347C0000}"/>
    <cellStyle name="Note 2 5 2 3 3 3" xfId="32466" xr:uid="{00000000-0005-0000-0000-0000357C0000}"/>
    <cellStyle name="Note 2 5 2 3 4" xfId="30212" xr:uid="{00000000-0005-0000-0000-0000367C0000}"/>
    <cellStyle name="Note 2 5 2 3 4 2" xfId="33328" xr:uid="{00000000-0005-0000-0000-0000377C0000}"/>
    <cellStyle name="Note 2 5 2 3 5" xfId="27648" xr:uid="{00000000-0005-0000-0000-0000387C0000}"/>
    <cellStyle name="Note 2 5 2 4" xfId="32807" xr:uid="{00000000-0005-0000-0000-0000397C0000}"/>
    <cellStyle name="Note 2 5 2 4 2" xfId="11066" xr:uid="{00000000-0005-0000-0000-00003A7C0000}"/>
    <cellStyle name="Note 2 5 2 4 2 2" xfId="33997" xr:uid="{00000000-0005-0000-0000-00003B7C0000}"/>
    <cellStyle name="Note 2 5 2 4 2 2 2" xfId="33014" xr:uid="{00000000-0005-0000-0000-00003C7C0000}"/>
    <cellStyle name="Note 2 5 2 4 2 3" xfId="32539" xr:uid="{00000000-0005-0000-0000-00003D7C0000}"/>
    <cellStyle name="Note 2 5 2 4 3" xfId="27033" xr:uid="{00000000-0005-0000-0000-00003E7C0000}"/>
    <cellStyle name="Note 2 5 2 4 3 2" xfId="29390" xr:uid="{00000000-0005-0000-0000-00003F7C0000}"/>
    <cellStyle name="Note 2 5 2 4 4" xfId="22305" xr:uid="{00000000-0005-0000-0000-0000407C0000}"/>
    <cellStyle name="Note 2 5 2 5" xfId="33063" xr:uid="{00000000-0005-0000-0000-0000417C0000}"/>
    <cellStyle name="Note 2 5 2 5 2" xfId="33397" xr:uid="{00000000-0005-0000-0000-0000427C0000}"/>
    <cellStyle name="Note 2 5 2 5 2 2" xfId="33069" xr:uid="{00000000-0005-0000-0000-0000437C0000}"/>
    <cellStyle name="Note 2 5 2 5 3" xfId="21625" xr:uid="{00000000-0005-0000-0000-0000447C0000}"/>
    <cellStyle name="Note 2 5 2 6" xfId="22527" xr:uid="{00000000-0005-0000-0000-0000457C0000}"/>
    <cellStyle name="Note 2 5 2 6 2" xfId="11997" xr:uid="{00000000-0005-0000-0000-0000467C0000}"/>
    <cellStyle name="Note 2 5 2 7" xfId="33100" xr:uid="{00000000-0005-0000-0000-0000477C0000}"/>
    <cellStyle name="Note 2 5 3" xfId="27876" xr:uid="{00000000-0005-0000-0000-0000487C0000}"/>
    <cellStyle name="Note 2 5 3 2" xfId="24494" xr:uid="{00000000-0005-0000-0000-0000497C0000}"/>
    <cellStyle name="Note 2 5 3 2 2" xfId="33898" xr:uid="{00000000-0005-0000-0000-00004A7C0000}"/>
    <cellStyle name="Note 2 5 3 2 2 2" xfId="33811" xr:uid="{00000000-0005-0000-0000-00004B7C0000}"/>
    <cellStyle name="Note 2 5 3 2 2 2 2" xfId="30644" xr:uid="{00000000-0005-0000-0000-00004C7C0000}"/>
    <cellStyle name="Note 2 5 3 2 2 2 2 2" xfId="29305" xr:uid="{00000000-0005-0000-0000-00004D7C0000}"/>
    <cellStyle name="Note 2 5 3 2 2 2 3" xfId="33042" xr:uid="{00000000-0005-0000-0000-00004E7C0000}"/>
    <cellStyle name="Note 2 5 3 2 2 3" xfId="33814" xr:uid="{00000000-0005-0000-0000-00004F7C0000}"/>
    <cellStyle name="Note 2 5 3 2 2 3 2" xfId="31426" xr:uid="{00000000-0005-0000-0000-0000507C0000}"/>
    <cellStyle name="Note 2 5 3 2 2 4" xfId="33046" xr:uid="{00000000-0005-0000-0000-0000517C0000}"/>
    <cellStyle name="Note 2 5 3 2 3" xfId="32467" xr:uid="{00000000-0005-0000-0000-0000527C0000}"/>
    <cellStyle name="Note 2 5 3 2 3 2" xfId="32468" xr:uid="{00000000-0005-0000-0000-0000537C0000}"/>
    <cellStyle name="Note 2 5 3 2 3 2 2" xfId="32475" xr:uid="{00000000-0005-0000-0000-0000547C0000}"/>
    <cellStyle name="Note 2 5 3 2 3 3" xfId="32477" xr:uid="{00000000-0005-0000-0000-0000557C0000}"/>
    <cellStyle name="Note 2 5 3 2 4" xfId="30268" xr:uid="{00000000-0005-0000-0000-0000567C0000}"/>
    <cellStyle name="Note 2 5 3 2 4 2" xfId="20434" xr:uid="{00000000-0005-0000-0000-0000577C0000}"/>
    <cellStyle name="Note 2 5 3 2 5" xfId="26896" xr:uid="{00000000-0005-0000-0000-0000587C0000}"/>
    <cellStyle name="Note 2 5 3 3" xfId="32481" xr:uid="{00000000-0005-0000-0000-0000597C0000}"/>
    <cellStyle name="Note 2 5 3 3 2" xfId="248" xr:uid="{00000000-0005-0000-0000-00005A7C0000}"/>
    <cellStyle name="Note 2 5 3 3 2 2" xfId="33849" xr:uid="{00000000-0005-0000-0000-00005B7C0000}"/>
    <cellStyle name="Note 2 5 3 3 2 2 2" xfId="33082" xr:uid="{00000000-0005-0000-0000-00005C7C0000}"/>
    <cellStyle name="Note 2 5 3 3 2 3" xfId="33030" xr:uid="{00000000-0005-0000-0000-00005D7C0000}"/>
    <cellStyle name="Note 2 5 3 3 3" xfId="32482" xr:uid="{00000000-0005-0000-0000-00005E7C0000}"/>
    <cellStyle name="Note 2 5 3 3 3 2" xfId="30669" xr:uid="{00000000-0005-0000-0000-00005F7C0000}"/>
    <cellStyle name="Note 2 5 3 3 4" xfId="30468" xr:uid="{00000000-0005-0000-0000-0000607C0000}"/>
    <cellStyle name="Note 2 5 3 4" xfId="18965" xr:uid="{00000000-0005-0000-0000-0000617C0000}"/>
    <cellStyle name="Note 2 5 3 4 2" xfId="33111" xr:uid="{00000000-0005-0000-0000-0000627C0000}"/>
    <cellStyle name="Note 2 5 3 4 2 2" xfId="33589" xr:uid="{00000000-0005-0000-0000-0000637C0000}"/>
    <cellStyle name="Note 2 5 3 4 3" xfId="22937" xr:uid="{00000000-0005-0000-0000-0000647C0000}"/>
    <cellStyle name="Note 2 5 3 5" xfId="18967" xr:uid="{00000000-0005-0000-0000-0000657C0000}"/>
    <cellStyle name="Note 2 5 3 5 2" xfId="30517" xr:uid="{00000000-0005-0000-0000-0000667C0000}"/>
    <cellStyle name="Note 2 5 3 6" xfId="18969" xr:uid="{00000000-0005-0000-0000-0000677C0000}"/>
    <cellStyle name="Note 2 5 4" xfId="19867" xr:uid="{00000000-0005-0000-0000-0000687C0000}"/>
    <cellStyle name="Note 2 5 4 2" xfId="32483" xr:uid="{00000000-0005-0000-0000-0000697C0000}"/>
    <cellStyle name="Note 2 5 4 2 2" xfId="32485" xr:uid="{00000000-0005-0000-0000-00006A7C0000}"/>
    <cellStyle name="Note 2 5 4 2 2 2" xfId="18927" xr:uid="{00000000-0005-0000-0000-00006B7C0000}"/>
    <cellStyle name="Note 2 5 4 2 2 2 2" xfId="27459" xr:uid="{00000000-0005-0000-0000-00006C7C0000}"/>
    <cellStyle name="Note 2 5 4 2 2 3" xfId="18932" xr:uid="{00000000-0005-0000-0000-00006D7C0000}"/>
    <cellStyle name="Note 2 5 4 2 3" xfId="32487" xr:uid="{00000000-0005-0000-0000-00006E7C0000}"/>
    <cellStyle name="Note 2 5 4 2 3 2" xfId="20063" xr:uid="{00000000-0005-0000-0000-00006F7C0000}"/>
    <cellStyle name="Note 2 5 4 2 4" xfId="34006" xr:uid="{00000000-0005-0000-0000-0000707C0000}"/>
    <cellStyle name="Note 2 5 4 3" xfId="32488" xr:uid="{00000000-0005-0000-0000-0000717C0000}"/>
    <cellStyle name="Note 2 5 4 3 2" xfId="32489" xr:uid="{00000000-0005-0000-0000-0000727C0000}"/>
    <cellStyle name="Note 2 5 4 3 2 2" xfId="18951" xr:uid="{00000000-0005-0000-0000-0000737C0000}"/>
    <cellStyle name="Note 2 5 4 3 3" xfId="27330" xr:uid="{00000000-0005-0000-0000-0000747C0000}"/>
    <cellStyle name="Note 2 5 4 4" xfId="1925" xr:uid="{00000000-0005-0000-0000-0000757C0000}"/>
    <cellStyle name="Note 2 5 4 4 2" xfId="32989" xr:uid="{00000000-0005-0000-0000-0000767C0000}"/>
    <cellStyle name="Note 2 5 4 5" xfId="4167" xr:uid="{00000000-0005-0000-0000-0000777C0000}"/>
    <cellStyle name="Note 2 5 5" xfId="32492" xr:uid="{00000000-0005-0000-0000-0000787C0000}"/>
    <cellStyle name="Note 2 5 5 2" xfId="20670" xr:uid="{00000000-0005-0000-0000-0000797C0000}"/>
    <cellStyle name="Note 2 5 5 2 2" xfId="22283" xr:uid="{00000000-0005-0000-0000-00007A7C0000}"/>
    <cellStyle name="Note 2 5 5 2 2 2" xfId="19142" xr:uid="{00000000-0005-0000-0000-00007B7C0000}"/>
    <cellStyle name="Note 2 5 5 2 3" xfId="33342" xr:uid="{00000000-0005-0000-0000-00007C7C0000}"/>
    <cellStyle name="Note 2 5 5 3" xfId="30050" xr:uid="{00000000-0005-0000-0000-00007D7C0000}"/>
    <cellStyle name="Note 2 5 5 3 2" xfId="33336" xr:uid="{00000000-0005-0000-0000-00007E7C0000}"/>
    <cellStyle name="Note 2 5 5 4" xfId="4309" xr:uid="{00000000-0005-0000-0000-00007F7C0000}"/>
    <cellStyle name="Note 2 5 6" xfId="32873" xr:uid="{00000000-0005-0000-0000-0000807C0000}"/>
    <cellStyle name="Note 2 5 6 2" xfId="27412" xr:uid="{00000000-0005-0000-0000-0000817C0000}"/>
    <cellStyle name="Note 2 5 6 2 2" xfId="32497" xr:uid="{00000000-0005-0000-0000-0000827C0000}"/>
    <cellStyle name="Note 2 5 6 3" xfId="32498" xr:uid="{00000000-0005-0000-0000-0000837C0000}"/>
    <cellStyle name="Note 2 5 7" xfId="33380" xr:uid="{00000000-0005-0000-0000-0000847C0000}"/>
    <cellStyle name="Note 2 5 7 2" xfId="32329" xr:uid="{00000000-0005-0000-0000-0000857C0000}"/>
    <cellStyle name="Note 2 5 8" xfId="31451" xr:uid="{00000000-0005-0000-0000-0000867C0000}"/>
    <cellStyle name="Note 2 6" xfId="12403" xr:uid="{00000000-0005-0000-0000-0000877C0000}"/>
    <cellStyle name="Note 2 6 2" xfId="1740" xr:uid="{00000000-0005-0000-0000-0000887C0000}"/>
    <cellStyle name="Note 2 6 2 2" xfId="424" xr:uid="{00000000-0005-0000-0000-0000897C0000}"/>
    <cellStyle name="Note 2 6 2 2 2" xfId="30258" xr:uid="{00000000-0005-0000-0000-00008A7C0000}"/>
    <cellStyle name="Note 2 6 2 2 2 2" xfId="22206" xr:uid="{00000000-0005-0000-0000-00008B7C0000}"/>
    <cellStyle name="Note 2 6 2 2 2 2 2" xfId="32849" xr:uid="{00000000-0005-0000-0000-00008C7C0000}"/>
    <cellStyle name="Note 2 6 2 2 2 2 2 2" xfId="30260" xr:uid="{00000000-0005-0000-0000-00008D7C0000}"/>
    <cellStyle name="Note 2 6 2 2 2 2 3" xfId="30264" xr:uid="{00000000-0005-0000-0000-00008E7C0000}"/>
    <cellStyle name="Note 2 6 2 2 2 3" xfId="32501" xr:uid="{00000000-0005-0000-0000-00008F7C0000}"/>
    <cellStyle name="Note 2 6 2 2 2 3 2" xfId="30612" xr:uid="{00000000-0005-0000-0000-0000907C0000}"/>
    <cellStyle name="Note 2 6 2 2 2 4" xfId="32504" xr:uid="{00000000-0005-0000-0000-0000917C0000}"/>
    <cellStyle name="Note 2 6 2 2 3" xfId="28514" xr:uid="{00000000-0005-0000-0000-0000927C0000}"/>
    <cellStyle name="Note 2 6 2 2 3 2" xfId="27909" xr:uid="{00000000-0005-0000-0000-0000937C0000}"/>
    <cellStyle name="Note 2 6 2 2 3 2 2" xfId="21712" xr:uid="{00000000-0005-0000-0000-0000947C0000}"/>
    <cellStyle name="Note 2 6 2 2 3 3" xfId="21720" xr:uid="{00000000-0005-0000-0000-0000957C0000}"/>
    <cellStyle name="Note 2 6 2 2 4" xfId="410" xr:uid="{00000000-0005-0000-0000-0000967C0000}"/>
    <cellStyle name="Note 2 6 2 2 4 2" xfId="28529" xr:uid="{00000000-0005-0000-0000-0000977C0000}"/>
    <cellStyle name="Note 2 6 2 2 5" xfId="28532" xr:uid="{00000000-0005-0000-0000-0000987C0000}"/>
    <cellStyle name="Note 2 6 2 3" xfId="29889" xr:uid="{00000000-0005-0000-0000-0000997C0000}"/>
    <cellStyle name="Note 2 6 2 3 2" xfId="11080" xr:uid="{00000000-0005-0000-0000-00009A7C0000}"/>
    <cellStyle name="Note 2 6 2 3 2 2" xfId="32509" xr:uid="{00000000-0005-0000-0000-00009B7C0000}"/>
    <cellStyle name="Note 2 6 2 3 2 2 2" xfId="30288" xr:uid="{00000000-0005-0000-0000-00009C7C0000}"/>
    <cellStyle name="Note 2 6 2 3 2 3" xfId="32613" xr:uid="{00000000-0005-0000-0000-00009D7C0000}"/>
    <cellStyle name="Note 2 6 2 3 3" xfId="28536" xr:uid="{00000000-0005-0000-0000-00009E7C0000}"/>
    <cellStyle name="Note 2 6 2 3 3 2" xfId="21803" xr:uid="{00000000-0005-0000-0000-00009F7C0000}"/>
    <cellStyle name="Note 2 6 2 3 4" xfId="28540" xr:uid="{00000000-0005-0000-0000-0000A07C0000}"/>
    <cellStyle name="Note 2 6 2 4" xfId="29893" xr:uid="{00000000-0005-0000-0000-0000A17C0000}"/>
    <cellStyle name="Note 2 6 2 4 2" xfId="23810" xr:uid="{00000000-0005-0000-0000-0000A27C0000}"/>
    <cellStyle name="Note 2 6 2 4 2 2" xfId="30788" xr:uid="{00000000-0005-0000-0000-0000A37C0000}"/>
    <cellStyle name="Note 2 6 2 4 3" xfId="27064" xr:uid="{00000000-0005-0000-0000-0000A47C0000}"/>
    <cellStyle name="Note 2 6 2 5" xfId="32052" xr:uid="{00000000-0005-0000-0000-0000A57C0000}"/>
    <cellStyle name="Note 2 6 2 5 2" xfId="27353" xr:uid="{00000000-0005-0000-0000-0000A67C0000}"/>
    <cellStyle name="Note 2 6 2 6" xfId="29898" xr:uid="{00000000-0005-0000-0000-0000A77C0000}"/>
    <cellStyle name="Note 2 6 3" xfId="20309" xr:uid="{00000000-0005-0000-0000-0000A87C0000}"/>
    <cellStyle name="Note 2 6 3 2" xfId="29904" xr:uid="{00000000-0005-0000-0000-0000A97C0000}"/>
    <cellStyle name="Note 2 6 3 2 2" xfId="32646" xr:uid="{00000000-0005-0000-0000-0000AA7C0000}"/>
    <cellStyle name="Note 2 6 3 2 2 2" xfId="31952" xr:uid="{00000000-0005-0000-0000-0000AB7C0000}"/>
    <cellStyle name="Note 2 6 3 2 2 2 2" xfId="32999" xr:uid="{00000000-0005-0000-0000-0000AC7C0000}"/>
    <cellStyle name="Note 2 6 3 2 2 3" xfId="1375" xr:uid="{00000000-0005-0000-0000-0000AD7C0000}"/>
    <cellStyle name="Note 2 6 3 2 3" xfId="26535" xr:uid="{00000000-0005-0000-0000-0000AE7C0000}"/>
    <cellStyle name="Note 2 6 3 2 3 2" xfId="22586" xr:uid="{00000000-0005-0000-0000-0000AF7C0000}"/>
    <cellStyle name="Note 2 6 3 2 4" xfId="30687" xr:uid="{00000000-0005-0000-0000-0000B07C0000}"/>
    <cellStyle name="Note 2 6 3 3" xfId="23003" xr:uid="{00000000-0005-0000-0000-0000B17C0000}"/>
    <cellStyle name="Note 2 6 3 3 2" xfId="23835" xr:uid="{00000000-0005-0000-0000-0000B27C0000}"/>
    <cellStyle name="Note 2 6 3 3 2 2" xfId="28713" xr:uid="{00000000-0005-0000-0000-0000B37C0000}"/>
    <cellStyle name="Note 2 6 3 3 3" xfId="28557" xr:uid="{00000000-0005-0000-0000-0000B47C0000}"/>
    <cellStyle name="Note 2 6 3 4" xfId="18992" xr:uid="{00000000-0005-0000-0000-0000B57C0000}"/>
    <cellStyle name="Note 2 6 3 4 2" xfId="29910" xr:uid="{00000000-0005-0000-0000-0000B67C0000}"/>
    <cellStyle name="Note 2 6 3 5" xfId="19004" xr:uid="{00000000-0005-0000-0000-0000B77C0000}"/>
    <cellStyle name="Note 2 6 4" xfId="32863" xr:uid="{00000000-0005-0000-0000-0000B87C0000}"/>
    <cellStyle name="Note 2 6 4 2" xfId="29929" xr:uid="{00000000-0005-0000-0000-0000B97C0000}"/>
    <cellStyle name="Note 2 6 4 2 2" xfId="32123" xr:uid="{00000000-0005-0000-0000-0000BA7C0000}"/>
    <cellStyle name="Note 2 6 4 2 2 2" xfId="19336" xr:uid="{00000000-0005-0000-0000-0000BB7C0000}"/>
    <cellStyle name="Note 2 6 4 2 3" xfId="26839" xr:uid="{00000000-0005-0000-0000-0000BC7C0000}"/>
    <cellStyle name="Note 2 6 4 3" xfId="27566" xr:uid="{00000000-0005-0000-0000-0000BD7C0000}"/>
    <cellStyle name="Note 2 6 4 3 2" xfId="26387" xr:uid="{00000000-0005-0000-0000-0000BE7C0000}"/>
    <cellStyle name="Note 2 6 4 4" xfId="4339" xr:uid="{00000000-0005-0000-0000-0000BF7C0000}"/>
    <cellStyle name="Note 2 6 5" xfId="32656" xr:uid="{00000000-0005-0000-0000-0000C07C0000}"/>
    <cellStyle name="Note 2 6 5 2" xfId="11134" xr:uid="{00000000-0005-0000-0000-0000C17C0000}"/>
    <cellStyle name="Note 2 6 5 2 2" xfId="32513" xr:uid="{00000000-0005-0000-0000-0000C27C0000}"/>
    <cellStyle name="Note 2 6 5 3" xfId="31937" xr:uid="{00000000-0005-0000-0000-0000C37C0000}"/>
    <cellStyle name="Note 2 6 6" xfId="31896" xr:uid="{00000000-0005-0000-0000-0000C47C0000}"/>
    <cellStyle name="Note 2 6 6 2" xfId="32521" xr:uid="{00000000-0005-0000-0000-0000C57C0000}"/>
    <cellStyle name="Note 2 6 7" xfId="32526" xr:uid="{00000000-0005-0000-0000-0000C67C0000}"/>
    <cellStyle name="Note 2 7" xfId="15394" xr:uid="{00000000-0005-0000-0000-0000C77C0000}"/>
    <cellStyle name="Note 2 7 2" xfId="471" xr:uid="{00000000-0005-0000-0000-0000C87C0000}"/>
    <cellStyle name="Note 2 7 2 2" xfId="33675" xr:uid="{00000000-0005-0000-0000-0000C97C0000}"/>
    <cellStyle name="Note 2 7 2 2 2" xfId="374" xr:uid="{00000000-0005-0000-0000-0000CA7C0000}"/>
    <cellStyle name="Note 2 7 2 2 2 2" xfId="876" xr:uid="{00000000-0005-0000-0000-0000CB7C0000}"/>
    <cellStyle name="Note 2 7 2 2 2 2 2" xfId="31809" xr:uid="{00000000-0005-0000-0000-0000CC7C0000}"/>
    <cellStyle name="Note 2 7 2 2 2 3" xfId="7321" xr:uid="{00000000-0005-0000-0000-0000CD7C0000}"/>
    <cellStyle name="Note 2 7 2 2 3" xfId="28397" xr:uid="{00000000-0005-0000-0000-0000CE7C0000}"/>
    <cellStyle name="Note 2 7 2 2 3 2" xfId="11083" xr:uid="{00000000-0005-0000-0000-0000CF7C0000}"/>
    <cellStyle name="Note 2 7 2 2 4" xfId="28604" xr:uid="{00000000-0005-0000-0000-0000D07C0000}"/>
    <cellStyle name="Note 2 7 2 3" xfId="30134" xr:uid="{00000000-0005-0000-0000-0000D17C0000}"/>
    <cellStyle name="Note 2 7 2 3 2" xfId="33936" xr:uid="{00000000-0005-0000-0000-0000D27C0000}"/>
    <cellStyle name="Note 2 7 2 3 2 2" xfId="2066" xr:uid="{00000000-0005-0000-0000-0000D37C0000}"/>
    <cellStyle name="Note 2 7 2 3 3" xfId="28608" xr:uid="{00000000-0005-0000-0000-0000D47C0000}"/>
    <cellStyle name="Note 2 7 2 4" xfId="16743" xr:uid="{00000000-0005-0000-0000-0000D57C0000}"/>
    <cellStyle name="Note 2 7 2 4 2" xfId="4051" xr:uid="{00000000-0005-0000-0000-0000D67C0000}"/>
    <cellStyle name="Note 2 7 2 5" xfId="16752" xr:uid="{00000000-0005-0000-0000-0000D77C0000}"/>
    <cellStyle name="Note 2 7 3" xfId="22093" xr:uid="{00000000-0005-0000-0000-0000D87C0000}"/>
    <cellStyle name="Note 2 7 3 2" xfId="33733" xr:uid="{00000000-0005-0000-0000-0000D97C0000}"/>
    <cellStyle name="Note 2 7 3 2 2" xfId="33918" xr:uid="{00000000-0005-0000-0000-0000DA7C0000}"/>
    <cellStyle name="Note 2 7 3 2 2 2" xfId="32732" xr:uid="{00000000-0005-0000-0000-0000DB7C0000}"/>
    <cellStyle name="Note 2 7 3 2 3" xfId="28613" xr:uid="{00000000-0005-0000-0000-0000DC7C0000}"/>
    <cellStyle name="Note 2 7 3 3" xfId="27878" xr:uid="{00000000-0005-0000-0000-0000DD7C0000}"/>
    <cellStyle name="Note 2 7 3 3 2" xfId="28632" xr:uid="{00000000-0005-0000-0000-0000DE7C0000}"/>
    <cellStyle name="Note 2 7 3 4" xfId="16761" xr:uid="{00000000-0005-0000-0000-0000DF7C0000}"/>
    <cellStyle name="Note 2 7 4" xfId="32695" xr:uid="{00000000-0005-0000-0000-0000E07C0000}"/>
    <cellStyle name="Note 2 7 4 2" xfId="32376" xr:uid="{00000000-0005-0000-0000-0000E17C0000}"/>
    <cellStyle name="Note 2 7 4 2 2" xfId="31670" xr:uid="{00000000-0005-0000-0000-0000E27C0000}"/>
    <cellStyle name="Note 2 7 4 3" xfId="28637" xr:uid="{00000000-0005-0000-0000-0000E37C0000}"/>
    <cellStyle name="Note 2 7 5" xfId="32221" xr:uid="{00000000-0005-0000-0000-0000E47C0000}"/>
    <cellStyle name="Note 2 7 5 2" xfId="23029" xr:uid="{00000000-0005-0000-0000-0000E57C0000}"/>
    <cellStyle name="Note 2 7 6" xfId="30803" xr:uid="{00000000-0005-0000-0000-0000E67C0000}"/>
    <cellStyle name="Note 2 8" xfId="6325" xr:uid="{00000000-0005-0000-0000-0000E77C0000}"/>
    <cellStyle name="Note 2 8 2" xfId="32541" xr:uid="{00000000-0005-0000-0000-0000E87C0000}"/>
    <cellStyle name="Note 2 8 2 2" xfId="33215" xr:uid="{00000000-0005-0000-0000-0000E97C0000}"/>
    <cellStyle name="Note 2 8 2 2 2" xfId="30378" xr:uid="{00000000-0005-0000-0000-0000EA7C0000}"/>
    <cellStyle name="Note 2 8 2 2 2 2" xfId="31735" xr:uid="{00000000-0005-0000-0000-0000EB7C0000}"/>
    <cellStyle name="Note 2 8 2 2 3" xfId="13087" xr:uid="{00000000-0005-0000-0000-0000EC7C0000}"/>
    <cellStyle name="Note 2 8 2 3" xfId="29657" xr:uid="{00000000-0005-0000-0000-0000ED7C0000}"/>
    <cellStyle name="Note 2 8 2 3 2" xfId="30658" xr:uid="{00000000-0005-0000-0000-0000EE7C0000}"/>
    <cellStyle name="Note 2 8 2 4" xfId="16833" xr:uid="{00000000-0005-0000-0000-0000EF7C0000}"/>
    <cellStyle name="Note 2 8 3" xfId="32559" xr:uid="{00000000-0005-0000-0000-0000F07C0000}"/>
    <cellStyle name="Note 2 8 3 2" xfId="32777" xr:uid="{00000000-0005-0000-0000-0000F17C0000}"/>
    <cellStyle name="Note 2 8 3 2 2" xfId="32564" xr:uid="{00000000-0005-0000-0000-0000F27C0000}"/>
    <cellStyle name="Note 2 8 3 3" xfId="28646" xr:uid="{00000000-0005-0000-0000-0000F37C0000}"/>
    <cellStyle name="Note 2 8 4" xfId="32387" xr:uid="{00000000-0005-0000-0000-0000F47C0000}"/>
    <cellStyle name="Note 2 8 4 2" xfId="22515" xr:uid="{00000000-0005-0000-0000-0000F57C0000}"/>
    <cellStyle name="Note 2 8 5" xfId="27571" xr:uid="{00000000-0005-0000-0000-0000F67C0000}"/>
    <cellStyle name="Note 2 9" xfId="17573" xr:uid="{00000000-0005-0000-0000-0000F77C0000}"/>
    <cellStyle name="Note 2 9 2" xfId="26274" xr:uid="{00000000-0005-0000-0000-0000F87C0000}"/>
    <cellStyle name="Note 2 9 2 2" xfId="31563" xr:uid="{00000000-0005-0000-0000-0000F97C0000}"/>
    <cellStyle name="Note 2 9 2 2 2" xfId="22112" xr:uid="{00000000-0005-0000-0000-0000FA7C0000}"/>
    <cellStyle name="Note 2 9 2 3" xfId="19266" xr:uid="{00000000-0005-0000-0000-0000FB7C0000}"/>
    <cellStyle name="Note 2 9 3" xfId="38" xr:uid="{00000000-0005-0000-0000-0000FC7C0000}"/>
    <cellStyle name="Note 2 9 3 2" xfId="27757" xr:uid="{00000000-0005-0000-0000-0000FD7C0000}"/>
    <cellStyle name="Note 2 9 4" xfId="184" xr:uid="{00000000-0005-0000-0000-0000FE7C0000}"/>
    <cellStyle name="Note 3" xfId="32579" xr:uid="{00000000-0005-0000-0000-0000FF7C0000}"/>
    <cellStyle name="Note 3 10" xfId="33939" xr:uid="{00000000-0005-0000-0000-0000007D0000}"/>
    <cellStyle name="Note 3 10 2" xfId="22703" xr:uid="{00000000-0005-0000-0000-0000017D0000}"/>
    <cellStyle name="Note 3 11" xfId="618" xr:uid="{00000000-0005-0000-0000-0000027D0000}"/>
    <cellStyle name="Note 3 2" xfId="32586" xr:uid="{00000000-0005-0000-0000-0000037D0000}"/>
    <cellStyle name="Note 3 2 10" xfId="32593" xr:uid="{00000000-0005-0000-0000-0000047D0000}"/>
    <cellStyle name="Note 3 2 2" xfId="10855" xr:uid="{00000000-0005-0000-0000-0000057D0000}"/>
    <cellStyle name="Note 3 2 2 2" xfId="20471" xr:uid="{00000000-0005-0000-0000-0000067D0000}"/>
    <cellStyle name="Note 3 2 2 2 2" xfId="11616" xr:uid="{00000000-0005-0000-0000-0000077D0000}"/>
    <cellStyle name="Note 3 2 2 2 2 2" xfId="14075" xr:uid="{00000000-0005-0000-0000-0000087D0000}"/>
    <cellStyle name="Note 3 2 2 2 2 2 2" xfId="5506" xr:uid="{00000000-0005-0000-0000-0000097D0000}"/>
    <cellStyle name="Note 3 2 2 2 2 2 2 2" xfId="4970" xr:uid="{00000000-0005-0000-0000-00000A7D0000}"/>
    <cellStyle name="Note 3 2 2 2 2 2 2 2 2" xfId="11313" xr:uid="{00000000-0005-0000-0000-00000B7D0000}"/>
    <cellStyle name="Note 3 2 2 2 2 2 2 2 2 2" xfId="33390" xr:uid="{00000000-0005-0000-0000-00000C7D0000}"/>
    <cellStyle name="Note 3 2 2 2 2 2 2 2 2 2 2" xfId="1128" xr:uid="{00000000-0005-0000-0000-00000D7D0000}"/>
    <cellStyle name="Note 3 2 2 2 2 2 2 2 2 3" xfId="33035" xr:uid="{00000000-0005-0000-0000-00000E7D0000}"/>
    <cellStyle name="Note 3 2 2 2 2 2 2 2 3" xfId="13314" xr:uid="{00000000-0005-0000-0000-00000F7D0000}"/>
    <cellStyle name="Note 3 2 2 2 2 2 2 2 3 2" xfId="20909" xr:uid="{00000000-0005-0000-0000-0000107D0000}"/>
    <cellStyle name="Note 3 2 2 2 2 2 2 2 4" xfId="24406" xr:uid="{00000000-0005-0000-0000-0000117D0000}"/>
    <cellStyle name="Note 3 2 2 2 2 2 2 3" xfId="5945" xr:uid="{00000000-0005-0000-0000-0000127D0000}"/>
    <cellStyle name="Note 3 2 2 2 2 2 2 3 2" xfId="11898" xr:uid="{00000000-0005-0000-0000-0000137D0000}"/>
    <cellStyle name="Note 3 2 2 2 2 2 2 3 2 2" xfId="32950" xr:uid="{00000000-0005-0000-0000-0000147D0000}"/>
    <cellStyle name="Note 3 2 2 2 2 2 2 3 3" xfId="24470" xr:uid="{00000000-0005-0000-0000-0000157D0000}"/>
    <cellStyle name="Note 3 2 2 2 2 2 2 4" xfId="4832" xr:uid="{00000000-0005-0000-0000-0000167D0000}"/>
    <cellStyle name="Note 3 2 2 2 2 2 2 4 2" xfId="24560" xr:uid="{00000000-0005-0000-0000-0000177D0000}"/>
    <cellStyle name="Note 3 2 2 2 2 2 2 5" xfId="32608" xr:uid="{00000000-0005-0000-0000-0000187D0000}"/>
    <cellStyle name="Note 3 2 2 2 2 2 3" xfId="5513" xr:uid="{00000000-0005-0000-0000-0000197D0000}"/>
    <cellStyle name="Note 3 2 2 2 2 2 3 2" xfId="1051" xr:uid="{00000000-0005-0000-0000-00001A7D0000}"/>
    <cellStyle name="Note 3 2 2 2 2 2 3 2 2" xfId="11909" xr:uid="{00000000-0005-0000-0000-00001B7D0000}"/>
    <cellStyle name="Note 3 2 2 2 2 2 3 2 2 2" xfId="32381" xr:uid="{00000000-0005-0000-0000-00001C7D0000}"/>
    <cellStyle name="Note 3 2 2 2 2 2 3 2 3" xfId="24935" xr:uid="{00000000-0005-0000-0000-00001D7D0000}"/>
    <cellStyle name="Note 3 2 2 2 2 2 3 3" xfId="21012" xr:uid="{00000000-0005-0000-0000-00001E7D0000}"/>
    <cellStyle name="Note 3 2 2 2 2 2 3 3 2" xfId="21313" xr:uid="{00000000-0005-0000-0000-00001F7D0000}"/>
    <cellStyle name="Note 3 2 2 2 2 2 3 4" xfId="21019" xr:uid="{00000000-0005-0000-0000-0000207D0000}"/>
    <cellStyle name="Note 3 2 2 2 2 2 4" xfId="13187" xr:uid="{00000000-0005-0000-0000-0000217D0000}"/>
    <cellStyle name="Note 3 2 2 2 2 2 4 2" xfId="29180" xr:uid="{00000000-0005-0000-0000-0000227D0000}"/>
    <cellStyle name="Note 3 2 2 2 2 2 4 2 2" xfId="22969" xr:uid="{00000000-0005-0000-0000-0000237D0000}"/>
    <cellStyle name="Note 3 2 2 2 2 2 4 3" xfId="16175" xr:uid="{00000000-0005-0000-0000-0000247D0000}"/>
    <cellStyle name="Note 3 2 2 2 2 2 5" xfId="30542" xr:uid="{00000000-0005-0000-0000-0000257D0000}"/>
    <cellStyle name="Note 3 2 2 2 2 2 5 2" xfId="24548" xr:uid="{00000000-0005-0000-0000-0000267D0000}"/>
    <cellStyle name="Note 3 2 2 2 2 2 6" xfId="16299" xr:uid="{00000000-0005-0000-0000-0000277D0000}"/>
    <cellStyle name="Note 3 2 2 2 2 3" xfId="14077" xr:uid="{00000000-0005-0000-0000-0000287D0000}"/>
    <cellStyle name="Note 3 2 2 2 2 3 2" xfId="5538" xr:uid="{00000000-0005-0000-0000-0000297D0000}"/>
    <cellStyle name="Note 3 2 2 2 2 3 2 2" xfId="6291" xr:uid="{00000000-0005-0000-0000-00002A7D0000}"/>
    <cellStyle name="Note 3 2 2 2 2 3 2 2 2" xfId="11974" xr:uid="{00000000-0005-0000-0000-00002B7D0000}"/>
    <cellStyle name="Note 3 2 2 2 2 3 2 2 2 2" xfId="32852" xr:uid="{00000000-0005-0000-0000-00002C7D0000}"/>
    <cellStyle name="Note 3 2 2 2 2 3 2 2 3" xfId="15301" xr:uid="{00000000-0005-0000-0000-00002D7D0000}"/>
    <cellStyle name="Note 3 2 2 2 2 3 2 3" xfId="30329" xr:uid="{00000000-0005-0000-0000-00002E7D0000}"/>
    <cellStyle name="Note 3 2 2 2 2 3 2 3 2" xfId="5687" xr:uid="{00000000-0005-0000-0000-00002F7D0000}"/>
    <cellStyle name="Note 3 2 2 2 2 3 2 4" xfId="28298" xr:uid="{00000000-0005-0000-0000-0000307D0000}"/>
    <cellStyle name="Note 3 2 2 2 2 3 3" xfId="9678" xr:uid="{00000000-0005-0000-0000-0000317D0000}"/>
    <cellStyle name="Note 3 2 2 2 2 3 3 2" xfId="29316" xr:uid="{00000000-0005-0000-0000-0000327D0000}"/>
    <cellStyle name="Note 3 2 2 2 2 3 3 2 2" xfId="8840" xr:uid="{00000000-0005-0000-0000-0000337D0000}"/>
    <cellStyle name="Note 3 2 2 2 2 3 3 3" xfId="21038" xr:uid="{00000000-0005-0000-0000-0000347D0000}"/>
    <cellStyle name="Note 3 2 2 2 2 3 4" xfId="30549" xr:uid="{00000000-0005-0000-0000-0000357D0000}"/>
    <cellStyle name="Note 3 2 2 2 2 3 4 2" xfId="30404" xr:uid="{00000000-0005-0000-0000-0000367D0000}"/>
    <cellStyle name="Note 3 2 2 2 2 3 5" xfId="30234" xr:uid="{00000000-0005-0000-0000-0000377D0000}"/>
    <cellStyle name="Note 3 2 2 2 2 4" xfId="14079" xr:uid="{00000000-0005-0000-0000-0000387D0000}"/>
    <cellStyle name="Note 3 2 2 2 2 4 2" xfId="27387" xr:uid="{00000000-0005-0000-0000-0000397D0000}"/>
    <cellStyle name="Note 3 2 2 2 2 4 2 2" xfId="20186" xr:uid="{00000000-0005-0000-0000-00003A7D0000}"/>
    <cellStyle name="Note 3 2 2 2 2 4 2 2 2" xfId="21473" xr:uid="{00000000-0005-0000-0000-00003B7D0000}"/>
    <cellStyle name="Note 3 2 2 2 2 4 2 3" xfId="20201" xr:uid="{00000000-0005-0000-0000-00003C7D0000}"/>
    <cellStyle name="Note 3 2 2 2 2 4 3" xfId="32630" xr:uid="{00000000-0005-0000-0000-00003D7D0000}"/>
    <cellStyle name="Note 3 2 2 2 2 4 3 2" xfId="19882" xr:uid="{00000000-0005-0000-0000-00003E7D0000}"/>
    <cellStyle name="Note 3 2 2 2 2 4 4" xfId="30633" xr:uid="{00000000-0005-0000-0000-00003F7D0000}"/>
    <cellStyle name="Note 3 2 2 2 2 5" xfId="25929" xr:uid="{00000000-0005-0000-0000-0000407D0000}"/>
    <cellStyle name="Note 3 2 2 2 2 5 2" xfId="32642" xr:uid="{00000000-0005-0000-0000-0000417D0000}"/>
    <cellStyle name="Note 3 2 2 2 2 5 2 2" xfId="30684" xr:uid="{00000000-0005-0000-0000-0000427D0000}"/>
    <cellStyle name="Note 3 2 2 2 2 5 3" xfId="32170" xr:uid="{00000000-0005-0000-0000-0000437D0000}"/>
    <cellStyle name="Note 3 2 2 2 2 6" xfId="20960" xr:uid="{00000000-0005-0000-0000-0000447D0000}"/>
    <cellStyle name="Note 3 2 2 2 2 6 2" xfId="32662" xr:uid="{00000000-0005-0000-0000-0000457D0000}"/>
    <cellStyle name="Note 3 2 2 2 2 7" xfId="15866" xr:uid="{00000000-0005-0000-0000-0000467D0000}"/>
    <cellStyle name="Note 3 2 2 2 3" xfId="32665" xr:uid="{00000000-0005-0000-0000-0000477D0000}"/>
    <cellStyle name="Note 3 2 2 2 3 2" xfId="14114" xr:uid="{00000000-0005-0000-0000-0000487D0000}"/>
    <cellStyle name="Note 3 2 2 2 3 2 2" xfId="2292" xr:uid="{00000000-0005-0000-0000-0000497D0000}"/>
    <cellStyle name="Note 3 2 2 2 3 2 2 2" xfId="4527" xr:uid="{00000000-0005-0000-0000-00004A7D0000}"/>
    <cellStyle name="Note 3 2 2 2 3 2 2 2 2" xfId="13846" xr:uid="{00000000-0005-0000-0000-00004B7D0000}"/>
    <cellStyle name="Note 3 2 2 2 3 2 2 2 2 2" xfId="21453" xr:uid="{00000000-0005-0000-0000-00004C7D0000}"/>
    <cellStyle name="Note 3 2 2 2 3 2 2 2 3" xfId="24781" xr:uid="{00000000-0005-0000-0000-00004D7D0000}"/>
    <cellStyle name="Note 3 2 2 2 3 2 2 3" xfId="4542" xr:uid="{00000000-0005-0000-0000-00004E7D0000}"/>
    <cellStyle name="Note 3 2 2 2 3 2 2 3 2" xfId="21499" xr:uid="{00000000-0005-0000-0000-00004F7D0000}"/>
    <cellStyle name="Note 3 2 2 2 3 2 2 4" xfId="24766" xr:uid="{00000000-0005-0000-0000-0000507D0000}"/>
    <cellStyle name="Note 3 2 2 2 3 2 3" xfId="11627" xr:uid="{00000000-0005-0000-0000-0000517D0000}"/>
    <cellStyle name="Note 3 2 2 2 3 2 3 2" xfId="9196" xr:uid="{00000000-0005-0000-0000-0000527D0000}"/>
    <cellStyle name="Note 3 2 2 2 3 2 3 2 2" xfId="27646" xr:uid="{00000000-0005-0000-0000-0000537D0000}"/>
    <cellStyle name="Note 3 2 2 2 3 2 3 3" xfId="21099" xr:uid="{00000000-0005-0000-0000-0000547D0000}"/>
    <cellStyle name="Note 3 2 2 2 3 2 4" xfId="28998" xr:uid="{00000000-0005-0000-0000-0000557D0000}"/>
    <cellStyle name="Note 3 2 2 2 3 2 4 2" xfId="31577" xr:uid="{00000000-0005-0000-0000-0000567D0000}"/>
    <cellStyle name="Note 3 2 2 2 3 2 5" xfId="29015" xr:uid="{00000000-0005-0000-0000-0000577D0000}"/>
    <cellStyle name="Note 3 2 2 2 3 3" xfId="14116" xr:uid="{00000000-0005-0000-0000-0000587D0000}"/>
    <cellStyle name="Note 3 2 2 2 3 3 2" xfId="33557" xr:uid="{00000000-0005-0000-0000-0000597D0000}"/>
    <cellStyle name="Note 3 2 2 2 3 3 2 2" xfId="5725" xr:uid="{00000000-0005-0000-0000-00005A7D0000}"/>
    <cellStyle name="Note 3 2 2 2 3 3 2 2 2" xfId="30949" xr:uid="{00000000-0005-0000-0000-00005B7D0000}"/>
    <cellStyle name="Note 3 2 2 2 3 3 2 3" xfId="28849" xr:uid="{00000000-0005-0000-0000-00005C7D0000}"/>
    <cellStyle name="Note 3 2 2 2 3 3 3" xfId="31287" xr:uid="{00000000-0005-0000-0000-00005D7D0000}"/>
    <cellStyle name="Note 3 2 2 2 3 3 3 2" xfId="32074" xr:uid="{00000000-0005-0000-0000-00005E7D0000}"/>
    <cellStyle name="Note 3 2 2 2 3 3 4" xfId="30460" xr:uid="{00000000-0005-0000-0000-00005F7D0000}"/>
    <cellStyle name="Note 3 2 2 2 3 4" xfId="32682" xr:uid="{00000000-0005-0000-0000-0000607D0000}"/>
    <cellStyle name="Note 3 2 2 2 3 4 2" xfId="27752" xr:uid="{00000000-0005-0000-0000-0000617D0000}"/>
    <cellStyle name="Note 3 2 2 2 3 4 2 2" xfId="31203" xr:uid="{00000000-0005-0000-0000-0000627D0000}"/>
    <cellStyle name="Note 3 2 2 2 3 4 3" xfId="31281" xr:uid="{00000000-0005-0000-0000-0000637D0000}"/>
    <cellStyle name="Note 3 2 2 2 3 5" xfId="31360" xr:uid="{00000000-0005-0000-0000-0000647D0000}"/>
    <cellStyle name="Note 3 2 2 2 3 5 2" xfId="31363" xr:uid="{00000000-0005-0000-0000-0000657D0000}"/>
    <cellStyle name="Note 3 2 2 2 3 6" xfId="31396" xr:uid="{00000000-0005-0000-0000-0000667D0000}"/>
    <cellStyle name="Note 3 2 2 2 4" xfId="32707" xr:uid="{00000000-0005-0000-0000-0000677D0000}"/>
    <cellStyle name="Note 3 2 2 2 4 2" xfId="15760" xr:uid="{00000000-0005-0000-0000-0000687D0000}"/>
    <cellStyle name="Note 3 2 2 2 4 2 2" xfId="32711" xr:uid="{00000000-0005-0000-0000-0000697D0000}"/>
    <cellStyle name="Note 3 2 2 2 4 2 2 2" xfId="4684" xr:uid="{00000000-0005-0000-0000-00006A7D0000}"/>
    <cellStyle name="Note 3 2 2 2 4 2 2 2 2" xfId="24536" xr:uid="{00000000-0005-0000-0000-00006B7D0000}"/>
    <cellStyle name="Note 3 2 2 2 4 2 2 3" xfId="4689" xr:uid="{00000000-0005-0000-0000-00006C7D0000}"/>
    <cellStyle name="Note 3 2 2 2 4 2 3" xfId="31027" xr:uid="{00000000-0005-0000-0000-00006D7D0000}"/>
    <cellStyle name="Note 3 2 2 2 4 2 3 2" xfId="4706" xr:uid="{00000000-0005-0000-0000-00006E7D0000}"/>
    <cellStyle name="Note 3 2 2 2 4 2 4" xfId="29436" xr:uid="{00000000-0005-0000-0000-00006F7D0000}"/>
    <cellStyle name="Note 3 2 2 2 4 3" xfId="10236" xr:uid="{00000000-0005-0000-0000-0000707D0000}"/>
    <cellStyle name="Note 3 2 2 2 4 3 2" xfId="27398" xr:uid="{00000000-0005-0000-0000-0000717D0000}"/>
    <cellStyle name="Note 3 2 2 2 4 3 2 2" xfId="4729" xr:uid="{00000000-0005-0000-0000-0000727D0000}"/>
    <cellStyle name="Note 3 2 2 2 4 3 3" xfId="31317" xr:uid="{00000000-0005-0000-0000-0000737D0000}"/>
    <cellStyle name="Note 3 2 2 2 4 4" xfId="26194" xr:uid="{00000000-0005-0000-0000-0000747D0000}"/>
    <cellStyle name="Note 3 2 2 2 4 4 2" xfId="31534" xr:uid="{00000000-0005-0000-0000-0000757D0000}"/>
    <cellStyle name="Note 3 2 2 2 4 5" xfId="32721" xr:uid="{00000000-0005-0000-0000-0000767D0000}"/>
    <cellStyle name="Note 3 2 2 2 5" xfId="32723" xr:uid="{00000000-0005-0000-0000-0000777D0000}"/>
    <cellStyle name="Note 3 2 2 2 5 2" xfId="25585" xr:uid="{00000000-0005-0000-0000-0000787D0000}"/>
    <cellStyle name="Note 3 2 2 2 5 2 2" xfId="24618" xr:uid="{00000000-0005-0000-0000-0000797D0000}"/>
    <cellStyle name="Note 3 2 2 2 5 2 2 2" xfId="4763" xr:uid="{00000000-0005-0000-0000-00007A7D0000}"/>
    <cellStyle name="Note 3 2 2 2 5 2 3" xfId="31322" xr:uid="{00000000-0005-0000-0000-00007B7D0000}"/>
    <cellStyle name="Note 3 2 2 2 5 3" xfId="26494" xr:uid="{00000000-0005-0000-0000-00007C7D0000}"/>
    <cellStyle name="Note 3 2 2 2 5 3 2" xfId="24028" xr:uid="{00000000-0005-0000-0000-00007D7D0000}"/>
    <cellStyle name="Note 3 2 2 2 5 4" xfId="32731" xr:uid="{00000000-0005-0000-0000-00007E7D0000}"/>
    <cellStyle name="Note 3 2 2 2 6" xfId="32739" xr:uid="{00000000-0005-0000-0000-00007F7D0000}"/>
    <cellStyle name="Note 3 2 2 2 6 2" xfId="30808" xr:uid="{00000000-0005-0000-0000-0000807D0000}"/>
    <cellStyle name="Note 3 2 2 2 6 2 2" xfId="27293" xr:uid="{00000000-0005-0000-0000-0000817D0000}"/>
    <cellStyle name="Note 3 2 2 2 6 3" xfId="30814" xr:uid="{00000000-0005-0000-0000-0000827D0000}"/>
    <cellStyle name="Note 3 2 2 2 7" xfId="28931" xr:uid="{00000000-0005-0000-0000-0000837D0000}"/>
    <cellStyle name="Note 3 2 2 2 7 2" xfId="32417" xr:uid="{00000000-0005-0000-0000-0000847D0000}"/>
    <cellStyle name="Note 3 2 2 2 8" xfId="33554" xr:uid="{00000000-0005-0000-0000-0000857D0000}"/>
    <cellStyle name="Note 3 2 2 3" xfId="20495" xr:uid="{00000000-0005-0000-0000-0000867D0000}"/>
    <cellStyle name="Note 3 2 2 3 2" xfId="32745" xr:uid="{00000000-0005-0000-0000-0000877D0000}"/>
    <cellStyle name="Note 3 2 2 3 2 2" xfId="712" xr:uid="{00000000-0005-0000-0000-0000887D0000}"/>
    <cellStyle name="Note 3 2 2 3 2 2 2" xfId="23226" xr:uid="{00000000-0005-0000-0000-0000897D0000}"/>
    <cellStyle name="Note 3 2 2 3 2 2 2 2" xfId="28359" xr:uid="{00000000-0005-0000-0000-00008A7D0000}"/>
    <cellStyle name="Note 3 2 2 3 2 2 2 2 2" xfId="12239" xr:uid="{00000000-0005-0000-0000-00008B7D0000}"/>
    <cellStyle name="Note 3 2 2 3 2 2 2 2 2 2" xfId="32748" xr:uid="{00000000-0005-0000-0000-00008C7D0000}"/>
    <cellStyle name="Note 3 2 2 3 2 2 2 2 3" xfId="32750" xr:uid="{00000000-0005-0000-0000-00008D7D0000}"/>
    <cellStyle name="Note 3 2 2 3 2 2 2 3" xfId="29021" xr:uid="{00000000-0005-0000-0000-00008E7D0000}"/>
    <cellStyle name="Note 3 2 2 3 2 2 2 3 2" xfId="32752" xr:uid="{00000000-0005-0000-0000-00008F7D0000}"/>
    <cellStyle name="Note 3 2 2 3 2 2 2 4" xfId="32753" xr:uid="{00000000-0005-0000-0000-0000907D0000}"/>
    <cellStyle name="Note 3 2 2 3 2 2 3" xfId="11740" xr:uid="{00000000-0005-0000-0000-0000917D0000}"/>
    <cellStyle name="Note 3 2 2 3 2 2 3 2" xfId="32899" xr:uid="{00000000-0005-0000-0000-0000927D0000}"/>
    <cellStyle name="Note 3 2 2 3 2 2 3 2 2" xfId="32901" xr:uid="{00000000-0005-0000-0000-0000937D0000}"/>
    <cellStyle name="Note 3 2 2 3 2 2 3 3" xfId="21521" xr:uid="{00000000-0005-0000-0000-0000947D0000}"/>
    <cellStyle name="Note 3 2 2 3 2 2 4" xfId="32931" xr:uid="{00000000-0005-0000-0000-0000957D0000}"/>
    <cellStyle name="Note 3 2 2 3 2 2 4 2" xfId="32425" xr:uid="{00000000-0005-0000-0000-0000967D0000}"/>
    <cellStyle name="Note 3 2 2 3 2 2 5" xfId="32394" xr:uid="{00000000-0005-0000-0000-0000977D0000}"/>
    <cellStyle name="Note 3 2 2 3 2 3" xfId="14177" xr:uid="{00000000-0005-0000-0000-0000987D0000}"/>
    <cellStyle name="Note 3 2 2 3 2 3 2" xfId="32726" xr:uid="{00000000-0005-0000-0000-0000997D0000}"/>
    <cellStyle name="Note 3 2 2 3 2 3 2 2" xfId="33907" xr:uid="{00000000-0005-0000-0000-00009A7D0000}"/>
    <cellStyle name="Note 3 2 2 3 2 3 2 2 2" xfId="32756" xr:uid="{00000000-0005-0000-0000-00009B7D0000}"/>
    <cellStyle name="Note 3 2 2 3 2 3 2 3" xfId="33587" xr:uid="{00000000-0005-0000-0000-00009C7D0000}"/>
    <cellStyle name="Note 3 2 2 3 2 3 3" xfId="32727" xr:uid="{00000000-0005-0000-0000-00009D7D0000}"/>
    <cellStyle name="Note 3 2 2 3 2 3 3 2" xfId="33113" xr:uid="{00000000-0005-0000-0000-00009E7D0000}"/>
    <cellStyle name="Note 3 2 2 3 2 3 4" xfId="32437" xr:uid="{00000000-0005-0000-0000-00009F7D0000}"/>
    <cellStyle name="Note 3 2 2 3 2 4" xfId="33312" xr:uid="{00000000-0005-0000-0000-0000A07D0000}"/>
    <cellStyle name="Note 3 2 2 3 2 4 2" xfId="30537" xr:uid="{00000000-0005-0000-0000-0000A17D0000}"/>
    <cellStyle name="Note 3 2 2 3 2 4 2 2" xfId="31527" xr:uid="{00000000-0005-0000-0000-0000A27D0000}"/>
    <cellStyle name="Note 3 2 2 3 2 4 3" xfId="23665" xr:uid="{00000000-0005-0000-0000-0000A37D0000}"/>
    <cellStyle name="Note 3 2 2 3 2 5" xfId="33236" xr:uid="{00000000-0005-0000-0000-0000A47D0000}"/>
    <cellStyle name="Note 3 2 2 3 2 5 2" xfId="23525" xr:uid="{00000000-0005-0000-0000-0000A57D0000}"/>
    <cellStyle name="Note 3 2 2 3 2 6" xfId="6858" xr:uid="{00000000-0005-0000-0000-0000A67D0000}"/>
    <cellStyle name="Note 3 2 2 3 3" xfId="32856" xr:uid="{00000000-0005-0000-0000-0000A77D0000}"/>
    <cellStyle name="Note 3 2 2 3 3 2" xfId="14189" xr:uid="{00000000-0005-0000-0000-0000A87D0000}"/>
    <cellStyle name="Note 3 2 2 3 3 2 2" xfId="33750" xr:uid="{00000000-0005-0000-0000-0000A97D0000}"/>
    <cellStyle name="Note 3 2 2 3 3 2 2 2" xfId="28913" xr:uid="{00000000-0005-0000-0000-0000AA7D0000}"/>
    <cellStyle name="Note 3 2 2 3 3 2 2 2 2" xfId="27888" xr:uid="{00000000-0005-0000-0000-0000AB7D0000}"/>
    <cellStyle name="Note 3 2 2 3 3 2 2 3" xfId="24782" xr:uid="{00000000-0005-0000-0000-0000AC7D0000}"/>
    <cellStyle name="Note 3 2 2 3 3 2 3" xfId="31594" xr:uid="{00000000-0005-0000-0000-0000AD7D0000}"/>
    <cellStyle name="Note 3 2 2 3 3 2 3 2" xfId="31490" xr:uid="{00000000-0005-0000-0000-0000AE7D0000}"/>
    <cellStyle name="Note 3 2 2 3 3 2 4" xfId="33190" xr:uid="{00000000-0005-0000-0000-0000AF7D0000}"/>
    <cellStyle name="Note 3 2 2 3 3 3" xfId="26278" xr:uid="{00000000-0005-0000-0000-0000B07D0000}"/>
    <cellStyle name="Note 3 2 2 3 3 3 2" xfId="33405" xr:uid="{00000000-0005-0000-0000-0000B17D0000}"/>
    <cellStyle name="Note 3 2 2 3 3 3 2 2" xfId="4285" xr:uid="{00000000-0005-0000-0000-0000B27D0000}"/>
    <cellStyle name="Note 3 2 2 3 3 3 3" xfId="31501" xr:uid="{00000000-0005-0000-0000-0000B37D0000}"/>
    <cellStyle name="Note 3 2 2 3 3 4" xfId="32048" xr:uid="{00000000-0005-0000-0000-0000B47D0000}"/>
    <cellStyle name="Note 3 2 2 3 3 4 2" xfId="30768" xr:uid="{00000000-0005-0000-0000-0000B57D0000}"/>
    <cellStyle name="Note 3 2 2 3 3 5" xfId="31792" xr:uid="{00000000-0005-0000-0000-0000B67D0000}"/>
    <cellStyle name="Note 3 2 2 3 4" xfId="31552" xr:uid="{00000000-0005-0000-0000-0000B77D0000}"/>
    <cellStyle name="Note 3 2 2 3 4 2" xfId="19875" xr:uid="{00000000-0005-0000-0000-0000B87D0000}"/>
    <cellStyle name="Note 3 2 2 3 4 2 2" xfId="31251" xr:uid="{00000000-0005-0000-0000-0000B97D0000}"/>
    <cellStyle name="Note 3 2 2 3 4 2 2 2" xfId="32762" xr:uid="{00000000-0005-0000-0000-0000BA7D0000}"/>
    <cellStyle name="Note 3 2 2 3 4 2 3" xfId="31515" xr:uid="{00000000-0005-0000-0000-0000BB7D0000}"/>
    <cellStyle name="Note 3 2 2 3 4 3" xfId="29688" xr:uid="{00000000-0005-0000-0000-0000BC7D0000}"/>
    <cellStyle name="Note 3 2 2 3 4 3 2" xfId="32652" xr:uid="{00000000-0005-0000-0000-0000BD7D0000}"/>
    <cellStyle name="Note 3 2 2 3 4 4" xfId="32110" xr:uid="{00000000-0005-0000-0000-0000BE7D0000}"/>
    <cellStyle name="Note 3 2 2 3 5" xfId="27630" xr:uid="{00000000-0005-0000-0000-0000BF7D0000}"/>
    <cellStyle name="Note 3 2 2 3 5 2" xfId="6756" xr:uid="{00000000-0005-0000-0000-0000C07D0000}"/>
    <cellStyle name="Note 3 2 2 3 5 2 2" xfId="32685" xr:uid="{00000000-0005-0000-0000-0000C17D0000}"/>
    <cellStyle name="Note 3 2 2 3 5 3" xfId="33883" xr:uid="{00000000-0005-0000-0000-0000C27D0000}"/>
    <cellStyle name="Note 3 2 2 3 6" xfId="31448" xr:uid="{00000000-0005-0000-0000-0000C37D0000}"/>
    <cellStyle name="Note 3 2 2 3 6 2" xfId="944" xr:uid="{00000000-0005-0000-0000-0000C47D0000}"/>
    <cellStyle name="Note 3 2 2 3 7" xfId="28861" xr:uid="{00000000-0005-0000-0000-0000C57D0000}"/>
    <cellStyle name="Note 3 2 2 4" xfId="28219" xr:uid="{00000000-0005-0000-0000-0000C67D0000}"/>
    <cellStyle name="Note 3 2 2 4 2" xfId="28043" xr:uid="{00000000-0005-0000-0000-0000C77D0000}"/>
    <cellStyle name="Note 3 2 2 4 2 2" xfId="17539" xr:uid="{00000000-0005-0000-0000-0000C87D0000}"/>
    <cellStyle name="Note 3 2 2 4 2 2 2" xfId="32540" xr:uid="{00000000-0005-0000-0000-0000C97D0000}"/>
    <cellStyle name="Note 3 2 2 4 2 2 2 2" xfId="33216" xr:uid="{00000000-0005-0000-0000-0000CA7D0000}"/>
    <cellStyle name="Note 3 2 2 4 2 2 2 2 2" xfId="30377" xr:uid="{00000000-0005-0000-0000-0000CB7D0000}"/>
    <cellStyle name="Note 3 2 2 4 2 2 2 3" xfId="29659" xr:uid="{00000000-0005-0000-0000-0000CC7D0000}"/>
    <cellStyle name="Note 3 2 2 4 2 2 3" xfId="32557" xr:uid="{00000000-0005-0000-0000-0000CD7D0000}"/>
    <cellStyle name="Note 3 2 2 4 2 2 3 2" xfId="32778" xr:uid="{00000000-0005-0000-0000-0000CE7D0000}"/>
    <cellStyle name="Note 3 2 2 4 2 2 4" xfId="32385" xr:uid="{00000000-0005-0000-0000-0000CF7D0000}"/>
    <cellStyle name="Note 3 2 2 4 2 3" xfId="33099" xr:uid="{00000000-0005-0000-0000-0000D07D0000}"/>
    <cellStyle name="Note 3 2 2 4 2 3 2" xfId="26273" xr:uid="{00000000-0005-0000-0000-0000D17D0000}"/>
    <cellStyle name="Note 3 2 2 4 2 3 2 2" xfId="32570" xr:uid="{00000000-0005-0000-0000-0000D27D0000}"/>
    <cellStyle name="Note 3 2 2 4 2 3 3" xfId="31037" xr:uid="{00000000-0005-0000-0000-0000D37D0000}"/>
    <cellStyle name="Note 3 2 2 4 2 4" xfId="31040" xr:uid="{00000000-0005-0000-0000-0000D47D0000}"/>
    <cellStyle name="Note 3 2 2 4 2 4 2" xfId="12826" xr:uid="{00000000-0005-0000-0000-0000D57D0000}"/>
    <cellStyle name="Note 3 2 2 4 2 5" xfId="30772" xr:uid="{00000000-0005-0000-0000-0000D67D0000}"/>
    <cellStyle name="Note 3 2 2 4 3" xfId="32833" xr:uid="{00000000-0005-0000-0000-0000D77D0000}"/>
    <cellStyle name="Note 3 2 2 4 3 2" xfId="13560" xr:uid="{00000000-0005-0000-0000-0000D87D0000}"/>
    <cellStyle name="Note 3 2 2 4 3 2 2" xfId="5907" xr:uid="{00000000-0005-0000-0000-0000D97D0000}"/>
    <cellStyle name="Note 3 2 2 4 3 2 2 2" xfId="32806" xr:uid="{00000000-0005-0000-0000-0000DA7D0000}"/>
    <cellStyle name="Note 3 2 2 4 3 2 3" xfId="31568" xr:uid="{00000000-0005-0000-0000-0000DB7D0000}"/>
    <cellStyle name="Note 3 2 2 4 3 3" xfId="4883" xr:uid="{00000000-0005-0000-0000-0000DC7D0000}"/>
    <cellStyle name="Note 3 2 2 4 3 3 2" xfId="33514" xr:uid="{00000000-0005-0000-0000-0000DD7D0000}"/>
    <cellStyle name="Note 3 2 2 4 3 4" xfId="33196" xr:uid="{00000000-0005-0000-0000-0000DE7D0000}"/>
    <cellStyle name="Note 3 2 2 4 4" xfId="31415" xr:uid="{00000000-0005-0000-0000-0000DF7D0000}"/>
    <cellStyle name="Note 3 2 2 4 4 2" xfId="4902" xr:uid="{00000000-0005-0000-0000-0000E07D0000}"/>
    <cellStyle name="Note 3 2 2 4 4 2 2" xfId="30195" xr:uid="{00000000-0005-0000-0000-0000E17D0000}"/>
    <cellStyle name="Note 3 2 2 4 4 3" xfId="30418" xr:uid="{00000000-0005-0000-0000-0000E27D0000}"/>
    <cellStyle name="Note 3 2 2 4 5" xfId="2207" xr:uid="{00000000-0005-0000-0000-0000E37D0000}"/>
    <cellStyle name="Note 3 2 2 4 5 2" xfId="30298" xr:uid="{00000000-0005-0000-0000-0000E47D0000}"/>
    <cellStyle name="Note 3 2 2 4 6" xfId="26570" xr:uid="{00000000-0005-0000-0000-0000E57D0000}"/>
    <cellStyle name="Note 3 2 2 5" xfId="28229" xr:uid="{00000000-0005-0000-0000-0000E67D0000}"/>
    <cellStyle name="Note 3 2 2 5 2" xfId="32705" xr:uid="{00000000-0005-0000-0000-0000E77D0000}"/>
    <cellStyle name="Note 3 2 2 5 2 2" xfId="29711" xr:uid="{00000000-0005-0000-0000-0000E87D0000}"/>
    <cellStyle name="Note 3 2 2 5 2 2 2" xfId="19101" xr:uid="{00000000-0005-0000-0000-0000E97D0000}"/>
    <cellStyle name="Note 3 2 2 5 2 2 2 2" xfId="7147" xr:uid="{00000000-0005-0000-0000-0000EA7D0000}"/>
    <cellStyle name="Note 3 2 2 5 2 2 3" xfId="23431" xr:uid="{00000000-0005-0000-0000-0000EB7D0000}"/>
    <cellStyle name="Note 3 2 2 5 2 3" xfId="26917" xr:uid="{00000000-0005-0000-0000-0000EC7D0000}"/>
    <cellStyle name="Note 3 2 2 5 2 3 2" xfId="23443" xr:uid="{00000000-0005-0000-0000-0000ED7D0000}"/>
    <cellStyle name="Note 3 2 2 5 2 4" xfId="34015" xr:uid="{00000000-0005-0000-0000-0000EE7D0000}"/>
    <cellStyle name="Note 3 2 2 5 3" xfId="30571" xr:uid="{00000000-0005-0000-0000-0000EF7D0000}"/>
    <cellStyle name="Note 3 2 2 5 3 2" xfId="7985" xr:uid="{00000000-0005-0000-0000-0000F07D0000}"/>
    <cellStyle name="Note 3 2 2 5 3 2 2" xfId="23490" xr:uid="{00000000-0005-0000-0000-0000F17D0000}"/>
    <cellStyle name="Note 3 2 2 5 3 3" xfId="30447" xr:uid="{00000000-0005-0000-0000-0000F27D0000}"/>
    <cellStyle name="Note 3 2 2 5 4" xfId="29475" xr:uid="{00000000-0005-0000-0000-0000F37D0000}"/>
    <cellStyle name="Note 3 2 2 5 4 2" xfId="31430" xr:uid="{00000000-0005-0000-0000-0000F47D0000}"/>
    <cellStyle name="Note 3 2 2 5 5" xfId="24305" xr:uid="{00000000-0005-0000-0000-0000F57D0000}"/>
    <cellStyle name="Note 3 2 2 6" xfId="28103" xr:uid="{00000000-0005-0000-0000-0000F67D0000}"/>
    <cellStyle name="Note 3 2 2 6 2" xfId="25760" xr:uid="{00000000-0005-0000-0000-0000F77D0000}"/>
    <cellStyle name="Note 3 2 2 6 2 2" xfId="28020" xr:uid="{00000000-0005-0000-0000-0000F87D0000}"/>
    <cellStyle name="Note 3 2 2 6 2 2 2" xfId="23673" xr:uid="{00000000-0005-0000-0000-0000F97D0000}"/>
    <cellStyle name="Note 3 2 2 6 2 3" xfId="33065" xr:uid="{00000000-0005-0000-0000-0000FA7D0000}"/>
    <cellStyle name="Note 3 2 2 6 3" xfId="33626" xr:uid="{00000000-0005-0000-0000-0000FB7D0000}"/>
    <cellStyle name="Note 3 2 2 6 3 2" xfId="33903" xr:uid="{00000000-0005-0000-0000-0000FC7D0000}"/>
    <cellStyle name="Note 3 2 2 6 4" xfId="31441" xr:uid="{00000000-0005-0000-0000-0000FD7D0000}"/>
    <cellStyle name="Note 3 2 2 7" xfId="22397" xr:uid="{00000000-0005-0000-0000-0000FE7D0000}"/>
    <cellStyle name="Note 3 2 2 7 2" xfId="33332" xr:uid="{00000000-0005-0000-0000-0000FF7D0000}"/>
    <cellStyle name="Note 3 2 2 7 2 2" xfId="28032" xr:uid="{00000000-0005-0000-0000-0000007E0000}"/>
    <cellStyle name="Note 3 2 2 7 3" xfId="32972" xr:uid="{00000000-0005-0000-0000-0000017E0000}"/>
    <cellStyle name="Note 3 2 2 8" xfId="9476" xr:uid="{00000000-0005-0000-0000-0000027E0000}"/>
    <cellStyle name="Note 3 2 2 8 2" xfId="32788" xr:uid="{00000000-0005-0000-0000-0000037E0000}"/>
    <cellStyle name="Note 3 2 2 9" xfId="32797" xr:uid="{00000000-0005-0000-0000-0000047E0000}"/>
    <cellStyle name="Note 3 2 3" xfId="12695" xr:uid="{00000000-0005-0000-0000-0000057E0000}"/>
    <cellStyle name="Note 3 2 3 2" xfId="28568" xr:uid="{00000000-0005-0000-0000-0000067E0000}"/>
    <cellStyle name="Note 3 2 3 2 2" xfId="13700" xr:uid="{00000000-0005-0000-0000-0000077E0000}"/>
    <cellStyle name="Note 3 2 3 2 2 2" xfId="19238" xr:uid="{00000000-0005-0000-0000-0000087E0000}"/>
    <cellStyle name="Note 3 2 3 2 2 2 2" xfId="32186" xr:uid="{00000000-0005-0000-0000-0000097E0000}"/>
    <cellStyle name="Note 3 2 3 2 2 2 2 2" xfId="32804" xr:uid="{00000000-0005-0000-0000-00000A7E0000}"/>
    <cellStyle name="Note 3 2 3 2 2 2 2 2 2" xfId="7172" xr:uid="{00000000-0005-0000-0000-00000B7E0000}"/>
    <cellStyle name="Note 3 2 3 2 2 2 2 2 2 2" xfId="4880" xr:uid="{00000000-0005-0000-0000-00000C7E0000}"/>
    <cellStyle name="Note 3 2 3 2 2 2 2 2 3" xfId="6988" xr:uid="{00000000-0005-0000-0000-00000D7E0000}"/>
    <cellStyle name="Note 3 2 3 2 2 2 2 3" xfId="32321" xr:uid="{00000000-0005-0000-0000-00000E7E0000}"/>
    <cellStyle name="Note 3 2 3 2 2 2 2 3 2" xfId="6994" xr:uid="{00000000-0005-0000-0000-00000F7E0000}"/>
    <cellStyle name="Note 3 2 3 2 2 2 2 4" xfId="32133" xr:uid="{00000000-0005-0000-0000-0000107E0000}"/>
    <cellStyle name="Note 3 2 3 2 2 2 3" xfId="9446" xr:uid="{00000000-0005-0000-0000-0000117E0000}"/>
    <cellStyle name="Note 3 2 3 2 2 2 3 2" xfId="33149" xr:uid="{00000000-0005-0000-0000-0000127E0000}"/>
    <cellStyle name="Note 3 2 3 2 2 2 3 2 2" xfId="7000" xr:uid="{00000000-0005-0000-0000-0000137E0000}"/>
    <cellStyle name="Note 3 2 3 2 2 2 3 3" xfId="22190" xr:uid="{00000000-0005-0000-0000-0000147E0000}"/>
    <cellStyle name="Note 3 2 3 2 2 2 4" xfId="32506" xr:uid="{00000000-0005-0000-0000-0000157E0000}"/>
    <cellStyle name="Note 3 2 3 2 2 2 4 2" xfId="33861" xr:uid="{00000000-0005-0000-0000-0000167E0000}"/>
    <cellStyle name="Note 3 2 3 2 2 2 5" xfId="33855" xr:uid="{00000000-0005-0000-0000-0000177E0000}"/>
    <cellStyle name="Note 3 2 3 2 2 3" xfId="9709" xr:uid="{00000000-0005-0000-0000-0000187E0000}"/>
    <cellStyle name="Note 3 2 3 2 2 3 2" xfId="30926" xr:uid="{00000000-0005-0000-0000-0000197E0000}"/>
    <cellStyle name="Note 3 2 3 2 2 3 2 2" xfId="32815" xr:uid="{00000000-0005-0000-0000-00001A7E0000}"/>
    <cellStyle name="Note 3 2 3 2 2 3 2 2 2" xfId="7816" xr:uid="{00000000-0005-0000-0000-00001B7E0000}"/>
    <cellStyle name="Note 3 2 3 2 2 3 2 3" xfId="32766" xr:uid="{00000000-0005-0000-0000-00001C7E0000}"/>
    <cellStyle name="Note 3 2 3 2 2 3 3" xfId="33114" xr:uid="{00000000-0005-0000-0000-00001D7E0000}"/>
    <cellStyle name="Note 3 2 3 2 2 3 3 2" xfId="32824" xr:uid="{00000000-0005-0000-0000-00001E7E0000}"/>
    <cellStyle name="Note 3 2 3 2 2 3 4" xfId="34003" xr:uid="{00000000-0005-0000-0000-00001F7E0000}"/>
    <cellStyle name="Note 3 2 3 2 2 4" xfId="7756" xr:uid="{00000000-0005-0000-0000-0000207E0000}"/>
    <cellStyle name="Note 3 2 3 2 2 4 2" xfId="32828" xr:uid="{00000000-0005-0000-0000-0000217E0000}"/>
    <cellStyle name="Note 3 2 3 2 2 4 2 2" xfId="32830" xr:uid="{00000000-0005-0000-0000-0000227E0000}"/>
    <cellStyle name="Note 3 2 3 2 2 4 3" xfId="30442" xr:uid="{00000000-0005-0000-0000-0000237E0000}"/>
    <cellStyle name="Note 3 2 3 2 2 5" xfId="3050" xr:uid="{00000000-0005-0000-0000-0000247E0000}"/>
    <cellStyle name="Note 3 2 3 2 2 5 2" xfId="32832" xr:uid="{00000000-0005-0000-0000-0000257E0000}"/>
    <cellStyle name="Note 3 2 3 2 2 6" xfId="21581" xr:uid="{00000000-0005-0000-0000-0000267E0000}"/>
    <cellStyle name="Note 3 2 3 2 3" xfId="32844" xr:uid="{00000000-0005-0000-0000-0000277E0000}"/>
    <cellStyle name="Note 3 2 3 2 3 2" xfId="31346" xr:uid="{00000000-0005-0000-0000-0000287E0000}"/>
    <cellStyle name="Note 3 2 3 2 3 2 2" xfId="33162" xr:uid="{00000000-0005-0000-0000-0000297E0000}"/>
    <cellStyle name="Note 3 2 3 2 3 2 2 2" xfId="32442" xr:uid="{00000000-0005-0000-0000-00002A7E0000}"/>
    <cellStyle name="Note 3 2 3 2 3 2 2 2 2" xfId="17996" xr:uid="{00000000-0005-0000-0000-00002B7E0000}"/>
    <cellStyle name="Note 3 2 3 2 3 2 2 3" xfId="23950" xr:uid="{00000000-0005-0000-0000-00002C7E0000}"/>
    <cellStyle name="Note 3 2 3 2 3 2 3" xfId="33169" xr:uid="{00000000-0005-0000-0000-00002D7E0000}"/>
    <cellStyle name="Note 3 2 3 2 3 2 3 2" xfId="25206" xr:uid="{00000000-0005-0000-0000-00002E7E0000}"/>
    <cellStyle name="Note 3 2 3 2 3 2 4" xfId="32069" xr:uid="{00000000-0005-0000-0000-00002F7E0000}"/>
    <cellStyle name="Note 3 2 3 2 3 3" xfId="3519" xr:uid="{00000000-0005-0000-0000-0000307E0000}"/>
    <cellStyle name="Note 3 2 3 2 3 3 2" xfId="33519" xr:uid="{00000000-0005-0000-0000-0000317E0000}"/>
    <cellStyle name="Note 3 2 3 2 3 3 2 2" xfId="32847" xr:uid="{00000000-0005-0000-0000-0000327E0000}"/>
    <cellStyle name="Note 3 2 3 2 3 3 3" xfId="32664" xr:uid="{00000000-0005-0000-0000-0000337E0000}"/>
    <cellStyle name="Note 3 2 3 2 3 4" xfId="20151" xr:uid="{00000000-0005-0000-0000-0000347E0000}"/>
    <cellStyle name="Note 3 2 3 2 3 4 2" xfId="20155" xr:uid="{00000000-0005-0000-0000-0000357E0000}"/>
    <cellStyle name="Note 3 2 3 2 3 5" xfId="20159" xr:uid="{00000000-0005-0000-0000-0000367E0000}"/>
    <cellStyle name="Note 3 2 3 2 4" xfId="32146" xr:uid="{00000000-0005-0000-0000-0000377E0000}"/>
    <cellStyle name="Note 3 2 3 2 4 2" xfId="32196" xr:uid="{00000000-0005-0000-0000-0000387E0000}"/>
    <cellStyle name="Note 3 2 3 2 4 2 2" xfId="33697" xr:uid="{00000000-0005-0000-0000-0000397E0000}"/>
    <cellStyle name="Note 3 2 3 2 4 2 2 2" xfId="26865" xr:uid="{00000000-0005-0000-0000-00003A7E0000}"/>
    <cellStyle name="Note 3 2 3 2 4 2 3" xfId="32860" xr:uid="{00000000-0005-0000-0000-00003B7E0000}"/>
    <cellStyle name="Note 3 2 3 2 4 3" xfId="26516" xr:uid="{00000000-0005-0000-0000-00003C7E0000}"/>
    <cellStyle name="Note 3 2 3 2 4 3 2" xfId="32067" xr:uid="{00000000-0005-0000-0000-00003D7E0000}"/>
    <cellStyle name="Note 3 2 3 2 4 4" xfId="20163" xr:uid="{00000000-0005-0000-0000-00003E7E0000}"/>
    <cellStyle name="Note 3 2 3 2 5" xfId="10007" xr:uid="{00000000-0005-0000-0000-00003F7E0000}"/>
    <cellStyle name="Note 3 2 3 2 5 2" xfId="2170" xr:uid="{00000000-0005-0000-0000-0000407E0000}"/>
    <cellStyle name="Note 3 2 3 2 5 2 2" xfId="24323" xr:uid="{00000000-0005-0000-0000-0000417E0000}"/>
    <cellStyle name="Note 3 2 3 2 5 3" xfId="32869" xr:uid="{00000000-0005-0000-0000-0000427E0000}"/>
    <cellStyle name="Note 3 2 3 2 6" xfId="21353" xr:uid="{00000000-0005-0000-0000-0000437E0000}"/>
    <cellStyle name="Note 3 2 3 2 6 2" xfId="27425" xr:uid="{00000000-0005-0000-0000-0000447E0000}"/>
    <cellStyle name="Note 3 2 3 2 7" xfId="21367" xr:uid="{00000000-0005-0000-0000-0000457E0000}"/>
    <cellStyle name="Note 3 2 3 3" xfId="28046" xr:uid="{00000000-0005-0000-0000-0000467E0000}"/>
    <cellStyle name="Note 3 2 3 3 2" xfId="32861" xr:uid="{00000000-0005-0000-0000-0000477E0000}"/>
    <cellStyle name="Note 3 2 3 3 2 2" xfId="33576" xr:uid="{00000000-0005-0000-0000-0000487E0000}"/>
    <cellStyle name="Note 3 2 3 3 2 2 2" xfId="32556" xr:uid="{00000000-0005-0000-0000-0000497E0000}"/>
    <cellStyle name="Note 3 2 3 3 2 2 2 2" xfId="10062" xr:uid="{00000000-0005-0000-0000-00004A7E0000}"/>
    <cellStyle name="Note 3 2 3 3 2 2 2 2 2" xfId="7363" xr:uid="{00000000-0005-0000-0000-00004B7E0000}"/>
    <cellStyle name="Note 3 2 3 3 2 2 2 3" xfId="29434" xr:uid="{00000000-0005-0000-0000-00004C7E0000}"/>
    <cellStyle name="Note 3 2 3 3 2 2 3" xfId="32717" xr:uid="{00000000-0005-0000-0000-00004D7E0000}"/>
    <cellStyle name="Note 3 2 3 3 2 2 3 2" xfId="32566" xr:uid="{00000000-0005-0000-0000-00004E7E0000}"/>
    <cellStyle name="Note 3 2 3 3 2 2 4" xfId="32567" xr:uid="{00000000-0005-0000-0000-00004F7E0000}"/>
    <cellStyle name="Note 3 2 3 3 2 3" xfId="3555" xr:uid="{00000000-0005-0000-0000-0000507E0000}"/>
    <cellStyle name="Note 3 2 3 3 2 3 2" xfId="33846" xr:uid="{00000000-0005-0000-0000-0000517E0000}"/>
    <cellStyle name="Note 3 2 3 3 2 3 2 2" xfId="32573" xr:uid="{00000000-0005-0000-0000-0000527E0000}"/>
    <cellStyle name="Note 3 2 3 3 2 3 3" xfId="27505" xr:uid="{00000000-0005-0000-0000-0000537E0000}"/>
    <cellStyle name="Note 3 2 3 3 2 4" xfId="3070" xr:uid="{00000000-0005-0000-0000-0000547E0000}"/>
    <cellStyle name="Note 3 2 3 3 2 4 2" xfId="5634" xr:uid="{00000000-0005-0000-0000-0000557E0000}"/>
    <cellStyle name="Note 3 2 3 3 2 5" xfId="32028" xr:uid="{00000000-0005-0000-0000-0000567E0000}"/>
    <cellStyle name="Note 3 2 3 3 3" xfId="30716" xr:uid="{00000000-0005-0000-0000-0000577E0000}"/>
    <cellStyle name="Note 3 2 3 3 3 2" xfId="33007" xr:uid="{00000000-0005-0000-0000-0000587E0000}"/>
    <cellStyle name="Note 3 2 3 3 3 2 2" xfId="33363" xr:uid="{00000000-0005-0000-0000-0000597E0000}"/>
    <cellStyle name="Note 3 2 3 3 3 2 2 2" xfId="33401" xr:uid="{00000000-0005-0000-0000-00005A7E0000}"/>
    <cellStyle name="Note 3 2 3 3 3 2 3" xfId="33430" xr:uid="{00000000-0005-0000-0000-00005B7E0000}"/>
    <cellStyle name="Note 3 2 3 3 3 3" xfId="5014" xr:uid="{00000000-0005-0000-0000-00005C7E0000}"/>
    <cellStyle name="Note 3 2 3 3 3 3 2" xfId="29144" xr:uid="{00000000-0005-0000-0000-00005D7E0000}"/>
    <cellStyle name="Note 3 2 3 3 3 4" xfId="20164" xr:uid="{00000000-0005-0000-0000-00005E7E0000}"/>
    <cellStyle name="Note 3 2 3 3 4" xfId="30662" xr:uid="{00000000-0005-0000-0000-00005F7E0000}"/>
    <cellStyle name="Note 3 2 3 3 4 2" xfId="32889" xr:uid="{00000000-0005-0000-0000-0000607E0000}"/>
    <cellStyle name="Note 3 2 3 3 4 2 2" xfId="32077" xr:uid="{00000000-0005-0000-0000-0000617E0000}"/>
    <cellStyle name="Note 3 2 3 3 4 3" xfId="32882" xr:uid="{00000000-0005-0000-0000-0000627E0000}"/>
    <cellStyle name="Note 3 2 3 3 5" xfId="30665" xr:uid="{00000000-0005-0000-0000-0000637E0000}"/>
    <cellStyle name="Note 3 2 3 3 5 2" xfId="33439" xr:uid="{00000000-0005-0000-0000-0000647E0000}"/>
    <cellStyle name="Note 3 2 3 3 6" xfId="21379" xr:uid="{00000000-0005-0000-0000-0000657E0000}"/>
    <cellStyle name="Note 3 2 3 4" xfId="14977" xr:uid="{00000000-0005-0000-0000-0000667E0000}"/>
    <cellStyle name="Note 3 2 3 4 2" xfId="32872" xr:uid="{00000000-0005-0000-0000-0000677E0000}"/>
    <cellStyle name="Note 3 2 3 4 2 2" xfId="27411" xr:uid="{00000000-0005-0000-0000-0000687E0000}"/>
    <cellStyle name="Note 3 2 3 4 2 2 2" xfId="32496" xr:uid="{00000000-0005-0000-0000-0000697E0000}"/>
    <cellStyle name="Note 3 2 3 4 2 2 2 2" xfId="31070" xr:uid="{00000000-0005-0000-0000-00006A7E0000}"/>
    <cellStyle name="Note 3 2 3 4 2 2 3" xfId="33643" xr:uid="{00000000-0005-0000-0000-00006B7E0000}"/>
    <cellStyle name="Note 3 2 3 4 2 3" xfId="3579" xr:uid="{00000000-0005-0000-0000-00006C7E0000}"/>
    <cellStyle name="Note 3 2 3 4 2 3 2" xfId="33929" xr:uid="{00000000-0005-0000-0000-00006D7E0000}"/>
    <cellStyle name="Note 3 2 3 4 2 4" xfId="32900" xr:uid="{00000000-0005-0000-0000-00006E7E0000}"/>
    <cellStyle name="Note 3 2 3 4 3" xfId="33381" xr:uid="{00000000-0005-0000-0000-00006F7E0000}"/>
    <cellStyle name="Note 3 2 3 4 3 2" xfId="5066" xr:uid="{00000000-0005-0000-0000-0000707E0000}"/>
    <cellStyle name="Note 3 2 3 4 3 2 2" xfId="32140" xr:uid="{00000000-0005-0000-0000-0000717E0000}"/>
    <cellStyle name="Note 3 2 3 4 3 3" xfId="32892" xr:uid="{00000000-0005-0000-0000-0000727E0000}"/>
    <cellStyle name="Note 3 2 3 4 4" xfId="31452" xr:uid="{00000000-0005-0000-0000-0000737E0000}"/>
    <cellStyle name="Note 3 2 3 4 4 2" xfId="28278" xr:uid="{00000000-0005-0000-0000-0000747E0000}"/>
    <cellStyle name="Note 3 2 3 4 5" xfId="26588" xr:uid="{00000000-0005-0000-0000-0000757E0000}"/>
    <cellStyle name="Note 3 2 3 5" xfId="30826" xr:uid="{00000000-0005-0000-0000-0000767E0000}"/>
    <cellStyle name="Note 3 2 3 5 2" xfId="31895" xr:uid="{00000000-0005-0000-0000-0000777E0000}"/>
    <cellStyle name="Note 3 2 3 5 2 2" xfId="32520" xr:uid="{00000000-0005-0000-0000-0000787E0000}"/>
    <cellStyle name="Note 3 2 3 5 2 2 2" xfId="7811" xr:uid="{00000000-0005-0000-0000-0000797E0000}"/>
    <cellStyle name="Note 3 2 3 5 2 3" xfId="32895" xr:uid="{00000000-0005-0000-0000-00007A7E0000}"/>
    <cellStyle name="Note 3 2 3 5 3" xfId="32525" xr:uid="{00000000-0005-0000-0000-00007B7E0000}"/>
    <cellStyle name="Note 3 2 3 5 3 2" xfId="33645" xr:uid="{00000000-0005-0000-0000-00007C7E0000}"/>
    <cellStyle name="Note 3 2 3 5 4" xfId="30325" xr:uid="{00000000-0005-0000-0000-00007D7E0000}"/>
    <cellStyle name="Note 3 2 3 6" xfId="25736" xr:uid="{00000000-0005-0000-0000-00007E7E0000}"/>
    <cellStyle name="Note 3 2 3 6 2" xfId="32536" xr:uid="{00000000-0005-0000-0000-00007F7E0000}"/>
    <cellStyle name="Note 3 2 3 6 2 2" xfId="32896" xr:uid="{00000000-0005-0000-0000-0000807E0000}"/>
    <cellStyle name="Note 3 2 3 6 3" xfId="28946" xr:uid="{00000000-0005-0000-0000-0000817E0000}"/>
    <cellStyle name="Note 3 2 3 7" xfId="28958" xr:uid="{00000000-0005-0000-0000-0000827E0000}"/>
    <cellStyle name="Note 3 2 3 7 2" xfId="24763" xr:uid="{00000000-0005-0000-0000-0000837E0000}"/>
    <cellStyle name="Note 3 2 3 8" xfId="30607" xr:uid="{00000000-0005-0000-0000-0000847E0000}"/>
    <cellStyle name="Note 3 2 4" xfId="24868" xr:uid="{00000000-0005-0000-0000-0000857E0000}"/>
    <cellStyle name="Note 3 2 4 2" xfId="32867" xr:uid="{00000000-0005-0000-0000-0000867E0000}"/>
    <cellStyle name="Note 3 2 4 2 2" xfId="30490" xr:uid="{00000000-0005-0000-0000-0000877E0000}"/>
    <cellStyle name="Note 3 2 4 2 2 2" xfId="32155" xr:uid="{00000000-0005-0000-0000-0000887E0000}"/>
    <cellStyle name="Note 3 2 4 2 2 2 2" xfId="32092" xr:uid="{00000000-0005-0000-0000-0000897E0000}"/>
    <cellStyle name="Note 3 2 4 2 2 2 2 2" xfId="30180" xr:uid="{00000000-0005-0000-0000-00008A7E0000}"/>
    <cellStyle name="Note 3 2 4 2 2 2 2 2 2" xfId="15065" xr:uid="{00000000-0005-0000-0000-00008B7E0000}"/>
    <cellStyle name="Note 3 2 4 2 2 2 2 3" xfId="25679" xr:uid="{00000000-0005-0000-0000-00008C7E0000}"/>
    <cellStyle name="Note 3 2 4 2 2 2 3" xfId="15347" xr:uid="{00000000-0005-0000-0000-00008D7E0000}"/>
    <cellStyle name="Note 3 2 4 2 2 2 3 2" xfId="32916" xr:uid="{00000000-0005-0000-0000-00008E7E0000}"/>
    <cellStyle name="Note 3 2 4 2 2 2 4" xfId="32918" xr:uid="{00000000-0005-0000-0000-00008F7E0000}"/>
    <cellStyle name="Note 3 2 4 2 2 3" xfId="2640" xr:uid="{00000000-0005-0000-0000-0000907E0000}"/>
    <cellStyle name="Note 3 2 4 2 2 3 2" xfId="31205" xr:uid="{00000000-0005-0000-0000-0000917E0000}"/>
    <cellStyle name="Note 3 2 4 2 2 3 2 2" xfId="28726" xr:uid="{00000000-0005-0000-0000-0000927E0000}"/>
    <cellStyle name="Note 3 2 4 2 2 3 3" xfId="32923" xr:uid="{00000000-0005-0000-0000-0000937E0000}"/>
    <cellStyle name="Note 3 2 4 2 2 4" xfId="3219" xr:uid="{00000000-0005-0000-0000-0000947E0000}"/>
    <cellStyle name="Note 3 2 4 2 2 4 2" xfId="30514" xr:uid="{00000000-0005-0000-0000-0000957E0000}"/>
    <cellStyle name="Note 3 2 4 2 2 5" xfId="138" xr:uid="{00000000-0005-0000-0000-0000967E0000}"/>
    <cellStyle name="Note 3 2 4 2 3" xfId="31064" xr:uid="{00000000-0005-0000-0000-0000977E0000}"/>
    <cellStyle name="Note 3 2 4 2 3 2" xfId="33468" xr:uid="{00000000-0005-0000-0000-0000987E0000}"/>
    <cellStyle name="Note 3 2 4 2 3 2 2" xfId="30334" xr:uid="{00000000-0005-0000-0000-0000997E0000}"/>
    <cellStyle name="Note 3 2 4 2 3 2 2 2" xfId="31971" xr:uid="{00000000-0005-0000-0000-00009A7E0000}"/>
    <cellStyle name="Note 3 2 4 2 3 2 3" xfId="13663" xr:uid="{00000000-0005-0000-0000-00009B7E0000}"/>
    <cellStyle name="Note 3 2 4 2 3 3" xfId="5145" xr:uid="{00000000-0005-0000-0000-00009C7E0000}"/>
    <cellStyle name="Note 3 2 4 2 3 3 2" xfId="31985" xr:uid="{00000000-0005-0000-0000-00009D7E0000}"/>
    <cellStyle name="Note 3 2 4 2 3 4" xfId="20214" xr:uid="{00000000-0005-0000-0000-00009E7E0000}"/>
    <cellStyle name="Note 3 2 4 2 4" xfId="32562" xr:uid="{00000000-0005-0000-0000-00009F7E0000}"/>
    <cellStyle name="Note 3 2 4 2 4 2" xfId="4269" xr:uid="{00000000-0005-0000-0000-0000A07E0000}"/>
    <cellStyle name="Note 3 2 4 2 4 2 2" xfId="15835" xr:uid="{00000000-0005-0000-0000-0000A17E0000}"/>
    <cellStyle name="Note 3 2 4 2 4 3" xfId="14442" xr:uid="{00000000-0005-0000-0000-0000A27E0000}"/>
    <cellStyle name="Note 3 2 4 2 5" xfId="33058" xr:uid="{00000000-0005-0000-0000-0000A37E0000}"/>
    <cellStyle name="Note 3 2 4 2 5 2" xfId="590" xr:uid="{00000000-0005-0000-0000-0000A47E0000}"/>
    <cellStyle name="Note 3 2 4 2 6" xfId="21404" xr:uid="{00000000-0005-0000-0000-0000A57E0000}"/>
    <cellStyle name="Note 3 2 4 3" xfId="28057" xr:uid="{00000000-0005-0000-0000-0000A67E0000}"/>
    <cellStyle name="Note 3 2 4 3 2" xfId="31439" xr:uid="{00000000-0005-0000-0000-0000A77E0000}"/>
    <cellStyle name="Note 3 2 4 3 2 2" xfId="33426" xr:uid="{00000000-0005-0000-0000-0000A87E0000}"/>
    <cellStyle name="Note 3 2 4 3 2 2 2" xfId="24409" xr:uid="{00000000-0005-0000-0000-0000A97E0000}"/>
    <cellStyle name="Note 3 2 4 3 2 2 2 2" xfId="32080" xr:uid="{00000000-0005-0000-0000-0000AA7E0000}"/>
    <cellStyle name="Note 3 2 4 3 2 2 3" xfId="33036" xr:uid="{00000000-0005-0000-0000-0000AB7E0000}"/>
    <cellStyle name="Note 3 2 4 3 2 3" xfId="6703" xr:uid="{00000000-0005-0000-0000-0000AC7E0000}"/>
    <cellStyle name="Note 3 2 4 3 2 3 2" xfId="33038" xr:uid="{00000000-0005-0000-0000-0000AD7E0000}"/>
    <cellStyle name="Note 3 2 4 3 2 4" xfId="32594" xr:uid="{00000000-0005-0000-0000-0000AE7E0000}"/>
    <cellStyle name="Note 3 2 4 3 3" xfId="32949" xr:uid="{00000000-0005-0000-0000-0000AF7E0000}"/>
    <cellStyle name="Note 3 2 4 3 3 2" xfId="33361" xr:uid="{00000000-0005-0000-0000-0000B07E0000}"/>
    <cellStyle name="Note 3 2 4 3 3 2 2" xfId="32952" xr:uid="{00000000-0005-0000-0000-0000B17E0000}"/>
    <cellStyle name="Note 3 2 4 3 3 3" xfId="32596" xr:uid="{00000000-0005-0000-0000-0000B27E0000}"/>
    <cellStyle name="Note 3 2 4 3 4" xfId="30674" xr:uid="{00000000-0005-0000-0000-0000B37E0000}"/>
    <cellStyle name="Note 3 2 4 3 4 2" xfId="12683" xr:uid="{00000000-0005-0000-0000-0000B47E0000}"/>
    <cellStyle name="Note 3 2 4 3 5" xfId="32607" xr:uid="{00000000-0005-0000-0000-0000B57E0000}"/>
    <cellStyle name="Note 3 2 4 4" xfId="24173" xr:uid="{00000000-0005-0000-0000-0000B67E0000}"/>
    <cellStyle name="Note 3 2 4 4 2" xfId="27452" xr:uid="{00000000-0005-0000-0000-0000B77E0000}"/>
    <cellStyle name="Note 3 2 4 4 2 2" xfId="32963" xr:uid="{00000000-0005-0000-0000-0000B87E0000}"/>
    <cellStyle name="Note 3 2 4 4 2 2 2" xfId="14312" xr:uid="{00000000-0005-0000-0000-0000B97E0000}"/>
    <cellStyle name="Note 3 2 4 4 2 3" xfId="32964" xr:uid="{00000000-0005-0000-0000-0000BA7E0000}"/>
    <cellStyle name="Note 3 2 4 4 3" xfId="30585" xr:uid="{00000000-0005-0000-0000-0000BB7E0000}"/>
    <cellStyle name="Note 3 2 4 4 3 2" xfId="33669" xr:uid="{00000000-0005-0000-0000-0000BC7E0000}"/>
    <cellStyle name="Note 3 2 4 4 4" xfId="28317" xr:uid="{00000000-0005-0000-0000-0000BD7E0000}"/>
    <cellStyle name="Note 3 2 4 5" xfId="32968" xr:uid="{00000000-0005-0000-0000-0000BE7E0000}"/>
    <cellStyle name="Note 3 2 4 5 2" xfId="33400" xr:uid="{00000000-0005-0000-0000-0000BF7E0000}"/>
    <cellStyle name="Note 3 2 4 5 2 2" xfId="32970" xr:uid="{00000000-0005-0000-0000-0000C07E0000}"/>
    <cellStyle name="Note 3 2 4 5 3" xfId="31284" xr:uid="{00000000-0005-0000-0000-0000C17E0000}"/>
    <cellStyle name="Note 3 2 4 6" xfId="24508" xr:uid="{00000000-0005-0000-0000-0000C27E0000}"/>
    <cellStyle name="Note 3 2 4 6 2" xfId="32974" xr:uid="{00000000-0005-0000-0000-0000C37E0000}"/>
    <cellStyle name="Note 3 2 4 7" xfId="32667" xr:uid="{00000000-0005-0000-0000-0000C47E0000}"/>
    <cellStyle name="Note 3 2 5" xfId="32827" xr:uid="{00000000-0005-0000-0000-0000C57E0000}"/>
    <cellStyle name="Note 3 2 5 2" xfId="32829" xr:uid="{00000000-0005-0000-0000-0000C67E0000}"/>
    <cellStyle name="Note 3 2 5 2 2" xfId="27925" xr:uid="{00000000-0005-0000-0000-0000C77E0000}"/>
    <cellStyle name="Note 3 2 5 2 2 2" xfId="29529" xr:uid="{00000000-0005-0000-0000-0000C87E0000}"/>
    <cellStyle name="Note 3 2 5 2 2 2 2" xfId="27576" xr:uid="{00000000-0005-0000-0000-0000C97E0000}"/>
    <cellStyle name="Note 3 2 5 2 2 2 2 2" xfId="135" xr:uid="{00000000-0005-0000-0000-0000CA7E0000}"/>
    <cellStyle name="Note 3 2 5 2 2 2 3" xfId="32073" xr:uid="{00000000-0005-0000-0000-0000CB7E0000}"/>
    <cellStyle name="Note 3 2 5 2 2 3" xfId="1536" xr:uid="{00000000-0005-0000-0000-0000CC7E0000}"/>
    <cellStyle name="Note 3 2 5 2 2 3 2" xfId="29542" xr:uid="{00000000-0005-0000-0000-0000CD7E0000}"/>
    <cellStyle name="Note 3 2 5 2 2 4" xfId="29544" xr:uid="{00000000-0005-0000-0000-0000CE7E0000}"/>
    <cellStyle name="Note 3 2 5 2 3" xfId="28208" xr:uid="{00000000-0005-0000-0000-0000CF7E0000}"/>
    <cellStyle name="Note 3 2 5 2 3 2" xfId="31262" xr:uid="{00000000-0005-0000-0000-0000D07E0000}"/>
    <cellStyle name="Note 3 2 5 2 3 2 2" xfId="32992" xr:uid="{00000000-0005-0000-0000-0000D17E0000}"/>
    <cellStyle name="Note 3 2 5 2 3 3" xfId="31269" xr:uid="{00000000-0005-0000-0000-0000D27E0000}"/>
    <cellStyle name="Note 3 2 5 2 4" xfId="14592" xr:uid="{00000000-0005-0000-0000-0000D37E0000}"/>
    <cellStyle name="Note 3 2 5 2 4 2" xfId="14462" xr:uid="{00000000-0005-0000-0000-0000D47E0000}"/>
    <cellStyle name="Note 3 2 5 2 5" xfId="33251" xr:uid="{00000000-0005-0000-0000-0000D57E0000}"/>
    <cellStyle name="Note 3 2 5 3" xfId="31189" xr:uid="{00000000-0005-0000-0000-0000D67E0000}"/>
    <cellStyle name="Note 3 2 5 3 2" xfId="33416" xr:uid="{00000000-0005-0000-0000-0000D77E0000}"/>
    <cellStyle name="Note 3 2 5 3 2 2" xfId="32976" xr:uid="{00000000-0005-0000-0000-0000D87E0000}"/>
    <cellStyle name="Note 3 2 5 3 2 2 2" xfId="32851" xr:uid="{00000000-0005-0000-0000-0000D97E0000}"/>
    <cellStyle name="Note 3 2 5 3 2 3" xfId="32286" xr:uid="{00000000-0005-0000-0000-0000DA7E0000}"/>
    <cellStyle name="Note 3 2 5 3 3" xfId="2264" xr:uid="{00000000-0005-0000-0000-0000DB7E0000}"/>
    <cellStyle name="Note 3 2 5 3 3 2" xfId="31273" xr:uid="{00000000-0005-0000-0000-0000DC7E0000}"/>
    <cellStyle name="Note 3 2 5 3 4" xfId="28236" xr:uid="{00000000-0005-0000-0000-0000DD7E0000}"/>
    <cellStyle name="Note 3 2 5 4" xfId="32733" xr:uid="{00000000-0005-0000-0000-0000DE7E0000}"/>
    <cellStyle name="Note 3 2 5 4 2" xfId="26722" xr:uid="{00000000-0005-0000-0000-0000DF7E0000}"/>
    <cellStyle name="Note 3 2 5 4 2 2" xfId="26804" xr:uid="{00000000-0005-0000-0000-0000E07E0000}"/>
    <cellStyle name="Note 3 2 5 4 3" xfId="31277" xr:uid="{00000000-0005-0000-0000-0000E17E0000}"/>
    <cellStyle name="Note 3 2 5 5" xfId="21946" xr:uid="{00000000-0005-0000-0000-0000E27E0000}"/>
    <cellStyle name="Note 3 2 5 5 2" xfId="30407" xr:uid="{00000000-0005-0000-0000-0000E37E0000}"/>
    <cellStyle name="Note 3 2 5 6" xfId="29948" xr:uid="{00000000-0005-0000-0000-0000E47E0000}"/>
    <cellStyle name="Note 3 2 6" xfId="19179" xr:uid="{00000000-0005-0000-0000-0000E57E0000}"/>
    <cellStyle name="Note 3 2 6 2" xfId="29337" xr:uid="{00000000-0005-0000-0000-0000E67E0000}"/>
    <cellStyle name="Note 3 2 6 2 2" xfId="30928" xr:uid="{00000000-0005-0000-0000-0000E77E0000}"/>
    <cellStyle name="Note 3 2 6 2 2 2" xfId="33383" xr:uid="{00000000-0005-0000-0000-0000E87E0000}"/>
    <cellStyle name="Note 3 2 6 2 2 2 2" xfId="21309" xr:uid="{00000000-0005-0000-0000-0000E97E0000}"/>
    <cellStyle name="Note 3 2 6 2 2 3" xfId="32839" xr:uid="{00000000-0005-0000-0000-0000EA7E0000}"/>
    <cellStyle name="Note 3 2 6 2 3" xfId="13493" xr:uid="{00000000-0005-0000-0000-0000EB7E0000}"/>
    <cellStyle name="Note 3 2 6 2 3 2" xfId="31320" xr:uid="{00000000-0005-0000-0000-0000EC7E0000}"/>
    <cellStyle name="Note 3 2 6 2 4" xfId="32742" xr:uid="{00000000-0005-0000-0000-0000ED7E0000}"/>
    <cellStyle name="Note 3 2 6 3" xfId="29231" xr:uid="{00000000-0005-0000-0000-0000EE7E0000}"/>
    <cellStyle name="Note 3 2 6 3 2" xfId="25312" xr:uid="{00000000-0005-0000-0000-0000EF7E0000}"/>
    <cellStyle name="Note 3 2 6 3 2 2" xfId="29589" xr:uid="{00000000-0005-0000-0000-0000F07E0000}"/>
    <cellStyle name="Note 3 2 6 3 3" xfId="31325" xr:uid="{00000000-0005-0000-0000-0000F17E0000}"/>
    <cellStyle name="Note 3 2 6 4" xfId="32627" xr:uid="{00000000-0005-0000-0000-0000F27E0000}"/>
    <cellStyle name="Note 3 2 6 4 2" xfId="19648" xr:uid="{00000000-0005-0000-0000-0000F37E0000}"/>
    <cellStyle name="Note 3 2 6 5" xfId="30222" xr:uid="{00000000-0005-0000-0000-0000F47E0000}"/>
    <cellStyle name="Note 3 2 7" xfId="25658" xr:uid="{00000000-0005-0000-0000-0000F57E0000}"/>
    <cellStyle name="Note 3 2 7 2" xfId="30318" xr:uid="{00000000-0005-0000-0000-0000F67E0000}"/>
    <cellStyle name="Note 3 2 7 2 2" xfId="29132" xr:uid="{00000000-0005-0000-0000-0000F77E0000}"/>
    <cellStyle name="Note 3 2 7 2 2 2" xfId="32605" xr:uid="{00000000-0005-0000-0000-0000F87E0000}"/>
    <cellStyle name="Note 3 2 7 2 3" xfId="28211" xr:uid="{00000000-0005-0000-0000-0000F97E0000}"/>
    <cellStyle name="Note 3 2 7 3" xfId="29238" xr:uid="{00000000-0005-0000-0000-0000FA7E0000}"/>
    <cellStyle name="Note 3 2 7 3 2" xfId="30682" xr:uid="{00000000-0005-0000-0000-0000FB7E0000}"/>
    <cellStyle name="Note 3 2 7 4" xfId="32168" xr:uid="{00000000-0005-0000-0000-0000FC7E0000}"/>
    <cellStyle name="Note 3 2 8" xfId="25663" xr:uid="{00000000-0005-0000-0000-0000FD7E0000}"/>
    <cellStyle name="Note 3 2 8 2" xfId="32997" xr:uid="{00000000-0005-0000-0000-0000FE7E0000}"/>
    <cellStyle name="Note 3 2 8 2 2" xfId="12915" xr:uid="{00000000-0005-0000-0000-0000FF7E0000}"/>
    <cellStyle name="Note 3 2 8 3" xfId="2433" xr:uid="{00000000-0005-0000-0000-0000007F0000}"/>
    <cellStyle name="Note 3 2 9" xfId="20055" xr:uid="{00000000-0005-0000-0000-0000017F0000}"/>
    <cellStyle name="Note 3 2 9 2" xfId="20209" xr:uid="{00000000-0005-0000-0000-0000027F0000}"/>
    <cellStyle name="Note 3 3" xfId="30107" xr:uid="{00000000-0005-0000-0000-0000037F0000}"/>
    <cellStyle name="Note 3 3 2" xfId="13842" xr:uid="{00000000-0005-0000-0000-0000047F0000}"/>
    <cellStyle name="Note 3 3 2 2" xfId="20736" xr:uid="{00000000-0005-0000-0000-0000057F0000}"/>
    <cellStyle name="Note 3 3 2 2 2" xfId="30747" xr:uid="{00000000-0005-0000-0000-0000067F0000}"/>
    <cellStyle name="Note 3 3 2 2 2 2" xfId="31392" xr:uid="{00000000-0005-0000-0000-0000077F0000}"/>
    <cellStyle name="Note 3 3 2 2 2 2 2" xfId="31400" xr:uid="{00000000-0005-0000-0000-0000087F0000}"/>
    <cellStyle name="Note 3 3 2 2 2 2 2 2" xfId="33016" xr:uid="{00000000-0005-0000-0000-0000097F0000}"/>
    <cellStyle name="Note 3 3 2 2 2 2 2 2 2" xfId="33018" xr:uid="{00000000-0005-0000-0000-00000A7F0000}"/>
    <cellStyle name="Note 3 3 2 2 2 2 2 2 2 2" xfId="32689" xr:uid="{00000000-0005-0000-0000-00000B7F0000}"/>
    <cellStyle name="Note 3 3 2 2 2 2 2 2 3" xfId="10888" xr:uid="{00000000-0005-0000-0000-00000C7F0000}"/>
    <cellStyle name="Note 3 3 2 2 2 2 2 3" xfId="32436" xr:uid="{00000000-0005-0000-0000-00000D7F0000}"/>
    <cellStyle name="Note 3 3 2 2 2 2 2 3 2" xfId="33020" xr:uid="{00000000-0005-0000-0000-00000E7F0000}"/>
    <cellStyle name="Note 3 3 2 2 2 2 2 4" xfId="33023" xr:uid="{00000000-0005-0000-0000-00000F7F0000}"/>
    <cellStyle name="Note 3 3 2 2 2 2 3" xfId="7881" xr:uid="{00000000-0005-0000-0000-0000107F0000}"/>
    <cellStyle name="Note 3 3 2 2 2 2 3 2" xfId="33024" xr:uid="{00000000-0005-0000-0000-0000117F0000}"/>
    <cellStyle name="Note 3 3 2 2 2 2 3 2 2" xfId="33029" xr:uid="{00000000-0005-0000-0000-0000127F0000}"/>
    <cellStyle name="Note 3 3 2 2 2 2 3 3" xfId="23851" xr:uid="{00000000-0005-0000-0000-0000137F0000}"/>
    <cellStyle name="Note 3 3 2 2 2 2 4" xfId="27134" xr:uid="{00000000-0005-0000-0000-0000147F0000}"/>
    <cellStyle name="Note 3 3 2 2 2 2 4 2" xfId="24037" xr:uid="{00000000-0005-0000-0000-0000157F0000}"/>
    <cellStyle name="Note 3 3 2 2 2 2 5" xfId="19459" xr:uid="{00000000-0005-0000-0000-0000167F0000}"/>
    <cellStyle name="Note 3 3 2 2 2 3" xfId="19729" xr:uid="{00000000-0005-0000-0000-0000177F0000}"/>
    <cellStyle name="Note 3 3 2 2 2 3 2" xfId="25600" xr:uid="{00000000-0005-0000-0000-0000187F0000}"/>
    <cellStyle name="Note 3 3 2 2 2 3 2 2" xfId="26361" xr:uid="{00000000-0005-0000-0000-0000197F0000}"/>
    <cellStyle name="Note 3 3 2 2 2 3 2 2 2" xfId="29845" xr:uid="{00000000-0005-0000-0000-00001A7F0000}"/>
    <cellStyle name="Note 3 3 2 2 2 3 2 3" xfId="12931" xr:uid="{00000000-0005-0000-0000-00001B7F0000}"/>
    <cellStyle name="Note 3 3 2 2 2 3 3" xfId="23761" xr:uid="{00000000-0005-0000-0000-00001C7F0000}"/>
    <cellStyle name="Note 3 3 2 2 2 3 3 2" xfId="30492" xr:uid="{00000000-0005-0000-0000-00001D7F0000}"/>
    <cellStyle name="Note 3 3 2 2 2 3 4" xfId="22603" xr:uid="{00000000-0005-0000-0000-00001E7F0000}"/>
    <cellStyle name="Note 3 3 2 2 2 4" xfId="27855" xr:uid="{00000000-0005-0000-0000-00001F7F0000}"/>
    <cellStyle name="Note 3 3 2 2 2 4 2" xfId="20618" xr:uid="{00000000-0005-0000-0000-0000207F0000}"/>
    <cellStyle name="Note 3 3 2 2 2 4 2 2" xfId="32163" xr:uid="{00000000-0005-0000-0000-0000217F0000}"/>
    <cellStyle name="Note 3 3 2 2 2 4 3" xfId="28554" xr:uid="{00000000-0005-0000-0000-0000227F0000}"/>
    <cellStyle name="Note 3 3 2 2 2 5" xfId="27861" xr:uid="{00000000-0005-0000-0000-0000237F0000}"/>
    <cellStyle name="Note 3 3 2 2 2 5 2" xfId="19312" xr:uid="{00000000-0005-0000-0000-0000247F0000}"/>
    <cellStyle name="Note 3 3 2 2 2 6" xfId="27983" xr:uid="{00000000-0005-0000-0000-0000257F0000}"/>
    <cellStyle name="Note 3 3 2 2 3" xfId="30749" xr:uid="{00000000-0005-0000-0000-0000267F0000}"/>
    <cellStyle name="Note 3 3 2 2 3 2" xfId="26670" xr:uid="{00000000-0005-0000-0000-0000277F0000}"/>
    <cellStyle name="Note 3 3 2 2 3 2 2" xfId="31627" xr:uid="{00000000-0005-0000-0000-0000287F0000}"/>
    <cellStyle name="Note 3 3 2 2 3 2 2 2" xfId="20304" xr:uid="{00000000-0005-0000-0000-0000297F0000}"/>
    <cellStyle name="Note 3 3 2 2 3 2 2 2 2" xfId="3926" xr:uid="{00000000-0005-0000-0000-00002A7F0000}"/>
    <cellStyle name="Note 3 3 2 2 3 2 2 3" xfId="27891" xr:uid="{00000000-0005-0000-0000-00002B7F0000}"/>
    <cellStyle name="Note 3 3 2 2 3 2 3" xfId="30155" xr:uid="{00000000-0005-0000-0000-00002C7F0000}"/>
    <cellStyle name="Note 3 3 2 2 3 2 3 2" xfId="30159" xr:uid="{00000000-0005-0000-0000-00002D7F0000}"/>
    <cellStyle name="Note 3 3 2 2 3 2 4" xfId="22806" xr:uid="{00000000-0005-0000-0000-00002E7F0000}"/>
    <cellStyle name="Note 3 3 2 2 3 3" xfId="19678" xr:uid="{00000000-0005-0000-0000-00002F7F0000}"/>
    <cellStyle name="Note 3 3 2 2 3 3 2" xfId="25609" xr:uid="{00000000-0005-0000-0000-0000307F0000}"/>
    <cellStyle name="Note 3 3 2 2 3 3 2 2" xfId="13269" xr:uid="{00000000-0005-0000-0000-0000317F0000}"/>
    <cellStyle name="Note 3 3 2 2 3 3 3" xfId="28174" xr:uid="{00000000-0005-0000-0000-0000327F0000}"/>
    <cellStyle name="Note 3 3 2 2 3 4" xfId="19682" xr:uid="{00000000-0005-0000-0000-0000337F0000}"/>
    <cellStyle name="Note 3 3 2 2 3 4 2" xfId="31129" xr:uid="{00000000-0005-0000-0000-0000347F0000}"/>
    <cellStyle name="Note 3 3 2 2 3 5" xfId="22167" xr:uid="{00000000-0005-0000-0000-0000357F0000}"/>
    <cellStyle name="Note 3 3 2 2 4" xfId="31661" xr:uid="{00000000-0005-0000-0000-0000367F0000}"/>
    <cellStyle name="Note 3 3 2 2 4 2" xfId="30167" xr:uid="{00000000-0005-0000-0000-0000377F0000}"/>
    <cellStyle name="Note 3 3 2 2 4 2 2" xfId="6781" xr:uid="{00000000-0005-0000-0000-0000387F0000}"/>
    <cellStyle name="Note 3 3 2 2 4 2 2 2" xfId="30177" xr:uid="{00000000-0005-0000-0000-0000397F0000}"/>
    <cellStyle name="Note 3 3 2 2 4 2 3" xfId="21317" xr:uid="{00000000-0005-0000-0000-00003A7F0000}"/>
    <cellStyle name="Note 3 3 2 2 4 3" xfId="14699" xr:uid="{00000000-0005-0000-0000-00003B7F0000}"/>
    <cellStyle name="Note 3 3 2 2 4 3 2" xfId="30172" xr:uid="{00000000-0005-0000-0000-00003C7F0000}"/>
    <cellStyle name="Note 3 3 2 2 4 4" xfId="29954" xr:uid="{00000000-0005-0000-0000-00003D7F0000}"/>
    <cellStyle name="Note 3 3 2 2 5" xfId="29832" xr:uid="{00000000-0005-0000-0000-00003E7F0000}"/>
    <cellStyle name="Note 3 3 2 2 5 2" xfId="30198" xr:uid="{00000000-0005-0000-0000-00003F7F0000}"/>
    <cellStyle name="Note 3 3 2 2 5 2 2" xfId="30203" xr:uid="{00000000-0005-0000-0000-0000407F0000}"/>
    <cellStyle name="Note 3 3 2 2 5 3" xfId="31899" xr:uid="{00000000-0005-0000-0000-0000417F0000}"/>
    <cellStyle name="Note 3 3 2 2 6" xfId="33059" xr:uid="{00000000-0005-0000-0000-0000427F0000}"/>
    <cellStyle name="Note 3 3 2 2 6 2" xfId="30214" xr:uid="{00000000-0005-0000-0000-0000437F0000}"/>
    <cellStyle name="Note 3 3 2 2 7" xfId="33060" xr:uid="{00000000-0005-0000-0000-0000447F0000}"/>
    <cellStyle name="Note 3 3 2 3" xfId="32930" xr:uid="{00000000-0005-0000-0000-0000457F0000}"/>
    <cellStyle name="Note 3 3 2 3 2" xfId="32078" xr:uid="{00000000-0005-0000-0000-0000467F0000}"/>
    <cellStyle name="Note 3 3 2 3 2 2" xfId="32657" xr:uid="{00000000-0005-0000-0000-0000477F0000}"/>
    <cellStyle name="Note 3 3 2 3 2 2 2" xfId="33072" xr:uid="{00000000-0005-0000-0000-0000487F0000}"/>
    <cellStyle name="Note 3 3 2 3 2 2 2 2" xfId="33073" xr:uid="{00000000-0005-0000-0000-0000497F0000}"/>
    <cellStyle name="Note 3 3 2 3 2 2 2 2 2" xfId="29054" xr:uid="{00000000-0005-0000-0000-00004A7F0000}"/>
    <cellStyle name="Note 3 3 2 3 2 2 2 3" xfId="32542" xr:uid="{00000000-0005-0000-0000-00004B7F0000}"/>
    <cellStyle name="Note 3 3 2 3 2 2 3" xfId="33074" xr:uid="{00000000-0005-0000-0000-00004C7F0000}"/>
    <cellStyle name="Note 3 3 2 3 2 2 3 2" xfId="33075" xr:uid="{00000000-0005-0000-0000-00004D7F0000}"/>
    <cellStyle name="Note 3 3 2 3 2 2 4" xfId="32216" xr:uid="{00000000-0005-0000-0000-00004E7F0000}"/>
    <cellStyle name="Note 3 3 2 3 2 3" xfId="27883" xr:uid="{00000000-0005-0000-0000-00004F7F0000}"/>
    <cellStyle name="Note 3 3 2 3 2 3 2" xfId="25618" xr:uid="{00000000-0005-0000-0000-0000507F0000}"/>
    <cellStyle name="Note 3 3 2 3 2 3 2 2" xfId="33077" xr:uid="{00000000-0005-0000-0000-0000517F0000}"/>
    <cellStyle name="Note 3 3 2 3 2 3 3" xfId="33079" xr:uid="{00000000-0005-0000-0000-0000527F0000}"/>
    <cellStyle name="Note 3 3 2 3 2 4" xfId="19300" xr:uid="{00000000-0005-0000-0000-0000537F0000}"/>
    <cellStyle name="Note 3 3 2 3 2 4 2" xfId="32906" xr:uid="{00000000-0005-0000-0000-0000547F0000}"/>
    <cellStyle name="Note 3 3 2 3 2 5" xfId="26415" xr:uid="{00000000-0005-0000-0000-0000557F0000}"/>
    <cellStyle name="Note 3 3 2 3 3" xfId="26674" xr:uid="{00000000-0005-0000-0000-0000567F0000}"/>
    <cellStyle name="Note 3 3 2 3 3 2" xfId="19615" xr:uid="{00000000-0005-0000-0000-0000577F0000}"/>
    <cellStyle name="Note 3 3 2 3 3 2 2" xfId="26928" xr:uid="{00000000-0005-0000-0000-0000587F0000}"/>
    <cellStyle name="Note 3 3 2 3 3 2 2 2" xfId="30247" xr:uid="{00000000-0005-0000-0000-0000597F0000}"/>
    <cellStyle name="Note 3 3 2 3 3 2 3" xfId="26932" xr:uid="{00000000-0005-0000-0000-00005A7F0000}"/>
    <cellStyle name="Note 3 3 2 3 3 3" xfId="27899" xr:uid="{00000000-0005-0000-0000-00005B7F0000}"/>
    <cellStyle name="Note 3 3 2 3 3 3 2" xfId="26937" xr:uid="{00000000-0005-0000-0000-00005C7F0000}"/>
    <cellStyle name="Note 3 3 2 3 3 4" xfId="30252" xr:uid="{00000000-0005-0000-0000-00005D7F0000}"/>
    <cellStyle name="Note 3 3 2 3 4" xfId="32580" xr:uid="{00000000-0005-0000-0000-00005E7F0000}"/>
    <cellStyle name="Note 3 3 2 3 4 2" xfId="29619" xr:uid="{00000000-0005-0000-0000-00005F7F0000}"/>
    <cellStyle name="Note 3 3 2 3 4 2 2" xfId="28692" xr:uid="{00000000-0005-0000-0000-0000607F0000}"/>
    <cellStyle name="Note 3 3 2 3 4 3" xfId="31932" xr:uid="{00000000-0005-0000-0000-0000617F0000}"/>
    <cellStyle name="Note 3 3 2 3 5" xfId="33003" xr:uid="{00000000-0005-0000-0000-0000627F0000}"/>
    <cellStyle name="Note 3 3 2 3 5 2" xfId="30270" xr:uid="{00000000-0005-0000-0000-0000637F0000}"/>
    <cellStyle name="Note 3 3 2 3 6" xfId="32845" xr:uid="{00000000-0005-0000-0000-0000647F0000}"/>
    <cellStyle name="Note 3 3 2 4" xfId="29140" xr:uid="{00000000-0005-0000-0000-0000657F0000}"/>
    <cellStyle name="Note 3 3 2 4 2" xfId="9022" xr:uid="{00000000-0005-0000-0000-0000667F0000}"/>
    <cellStyle name="Note 3 3 2 4 2 2" xfId="26213" xr:uid="{00000000-0005-0000-0000-0000677F0000}"/>
    <cellStyle name="Note 3 3 2 4 2 2 2" xfId="19812" xr:uid="{00000000-0005-0000-0000-0000687F0000}"/>
    <cellStyle name="Note 3 3 2 4 2 2 2 2" xfId="32134" xr:uid="{00000000-0005-0000-0000-0000697F0000}"/>
    <cellStyle name="Note 3 3 2 4 2 2 3" xfId="32583" xr:uid="{00000000-0005-0000-0000-00006A7F0000}"/>
    <cellStyle name="Note 3 3 2 4 2 3" xfId="27622" xr:uid="{00000000-0005-0000-0000-00006B7F0000}"/>
    <cellStyle name="Note 3 3 2 4 2 3 2" xfId="29804" xr:uid="{00000000-0005-0000-0000-00006C7F0000}"/>
    <cellStyle name="Note 3 3 2 4 2 4" xfId="32803" xr:uid="{00000000-0005-0000-0000-00006D7F0000}"/>
    <cellStyle name="Note 3 3 2 4 3" xfId="3083" xr:uid="{00000000-0005-0000-0000-00006E7F0000}"/>
    <cellStyle name="Note 3 3 2 4 3 2" xfId="4577" xr:uid="{00000000-0005-0000-0000-00006F7F0000}"/>
    <cellStyle name="Note 3 3 2 4 3 2 2" xfId="19382" xr:uid="{00000000-0005-0000-0000-0000707F0000}"/>
    <cellStyle name="Note 3 3 2 4 3 3" xfId="30283" xr:uid="{00000000-0005-0000-0000-0000717F0000}"/>
    <cellStyle name="Note 3 3 2 4 4" xfId="30966" xr:uid="{00000000-0005-0000-0000-0000727F0000}"/>
    <cellStyle name="Note 3 3 2 4 4 2" xfId="31183" xr:uid="{00000000-0005-0000-0000-0000737F0000}"/>
    <cellStyle name="Note 3 3 2 4 5" xfId="32454" xr:uid="{00000000-0005-0000-0000-0000747F0000}"/>
    <cellStyle name="Note 3 3 2 5" xfId="26299" xr:uid="{00000000-0005-0000-0000-0000757F0000}"/>
    <cellStyle name="Note 3 3 2 5 2" xfId="28344" xr:uid="{00000000-0005-0000-0000-0000767F0000}"/>
    <cellStyle name="Note 3 3 2 5 2 2" xfId="29818" xr:uid="{00000000-0005-0000-0000-0000777F0000}"/>
    <cellStyle name="Note 3 3 2 5 2 2 2" xfId="14265" xr:uid="{00000000-0005-0000-0000-0000787F0000}"/>
    <cellStyle name="Note 3 3 2 5 2 3" xfId="25482" xr:uid="{00000000-0005-0000-0000-0000797F0000}"/>
    <cellStyle name="Note 3 3 2 5 3" xfId="29413" xr:uid="{00000000-0005-0000-0000-00007A7F0000}"/>
    <cellStyle name="Note 3 3 2 5 3 2" xfId="26207" xr:uid="{00000000-0005-0000-0000-00007B7F0000}"/>
    <cellStyle name="Note 3 3 2 5 4" xfId="11787" xr:uid="{00000000-0005-0000-0000-00007C7F0000}"/>
    <cellStyle name="Note 3 3 2 6" xfId="22414" xr:uid="{00000000-0005-0000-0000-00007D7F0000}"/>
    <cellStyle name="Note 3 3 2 6 2" xfId="34034" xr:uid="{00000000-0005-0000-0000-00007E7F0000}"/>
    <cellStyle name="Note 3 3 2 6 2 2" xfId="29074" xr:uid="{00000000-0005-0000-0000-00007F7F0000}"/>
    <cellStyle name="Note 3 3 2 6 3" xfId="33652" xr:uid="{00000000-0005-0000-0000-0000807F0000}"/>
    <cellStyle name="Note 3 3 2 7" xfId="22423" xr:uid="{00000000-0005-0000-0000-0000817F0000}"/>
    <cellStyle name="Note 3 3 2 7 2" xfId="33109" xr:uid="{00000000-0005-0000-0000-0000827F0000}"/>
    <cellStyle name="Note 3 3 2 8" xfId="14693" xr:uid="{00000000-0005-0000-0000-0000837F0000}"/>
    <cellStyle name="Note 3 3 3" xfId="30943" xr:uid="{00000000-0005-0000-0000-0000847F0000}"/>
    <cellStyle name="Note 3 3 3 2" xfId="32880" xr:uid="{00000000-0005-0000-0000-0000857F0000}"/>
    <cellStyle name="Note 3 3 3 2 2" xfId="30866" xr:uid="{00000000-0005-0000-0000-0000867F0000}"/>
    <cellStyle name="Note 3 3 3 2 2 2" xfId="30872" xr:uid="{00000000-0005-0000-0000-0000877F0000}"/>
    <cellStyle name="Note 3 3 3 2 2 2 2" xfId="30478" xr:uid="{00000000-0005-0000-0000-0000887F0000}"/>
    <cellStyle name="Note 3 3 3 2 2 2 2 2" xfId="30764" xr:uid="{00000000-0005-0000-0000-0000897F0000}"/>
    <cellStyle name="Note 3 3 3 2 2 2 2 2 2" xfId="28595" xr:uid="{00000000-0005-0000-0000-00008A7F0000}"/>
    <cellStyle name="Note 3 3 3 2 2 2 2 3" xfId="28402" xr:uid="{00000000-0005-0000-0000-00008B7F0000}"/>
    <cellStyle name="Note 3 3 3 2 2 2 3" xfId="26151" xr:uid="{00000000-0005-0000-0000-00008C7F0000}"/>
    <cellStyle name="Note 3 3 3 2 2 2 3 2" xfId="16963" xr:uid="{00000000-0005-0000-0000-00008D7F0000}"/>
    <cellStyle name="Note 3 3 3 2 2 2 4" xfId="1206" xr:uid="{00000000-0005-0000-0000-00008E7F0000}"/>
    <cellStyle name="Note 3 3 3 2 2 3" xfId="4122" xr:uid="{00000000-0005-0000-0000-00008F7F0000}"/>
    <cellStyle name="Note 3 3 3 2 2 3 2" xfId="27101" xr:uid="{00000000-0005-0000-0000-0000907F0000}"/>
    <cellStyle name="Note 3 3 3 2 2 3 2 2" xfId="33121" xr:uid="{00000000-0005-0000-0000-0000917F0000}"/>
    <cellStyle name="Note 3 3 3 2 2 3 3" xfId="28070" xr:uid="{00000000-0005-0000-0000-0000927F0000}"/>
    <cellStyle name="Note 3 3 3 2 2 4" xfId="4125" xr:uid="{00000000-0005-0000-0000-0000937F0000}"/>
    <cellStyle name="Note 3 3 3 2 2 4 2" xfId="28807" xr:uid="{00000000-0005-0000-0000-0000947F0000}"/>
    <cellStyle name="Note 3 3 3 2 2 5" xfId="901" xr:uid="{00000000-0005-0000-0000-0000957F0000}"/>
    <cellStyle name="Note 3 3 3 2 3" xfId="30875" xr:uid="{00000000-0005-0000-0000-0000967F0000}"/>
    <cellStyle name="Note 3 3 3 2 3 2" xfId="21102" xr:uid="{00000000-0005-0000-0000-0000977F0000}"/>
    <cellStyle name="Note 3 3 3 2 3 2 2" xfId="29477" xr:uid="{00000000-0005-0000-0000-0000987F0000}"/>
    <cellStyle name="Note 3 3 3 2 3 2 2 2" xfId="25454" xr:uid="{00000000-0005-0000-0000-0000997F0000}"/>
    <cellStyle name="Note 3 3 3 2 3 2 3" xfId="24301" xr:uid="{00000000-0005-0000-0000-00009A7F0000}"/>
    <cellStyle name="Note 3 3 3 2 3 3" xfId="4134" xr:uid="{00000000-0005-0000-0000-00009B7F0000}"/>
    <cellStyle name="Note 3 3 3 2 3 3 2" xfId="30303" xr:uid="{00000000-0005-0000-0000-00009C7F0000}"/>
    <cellStyle name="Note 3 3 3 2 3 4" xfId="20306" xr:uid="{00000000-0005-0000-0000-00009D7F0000}"/>
    <cellStyle name="Note 3 3 3 2 4" xfId="28311" xr:uid="{00000000-0005-0000-0000-00009E7F0000}"/>
    <cellStyle name="Note 3 3 3 2 4 2" xfId="18954" xr:uid="{00000000-0005-0000-0000-00009F7F0000}"/>
    <cellStyle name="Note 3 3 3 2 4 2 2" xfId="30326" xr:uid="{00000000-0005-0000-0000-0000A07F0000}"/>
    <cellStyle name="Note 3 3 3 2 4 3" xfId="30218" xr:uid="{00000000-0005-0000-0000-0000A17F0000}"/>
    <cellStyle name="Note 3 3 3 2 5" xfId="29493" xr:uid="{00000000-0005-0000-0000-0000A27F0000}"/>
    <cellStyle name="Note 3 3 3 2 5 2" xfId="30306" xr:uid="{00000000-0005-0000-0000-0000A37F0000}"/>
    <cellStyle name="Note 3 3 3 2 6" xfId="21481" xr:uid="{00000000-0005-0000-0000-0000A47F0000}"/>
    <cellStyle name="Note 3 3 3 3" xfId="32944" xr:uid="{00000000-0005-0000-0000-0000A57F0000}"/>
    <cellStyle name="Note 3 3 3 3 2" xfId="24688" xr:uid="{00000000-0005-0000-0000-0000A67F0000}"/>
    <cellStyle name="Note 3 3 3 3 2 2" xfId="26124" xr:uid="{00000000-0005-0000-0000-0000A77F0000}"/>
    <cellStyle name="Note 3 3 3 3 2 2 2" xfId="30913" xr:uid="{00000000-0005-0000-0000-0000A87F0000}"/>
    <cellStyle name="Note 3 3 3 3 2 2 2 2" xfId="31723" xr:uid="{00000000-0005-0000-0000-0000A97F0000}"/>
    <cellStyle name="Note 3 3 3 3 2 2 3" xfId="34030" xr:uid="{00000000-0005-0000-0000-0000AA7F0000}"/>
    <cellStyle name="Note 3 3 3 3 2 3" xfId="4154" xr:uid="{00000000-0005-0000-0000-0000AB7F0000}"/>
    <cellStyle name="Note 3 3 3 3 2 3 2" xfId="33019" xr:uid="{00000000-0005-0000-0000-0000AC7F0000}"/>
    <cellStyle name="Note 3 3 3 3 2 4" xfId="31936" xr:uid="{00000000-0005-0000-0000-0000AD7F0000}"/>
    <cellStyle name="Note 3 3 3 3 3" xfId="23141" xr:uid="{00000000-0005-0000-0000-0000AE7F0000}"/>
    <cellStyle name="Note 3 3 3 3 3 2" xfId="29501" xr:uid="{00000000-0005-0000-0000-0000AF7F0000}"/>
    <cellStyle name="Note 3 3 3 3 3 2 2" xfId="20518" xr:uid="{00000000-0005-0000-0000-0000B07F0000}"/>
    <cellStyle name="Note 3 3 3 3 3 3" xfId="24966" xr:uid="{00000000-0005-0000-0000-0000B17F0000}"/>
    <cellStyle name="Note 3 3 3 3 4" xfId="27585" xr:uid="{00000000-0005-0000-0000-0000B27F0000}"/>
    <cellStyle name="Note 3 3 3 3 4 2" xfId="29648" xr:uid="{00000000-0005-0000-0000-0000B37F0000}"/>
    <cellStyle name="Note 3 3 3 3 5" xfId="32130" xr:uid="{00000000-0005-0000-0000-0000B47F0000}"/>
    <cellStyle name="Note 3 3 3 4" xfId="28789" xr:uid="{00000000-0005-0000-0000-0000B57F0000}"/>
    <cellStyle name="Note 3 3 3 4 2" xfId="24311" xr:uid="{00000000-0005-0000-0000-0000B67F0000}"/>
    <cellStyle name="Note 3 3 3 4 2 2" xfId="538" xr:uid="{00000000-0005-0000-0000-0000B77F0000}"/>
    <cellStyle name="Note 3 3 3 4 2 2 2" xfId="10893" xr:uid="{00000000-0005-0000-0000-0000B87F0000}"/>
    <cellStyle name="Note 3 3 3 4 2 3" xfId="31947" xr:uid="{00000000-0005-0000-0000-0000B97F0000}"/>
    <cellStyle name="Note 3 3 3 4 3" xfId="20178" xr:uid="{00000000-0005-0000-0000-0000BA7F0000}"/>
    <cellStyle name="Note 3 3 3 4 3 2" xfId="30527" xr:uid="{00000000-0005-0000-0000-0000BB7F0000}"/>
    <cellStyle name="Note 3 3 3 4 4" xfId="24391" xr:uid="{00000000-0005-0000-0000-0000BC7F0000}"/>
    <cellStyle name="Note 3 3 3 5" xfId="33789" xr:uid="{00000000-0005-0000-0000-0000BD7F0000}"/>
    <cellStyle name="Note 3 3 3 5 2" xfId="33796" xr:uid="{00000000-0005-0000-0000-0000BE7F0000}"/>
    <cellStyle name="Note 3 3 3 5 2 2" xfId="18933" xr:uid="{00000000-0005-0000-0000-0000BF7F0000}"/>
    <cellStyle name="Note 3 3 3 5 3" xfId="27143" xr:uid="{00000000-0005-0000-0000-0000C07F0000}"/>
    <cellStyle name="Note 3 3 3 6" xfId="22425" xr:uid="{00000000-0005-0000-0000-0000C17F0000}"/>
    <cellStyle name="Note 3 3 3 6 2" xfId="20526" xr:uid="{00000000-0005-0000-0000-0000C27F0000}"/>
    <cellStyle name="Note 3 3 3 7" xfId="33740" xr:uid="{00000000-0005-0000-0000-0000C37F0000}"/>
    <cellStyle name="Note 3 3 4" xfId="34032" xr:uid="{00000000-0005-0000-0000-0000C47F0000}"/>
    <cellStyle name="Note 3 3 4 2" xfId="33203" xr:uid="{00000000-0005-0000-0000-0000C57F0000}"/>
    <cellStyle name="Note 3 3 4 2 2" xfId="32025" xr:uid="{00000000-0005-0000-0000-0000C67F0000}"/>
    <cellStyle name="Note 3 3 4 2 2 2" xfId="20505" xr:uid="{00000000-0005-0000-0000-0000C77F0000}"/>
    <cellStyle name="Note 3 3 4 2 2 2 2" xfId="22733" xr:uid="{00000000-0005-0000-0000-0000C87F0000}"/>
    <cellStyle name="Note 3 3 4 2 2 2 2 2" xfId="32346" xr:uid="{00000000-0005-0000-0000-0000C97F0000}"/>
    <cellStyle name="Note 3 3 4 2 2 2 3" xfId="22737" xr:uid="{00000000-0005-0000-0000-0000CA7F0000}"/>
    <cellStyle name="Note 3 3 4 2 2 3" xfId="3264" xr:uid="{00000000-0005-0000-0000-0000CB7F0000}"/>
    <cellStyle name="Note 3 3 4 2 2 3 2" xfId="7915" xr:uid="{00000000-0005-0000-0000-0000CC7F0000}"/>
    <cellStyle name="Note 3 3 4 2 2 4" xfId="20665" xr:uid="{00000000-0005-0000-0000-0000CD7F0000}"/>
    <cellStyle name="Note 3 3 4 2 3" xfId="32037" xr:uid="{00000000-0005-0000-0000-0000CE7F0000}"/>
    <cellStyle name="Note 3 3 4 2 3 2" xfId="24235" xr:uid="{00000000-0005-0000-0000-0000CF7F0000}"/>
    <cellStyle name="Note 3 3 4 2 3 2 2" xfId="28001" xr:uid="{00000000-0005-0000-0000-0000D07F0000}"/>
    <cellStyle name="Note 3 3 4 2 3 3" xfId="30349" xr:uid="{00000000-0005-0000-0000-0000D17F0000}"/>
    <cellStyle name="Note 3 3 4 2 4" xfId="29538" xr:uid="{00000000-0005-0000-0000-0000D27F0000}"/>
    <cellStyle name="Note 3 3 4 2 4 2" xfId="14476" xr:uid="{00000000-0005-0000-0000-0000D37F0000}"/>
    <cellStyle name="Note 3 3 4 2 5" xfId="32679" xr:uid="{00000000-0005-0000-0000-0000D47F0000}"/>
    <cellStyle name="Note 3 3 4 3" xfId="33125" xr:uid="{00000000-0005-0000-0000-0000D57F0000}"/>
    <cellStyle name="Note 3 3 4 3 2" xfId="19500" xr:uid="{00000000-0005-0000-0000-0000D67F0000}"/>
    <cellStyle name="Note 3 3 4 3 2 2" xfId="6467" xr:uid="{00000000-0005-0000-0000-0000D77F0000}"/>
    <cellStyle name="Note 3 3 4 3 2 2 2" xfId="31241" xr:uid="{00000000-0005-0000-0000-0000D87F0000}"/>
    <cellStyle name="Note 3 3 4 3 2 3" xfId="20860" xr:uid="{00000000-0005-0000-0000-0000D97F0000}"/>
    <cellStyle name="Note 3 3 4 3 3" xfId="20619" xr:uid="{00000000-0005-0000-0000-0000DA7F0000}"/>
    <cellStyle name="Note 3 3 4 3 3 2" xfId="30359" xr:uid="{00000000-0005-0000-0000-0000DB7F0000}"/>
    <cellStyle name="Note 3 3 4 3 4" xfId="27650" xr:uid="{00000000-0005-0000-0000-0000DC7F0000}"/>
    <cellStyle name="Note 3 3 4 4" xfId="32808" xr:uid="{00000000-0005-0000-0000-0000DD7F0000}"/>
    <cellStyle name="Note 3 3 4 4 2" xfId="32258" xr:uid="{00000000-0005-0000-0000-0000DE7F0000}"/>
    <cellStyle name="Note 3 3 4 4 2 2" xfId="19129" xr:uid="{00000000-0005-0000-0000-0000DF7F0000}"/>
    <cellStyle name="Note 3 3 4 4 3" xfId="31283" xr:uid="{00000000-0005-0000-0000-0000E07F0000}"/>
    <cellStyle name="Note 3 3 4 5" xfId="21960" xr:uid="{00000000-0005-0000-0000-0000E17F0000}"/>
    <cellStyle name="Note 3 3 4 5 2" xfId="27503" xr:uid="{00000000-0005-0000-0000-0000E27F0000}"/>
    <cellStyle name="Note 3 3 4 6" xfId="31307" xr:uid="{00000000-0005-0000-0000-0000E37F0000}"/>
    <cellStyle name="Note 3 3 5" xfId="32831" xr:uid="{00000000-0005-0000-0000-0000E47F0000}"/>
    <cellStyle name="Note 3 3 5 2" xfId="33550" xr:uid="{00000000-0005-0000-0000-0000E57F0000}"/>
    <cellStyle name="Note 3 3 5 2 2" xfId="30957" xr:uid="{00000000-0005-0000-0000-0000E67F0000}"/>
    <cellStyle name="Note 3 3 5 2 2 2" xfId="21390" xr:uid="{00000000-0005-0000-0000-0000E77F0000}"/>
    <cellStyle name="Note 3 3 5 2 2 2 2" xfId="19181" xr:uid="{00000000-0005-0000-0000-0000E87F0000}"/>
    <cellStyle name="Note 3 3 5 2 2 3" xfId="21283" xr:uid="{00000000-0005-0000-0000-0000E97F0000}"/>
    <cellStyle name="Note 3 3 5 2 3" xfId="14611" xr:uid="{00000000-0005-0000-0000-0000EA7F0000}"/>
    <cellStyle name="Note 3 3 5 2 3 2" xfId="31091" xr:uid="{00000000-0005-0000-0000-0000EB7F0000}"/>
    <cellStyle name="Note 3 3 5 2 4" xfId="24499" xr:uid="{00000000-0005-0000-0000-0000EC7F0000}"/>
    <cellStyle name="Note 3 3 5 3" xfId="24999" xr:uid="{00000000-0005-0000-0000-0000ED7F0000}"/>
    <cellStyle name="Note 3 3 5 3 2" xfId="32273" xr:uid="{00000000-0005-0000-0000-0000EE7F0000}"/>
    <cellStyle name="Note 3 3 5 3 2 2" xfId="27515" xr:uid="{00000000-0005-0000-0000-0000EF7F0000}"/>
    <cellStyle name="Note 3 3 5 3 3" xfId="32794" xr:uid="{00000000-0005-0000-0000-0000F07F0000}"/>
    <cellStyle name="Note 3 3 5 4" xfId="31285" xr:uid="{00000000-0005-0000-0000-0000F17F0000}"/>
    <cellStyle name="Note 3 3 5 4 2" xfId="32898" xr:uid="{00000000-0005-0000-0000-0000F27F0000}"/>
    <cellStyle name="Note 3 3 5 5" xfId="24364" xr:uid="{00000000-0005-0000-0000-0000F37F0000}"/>
    <cellStyle name="Note 3 3 6" xfId="16787" xr:uid="{00000000-0005-0000-0000-0000F47F0000}"/>
    <cellStyle name="Note 3 3 6 2" xfId="32154" xr:uid="{00000000-0005-0000-0000-0000F57F0000}"/>
    <cellStyle name="Note 3 3 6 2 2" xfId="32094" xr:uid="{00000000-0005-0000-0000-0000F67F0000}"/>
    <cellStyle name="Note 3 3 6 2 2 2" xfId="25038" xr:uid="{00000000-0005-0000-0000-0000F77F0000}"/>
    <cellStyle name="Note 3 3 6 2 3" xfId="33176" xr:uid="{00000000-0005-0000-0000-0000F87F0000}"/>
    <cellStyle name="Note 3 3 6 3" xfId="33465" xr:uid="{00000000-0005-0000-0000-0000F97F0000}"/>
    <cellStyle name="Note 3 3 6 3 2" xfId="31208" xr:uid="{00000000-0005-0000-0000-0000FA7F0000}"/>
    <cellStyle name="Note 3 3 6 4" xfId="31280" xr:uid="{00000000-0005-0000-0000-0000FB7F0000}"/>
    <cellStyle name="Note 3 3 7" xfId="19802" xr:uid="{00000000-0005-0000-0000-0000FC7F0000}"/>
    <cellStyle name="Note 3 3 7 2" xfId="33469" xr:uid="{00000000-0005-0000-0000-0000FD7F0000}"/>
    <cellStyle name="Note 3 3 7 2 2" xfId="9117" xr:uid="{00000000-0005-0000-0000-0000FE7F0000}"/>
    <cellStyle name="Note 3 3 7 3" xfId="31364" xr:uid="{00000000-0005-0000-0000-0000FF7F0000}"/>
    <cellStyle name="Note 3 3 8" xfId="32563" xr:uid="{00000000-0005-0000-0000-000000800000}"/>
    <cellStyle name="Note 3 3 8 2" xfId="33181" xr:uid="{00000000-0005-0000-0000-000001800000}"/>
    <cellStyle name="Note 3 3 9" xfId="7631" xr:uid="{00000000-0005-0000-0000-000002800000}"/>
    <cellStyle name="Note 3 4" xfId="1766" xr:uid="{00000000-0005-0000-0000-000003800000}"/>
    <cellStyle name="Note 3 4 2" xfId="6410" xr:uid="{00000000-0005-0000-0000-000004800000}"/>
    <cellStyle name="Note 3 4 2 2" xfId="5973" xr:uid="{00000000-0005-0000-0000-000005800000}"/>
    <cellStyle name="Note 3 4 2 2 2" xfId="6413" xr:uid="{00000000-0005-0000-0000-000006800000}"/>
    <cellStyle name="Note 3 4 2 2 2 2" xfId="22022" xr:uid="{00000000-0005-0000-0000-000007800000}"/>
    <cellStyle name="Note 3 4 2 2 2 2 2" xfId="5070" xr:uid="{00000000-0005-0000-0000-000008800000}"/>
    <cellStyle name="Note 3 4 2 2 2 2 2 2" xfId="33187" xr:uid="{00000000-0005-0000-0000-000009800000}"/>
    <cellStyle name="Note 3 4 2 2 2 2 2 2 2" xfId="21676" xr:uid="{00000000-0005-0000-0000-00000A800000}"/>
    <cellStyle name="Note 3 4 2 2 2 2 2 3" xfId="31695" xr:uid="{00000000-0005-0000-0000-00000B800000}"/>
    <cellStyle name="Note 3 4 2 2 2 2 3" xfId="30259" xr:uid="{00000000-0005-0000-0000-00000C800000}"/>
    <cellStyle name="Note 3 4 2 2 2 2 3 2" xfId="32371" xr:uid="{00000000-0005-0000-0000-00000D800000}"/>
    <cellStyle name="Note 3 4 2 2 2 2 4" xfId="28313" xr:uid="{00000000-0005-0000-0000-00000E800000}"/>
    <cellStyle name="Note 3 4 2 2 2 3" xfId="22719" xr:uid="{00000000-0005-0000-0000-00000F800000}"/>
    <cellStyle name="Note 3 4 2 2 2 3 2" xfId="28376" xr:uid="{00000000-0005-0000-0000-000010800000}"/>
    <cellStyle name="Note 3 4 2 2 2 3 2 2" xfId="33678" xr:uid="{00000000-0005-0000-0000-000011800000}"/>
    <cellStyle name="Note 3 4 2 2 2 3 3" xfId="30146" xr:uid="{00000000-0005-0000-0000-000012800000}"/>
    <cellStyle name="Note 3 4 2 2 2 4" xfId="28379" xr:uid="{00000000-0005-0000-0000-000013800000}"/>
    <cellStyle name="Note 3 4 2 2 2 4 2" xfId="33200" xr:uid="{00000000-0005-0000-0000-000014800000}"/>
    <cellStyle name="Note 3 4 2 2 2 5" xfId="14161" xr:uid="{00000000-0005-0000-0000-000015800000}"/>
    <cellStyle name="Note 3 4 2 2 3" xfId="33141" xr:uid="{00000000-0005-0000-0000-000016800000}"/>
    <cellStyle name="Note 3 4 2 2 3 2" xfId="33202" xr:uid="{00000000-0005-0000-0000-000017800000}"/>
    <cellStyle name="Note 3 4 2 2 3 2 2" xfId="9133" xr:uid="{00000000-0005-0000-0000-000018800000}"/>
    <cellStyle name="Note 3 4 2 2 3 2 2 2" xfId="25145" xr:uid="{00000000-0005-0000-0000-000019800000}"/>
    <cellStyle name="Note 3 4 2 2 3 2 3" xfId="9616" xr:uid="{00000000-0005-0000-0000-00001A800000}"/>
    <cellStyle name="Note 3 4 2 2 3 3" xfId="28384" xr:uid="{00000000-0005-0000-0000-00001B800000}"/>
    <cellStyle name="Note 3 4 2 2 3 3 2" xfId="9641" xr:uid="{00000000-0005-0000-0000-00001C800000}"/>
    <cellStyle name="Note 3 4 2 2 3 4" xfId="33053" xr:uid="{00000000-0005-0000-0000-00001D800000}"/>
    <cellStyle name="Note 3 4 2 2 4" xfId="33207" xr:uid="{00000000-0005-0000-0000-00001E800000}"/>
    <cellStyle name="Note 3 4 2 2 4 2" xfId="26684" xr:uid="{00000000-0005-0000-0000-00001F800000}"/>
    <cellStyle name="Note 3 4 2 2 4 2 2" xfId="9925" xr:uid="{00000000-0005-0000-0000-000020800000}"/>
    <cellStyle name="Note 3 4 2 2 4 3" xfId="33271" xr:uid="{00000000-0005-0000-0000-000021800000}"/>
    <cellStyle name="Note 3 4 2 2 5" xfId="26399" xr:uid="{00000000-0005-0000-0000-000022800000}"/>
    <cellStyle name="Note 3 4 2 2 5 2" xfId="26088" xr:uid="{00000000-0005-0000-0000-000023800000}"/>
    <cellStyle name="Note 3 4 2 2 6" xfId="32826" xr:uid="{00000000-0005-0000-0000-000024800000}"/>
    <cellStyle name="Note 3 4 2 3" xfId="6416" xr:uid="{00000000-0005-0000-0000-000025800000}"/>
    <cellStyle name="Note 3 4 2 3 2" xfId="9551" xr:uid="{00000000-0005-0000-0000-000026800000}"/>
    <cellStyle name="Note 3 4 2 3 2 2" xfId="22042" xr:uid="{00000000-0005-0000-0000-000027800000}"/>
    <cellStyle name="Note 3 4 2 3 2 2 2" xfId="24275" xr:uid="{00000000-0005-0000-0000-000028800000}"/>
    <cellStyle name="Note 3 4 2 3 2 2 2 2" xfId="33228" xr:uid="{00000000-0005-0000-0000-000029800000}"/>
    <cellStyle name="Note 3 4 2 3 2 2 3" xfId="29740" xr:uid="{00000000-0005-0000-0000-00002A800000}"/>
    <cellStyle name="Note 3 4 2 3 2 3" xfId="25920" xr:uid="{00000000-0005-0000-0000-00002B800000}"/>
    <cellStyle name="Note 3 4 2 3 2 3 2" xfId="14294" xr:uid="{00000000-0005-0000-0000-00002C800000}"/>
    <cellStyle name="Note 3 4 2 3 2 4" xfId="11475" xr:uid="{00000000-0005-0000-0000-00002D800000}"/>
    <cellStyle name="Note 3 4 2 3 3" xfId="11398" xr:uid="{00000000-0005-0000-0000-00002E800000}"/>
    <cellStyle name="Note 3 4 2 3 3 2" xfId="29295" xr:uid="{00000000-0005-0000-0000-00002F800000}"/>
    <cellStyle name="Note 3 4 2 3 3 2 2" xfId="9777" xr:uid="{00000000-0005-0000-0000-000030800000}"/>
    <cellStyle name="Note 3 4 2 3 3 3" xfId="28037" xr:uid="{00000000-0005-0000-0000-000031800000}"/>
    <cellStyle name="Note 3 4 2 3 4" xfId="31774" xr:uid="{00000000-0005-0000-0000-000032800000}"/>
    <cellStyle name="Note 3 4 2 3 4 2" xfId="28880" xr:uid="{00000000-0005-0000-0000-000033800000}"/>
    <cellStyle name="Note 3 4 2 3 5" xfId="33238" xr:uid="{00000000-0005-0000-0000-000034800000}"/>
    <cellStyle name="Note 3 4 2 4" xfId="28067" xr:uid="{00000000-0005-0000-0000-000035800000}"/>
    <cellStyle name="Note 3 4 2 4 2" xfId="19914" xr:uid="{00000000-0005-0000-0000-000036800000}"/>
    <cellStyle name="Note 3 4 2 4 2 2" xfId="33753" xr:uid="{00000000-0005-0000-0000-000037800000}"/>
    <cellStyle name="Note 3 4 2 4 2 2 2" xfId="11150" xr:uid="{00000000-0005-0000-0000-000038800000}"/>
    <cellStyle name="Note 3 4 2 4 2 3" xfId="29869" xr:uid="{00000000-0005-0000-0000-000039800000}"/>
    <cellStyle name="Note 3 4 2 4 3" xfId="19917" xr:uid="{00000000-0005-0000-0000-00003A800000}"/>
    <cellStyle name="Note 3 4 2 4 3 2" xfId="27092" xr:uid="{00000000-0005-0000-0000-00003B800000}"/>
    <cellStyle name="Note 3 4 2 4 4" xfId="6255" xr:uid="{00000000-0005-0000-0000-00003C800000}"/>
    <cellStyle name="Note 3 4 2 5" xfId="30342" xr:uid="{00000000-0005-0000-0000-00003D800000}"/>
    <cellStyle name="Note 3 4 2 5 2" xfId="33847" xr:uid="{00000000-0005-0000-0000-00003E800000}"/>
    <cellStyle name="Note 3 4 2 5 2 2" xfId="29884" xr:uid="{00000000-0005-0000-0000-00003F800000}"/>
    <cellStyle name="Note 3 4 2 5 3" xfId="26646" xr:uid="{00000000-0005-0000-0000-000040800000}"/>
    <cellStyle name="Note 3 4 2 6" xfId="22436" xr:uid="{00000000-0005-0000-0000-000041800000}"/>
    <cellStyle name="Note 3 4 2 6 2" xfId="33835" xr:uid="{00000000-0005-0000-0000-000042800000}"/>
    <cellStyle name="Note 3 4 2 7" xfId="30619" xr:uid="{00000000-0005-0000-0000-000043800000}"/>
    <cellStyle name="Note 3 4 3" xfId="6419" xr:uid="{00000000-0005-0000-0000-000044800000}"/>
    <cellStyle name="Note 3 4 3 2" xfId="6426" xr:uid="{00000000-0005-0000-0000-000045800000}"/>
    <cellStyle name="Note 3 4 3 2 2" xfId="33157" xr:uid="{00000000-0005-0000-0000-000046800000}"/>
    <cellStyle name="Note 3 4 3 2 2 2" xfId="25513" xr:uid="{00000000-0005-0000-0000-000047800000}"/>
    <cellStyle name="Note 3 4 3 2 2 2 2" xfId="21210" xr:uid="{00000000-0005-0000-0000-000048800000}"/>
    <cellStyle name="Note 3 4 3 2 2 2 2 2" xfId="23496" xr:uid="{00000000-0005-0000-0000-000049800000}"/>
    <cellStyle name="Note 3 4 3 2 2 2 3" xfId="33250" xr:uid="{00000000-0005-0000-0000-00004A800000}"/>
    <cellStyle name="Note 3 4 3 2 2 3" xfId="4632" xr:uid="{00000000-0005-0000-0000-00004B800000}"/>
    <cellStyle name="Note 3 4 3 2 2 3 2" xfId="32809" xr:uid="{00000000-0005-0000-0000-00004C800000}"/>
    <cellStyle name="Note 3 4 3 2 2 4" xfId="33254" xr:uid="{00000000-0005-0000-0000-00004D800000}"/>
    <cellStyle name="Note 3 4 3 2 3" xfId="29610" xr:uid="{00000000-0005-0000-0000-00004E800000}"/>
    <cellStyle name="Note 3 4 3 2 3 2" xfId="26450" xr:uid="{00000000-0005-0000-0000-00004F800000}"/>
    <cellStyle name="Note 3 4 3 2 3 2 2" xfId="3955" xr:uid="{00000000-0005-0000-0000-000050800000}"/>
    <cellStyle name="Note 3 4 3 2 3 3" xfId="33266" xr:uid="{00000000-0005-0000-0000-000051800000}"/>
    <cellStyle name="Note 3 4 3 2 4" xfId="26647" xr:uid="{00000000-0005-0000-0000-000052800000}"/>
    <cellStyle name="Note 3 4 3 2 4 2" xfId="23101" xr:uid="{00000000-0005-0000-0000-000053800000}"/>
    <cellStyle name="Note 3 4 3 2 5" xfId="32175" xr:uid="{00000000-0005-0000-0000-000054800000}"/>
    <cellStyle name="Note 3 4 3 3" xfId="33714" xr:uid="{00000000-0005-0000-0000-000055800000}"/>
    <cellStyle name="Note 3 4 3 3 2" xfId="12880" xr:uid="{00000000-0005-0000-0000-000056800000}"/>
    <cellStyle name="Note 3 4 3 3 2 2" xfId="24891" xr:uid="{00000000-0005-0000-0000-000057800000}"/>
    <cellStyle name="Note 3 4 3 3 2 2 2" xfId="19533" xr:uid="{00000000-0005-0000-0000-000058800000}"/>
    <cellStyle name="Note 3 4 3 3 2 3" xfId="33133" xr:uid="{00000000-0005-0000-0000-000059800000}"/>
    <cellStyle name="Note 3 4 3 3 3" xfId="22873" xr:uid="{00000000-0005-0000-0000-00005A800000}"/>
    <cellStyle name="Note 3 4 3 3 3 2" xfId="30588" xr:uid="{00000000-0005-0000-0000-00005B800000}"/>
    <cellStyle name="Note 3 4 3 3 4" xfId="33286" xr:uid="{00000000-0005-0000-0000-00005C800000}"/>
    <cellStyle name="Note 3 4 3 4" xfId="33737" xr:uid="{00000000-0005-0000-0000-00005D800000}"/>
    <cellStyle name="Note 3 4 3 4 2" xfId="33245" xr:uid="{00000000-0005-0000-0000-00005E800000}"/>
    <cellStyle name="Note 3 4 3 4 2 2" xfId="19571" xr:uid="{00000000-0005-0000-0000-00005F800000}"/>
    <cellStyle name="Note 3 4 3 4 3" xfId="27276" xr:uid="{00000000-0005-0000-0000-000060800000}"/>
    <cellStyle name="Note 3 4 3 5" xfId="21965" xr:uid="{00000000-0005-0000-0000-000061800000}"/>
    <cellStyle name="Note 3 4 3 5 2" xfId="26129" xr:uid="{00000000-0005-0000-0000-000062800000}"/>
    <cellStyle name="Note 3 4 3 6" xfId="32631" xr:uid="{00000000-0005-0000-0000-000063800000}"/>
    <cellStyle name="Note 3 4 4" xfId="6430" xr:uid="{00000000-0005-0000-0000-000064800000}"/>
    <cellStyle name="Note 3 4 4 2" xfId="33617" xr:uid="{00000000-0005-0000-0000-000065800000}"/>
    <cellStyle name="Note 3 4 4 2 2" xfId="32298" xr:uid="{00000000-0005-0000-0000-000066800000}"/>
    <cellStyle name="Note 3 4 4 2 2 2" xfId="30615" xr:uid="{00000000-0005-0000-0000-000067800000}"/>
    <cellStyle name="Note 3 4 4 2 2 2 2" xfId="28831" xr:uid="{00000000-0005-0000-0000-000068800000}"/>
    <cellStyle name="Note 3 4 4 2 2 3" xfId="7561" xr:uid="{00000000-0005-0000-0000-000069800000}"/>
    <cellStyle name="Note 3 4 4 2 3" xfId="30036" xr:uid="{00000000-0005-0000-0000-00006A800000}"/>
    <cellStyle name="Note 3 4 4 2 3 2" xfId="31680" xr:uid="{00000000-0005-0000-0000-00006B800000}"/>
    <cellStyle name="Note 3 4 4 2 4" xfId="33585" xr:uid="{00000000-0005-0000-0000-00006C800000}"/>
    <cellStyle name="Note 3 4 4 3" xfId="32710" xr:uid="{00000000-0005-0000-0000-00006D800000}"/>
    <cellStyle name="Note 3 4 4 3 2" xfId="33321" xr:uid="{00000000-0005-0000-0000-00006E800000}"/>
    <cellStyle name="Note 3 4 4 3 2 2" xfId="25118" xr:uid="{00000000-0005-0000-0000-00006F800000}"/>
    <cellStyle name="Note 3 4 4 3 3" xfId="33527" xr:uid="{00000000-0005-0000-0000-000070800000}"/>
    <cellStyle name="Note 3 4 4 4" xfId="32511" xr:uid="{00000000-0005-0000-0000-000071800000}"/>
    <cellStyle name="Note 3 4 4 4 2" xfId="31303" xr:uid="{00000000-0005-0000-0000-000072800000}"/>
    <cellStyle name="Note 3 4 4 5" xfId="31306" xr:uid="{00000000-0005-0000-0000-000073800000}"/>
    <cellStyle name="Note 3 4 5" xfId="33492" xr:uid="{00000000-0005-0000-0000-000074800000}"/>
    <cellStyle name="Note 3 4 5 2" xfId="20697" xr:uid="{00000000-0005-0000-0000-000075800000}"/>
    <cellStyle name="Note 3 4 5 2 2" xfId="22392" xr:uid="{00000000-0005-0000-0000-000076800000}"/>
    <cellStyle name="Note 3 4 5 2 2 2" xfId="21285" xr:uid="{00000000-0005-0000-0000-000077800000}"/>
    <cellStyle name="Note 3 4 5 2 3" xfId="33354" xr:uid="{00000000-0005-0000-0000-000078800000}"/>
    <cellStyle name="Note 3 4 5 3" xfId="33327" xr:uid="{00000000-0005-0000-0000-000079800000}"/>
    <cellStyle name="Note 3 4 5 3 2" xfId="33540" xr:uid="{00000000-0005-0000-0000-00007A800000}"/>
    <cellStyle name="Note 3 4 5 4" xfId="31315" xr:uid="{00000000-0005-0000-0000-00007B800000}"/>
    <cellStyle name="Note 3 4 6" xfId="31745" xr:uid="{00000000-0005-0000-0000-00007C800000}"/>
    <cellStyle name="Note 3 4 6 2" xfId="33425" xr:uid="{00000000-0005-0000-0000-00007D800000}"/>
    <cellStyle name="Note 3 4 6 2 2" xfId="22141" xr:uid="{00000000-0005-0000-0000-00007E800000}"/>
    <cellStyle name="Note 3 4 6 3" xfId="31535" xr:uid="{00000000-0005-0000-0000-00007F800000}"/>
    <cellStyle name="Note 3 4 7" xfId="32946" xr:uid="{00000000-0005-0000-0000-000080800000}"/>
    <cellStyle name="Note 3 4 7 2" xfId="33359" xr:uid="{00000000-0005-0000-0000-000081800000}"/>
    <cellStyle name="Note 3 4 8" xfId="28750" xr:uid="{00000000-0005-0000-0000-000082800000}"/>
    <cellStyle name="Note 3 5" xfId="6433" xr:uid="{00000000-0005-0000-0000-000083800000}"/>
    <cellStyle name="Note 3 5 2" xfId="6437" xr:uid="{00000000-0005-0000-0000-000084800000}"/>
    <cellStyle name="Note 3 5 2 2" xfId="19001" xr:uid="{00000000-0005-0000-0000-000085800000}"/>
    <cellStyle name="Note 3 5 2 2 2" xfId="21046" xr:uid="{00000000-0005-0000-0000-000086800000}"/>
    <cellStyle name="Note 3 5 2 2 2 2" xfId="33206" xr:uid="{00000000-0005-0000-0000-000087800000}"/>
    <cellStyle name="Note 3 5 2 2 2 2 2" xfId="32001" xr:uid="{00000000-0005-0000-0000-000088800000}"/>
    <cellStyle name="Note 3 5 2 2 2 2 2 2" xfId="8145" xr:uid="{00000000-0005-0000-0000-000089800000}"/>
    <cellStyle name="Note 3 5 2 2 2 2 3" xfId="27841" xr:uid="{00000000-0005-0000-0000-00008A800000}"/>
    <cellStyle name="Note 3 5 2 2 2 3" xfId="31687" xr:uid="{00000000-0005-0000-0000-00008B800000}"/>
    <cellStyle name="Note 3 5 2 2 2 3 2" xfId="33299" xr:uid="{00000000-0005-0000-0000-00008C800000}"/>
    <cellStyle name="Note 3 5 2 2 2 4" xfId="30229" xr:uid="{00000000-0005-0000-0000-00008D800000}"/>
    <cellStyle name="Note 3 5 2 2 3" xfId="33339" xr:uid="{00000000-0005-0000-0000-00008E800000}"/>
    <cellStyle name="Note 3 5 2 2 3 2" xfId="28092" xr:uid="{00000000-0005-0000-0000-00008F800000}"/>
    <cellStyle name="Note 3 5 2 2 3 2 2" xfId="11519" xr:uid="{00000000-0005-0000-0000-000090800000}"/>
    <cellStyle name="Note 3 5 2 2 3 3" xfId="23958" xr:uid="{00000000-0005-0000-0000-000091800000}"/>
    <cellStyle name="Note 3 5 2 2 4" xfId="33347" xr:uid="{00000000-0005-0000-0000-000092800000}"/>
    <cellStyle name="Note 3 5 2 2 4 2" xfId="28107" xr:uid="{00000000-0005-0000-0000-000093800000}"/>
    <cellStyle name="Note 3 5 2 2 5" xfId="27661" xr:uid="{00000000-0005-0000-0000-000094800000}"/>
    <cellStyle name="Note 3 5 2 3" xfId="33584" xr:uid="{00000000-0005-0000-0000-000095800000}"/>
    <cellStyle name="Note 3 5 2 3 2" xfId="2878" xr:uid="{00000000-0005-0000-0000-000096800000}"/>
    <cellStyle name="Note 3 5 2 3 2 2" xfId="30941" xr:uid="{00000000-0005-0000-0000-000097800000}"/>
    <cellStyle name="Note 3 5 2 3 2 2 2" xfId="33388" xr:uid="{00000000-0005-0000-0000-000098800000}"/>
    <cellStyle name="Note 3 5 2 3 2 3" xfId="33926" xr:uid="{00000000-0005-0000-0000-000099800000}"/>
    <cellStyle name="Note 3 5 2 3 3" xfId="33348" xr:uid="{00000000-0005-0000-0000-00009A800000}"/>
    <cellStyle name="Note 3 5 2 3 3 2" xfId="30656" xr:uid="{00000000-0005-0000-0000-00009B800000}"/>
    <cellStyle name="Note 3 5 2 3 4" xfId="33349" xr:uid="{00000000-0005-0000-0000-00009C800000}"/>
    <cellStyle name="Note 3 5 2 4" xfId="33352" xr:uid="{00000000-0005-0000-0000-00009D800000}"/>
    <cellStyle name="Note 3 5 2 4 2" xfId="32242" xr:uid="{00000000-0005-0000-0000-00009E800000}"/>
    <cellStyle name="Note 3 5 2 4 2 2" xfId="33365" xr:uid="{00000000-0005-0000-0000-00009F800000}"/>
    <cellStyle name="Note 3 5 2 4 3" xfId="27112" xr:uid="{00000000-0005-0000-0000-0000A0800000}"/>
    <cellStyle name="Note 3 5 2 5" xfId="33619" xr:uid="{00000000-0005-0000-0000-0000A1800000}"/>
    <cellStyle name="Note 3 5 2 5 2" xfId="33369" xr:uid="{00000000-0005-0000-0000-0000A2800000}"/>
    <cellStyle name="Note 3 5 2 6" xfId="33224" xr:uid="{00000000-0005-0000-0000-0000A3800000}"/>
    <cellStyle name="Note 3 5 3" xfId="24945" xr:uid="{00000000-0005-0000-0000-0000A4800000}"/>
    <cellStyle name="Note 3 5 3 2" xfId="33759" xr:uid="{00000000-0005-0000-0000-0000A5800000}"/>
    <cellStyle name="Note 3 5 3 2 2" xfId="27014" xr:uid="{00000000-0005-0000-0000-0000A6800000}"/>
    <cellStyle name="Note 3 5 3 2 2 2" xfId="26735" xr:uid="{00000000-0005-0000-0000-0000A7800000}"/>
    <cellStyle name="Note 3 5 3 2 2 2 2" xfId="31833" xr:uid="{00000000-0005-0000-0000-0000A8800000}"/>
    <cellStyle name="Note 3 5 3 2 2 3" xfId="30695" xr:uid="{00000000-0005-0000-0000-0000A9800000}"/>
    <cellStyle name="Note 3 5 3 2 3" xfId="15629" xr:uid="{00000000-0005-0000-0000-0000AA800000}"/>
    <cellStyle name="Note 3 5 3 2 3 2" xfId="28134" xr:uid="{00000000-0005-0000-0000-0000AB800000}"/>
    <cellStyle name="Note 3 5 3 2 4" xfId="15634" xr:uid="{00000000-0005-0000-0000-0000AC800000}"/>
    <cellStyle name="Note 3 5 3 3" xfId="33406" xr:uid="{00000000-0005-0000-0000-0000AD800000}"/>
    <cellStyle name="Note 3 5 3 3 2" xfId="27047" xr:uid="{00000000-0005-0000-0000-0000AE800000}"/>
    <cellStyle name="Note 3 5 3 3 2 2" xfId="31845" xr:uid="{00000000-0005-0000-0000-0000AF800000}"/>
    <cellStyle name="Note 3 5 3 3 3" xfId="4382" xr:uid="{00000000-0005-0000-0000-0000B0800000}"/>
    <cellStyle name="Note 3 5 3 4" xfId="19030" xr:uid="{00000000-0005-0000-0000-0000B1800000}"/>
    <cellStyle name="Note 3 5 3 4 2" xfId="33458" xr:uid="{00000000-0005-0000-0000-0000B2800000}"/>
    <cellStyle name="Note 3 5 3 5" xfId="19032" xr:uid="{00000000-0005-0000-0000-0000B3800000}"/>
    <cellStyle name="Note 3 5 4" xfId="29468" xr:uid="{00000000-0005-0000-0000-0000B4800000}"/>
    <cellStyle name="Note 3 5 4 2" xfId="2147" xr:uid="{00000000-0005-0000-0000-0000B5800000}"/>
    <cellStyle name="Note 3 5 4 2 2" xfId="32315" xr:uid="{00000000-0005-0000-0000-0000B6800000}"/>
    <cellStyle name="Note 3 5 4 2 2 2" xfId="21080" xr:uid="{00000000-0005-0000-0000-0000B7800000}"/>
    <cellStyle name="Note 3 5 4 2 3" xfId="15647" xr:uid="{00000000-0005-0000-0000-0000B8800000}"/>
    <cellStyle name="Note 3 5 4 3" xfId="5031" xr:uid="{00000000-0005-0000-0000-0000B9800000}"/>
    <cellStyle name="Note 3 5 4 3 2" xfId="30703" xr:uid="{00000000-0005-0000-0000-0000BA800000}"/>
    <cellStyle name="Note 3 5 4 4" xfId="5669" xr:uid="{00000000-0005-0000-0000-0000BB800000}"/>
    <cellStyle name="Note 3 5 5" xfId="33219" xr:uid="{00000000-0005-0000-0000-0000BC800000}"/>
    <cellStyle name="Note 3 5 5 2" xfId="2165" xr:uid="{00000000-0005-0000-0000-0000BD800000}"/>
    <cellStyle name="Note 3 5 5 2 2" xfId="6730" xr:uid="{00000000-0005-0000-0000-0000BE800000}"/>
    <cellStyle name="Note 3 5 5 3" xfId="31658" xr:uid="{00000000-0005-0000-0000-0000BF800000}"/>
    <cellStyle name="Note 3 5 6" xfId="16923" xr:uid="{00000000-0005-0000-0000-0000C0800000}"/>
    <cellStyle name="Note 3 5 6 2" xfId="16925" xr:uid="{00000000-0005-0000-0000-0000C1800000}"/>
    <cellStyle name="Note 3 5 7" xfId="16983" xr:uid="{00000000-0005-0000-0000-0000C2800000}"/>
    <cellStyle name="Note 3 6" xfId="12435" xr:uid="{00000000-0005-0000-0000-0000C3800000}"/>
    <cellStyle name="Note 3 6 2" xfId="11890" xr:uid="{00000000-0005-0000-0000-0000C4800000}"/>
    <cellStyle name="Note 3 6 2 2" xfId="32694" xr:uid="{00000000-0005-0000-0000-0000C5800000}"/>
    <cellStyle name="Note 3 6 2 2 2" xfId="32375" xr:uid="{00000000-0005-0000-0000-0000C6800000}"/>
    <cellStyle name="Note 3 6 2 2 2 2" xfId="31669" xr:uid="{00000000-0005-0000-0000-0000C7800000}"/>
    <cellStyle name="Note 3 6 2 2 2 2 2" xfId="31136" xr:uid="{00000000-0005-0000-0000-0000C8800000}"/>
    <cellStyle name="Note 3 6 2 2 2 3" xfId="19659" xr:uid="{00000000-0005-0000-0000-0000C9800000}"/>
    <cellStyle name="Note 3 6 2 2 3" xfId="28636" xr:uid="{00000000-0005-0000-0000-0000CA800000}"/>
    <cellStyle name="Note 3 6 2 2 3 2" xfId="31139" xr:uid="{00000000-0005-0000-0000-0000CB800000}"/>
    <cellStyle name="Note 3 6 2 2 4" xfId="27466" xr:uid="{00000000-0005-0000-0000-0000CC800000}"/>
    <cellStyle name="Note 3 6 2 3" xfId="32220" xr:uid="{00000000-0005-0000-0000-0000CD800000}"/>
    <cellStyle name="Note 3 6 2 3 2" xfId="23030" xr:uid="{00000000-0005-0000-0000-0000CE800000}"/>
    <cellStyle name="Note 3 6 2 3 2 2" xfId="33393" xr:uid="{00000000-0005-0000-0000-0000CF800000}"/>
    <cellStyle name="Note 3 6 2 3 3" xfId="20688" xr:uid="{00000000-0005-0000-0000-0000D0800000}"/>
    <cellStyle name="Note 3 6 2 4" xfId="30804" xr:uid="{00000000-0005-0000-0000-0000D1800000}"/>
    <cellStyle name="Note 3 6 2 4 2" xfId="19756" xr:uid="{00000000-0005-0000-0000-0000D2800000}"/>
    <cellStyle name="Note 3 6 2 5" xfId="31201" xr:uid="{00000000-0005-0000-0000-0000D3800000}"/>
    <cellStyle name="Note 3 6 3" xfId="11993" xr:uid="{00000000-0005-0000-0000-0000D4800000}"/>
    <cellStyle name="Note 3 6 3 2" xfId="32386" xr:uid="{00000000-0005-0000-0000-0000D5800000}"/>
    <cellStyle name="Note 3 6 3 2 2" xfId="22514" xr:uid="{00000000-0005-0000-0000-0000D6800000}"/>
    <cellStyle name="Note 3 6 3 2 2 2" xfId="20122" xr:uid="{00000000-0005-0000-0000-0000D7800000}"/>
    <cellStyle name="Note 3 6 3 2 3" xfId="15676" xr:uid="{00000000-0005-0000-0000-0000D8800000}"/>
    <cellStyle name="Note 3 6 3 3" xfId="27572" xr:uid="{00000000-0005-0000-0000-0000D9800000}"/>
    <cellStyle name="Note 3 6 3 3 2" xfId="14253" xr:uid="{00000000-0005-0000-0000-0000DA800000}"/>
    <cellStyle name="Note 3 6 3 4" xfId="28759" xr:uid="{00000000-0005-0000-0000-0000DB800000}"/>
    <cellStyle name="Note 3 6 4" xfId="33237" xr:uid="{00000000-0005-0000-0000-0000DC800000}"/>
    <cellStyle name="Note 3 6 4 2" xfId="185" xr:uid="{00000000-0005-0000-0000-0000DD800000}"/>
    <cellStyle name="Note 3 6 4 2 2" xfId="31388" xr:uid="{00000000-0005-0000-0000-0000DE800000}"/>
    <cellStyle name="Note 3 6 4 3" xfId="30811" xr:uid="{00000000-0005-0000-0000-0000DF800000}"/>
    <cellStyle name="Note 3 6 5" xfId="31914" xr:uid="{00000000-0005-0000-0000-0000E0800000}"/>
    <cellStyle name="Note 3 6 5 2" xfId="31457" xr:uid="{00000000-0005-0000-0000-0000E1800000}"/>
    <cellStyle name="Note 3 6 6" xfId="17024" xr:uid="{00000000-0005-0000-0000-0000E2800000}"/>
    <cellStyle name="Note 3 7" xfId="15395" xr:uid="{00000000-0005-0000-0000-0000E3800000}"/>
    <cellStyle name="Note 3 7 2" xfId="12004" xr:uid="{00000000-0005-0000-0000-0000E4800000}"/>
    <cellStyle name="Note 3 7 2 2" xfId="26335" xr:uid="{00000000-0005-0000-0000-0000E5800000}"/>
    <cellStyle name="Note 3 7 2 2 2" xfId="31904" xr:uid="{00000000-0005-0000-0000-0000E6800000}"/>
    <cellStyle name="Note 3 7 2 2 2 2" xfId="31925" xr:uid="{00000000-0005-0000-0000-0000E7800000}"/>
    <cellStyle name="Note 3 7 2 2 3" xfId="28976" xr:uid="{00000000-0005-0000-0000-0000E8800000}"/>
    <cellStyle name="Note 3 7 2 3" xfId="30910" xr:uid="{00000000-0005-0000-0000-0000E9800000}"/>
    <cellStyle name="Note 3 7 2 3 2" xfId="31520" xr:uid="{00000000-0005-0000-0000-0000EA800000}"/>
    <cellStyle name="Note 3 7 2 4" xfId="2570" xr:uid="{00000000-0005-0000-0000-0000EB800000}"/>
    <cellStyle name="Note 3 7 3" xfId="31180" xr:uid="{00000000-0005-0000-0000-0000EC800000}"/>
    <cellStyle name="Note 3 7 3 2" xfId="29420" xr:uid="{00000000-0005-0000-0000-0000ED800000}"/>
    <cellStyle name="Note 3 7 3 2 2" xfId="29424" xr:uid="{00000000-0005-0000-0000-0000EE800000}"/>
    <cellStyle name="Note 3 7 3 3" xfId="28891" xr:uid="{00000000-0005-0000-0000-0000EF800000}"/>
    <cellStyle name="Note 3 7 4" xfId="26336" xr:uid="{00000000-0005-0000-0000-0000F0800000}"/>
    <cellStyle name="Note 3 7 4 2" xfId="31903" xr:uid="{00000000-0005-0000-0000-0000F1800000}"/>
    <cellStyle name="Note 3 7 5" xfId="30909" xr:uid="{00000000-0005-0000-0000-0000F2800000}"/>
    <cellStyle name="Note 3 8" xfId="6366" xr:uid="{00000000-0005-0000-0000-0000F3800000}"/>
    <cellStyle name="Note 3 8 2" xfId="33144" xr:uid="{00000000-0005-0000-0000-0000F4800000}"/>
    <cellStyle name="Note 3 8 2 2" xfId="26116" xr:uid="{00000000-0005-0000-0000-0000F5800000}"/>
    <cellStyle name="Note 3 8 2 2 2" xfId="31969" xr:uid="{00000000-0005-0000-0000-0000F6800000}"/>
    <cellStyle name="Note 3 8 2 3" xfId="29668" xr:uid="{00000000-0005-0000-0000-0000F7800000}"/>
    <cellStyle name="Note 3 8 3" xfId="29444" xr:uid="{00000000-0005-0000-0000-0000F8800000}"/>
    <cellStyle name="Note 3 8 3 2" xfId="29449" xr:uid="{00000000-0005-0000-0000-0000F9800000}"/>
    <cellStyle name="Note 3 8 4" xfId="29419" xr:uid="{00000000-0005-0000-0000-0000FA800000}"/>
    <cellStyle name="Note 3 9" xfId="30414" xr:uid="{00000000-0005-0000-0000-0000FB800000}"/>
    <cellStyle name="Note 3 9 2" xfId="31521" xr:uid="{00000000-0005-0000-0000-0000FC800000}"/>
    <cellStyle name="Note 3 9 2 2" xfId="31467" xr:uid="{00000000-0005-0000-0000-0000FD800000}"/>
    <cellStyle name="Note 3 9 3" xfId="6218" xr:uid="{00000000-0005-0000-0000-0000FE800000}"/>
    <cellStyle name="Note 4" xfId="33436" xr:uid="{00000000-0005-0000-0000-0000FF800000}"/>
    <cellStyle name="Note 4 10" xfId="23814" xr:uid="{00000000-0005-0000-0000-000000810000}"/>
    <cellStyle name="Note 4 2" xfId="33441" xr:uid="{00000000-0005-0000-0000-000001810000}"/>
    <cellStyle name="Note 4 2 2" xfId="21884" xr:uid="{00000000-0005-0000-0000-000002810000}"/>
    <cellStyle name="Note 4 2 2 2" xfId="32399" xr:uid="{00000000-0005-0000-0000-000003810000}"/>
    <cellStyle name="Note 4 2 2 2 2" xfId="32935" xr:uid="{00000000-0005-0000-0000-000004810000}"/>
    <cellStyle name="Note 4 2 2 2 2 2" xfId="19552" xr:uid="{00000000-0005-0000-0000-000005810000}"/>
    <cellStyle name="Note 4 2 2 2 2 2 2" xfId="27740" xr:uid="{00000000-0005-0000-0000-000006810000}"/>
    <cellStyle name="Note 4 2 2 2 2 2 2 2" xfId="30073" xr:uid="{00000000-0005-0000-0000-000007810000}"/>
    <cellStyle name="Note 4 2 2 2 2 2 2 2 2" xfId="25012" xr:uid="{00000000-0005-0000-0000-000008810000}"/>
    <cellStyle name="Note 4 2 2 2 2 2 2 2 2 2" xfId="33667" xr:uid="{00000000-0005-0000-0000-000009810000}"/>
    <cellStyle name="Note 4 2 2 2 2 2 2 2 3" xfId="33760" xr:uid="{00000000-0005-0000-0000-00000A810000}"/>
    <cellStyle name="Note 4 2 2 2 2 2 2 3" xfId="19561" xr:uid="{00000000-0005-0000-0000-00000B810000}"/>
    <cellStyle name="Note 4 2 2 2 2 2 2 3 2" xfId="33689" xr:uid="{00000000-0005-0000-0000-00000C810000}"/>
    <cellStyle name="Note 4 2 2 2 2 2 2 4" xfId="21735" xr:uid="{00000000-0005-0000-0000-00000D810000}"/>
    <cellStyle name="Note 4 2 2 2 2 2 3" xfId="13749" xr:uid="{00000000-0005-0000-0000-00000E810000}"/>
    <cellStyle name="Note 4 2 2 2 2 2 3 2" xfId="29422" xr:uid="{00000000-0005-0000-0000-00000F810000}"/>
    <cellStyle name="Note 4 2 2 2 2 2 3 2 2" xfId="33913" xr:uid="{00000000-0005-0000-0000-000010810000}"/>
    <cellStyle name="Note 4 2 2 2 2 2 3 3" xfId="31756" xr:uid="{00000000-0005-0000-0000-000011810000}"/>
    <cellStyle name="Note 4 2 2 2 2 2 4" xfId="19332" xr:uid="{00000000-0005-0000-0000-000012810000}"/>
    <cellStyle name="Note 4 2 2 2 2 2 4 2" xfId="9143" xr:uid="{00000000-0005-0000-0000-000013810000}"/>
    <cellStyle name="Note 4 2 2 2 2 2 5" xfId="3356" xr:uid="{00000000-0005-0000-0000-000014810000}"/>
    <cellStyle name="Note 4 2 2 2 2 3" xfId="24923" xr:uid="{00000000-0005-0000-0000-000015810000}"/>
    <cellStyle name="Note 4 2 2 2 2 3 2" xfId="30578" xr:uid="{00000000-0005-0000-0000-000016810000}"/>
    <cellStyle name="Note 4 2 2 2 2 3 2 2" xfId="19569" xr:uid="{00000000-0005-0000-0000-000017810000}"/>
    <cellStyle name="Note 4 2 2 2 2 3 2 2 2" xfId="33854" xr:uid="{00000000-0005-0000-0000-000018810000}"/>
    <cellStyle name="Note 4 2 2 2 2 3 2 3" xfId="33859" xr:uid="{00000000-0005-0000-0000-000019810000}"/>
    <cellStyle name="Note 4 2 2 2 2 3 3" xfId="33445" xr:uid="{00000000-0005-0000-0000-00001A810000}"/>
    <cellStyle name="Note 4 2 2 2 2 3 3 2" xfId="33449" xr:uid="{00000000-0005-0000-0000-00001B810000}"/>
    <cellStyle name="Note 4 2 2 2 2 3 4" xfId="2100" xr:uid="{00000000-0005-0000-0000-00001C810000}"/>
    <cellStyle name="Note 4 2 2 2 2 4" xfId="33246" xr:uid="{00000000-0005-0000-0000-00001D810000}"/>
    <cellStyle name="Note 4 2 2 2 2 4 2" xfId="19573" xr:uid="{00000000-0005-0000-0000-00001E810000}"/>
    <cellStyle name="Note 4 2 2 2 2 4 2 2" xfId="28082" xr:uid="{00000000-0005-0000-0000-00001F810000}"/>
    <cellStyle name="Note 4 2 2 2 2 4 3" xfId="30434" xr:uid="{00000000-0005-0000-0000-000020810000}"/>
    <cellStyle name="Note 4 2 2 2 2 5" xfId="27273" xr:uid="{00000000-0005-0000-0000-000021810000}"/>
    <cellStyle name="Note 4 2 2 2 2 5 2" xfId="14554" xr:uid="{00000000-0005-0000-0000-000022810000}"/>
    <cellStyle name="Note 4 2 2 2 2 6" xfId="33252" xr:uid="{00000000-0005-0000-0000-000023810000}"/>
    <cellStyle name="Note 4 2 2 2 3" xfId="16587" xr:uid="{00000000-0005-0000-0000-000024810000}"/>
    <cellStyle name="Note 4 2 2 2 3 2" xfId="19580" xr:uid="{00000000-0005-0000-0000-000025810000}"/>
    <cellStyle name="Note 4 2 2 2 3 2 2" xfId="30995" xr:uid="{00000000-0005-0000-0000-000026810000}"/>
    <cellStyle name="Note 4 2 2 2 3 2 2 2" xfId="15456" xr:uid="{00000000-0005-0000-0000-000027810000}"/>
    <cellStyle name="Note 4 2 2 2 3 2 2 2 2" xfId="26071" xr:uid="{00000000-0005-0000-0000-000028810000}"/>
    <cellStyle name="Note 4 2 2 2 3 2 2 3" xfId="26074" xr:uid="{00000000-0005-0000-0000-000029810000}"/>
    <cellStyle name="Note 4 2 2 2 3 2 3" xfId="19335" xr:uid="{00000000-0005-0000-0000-00002A810000}"/>
    <cellStyle name="Note 4 2 2 2 3 2 3 2" xfId="15478" xr:uid="{00000000-0005-0000-0000-00002B810000}"/>
    <cellStyle name="Note 4 2 2 2 3 2 4" xfId="2226" xr:uid="{00000000-0005-0000-0000-00002C810000}"/>
    <cellStyle name="Note 4 2 2 2 3 3" xfId="24319" xr:uid="{00000000-0005-0000-0000-00002D810000}"/>
    <cellStyle name="Note 4 2 2 2 3 3 2" xfId="20427" xr:uid="{00000000-0005-0000-0000-00002E810000}"/>
    <cellStyle name="Note 4 2 2 2 3 3 2 2" xfId="26127" xr:uid="{00000000-0005-0000-0000-00002F810000}"/>
    <cellStyle name="Note 4 2 2 2 3 3 3" xfId="31854" xr:uid="{00000000-0005-0000-0000-000030810000}"/>
    <cellStyle name="Note 4 2 2 2 3 4" xfId="26131" xr:uid="{00000000-0005-0000-0000-000031810000}"/>
    <cellStyle name="Note 4 2 2 2 3 4 2" xfId="30453" xr:uid="{00000000-0005-0000-0000-000032810000}"/>
    <cellStyle name="Note 4 2 2 2 3 5" xfId="33464" xr:uid="{00000000-0005-0000-0000-000033810000}"/>
    <cellStyle name="Note 4 2 2 2 4" xfId="6114" xr:uid="{00000000-0005-0000-0000-000034810000}"/>
    <cellStyle name="Note 4 2 2 2 4 2" xfId="33486" xr:uid="{00000000-0005-0000-0000-000035810000}"/>
    <cellStyle name="Note 4 2 2 2 4 2 2" xfId="20450" xr:uid="{00000000-0005-0000-0000-000036810000}"/>
    <cellStyle name="Note 4 2 2 2 4 2 2 2" xfId="26340" xr:uid="{00000000-0005-0000-0000-000037810000}"/>
    <cellStyle name="Note 4 2 2 2 4 2 3" xfId="27963" xr:uid="{00000000-0005-0000-0000-000038810000}"/>
    <cellStyle name="Note 4 2 2 2 4 3" xfId="19793" xr:uid="{00000000-0005-0000-0000-000039810000}"/>
    <cellStyle name="Note 4 2 2 2 4 3 2" xfId="33313" xr:uid="{00000000-0005-0000-0000-00003A810000}"/>
    <cellStyle name="Note 4 2 2 2 4 4" xfId="31545" xr:uid="{00000000-0005-0000-0000-00003B810000}"/>
    <cellStyle name="Note 4 2 2 2 5" xfId="33005" xr:uid="{00000000-0005-0000-0000-00003C810000}"/>
    <cellStyle name="Note 4 2 2 2 5 2" xfId="27921" xr:uid="{00000000-0005-0000-0000-00003D810000}"/>
    <cellStyle name="Note 4 2 2 2 5 2 2" xfId="31288" xr:uid="{00000000-0005-0000-0000-00003E810000}"/>
    <cellStyle name="Note 4 2 2 2 5 3" xfId="29873" xr:uid="{00000000-0005-0000-0000-00003F810000}"/>
    <cellStyle name="Note 4 2 2 2 6" xfId="32408" xr:uid="{00000000-0005-0000-0000-000040810000}"/>
    <cellStyle name="Note 4 2 2 2 6 2" xfId="30990" xr:uid="{00000000-0005-0000-0000-000041810000}"/>
    <cellStyle name="Note 4 2 2 2 7" xfId="34013" xr:uid="{00000000-0005-0000-0000-000042810000}"/>
    <cellStyle name="Note 4 2 2 3" xfId="33201" xr:uid="{00000000-0005-0000-0000-000043810000}"/>
    <cellStyle name="Note 4 2 2 3 2" xfId="9134" xr:uid="{00000000-0005-0000-0000-000044810000}"/>
    <cellStyle name="Note 4 2 2 3 2 2" xfId="25146" xr:uid="{00000000-0005-0000-0000-000045810000}"/>
    <cellStyle name="Note 4 2 2 3 2 2 2" xfId="8365" xr:uid="{00000000-0005-0000-0000-000046810000}"/>
    <cellStyle name="Note 4 2 2 3 2 2 2 2" xfId="25149" xr:uid="{00000000-0005-0000-0000-000047810000}"/>
    <cellStyle name="Note 4 2 2 3 2 2 2 2 2" xfId="2314" xr:uid="{00000000-0005-0000-0000-000048810000}"/>
    <cellStyle name="Note 4 2 2 3 2 2 2 3" xfId="33329" xr:uid="{00000000-0005-0000-0000-000049810000}"/>
    <cellStyle name="Note 4 2 2 3 2 2 3" xfId="19360" xr:uid="{00000000-0005-0000-0000-00004A810000}"/>
    <cellStyle name="Note 4 2 2 3 2 2 3 2" xfId="33517" xr:uid="{00000000-0005-0000-0000-00004B810000}"/>
    <cellStyle name="Note 4 2 2 3 2 2 4" xfId="2684" xr:uid="{00000000-0005-0000-0000-00004C810000}"/>
    <cellStyle name="Note 4 2 2 3 2 3" xfId="21111" xr:uid="{00000000-0005-0000-0000-00004D810000}"/>
    <cellStyle name="Note 4 2 2 3 2 3 2" xfId="25177" xr:uid="{00000000-0005-0000-0000-00004E810000}"/>
    <cellStyle name="Note 4 2 2 3 2 3 2 2" xfId="33660" xr:uid="{00000000-0005-0000-0000-00004F810000}"/>
    <cellStyle name="Note 4 2 2 3 2 3 3" xfId="33567" xr:uid="{00000000-0005-0000-0000-000050810000}"/>
    <cellStyle name="Note 4 2 2 3 2 4" xfId="31302" xr:uid="{00000000-0005-0000-0000-000051810000}"/>
    <cellStyle name="Note 4 2 2 3 2 4 2" xfId="25304" xr:uid="{00000000-0005-0000-0000-000052810000}"/>
    <cellStyle name="Note 4 2 2 3 2 5" xfId="33015" xr:uid="{00000000-0005-0000-0000-000053810000}"/>
    <cellStyle name="Note 4 2 2 3 3" xfId="9617" xr:uid="{00000000-0005-0000-0000-000054810000}"/>
    <cellStyle name="Note 4 2 2 3 3 2" xfId="19693" xr:uid="{00000000-0005-0000-0000-000055810000}"/>
    <cellStyle name="Note 4 2 2 3 3 2 2" xfId="12583" xr:uid="{00000000-0005-0000-0000-000056810000}"/>
    <cellStyle name="Note 4 2 2 3 3 2 2 2" xfId="14785" xr:uid="{00000000-0005-0000-0000-000057810000}"/>
    <cellStyle name="Note 4 2 2 3 3 2 3" xfId="19364" xr:uid="{00000000-0005-0000-0000-000058810000}"/>
    <cellStyle name="Note 4 2 2 3 3 3" xfId="26132" xr:uid="{00000000-0005-0000-0000-000059810000}"/>
    <cellStyle name="Note 4 2 2 3 3 3 2" xfId="11425" xr:uid="{00000000-0005-0000-0000-00005A810000}"/>
    <cellStyle name="Note 4 2 2 3 3 4" xfId="33559" xr:uid="{00000000-0005-0000-0000-00005B810000}"/>
    <cellStyle name="Note 4 2 2 3 4" xfId="11296" xr:uid="{00000000-0005-0000-0000-00005C810000}"/>
    <cellStyle name="Note 4 2 2 3 4 2" xfId="25234" xr:uid="{00000000-0005-0000-0000-00005D810000}"/>
    <cellStyle name="Note 4 2 2 3 4 2 2" xfId="31566" xr:uid="{00000000-0005-0000-0000-00005E810000}"/>
    <cellStyle name="Note 4 2 2 3 4 3" xfId="29894" xr:uid="{00000000-0005-0000-0000-00005F810000}"/>
    <cellStyle name="Note 4 2 2 3 5" xfId="8325" xr:uid="{00000000-0005-0000-0000-000060810000}"/>
    <cellStyle name="Note 4 2 2 3 5 2" xfId="31571" xr:uid="{00000000-0005-0000-0000-000061810000}"/>
    <cellStyle name="Note 4 2 2 3 6" xfId="8327" xr:uid="{00000000-0005-0000-0000-000062810000}"/>
    <cellStyle name="Note 4 2 2 4" xfId="28383" xr:uid="{00000000-0005-0000-0000-000063810000}"/>
    <cellStyle name="Note 4 2 2 4 2" xfId="9643" xr:uid="{00000000-0005-0000-0000-000064810000}"/>
    <cellStyle name="Note 4 2 2 4 2 2" xfId="32783" xr:uid="{00000000-0005-0000-0000-000065810000}"/>
    <cellStyle name="Note 4 2 2 4 2 2 2" xfId="18813" xr:uid="{00000000-0005-0000-0000-000066810000}"/>
    <cellStyle name="Note 4 2 2 4 2 2 2 2" xfId="21715" xr:uid="{00000000-0005-0000-0000-000067810000}"/>
    <cellStyle name="Note 4 2 2 4 2 2 3" xfId="19373" xr:uid="{00000000-0005-0000-0000-000068810000}"/>
    <cellStyle name="Note 4 2 2 4 2 3" xfId="29397" xr:uid="{00000000-0005-0000-0000-000069810000}"/>
    <cellStyle name="Note 4 2 2 4 2 3 2" xfId="26750" xr:uid="{00000000-0005-0000-0000-00006A810000}"/>
    <cellStyle name="Note 4 2 2 4 2 4" xfId="26360" xr:uid="{00000000-0005-0000-0000-00006B810000}"/>
    <cellStyle name="Note 4 2 2 4 3" xfId="11302" xr:uid="{00000000-0005-0000-0000-00006C810000}"/>
    <cellStyle name="Note 4 2 2 4 3 2" xfId="6080" xr:uid="{00000000-0005-0000-0000-00006D810000}"/>
    <cellStyle name="Note 4 2 2 4 3 2 2" xfId="21806" xr:uid="{00000000-0005-0000-0000-00006E810000}"/>
    <cellStyle name="Note 4 2 2 4 3 3" xfId="8495" xr:uid="{00000000-0005-0000-0000-00006F810000}"/>
    <cellStyle name="Note 4 2 2 4 4" xfId="11306" xr:uid="{00000000-0005-0000-0000-000070810000}"/>
    <cellStyle name="Note 4 2 2 4 4 2" xfId="8504" xr:uid="{00000000-0005-0000-0000-000071810000}"/>
    <cellStyle name="Note 4 2 2 4 5" xfId="7134" xr:uid="{00000000-0005-0000-0000-000072810000}"/>
    <cellStyle name="Note 4 2 2 5" xfId="33054" xr:uid="{00000000-0005-0000-0000-000073810000}"/>
    <cellStyle name="Note 4 2 2 5 2" xfId="5024" xr:uid="{00000000-0005-0000-0000-000074810000}"/>
    <cellStyle name="Note 4 2 2 5 2 2" xfId="25551" xr:uid="{00000000-0005-0000-0000-000075810000}"/>
    <cellStyle name="Note 4 2 2 5 2 2 2" xfId="22589" xr:uid="{00000000-0005-0000-0000-000076810000}"/>
    <cellStyle name="Note 4 2 2 5 2 3" xfId="32120" xr:uid="{00000000-0005-0000-0000-000077810000}"/>
    <cellStyle name="Note 4 2 2 5 3" xfId="16533" xr:uid="{00000000-0005-0000-0000-000078810000}"/>
    <cellStyle name="Note 4 2 2 5 3 2" xfId="10453" xr:uid="{00000000-0005-0000-0000-000079810000}"/>
    <cellStyle name="Note 4 2 2 5 4" xfId="30346" xr:uid="{00000000-0005-0000-0000-00007A810000}"/>
    <cellStyle name="Note 4 2 2 6" xfId="22456" xr:uid="{00000000-0005-0000-0000-00007B810000}"/>
    <cellStyle name="Note 4 2 2 6 2" xfId="14202" xr:uid="{00000000-0005-0000-0000-00007C810000}"/>
    <cellStyle name="Note 4 2 2 6 2 2" xfId="12607" xr:uid="{00000000-0005-0000-0000-00007D810000}"/>
    <cellStyle name="Note 4 2 2 6 3" xfId="14211" xr:uid="{00000000-0005-0000-0000-00007E810000}"/>
    <cellStyle name="Note 4 2 2 7" xfId="22461" xr:uid="{00000000-0005-0000-0000-00007F810000}"/>
    <cellStyle name="Note 4 2 2 7 2" xfId="2543" xr:uid="{00000000-0005-0000-0000-000080810000}"/>
    <cellStyle name="Note 4 2 2 8" xfId="14217" xr:uid="{00000000-0005-0000-0000-000081810000}"/>
    <cellStyle name="Note 4 2 3" xfId="33185" xr:uid="{00000000-0005-0000-0000-000082810000}"/>
    <cellStyle name="Note 4 2 3 2" xfId="30744" xr:uid="{00000000-0005-0000-0000-000083810000}"/>
    <cellStyle name="Note 4 2 3 2 2" xfId="1607" xr:uid="{00000000-0005-0000-0000-000084810000}"/>
    <cellStyle name="Note 4 2 3 2 2 2" xfId="31996" xr:uid="{00000000-0005-0000-0000-000085810000}"/>
    <cellStyle name="Note 4 2 3 2 2 2 2" xfId="22069" xr:uid="{00000000-0005-0000-0000-000086810000}"/>
    <cellStyle name="Note 4 2 3 2 2 2 2 2" xfId="26758" xr:uid="{00000000-0005-0000-0000-000087810000}"/>
    <cellStyle name="Note 4 2 3 2 2 2 2 2 2" xfId="15153" xr:uid="{00000000-0005-0000-0000-000088810000}"/>
    <cellStyle name="Note 4 2 3 2 2 2 2 3" xfId="32320" xr:uid="{00000000-0005-0000-0000-000089810000}"/>
    <cellStyle name="Note 4 2 3 2 2 2 3" xfId="22078" xr:uid="{00000000-0005-0000-0000-00008A810000}"/>
    <cellStyle name="Note 4 2 3 2 2 2 3 2" xfId="32799" xr:uid="{00000000-0005-0000-0000-00008B810000}"/>
    <cellStyle name="Note 4 2 3 2 2 2 4" xfId="5667" xr:uid="{00000000-0005-0000-0000-00008C810000}"/>
    <cellStyle name="Note 4 2 3 2 2 3" xfId="5279" xr:uid="{00000000-0005-0000-0000-00008D810000}"/>
    <cellStyle name="Note 4 2 3 2 2 3 2" xfId="8243" xr:uid="{00000000-0005-0000-0000-00008E810000}"/>
    <cellStyle name="Note 4 2 3 2 2 3 2 2" xfId="27443" xr:uid="{00000000-0005-0000-0000-00008F810000}"/>
    <cellStyle name="Note 4 2 3 2 2 3 3" xfId="14028" xr:uid="{00000000-0005-0000-0000-000090810000}"/>
    <cellStyle name="Note 4 2 3 2 2 4" xfId="2629" xr:uid="{00000000-0005-0000-0000-000091810000}"/>
    <cellStyle name="Note 4 2 3 2 2 4 2" xfId="32512" xr:uid="{00000000-0005-0000-0000-000092810000}"/>
    <cellStyle name="Note 4 2 3 2 2 5" xfId="33156" xr:uid="{00000000-0005-0000-0000-000093810000}"/>
    <cellStyle name="Note 4 2 3 2 3" xfId="32290" xr:uid="{00000000-0005-0000-0000-000094810000}"/>
    <cellStyle name="Note 4 2 3 2 3 2" xfId="26793" xr:uid="{00000000-0005-0000-0000-000095810000}"/>
    <cellStyle name="Note 4 2 3 2 3 2 2" xfId="20503" xr:uid="{00000000-0005-0000-0000-000096810000}"/>
    <cellStyle name="Note 4 2 3 2 3 2 2 2" xfId="25830" xr:uid="{00000000-0005-0000-0000-000097810000}"/>
    <cellStyle name="Note 4 2 3 2 3 2 3" xfId="19405" xr:uid="{00000000-0005-0000-0000-000098810000}"/>
    <cellStyle name="Note 4 2 3 2 3 3" xfId="19071" xr:uid="{00000000-0005-0000-0000-000099810000}"/>
    <cellStyle name="Note 4 2 3 2 3 3 2" xfId="28858" xr:uid="{00000000-0005-0000-0000-00009A810000}"/>
    <cellStyle name="Note 4 2 3 2 3 4" xfId="18500" xr:uid="{00000000-0005-0000-0000-00009B810000}"/>
    <cellStyle name="Note 4 2 3 2 4" xfId="31051" xr:uid="{00000000-0005-0000-0000-00009C810000}"/>
    <cellStyle name="Note 4 2 3 2 4 2" xfId="26623" xr:uid="{00000000-0005-0000-0000-00009D810000}"/>
    <cellStyle name="Note 4 2 3 2 4 2 2" xfId="4116" xr:uid="{00000000-0005-0000-0000-00009E810000}"/>
    <cellStyle name="Note 4 2 3 2 4 3" xfId="31401" xr:uid="{00000000-0005-0000-0000-00009F810000}"/>
    <cellStyle name="Note 4 2 3 2 5" xfId="32328" xr:uid="{00000000-0005-0000-0000-0000A0810000}"/>
    <cellStyle name="Note 4 2 3 2 5 2" xfId="31617" xr:uid="{00000000-0005-0000-0000-0000A1810000}"/>
    <cellStyle name="Note 4 2 3 2 6" xfId="19509" xr:uid="{00000000-0005-0000-0000-0000A2810000}"/>
    <cellStyle name="Note 4 2 3 3" xfId="26685" xr:uid="{00000000-0005-0000-0000-0000A3810000}"/>
    <cellStyle name="Note 4 2 3 3 2" xfId="9926" xr:uid="{00000000-0005-0000-0000-0000A4810000}"/>
    <cellStyle name="Note 4 2 3 3 2 2" xfId="26903" xr:uid="{00000000-0005-0000-0000-0000A5810000}"/>
    <cellStyle name="Note 4 2 3 3 2 2 2" xfId="27692" xr:uid="{00000000-0005-0000-0000-0000A6810000}"/>
    <cellStyle name="Note 4 2 3 3 2 2 2 2" xfId="33521" xr:uid="{00000000-0005-0000-0000-0000A7810000}"/>
    <cellStyle name="Note 4 2 3 3 2 2 3" xfId="30574" xr:uid="{00000000-0005-0000-0000-0000A8810000}"/>
    <cellStyle name="Note 4 2 3 3 2 3" xfId="5306" xr:uid="{00000000-0005-0000-0000-0000A9810000}"/>
    <cellStyle name="Note 4 2 3 3 2 3 2" xfId="33495" xr:uid="{00000000-0005-0000-0000-0000AA810000}"/>
    <cellStyle name="Note 4 2 3 3 2 4" xfId="31558" xr:uid="{00000000-0005-0000-0000-0000AB810000}"/>
    <cellStyle name="Note 4 2 3 3 3" xfId="11323" xr:uid="{00000000-0005-0000-0000-0000AC810000}"/>
    <cellStyle name="Note 4 2 3 3 3 2" xfId="27267" xr:uid="{00000000-0005-0000-0000-0000AD810000}"/>
    <cellStyle name="Note 4 2 3 3 3 2 2" xfId="31849" xr:uid="{00000000-0005-0000-0000-0000AE810000}"/>
    <cellStyle name="Note 4 2 3 3 3 3" xfId="32702" xr:uid="{00000000-0005-0000-0000-0000AF810000}"/>
    <cellStyle name="Note 4 2 3 3 4" xfId="10396" xr:uid="{00000000-0005-0000-0000-0000B0810000}"/>
    <cellStyle name="Note 4 2 3 3 4 2" xfId="31622" xr:uid="{00000000-0005-0000-0000-0000B1810000}"/>
    <cellStyle name="Note 4 2 3 3 5" xfId="8337" xr:uid="{00000000-0005-0000-0000-0000B2810000}"/>
    <cellStyle name="Note 4 2 3 4" xfId="33272" xr:uid="{00000000-0005-0000-0000-0000B3810000}"/>
    <cellStyle name="Note 4 2 3 4 2" xfId="11328" xr:uid="{00000000-0005-0000-0000-0000B4810000}"/>
    <cellStyle name="Note 4 2 3 4 2 2" xfId="24703" xr:uid="{00000000-0005-0000-0000-0000B5810000}"/>
    <cellStyle name="Note 4 2 3 4 2 2 2" xfId="21873" xr:uid="{00000000-0005-0000-0000-0000B6810000}"/>
    <cellStyle name="Note 4 2 3 4 2 3" xfId="21876" xr:uid="{00000000-0005-0000-0000-0000B7810000}"/>
    <cellStyle name="Note 4 2 3 4 3" xfId="11331" xr:uid="{00000000-0005-0000-0000-0000B8810000}"/>
    <cellStyle name="Note 4 2 3 4 3 2" xfId="8512" xr:uid="{00000000-0005-0000-0000-0000B9810000}"/>
    <cellStyle name="Note 4 2 3 4 4" xfId="28601" xr:uid="{00000000-0005-0000-0000-0000BA810000}"/>
    <cellStyle name="Note 4 2 3 5" xfId="33130" xr:uid="{00000000-0005-0000-0000-0000BB810000}"/>
    <cellStyle name="Note 4 2 3 5 2" xfId="5102" xr:uid="{00000000-0005-0000-0000-0000BC810000}"/>
    <cellStyle name="Note 4 2 3 5 2 2" xfId="30469" xr:uid="{00000000-0005-0000-0000-0000BD810000}"/>
    <cellStyle name="Note 4 2 3 5 3" xfId="26586" xr:uid="{00000000-0005-0000-0000-0000BE810000}"/>
    <cellStyle name="Note 4 2 3 6" xfId="22472" xr:uid="{00000000-0005-0000-0000-0000BF810000}"/>
    <cellStyle name="Note 4 2 3 6 2" xfId="14222" xr:uid="{00000000-0005-0000-0000-0000C0810000}"/>
    <cellStyle name="Note 4 2 3 7" xfId="5611" xr:uid="{00000000-0005-0000-0000-0000C1810000}"/>
    <cellStyle name="Note 4 2 4" xfId="30544" xr:uid="{00000000-0005-0000-0000-0000C2810000}"/>
    <cellStyle name="Note 4 2 4 2" xfId="30546" xr:uid="{00000000-0005-0000-0000-0000C3810000}"/>
    <cellStyle name="Note 4 2 4 2 2" xfId="30340" xr:uid="{00000000-0005-0000-0000-0000C4810000}"/>
    <cellStyle name="Note 4 2 4 2 2 2" xfId="31672" xr:uid="{00000000-0005-0000-0000-0000C5810000}"/>
    <cellStyle name="Note 4 2 4 2 2 2 2" xfId="21155" xr:uid="{00000000-0005-0000-0000-0000C6810000}"/>
    <cellStyle name="Note 4 2 4 2 2 2 2 2" xfId="24038" xr:uid="{00000000-0005-0000-0000-0000C7810000}"/>
    <cellStyle name="Note 4 2 4 2 2 2 3" xfId="19462" xr:uid="{00000000-0005-0000-0000-0000C8810000}"/>
    <cellStyle name="Note 4 2 4 2 2 3" xfId="2928" xr:uid="{00000000-0005-0000-0000-0000C9810000}"/>
    <cellStyle name="Note 4 2 4 2 2 3 2" xfId="22604" xr:uid="{00000000-0005-0000-0000-0000CA810000}"/>
    <cellStyle name="Note 4 2 4 2 2 4" xfId="22655" xr:uid="{00000000-0005-0000-0000-0000CB810000}"/>
    <cellStyle name="Note 4 2 4 2 3" xfId="24977" xr:uid="{00000000-0005-0000-0000-0000CC810000}"/>
    <cellStyle name="Note 4 2 4 2 3 2" xfId="20168" xr:uid="{00000000-0005-0000-0000-0000CD810000}"/>
    <cellStyle name="Note 4 2 4 2 3 2 2" xfId="22807" xr:uid="{00000000-0005-0000-0000-0000CE810000}"/>
    <cellStyle name="Note 4 2 4 2 3 3" xfId="22839" xr:uid="{00000000-0005-0000-0000-0000CF810000}"/>
    <cellStyle name="Note 4 2 4 2 4" xfId="29265" xr:uid="{00000000-0005-0000-0000-0000D0810000}"/>
    <cellStyle name="Note 4 2 4 2 4 2" xfId="14591" xr:uid="{00000000-0005-0000-0000-0000D1810000}"/>
    <cellStyle name="Note 4 2 4 2 5" xfId="33233" xr:uid="{00000000-0005-0000-0000-0000D2810000}"/>
    <cellStyle name="Note 4 2 4 3" xfId="26087" xr:uid="{00000000-0005-0000-0000-0000D3810000}"/>
    <cellStyle name="Note 4 2 4 3 2" xfId="2462" xr:uid="{00000000-0005-0000-0000-0000D4810000}"/>
    <cellStyle name="Note 4 2 4 3 2 2" xfId="21121" xr:uid="{00000000-0005-0000-0000-0000D5810000}"/>
    <cellStyle name="Note 4 2 4 3 2 2 2" xfId="32217" xr:uid="{00000000-0005-0000-0000-0000D6810000}"/>
    <cellStyle name="Note 4 2 4 3 2 3" xfId="24949" xr:uid="{00000000-0005-0000-0000-0000D7810000}"/>
    <cellStyle name="Note 4 2 4 3 3" xfId="4732" xr:uid="{00000000-0005-0000-0000-0000D8810000}"/>
    <cellStyle name="Note 4 2 4 3 3 2" xfId="25142" xr:uid="{00000000-0005-0000-0000-0000D9810000}"/>
    <cellStyle name="Note 4 2 4 3 4" xfId="27673" xr:uid="{00000000-0005-0000-0000-0000DA810000}"/>
    <cellStyle name="Note 4 2 4 4" xfId="33561" xr:uid="{00000000-0005-0000-0000-0000DB810000}"/>
    <cellStyle name="Note 4 2 4 4 2" xfId="11343" xr:uid="{00000000-0005-0000-0000-0000DC810000}"/>
    <cellStyle name="Note 4 2 4 4 2 2" xfId="23954" xr:uid="{00000000-0005-0000-0000-0000DD810000}"/>
    <cellStyle name="Note 4 2 4 4 3" xfId="33569" xr:uid="{00000000-0005-0000-0000-0000DE810000}"/>
    <cellStyle name="Note 4 2 4 5" xfId="28478" xr:uid="{00000000-0005-0000-0000-0000DF810000}"/>
    <cellStyle name="Note 4 2 4 5 2" xfId="31492" xr:uid="{00000000-0005-0000-0000-0000E0810000}"/>
    <cellStyle name="Note 4 2 4 6" xfId="14239" xr:uid="{00000000-0005-0000-0000-0000E1810000}"/>
    <cellStyle name="Note 4 2 5" xfId="28042" xr:uid="{00000000-0005-0000-0000-0000E2810000}"/>
    <cellStyle name="Note 4 2 5 2" xfId="33159" xr:uid="{00000000-0005-0000-0000-0000E3810000}"/>
    <cellStyle name="Note 4 2 5 2 2" xfId="26574" xr:uid="{00000000-0005-0000-0000-0000E4810000}"/>
    <cellStyle name="Note 4 2 5 2 2 2" xfId="52" xr:uid="{00000000-0005-0000-0000-0000E5810000}"/>
    <cellStyle name="Note 4 2 5 2 2 2 2" xfId="29553" xr:uid="{00000000-0005-0000-0000-0000E6810000}"/>
    <cellStyle name="Note 4 2 5 2 2 3" xfId="1317" xr:uid="{00000000-0005-0000-0000-0000E7810000}"/>
    <cellStyle name="Note 4 2 5 2 3" xfId="14622" xr:uid="{00000000-0005-0000-0000-0000E8810000}"/>
    <cellStyle name="Note 4 2 5 2 3 2" xfId="27902" xr:uid="{00000000-0005-0000-0000-0000E9810000}"/>
    <cellStyle name="Note 4 2 5 2 4" xfId="24811" xr:uid="{00000000-0005-0000-0000-0000EA810000}"/>
    <cellStyle name="Note 4 2 5 3" xfId="28862" xr:uid="{00000000-0005-0000-0000-0000EB810000}"/>
    <cellStyle name="Note 4 2 5 3 2" xfId="11350" xr:uid="{00000000-0005-0000-0000-0000EC810000}"/>
    <cellStyle name="Note 4 2 5 3 2 2" xfId="27244" xr:uid="{00000000-0005-0000-0000-0000ED810000}"/>
    <cellStyle name="Note 4 2 5 3 3" xfId="25992" xr:uid="{00000000-0005-0000-0000-0000EE810000}"/>
    <cellStyle name="Note 4 2 5 4" xfId="32728" xr:uid="{00000000-0005-0000-0000-0000EF810000}"/>
    <cellStyle name="Note 4 2 5 4 2" xfId="26927" xr:uid="{00000000-0005-0000-0000-0000F0810000}"/>
    <cellStyle name="Note 4 2 5 5" xfId="31057" xr:uid="{00000000-0005-0000-0000-0000F1810000}"/>
    <cellStyle name="Note 4 2 6" xfId="1441" xr:uid="{00000000-0005-0000-0000-0000F2810000}"/>
    <cellStyle name="Note 4 2 6 2" xfId="30521" xr:uid="{00000000-0005-0000-0000-0000F3810000}"/>
    <cellStyle name="Note 4 2 6 2 2" xfId="32422" xr:uid="{00000000-0005-0000-0000-0000F4810000}"/>
    <cellStyle name="Note 4 2 6 2 2 2" xfId="26846" xr:uid="{00000000-0005-0000-0000-0000F5810000}"/>
    <cellStyle name="Note 4 2 6 2 3" xfId="32588" xr:uid="{00000000-0005-0000-0000-0000F6810000}"/>
    <cellStyle name="Note 4 2 6 3" xfId="33729" xr:uid="{00000000-0005-0000-0000-0000F7810000}"/>
    <cellStyle name="Note 4 2 6 3 2" xfId="30314" xr:uid="{00000000-0005-0000-0000-0000F8810000}"/>
    <cellStyle name="Note 4 2 6 4" xfId="33910" xr:uid="{00000000-0005-0000-0000-0000F9810000}"/>
    <cellStyle name="Note 4 2 7" xfId="17749" xr:uid="{00000000-0005-0000-0000-0000FA810000}"/>
    <cellStyle name="Note 4 2 7 2" xfId="31976" xr:uid="{00000000-0005-0000-0000-0000FB810000}"/>
    <cellStyle name="Note 4 2 7 2 2" xfId="33021" xr:uid="{00000000-0005-0000-0000-0000FC810000}"/>
    <cellStyle name="Note 4 2 7 3" xfId="32759" xr:uid="{00000000-0005-0000-0000-0000FD810000}"/>
    <cellStyle name="Note 4 2 8" xfId="31708" xr:uid="{00000000-0005-0000-0000-0000FE810000}"/>
    <cellStyle name="Note 4 2 8 2" xfId="25061" xr:uid="{00000000-0005-0000-0000-0000FF810000}"/>
    <cellStyle name="Note 4 2 9" xfId="19772" xr:uid="{00000000-0005-0000-0000-000000820000}"/>
    <cellStyle name="Note 4 3" xfId="32886" xr:uid="{00000000-0005-0000-0000-000001820000}"/>
    <cellStyle name="Note 4 3 2" xfId="31476" xr:uid="{00000000-0005-0000-0000-000002820000}"/>
    <cellStyle name="Note 4 3 2 2" xfId="32598" xr:uid="{00000000-0005-0000-0000-000003820000}"/>
    <cellStyle name="Note 4 3 2 2 2" xfId="29292" xr:uid="{00000000-0005-0000-0000-000004820000}"/>
    <cellStyle name="Note 4 3 2 2 2 2" xfId="27994" xr:uid="{00000000-0005-0000-0000-000005820000}"/>
    <cellStyle name="Note 4 3 2 2 2 2 2" xfId="22173" xr:uid="{00000000-0005-0000-0000-000006820000}"/>
    <cellStyle name="Note 4 3 2 2 2 2 2 2" xfId="22178" xr:uid="{00000000-0005-0000-0000-000007820000}"/>
    <cellStyle name="Note 4 3 2 2 2 2 2 2 2" xfId="25164" xr:uid="{00000000-0005-0000-0000-000008820000}"/>
    <cellStyle name="Note 4 3 2 2 2 2 2 3" xfId="24349" xr:uid="{00000000-0005-0000-0000-000009820000}"/>
    <cellStyle name="Note 4 3 2 2 2 2 3" xfId="19474" xr:uid="{00000000-0005-0000-0000-00000A820000}"/>
    <cellStyle name="Note 4 3 2 2 2 2 3 2" xfId="22185" xr:uid="{00000000-0005-0000-0000-00000B820000}"/>
    <cellStyle name="Note 4 3 2 2 2 2 4" xfId="19481" xr:uid="{00000000-0005-0000-0000-00000C820000}"/>
    <cellStyle name="Note 4 3 2 2 2 3" xfId="22188" xr:uid="{00000000-0005-0000-0000-00000D820000}"/>
    <cellStyle name="Note 4 3 2 2 2 3 2" xfId="31212" xr:uid="{00000000-0005-0000-0000-00000E820000}"/>
    <cellStyle name="Note 4 3 2 2 2 3 2 2" xfId="33556" xr:uid="{00000000-0005-0000-0000-00000F820000}"/>
    <cellStyle name="Note 4 3 2 2 2 3 3" xfId="19848" xr:uid="{00000000-0005-0000-0000-000010820000}"/>
    <cellStyle name="Note 4 3 2 2 2 4" xfId="33374" xr:uid="{00000000-0005-0000-0000-000011820000}"/>
    <cellStyle name="Note 4 3 2 2 2 4 2" xfId="23528" xr:uid="{00000000-0005-0000-0000-000012820000}"/>
    <cellStyle name="Note 4 3 2 2 2 5" xfId="26445" xr:uid="{00000000-0005-0000-0000-000013820000}"/>
    <cellStyle name="Note 4 3 2 2 3" xfId="26900" xr:uid="{00000000-0005-0000-0000-000014820000}"/>
    <cellStyle name="Note 4 3 2 2 3 2" xfId="27227" xr:uid="{00000000-0005-0000-0000-000015820000}"/>
    <cellStyle name="Note 4 3 2 2 3 2 2" xfId="22198" xr:uid="{00000000-0005-0000-0000-000016820000}"/>
    <cellStyle name="Note 4 3 2 2 3 2 2 2" xfId="2478" xr:uid="{00000000-0005-0000-0000-000017820000}"/>
    <cellStyle name="Note 4 3 2 2 3 2 3" xfId="19484" xr:uid="{00000000-0005-0000-0000-000018820000}"/>
    <cellStyle name="Note 4 3 2 2 3 3" xfId="22202" xr:uid="{00000000-0005-0000-0000-000019820000}"/>
    <cellStyle name="Note 4 3 2 2 3 3 2" xfId="22907" xr:uid="{00000000-0005-0000-0000-00001A820000}"/>
    <cellStyle name="Note 4 3 2 2 3 4" xfId="22207" xr:uid="{00000000-0005-0000-0000-00001B820000}"/>
    <cellStyle name="Note 4 3 2 2 4" xfId="33098" xr:uid="{00000000-0005-0000-0000-00001C820000}"/>
    <cellStyle name="Note 4 3 2 2 4 2" xfId="27486" xr:uid="{00000000-0005-0000-0000-00001D820000}"/>
    <cellStyle name="Note 4 3 2 2 4 2 2" xfId="22210" xr:uid="{00000000-0005-0000-0000-00001E820000}"/>
    <cellStyle name="Note 4 3 2 2 4 3" xfId="26038" xr:uid="{00000000-0005-0000-0000-00001F820000}"/>
    <cellStyle name="Note 4 3 2 2 5" xfId="29651" xr:uid="{00000000-0005-0000-0000-000020820000}"/>
    <cellStyle name="Note 4 3 2 2 5 2" xfId="33988" xr:uid="{00000000-0005-0000-0000-000021820000}"/>
    <cellStyle name="Note 4 3 2 2 6" xfId="33599" xr:uid="{00000000-0005-0000-0000-000022820000}"/>
    <cellStyle name="Note 4 3 2 3" xfId="29296" xr:uid="{00000000-0005-0000-0000-000023820000}"/>
    <cellStyle name="Note 4 3 2 3 2" xfId="9779" xr:uid="{00000000-0005-0000-0000-000024820000}"/>
    <cellStyle name="Note 4 3 2 3 2 2" xfId="22473" xr:uid="{00000000-0005-0000-0000-000025820000}"/>
    <cellStyle name="Note 4 3 2 3 2 2 2" xfId="22478" xr:uid="{00000000-0005-0000-0000-000026820000}"/>
    <cellStyle name="Note 4 3 2 3 2 2 2 2" xfId="22483" xr:uid="{00000000-0005-0000-0000-000027820000}"/>
    <cellStyle name="Note 4 3 2 3 2 2 3" xfId="23645" xr:uid="{00000000-0005-0000-0000-000028820000}"/>
    <cellStyle name="Note 4 3 2 3 2 3" xfId="23968" xr:uid="{00000000-0005-0000-0000-000029820000}"/>
    <cellStyle name="Note 4 3 2 3 2 3 2" xfId="27848" xr:uid="{00000000-0005-0000-0000-00002A820000}"/>
    <cellStyle name="Note 4 3 2 3 2 4" xfId="31890" xr:uid="{00000000-0005-0000-0000-00002B820000}"/>
    <cellStyle name="Note 4 3 2 3 3" xfId="18876" xr:uid="{00000000-0005-0000-0000-00002C820000}"/>
    <cellStyle name="Note 4 3 2 3 3 2" xfId="27669" xr:uid="{00000000-0005-0000-0000-00002D820000}"/>
    <cellStyle name="Note 4 3 2 3 3 2 2" xfId="23659" xr:uid="{00000000-0005-0000-0000-00002E820000}"/>
    <cellStyle name="Note 4 3 2 3 3 3" xfId="25417" xr:uid="{00000000-0005-0000-0000-00002F820000}"/>
    <cellStyle name="Note 4 3 2 3 4" xfId="11385" xr:uid="{00000000-0005-0000-0000-000030820000}"/>
    <cellStyle name="Note 4 3 2 3 4 2" xfId="26054" xr:uid="{00000000-0005-0000-0000-000031820000}"/>
    <cellStyle name="Note 4 3 2 3 5" xfId="6329" xr:uid="{00000000-0005-0000-0000-000032820000}"/>
    <cellStyle name="Note 4 3 2 4" xfId="28036" xr:uid="{00000000-0005-0000-0000-000033820000}"/>
    <cellStyle name="Note 4 3 2 4 2" xfId="3797" xr:uid="{00000000-0005-0000-0000-000034820000}"/>
    <cellStyle name="Note 4 3 2 4 2 2" xfId="8383" xr:uid="{00000000-0005-0000-0000-000035820000}"/>
    <cellStyle name="Note 4 3 2 4 2 2 2" xfId="22590" xr:uid="{00000000-0005-0000-0000-000036820000}"/>
    <cellStyle name="Note 4 3 2 4 2 3" xfId="22596" xr:uid="{00000000-0005-0000-0000-000037820000}"/>
    <cellStyle name="Note 4 3 2 4 3" xfId="18402" xr:uid="{00000000-0005-0000-0000-000038820000}"/>
    <cellStyle name="Note 4 3 2 4 3 2" xfId="18407" xr:uid="{00000000-0005-0000-0000-000039820000}"/>
    <cellStyle name="Note 4 3 2 4 4" xfId="28886" xr:uid="{00000000-0005-0000-0000-00003A820000}"/>
    <cellStyle name="Note 4 3 2 5" xfId="4082" xr:uid="{00000000-0005-0000-0000-00003B820000}"/>
    <cellStyle name="Note 4 3 2 5 2" xfId="10071" xr:uid="{00000000-0005-0000-0000-00003C820000}"/>
    <cellStyle name="Note 4 3 2 5 2 2" xfId="22648" xr:uid="{00000000-0005-0000-0000-00003D820000}"/>
    <cellStyle name="Note 4 3 2 5 3" xfId="26753" xr:uid="{00000000-0005-0000-0000-00003E820000}"/>
    <cellStyle name="Note 4 3 2 6" xfId="22485" xr:uid="{00000000-0005-0000-0000-00003F820000}"/>
    <cellStyle name="Note 4 3 2 6 2" xfId="30848" xr:uid="{00000000-0005-0000-0000-000040820000}"/>
    <cellStyle name="Note 4 3 2 7" xfId="29307" xr:uid="{00000000-0005-0000-0000-000041820000}"/>
    <cellStyle name="Note 4 3 3" xfId="32236" xr:uid="{00000000-0005-0000-0000-000042820000}"/>
    <cellStyle name="Note 4 3 3 2" xfId="30777" xr:uid="{00000000-0005-0000-0000-000043820000}"/>
    <cellStyle name="Note 4 3 3 2 2" xfId="23925" xr:uid="{00000000-0005-0000-0000-000044820000}"/>
    <cellStyle name="Note 4 3 3 2 2 2" xfId="20644" xr:uid="{00000000-0005-0000-0000-000045820000}"/>
    <cellStyle name="Note 4 3 3 2 2 2 2" xfId="20650" xr:uid="{00000000-0005-0000-0000-000046820000}"/>
    <cellStyle name="Note 4 3 3 2 2 2 2 2" xfId="23598" xr:uid="{00000000-0005-0000-0000-000047820000}"/>
    <cellStyle name="Note 4 3 3 2 2 2 3" xfId="27409" xr:uid="{00000000-0005-0000-0000-000048820000}"/>
    <cellStyle name="Note 4 3 3 2 2 3" xfId="5641" xr:uid="{00000000-0005-0000-0000-000049820000}"/>
    <cellStyle name="Note 4 3 3 2 2 3 2" xfId="4591" xr:uid="{00000000-0005-0000-0000-00004A820000}"/>
    <cellStyle name="Note 4 3 3 2 2 4" xfId="20678" xr:uid="{00000000-0005-0000-0000-00004B820000}"/>
    <cellStyle name="Note 4 3 3 2 3" xfId="20452" xr:uid="{00000000-0005-0000-0000-00004C820000}"/>
    <cellStyle name="Note 4 3 3 2 3 2" xfId="20684" xr:uid="{00000000-0005-0000-0000-00004D820000}"/>
    <cellStyle name="Note 4 3 3 2 3 2 2" xfId="20693" xr:uid="{00000000-0005-0000-0000-00004E820000}"/>
    <cellStyle name="Note 4 3 3 2 3 3" xfId="20704" xr:uid="{00000000-0005-0000-0000-00004F820000}"/>
    <cellStyle name="Note 4 3 3 2 4" xfId="29715" xr:uid="{00000000-0005-0000-0000-000050820000}"/>
    <cellStyle name="Note 4 3 3 2 4 2" xfId="20712" xr:uid="{00000000-0005-0000-0000-000051820000}"/>
    <cellStyle name="Note 4 3 3 2 5" xfId="26666" xr:uid="{00000000-0005-0000-0000-000052820000}"/>
    <cellStyle name="Note 4 3 3 3" xfId="28879" xr:uid="{00000000-0005-0000-0000-000053820000}"/>
    <cellStyle name="Note 4 3 3 3 2" xfId="15467" xr:uid="{00000000-0005-0000-0000-000054820000}"/>
    <cellStyle name="Note 4 3 3 3 2 2" xfId="20855" xr:uid="{00000000-0005-0000-0000-000055820000}"/>
    <cellStyle name="Note 4 3 3 3 2 2 2" xfId="20864" xr:uid="{00000000-0005-0000-0000-000056820000}"/>
    <cellStyle name="Note 4 3 3 3 2 3" xfId="20875" xr:uid="{00000000-0005-0000-0000-000057820000}"/>
    <cellStyle name="Note 4 3 3 3 3" xfId="19537" xr:uid="{00000000-0005-0000-0000-000058820000}"/>
    <cellStyle name="Note 4 3 3 3 3 2" xfId="20882" xr:uid="{00000000-0005-0000-0000-000059820000}"/>
    <cellStyle name="Note 4 3 3 3 4" xfId="28901" xr:uid="{00000000-0005-0000-0000-00005A820000}"/>
    <cellStyle name="Note 4 3 3 4" xfId="33301" xr:uid="{00000000-0005-0000-0000-00005B820000}"/>
    <cellStyle name="Note 4 3 3 4 2" xfId="18791" xr:uid="{00000000-0005-0000-0000-00005C820000}"/>
    <cellStyle name="Note 4 3 3 4 2 2" xfId="21029" xr:uid="{00000000-0005-0000-0000-00005D820000}"/>
    <cellStyle name="Note 4 3 3 4 3" xfId="33888" xr:uid="{00000000-0005-0000-0000-00005E820000}"/>
    <cellStyle name="Note 4 3 3 5" xfId="23560" xr:uid="{00000000-0005-0000-0000-00005F820000}"/>
    <cellStyle name="Note 4 3 3 5 2" xfId="33925" xr:uid="{00000000-0005-0000-0000-000060820000}"/>
    <cellStyle name="Note 4 3 3 6" xfId="33529" xr:uid="{00000000-0005-0000-0000-000061820000}"/>
    <cellStyle name="Note 4 3 4" xfId="33346" xr:uid="{00000000-0005-0000-0000-000062820000}"/>
    <cellStyle name="Note 4 3 4 2" xfId="31697" xr:uid="{00000000-0005-0000-0000-000063820000}"/>
    <cellStyle name="Note 4 3 4 2 2" xfId="25024" xr:uid="{00000000-0005-0000-0000-000064820000}"/>
    <cellStyle name="Note 4 3 4 2 2 2" xfId="21277" xr:uid="{00000000-0005-0000-0000-000065820000}"/>
    <cellStyle name="Note 4 3 4 2 2 2 2" xfId="28312" xr:uid="{00000000-0005-0000-0000-000066820000}"/>
    <cellStyle name="Note 4 3 4 2 2 3" xfId="21302" xr:uid="{00000000-0005-0000-0000-000067820000}"/>
    <cellStyle name="Note 4 3 4 2 3" xfId="28018" xr:uid="{00000000-0005-0000-0000-000068820000}"/>
    <cellStyle name="Note 4 3 4 2 3 2" xfId="28023" xr:uid="{00000000-0005-0000-0000-000069820000}"/>
    <cellStyle name="Note 4 3 4 2 4" xfId="29283" xr:uid="{00000000-0005-0000-0000-00006A820000}"/>
    <cellStyle name="Note 4 3 4 3" xfId="28496" xr:uid="{00000000-0005-0000-0000-00006B820000}"/>
    <cellStyle name="Note 4 3 4 3 2" xfId="22194" xr:uid="{00000000-0005-0000-0000-00006C820000}"/>
    <cellStyle name="Note 4 3 4 3 2 2" xfId="21427" xr:uid="{00000000-0005-0000-0000-00006D820000}"/>
    <cellStyle name="Note 4 3 4 3 3" xfId="28502" xr:uid="{00000000-0005-0000-0000-00006E820000}"/>
    <cellStyle name="Note 4 3 4 4" xfId="29326" xr:uid="{00000000-0005-0000-0000-00006F820000}"/>
    <cellStyle name="Note 4 3 4 4 2" xfId="31489" xr:uid="{00000000-0005-0000-0000-000070820000}"/>
    <cellStyle name="Note 4 3 4 5" xfId="30976" xr:uid="{00000000-0005-0000-0000-000071820000}"/>
    <cellStyle name="Note 4 3 5" xfId="28458" xr:uid="{00000000-0005-0000-0000-000072820000}"/>
    <cellStyle name="Note 4 3 5 2" xfId="26538" xr:uid="{00000000-0005-0000-0000-000073820000}"/>
    <cellStyle name="Note 4 3 5 2 2" xfId="30010" xr:uid="{00000000-0005-0000-0000-000074820000}"/>
    <cellStyle name="Note 4 3 5 2 2 2" xfId="24206" xr:uid="{00000000-0005-0000-0000-000075820000}"/>
    <cellStyle name="Note 4 3 5 2 3" xfId="27375" xr:uid="{00000000-0005-0000-0000-000076820000}"/>
    <cellStyle name="Note 4 3 5 3" xfId="28513" xr:uid="{00000000-0005-0000-0000-000077820000}"/>
    <cellStyle name="Note 4 3 5 3 2" xfId="28517" xr:uid="{00000000-0005-0000-0000-000078820000}"/>
    <cellStyle name="Note 4 3 5 4" xfId="29342" xr:uid="{00000000-0005-0000-0000-000079820000}"/>
    <cellStyle name="Note 4 3 6" xfId="31539" xr:uid="{00000000-0005-0000-0000-00007A820000}"/>
    <cellStyle name="Note 4 3 6 2" xfId="29528" xr:uid="{00000000-0005-0000-0000-00007B820000}"/>
    <cellStyle name="Note 4 3 6 2 2" xfId="32357" xr:uid="{00000000-0005-0000-0000-00007C820000}"/>
    <cellStyle name="Note 4 3 6 3" xfId="28535" xr:uid="{00000000-0005-0000-0000-00007D820000}"/>
    <cellStyle name="Note 4 3 7" xfId="34009" xr:uid="{00000000-0005-0000-0000-00007E820000}"/>
    <cellStyle name="Note 4 3 7 2" xfId="31260" xr:uid="{00000000-0005-0000-0000-00007F820000}"/>
    <cellStyle name="Note 4 3 8" xfId="33043" xr:uid="{00000000-0005-0000-0000-000080820000}"/>
    <cellStyle name="Note 4 4" xfId="6446" xr:uid="{00000000-0005-0000-0000-000081820000}"/>
    <cellStyle name="Note 4 4 2" xfId="4580" xr:uid="{00000000-0005-0000-0000-000082820000}"/>
    <cellStyle name="Note 4 4 2 2" xfId="4585" xr:uid="{00000000-0005-0000-0000-000083820000}"/>
    <cellStyle name="Note 4 4 2 2 2" xfId="33395" xr:uid="{00000000-0005-0000-0000-000084820000}"/>
    <cellStyle name="Note 4 4 2 2 2 2" xfId="15052" xr:uid="{00000000-0005-0000-0000-000085820000}"/>
    <cellStyle name="Note 4 4 2 2 2 2 2" xfId="13379" xr:uid="{00000000-0005-0000-0000-000086820000}"/>
    <cellStyle name="Note 4 4 2 2 2 2 2 2" xfId="17710" xr:uid="{00000000-0005-0000-0000-000087820000}"/>
    <cellStyle name="Note 4 4 2 2 2 2 3" xfId="17715" xr:uid="{00000000-0005-0000-0000-000088820000}"/>
    <cellStyle name="Note 4 4 2 2 2 3" xfId="14258" xr:uid="{00000000-0005-0000-0000-000089820000}"/>
    <cellStyle name="Note 4 4 2 2 2 3 2" xfId="13386" xr:uid="{00000000-0005-0000-0000-00008A820000}"/>
    <cellStyle name="Note 4 4 2 2 2 4" xfId="18188" xr:uid="{00000000-0005-0000-0000-00008B820000}"/>
    <cellStyle name="Note 4 4 2 2 3" xfId="34004" xr:uid="{00000000-0005-0000-0000-00008C820000}"/>
    <cellStyle name="Note 4 4 2 2 3 2" xfId="15063" xr:uid="{00000000-0005-0000-0000-00008D820000}"/>
    <cellStyle name="Note 4 4 2 2 3 2 2" xfId="17808" xr:uid="{00000000-0005-0000-0000-00008E820000}"/>
    <cellStyle name="Note 4 4 2 2 3 3" xfId="13812" xr:uid="{00000000-0005-0000-0000-00008F820000}"/>
    <cellStyle name="Note 4 4 2 2 4" xfId="29567" xr:uid="{00000000-0005-0000-0000-000090820000}"/>
    <cellStyle name="Note 4 4 2 2 4 2" xfId="24834" xr:uid="{00000000-0005-0000-0000-000091820000}"/>
    <cellStyle name="Note 4 4 2 2 5" xfId="32883" xr:uid="{00000000-0005-0000-0000-000092820000}"/>
    <cellStyle name="Note 4 4 2 3" xfId="27093" xr:uid="{00000000-0005-0000-0000-000093820000}"/>
    <cellStyle name="Note 4 4 2 3 2" xfId="11428" xr:uid="{00000000-0005-0000-0000-000094820000}"/>
    <cellStyle name="Note 4 4 2 3 2 2" xfId="3877" xr:uid="{00000000-0005-0000-0000-000095820000}"/>
    <cellStyle name="Note 4 4 2 3 2 2 2" xfId="18157" xr:uid="{00000000-0005-0000-0000-000096820000}"/>
    <cellStyle name="Note 4 4 2 3 2 3" xfId="13820" xr:uid="{00000000-0005-0000-0000-000097820000}"/>
    <cellStyle name="Note 4 4 2 3 3" xfId="14609" xr:uid="{00000000-0005-0000-0000-000098820000}"/>
    <cellStyle name="Note 4 4 2 3 3 2" xfId="15100" xr:uid="{00000000-0005-0000-0000-000099820000}"/>
    <cellStyle name="Note 4 4 2 3 4" xfId="33646" xr:uid="{00000000-0005-0000-0000-00009A820000}"/>
    <cellStyle name="Note 4 4 2 4" xfId="32835" xr:uid="{00000000-0005-0000-0000-00009B820000}"/>
    <cellStyle name="Note 4 4 2 4 2" xfId="11430" xr:uid="{00000000-0005-0000-0000-00009C820000}"/>
    <cellStyle name="Note 4 4 2 4 2 2" xfId="6061" xr:uid="{00000000-0005-0000-0000-00009D820000}"/>
    <cellStyle name="Note 4 4 2 4 3" xfId="27128" xr:uid="{00000000-0005-0000-0000-00009E820000}"/>
    <cellStyle name="Note 4 4 2 5" xfId="32565" xr:uid="{00000000-0005-0000-0000-00009F820000}"/>
    <cellStyle name="Note 4 4 2 5 2" xfId="29240" xr:uid="{00000000-0005-0000-0000-0000A0820000}"/>
    <cellStyle name="Note 4 4 2 6" xfId="33263" xr:uid="{00000000-0005-0000-0000-0000A1820000}"/>
    <cellStyle name="Note 4 4 3" xfId="4861" xr:uid="{00000000-0005-0000-0000-0000A2820000}"/>
    <cellStyle name="Note 4 4 3 2" xfId="33399" xr:uid="{00000000-0005-0000-0000-0000A3820000}"/>
    <cellStyle name="Note 4 4 3 2 2" xfId="33673" xr:uid="{00000000-0005-0000-0000-0000A4820000}"/>
    <cellStyle name="Note 4 4 3 2 2 2" xfId="15139" xr:uid="{00000000-0005-0000-0000-0000A5820000}"/>
    <cellStyle name="Note 4 4 3 2 2 2 2" xfId="14779" xr:uid="{00000000-0005-0000-0000-0000A6820000}"/>
    <cellStyle name="Note 4 4 3 2 2 3" xfId="4379" xr:uid="{00000000-0005-0000-0000-0000A7820000}"/>
    <cellStyle name="Note 4 4 3 2 3" xfId="26757" xr:uid="{00000000-0005-0000-0000-0000A8820000}"/>
    <cellStyle name="Note 4 4 3 2 3 2" xfId="15151" xr:uid="{00000000-0005-0000-0000-0000A9820000}"/>
    <cellStyle name="Note 4 4 3 2 4" xfId="32319" xr:uid="{00000000-0005-0000-0000-0000AA820000}"/>
    <cellStyle name="Note 4 4 3 3" xfId="33575" xr:uid="{00000000-0005-0000-0000-0000AB820000}"/>
    <cellStyle name="Note 4 4 3 3 2" xfId="18836" xr:uid="{00000000-0005-0000-0000-0000AC820000}"/>
    <cellStyle name="Note 4 4 3 3 2 2" xfId="22153" xr:uid="{00000000-0005-0000-0000-0000AD820000}"/>
    <cellStyle name="Note 4 4 3 3 3" xfId="32798" xr:uid="{00000000-0005-0000-0000-0000AE820000}"/>
    <cellStyle name="Note 4 4 3 4" xfId="33663" xr:uid="{00000000-0005-0000-0000-0000AF820000}"/>
    <cellStyle name="Note 4 4 3 4 2" xfId="33373" xr:uid="{00000000-0005-0000-0000-0000B0820000}"/>
    <cellStyle name="Note 4 4 3 5" xfId="33822" xr:uid="{00000000-0005-0000-0000-0000B1820000}"/>
    <cellStyle name="Note 4 4 4" xfId="33680" xr:uid="{00000000-0005-0000-0000-0000B2820000}"/>
    <cellStyle name="Note 4 4 4 2" xfId="33691" xr:uid="{00000000-0005-0000-0000-0000B3820000}"/>
    <cellStyle name="Note 4 4 4 2 2" xfId="32956" xr:uid="{00000000-0005-0000-0000-0000B4820000}"/>
    <cellStyle name="Note 4 4 4 2 2 2" xfId="15193" xr:uid="{00000000-0005-0000-0000-0000B5820000}"/>
    <cellStyle name="Note 4 4 4 2 3" xfId="27441" xr:uid="{00000000-0005-0000-0000-0000B6820000}"/>
    <cellStyle name="Note 4 4 4 3" xfId="32622" xr:uid="{00000000-0005-0000-0000-0000B7820000}"/>
    <cellStyle name="Note 4 4 4 3 2" xfId="27188" xr:uid="{00000000-0005-0000-0000-0000B8820000}"/>
    <cellStyle name="Note 4 4 4 4" xfId="30557" xr:uid="{00000000-0005-0000-0000-0000B9820000}"/>
    <cellStyle name="Note 4 4 5" xfId="33498" xr:uid="{00000000-0005-0000-0000-0000BA820000}"/>
    <cellStyle name="Note 4 4 5 2" xfId="33698" xr:uid="{00000000-0005-0000-0000-0000BB820000}"/>
    <cellStyle name="Note 4 4 5 2 2" xfId="18845" xr:uid="{00000000-0005-0000-0000-0000BC820000}"/>
    <cellStyle name="Note 4 4 5 3" xfId="28552" xr:uid="{00000000-0005-0000-0000-0000BD820000}"/>
    <cellStyle name="Note 4 4 6" xfId="30828" xr:uid="{00000000-0005-0000-0000-0000BE820000}"/>
    <cellStyle name="Note 4 4 6 2" xfId="32977" xr:uid="{00000000-0005-0000-0000-0000BF820000}"/>
    <cellStyle name="Note 4 4 7" xfId="33044" xr:uid="{00000000-0005-0000-0000-0000C0820000}"/>
    <cellStyle name="Note 4 5" xfId="10792" xr:uid="{00000000-0005-0000-0000-0000C1820000}"/>
    <cellStyle name="Note 4 5 2" xfId="4887" xr:uid="{00000000-0005-0000-0000-0000C2820000}"/>
    <cellStyle name="Note 4 5 2 2" xfId="30171" xr:uid="{00000000-0005-0000-0000-0000C3820000}"/>
    <cellStyle name="Note 4 5 2 2 2" xfId="25729" xr:uid="{00000000-0005-0000-0000-0000C4820000}"/>
    <cellStyle name="Note 4 5 2 2 2 2" xfId="32884" xr:uid="{00000000-0005-0000-0000-0000C5820000}"/>
    <cellStyle name="Note 4 5 2 2 2 2 2" xfId="32551" xr:uid="{00000000-0005-0000-0000-0000C6820000}"/>
    <cellStyle name="Note 4 5 2 2 2 3" xfId="32684" xr:uid="{00000000-0005-0000-0000-0000C7820000}"/>
    <cellStyle name="Note 4 5 2 2 3" xfId="16381" xr:uid="{00000000-0005-0000-0000-0000C8820000}"/>
    <cellStyle name="Note 4 5 2 2 3 2" xfId="33712" xr:uid="{00000000-0005-0000-0000-0000C9820000}"/>
    <cellStyle name="Note 4 5 2 2 4" xfId="25744" xr:uid="{00000000-0005-0000-0000-0000CA820000}"/>
    <cellStyle name="Note 4 5 2 3" xfId="28530" xr:uid="{00000000-0005-0000-0000-0000CB820000}"/>
    <cellStyle name="Note 4 5 2 3 2" xfId="11444" xr:uid="{00000000-0005-0000-0000-0000CC820000}"/>
    <cellStyle name="Note 4 5 2 3 2 2" xfId="31185" xr:uid="{00000000-0005-0000-0000-0000CD820000}"/>
    <cellStyle name="Note 4 5 2 3 3" xfId="25764" xr:uid="{00000000-0005-0000-0000-0000CE820000}"/>
    <cellStyle name="Note 4 5 2 4" xfId="21162" xr:uid="{00000000-0005-0000-0000-0000CF820000}"/>
    <cellStyle name="Note 4 5 2 4 2" xfId="25781" xr:uid="{00000000-0005-0000-0000-0000D0820000}"/>
    <cellStyle name="Note 4 5 2 5" xfId="33279" xr:uid="{00000000-0005-0000-0000-0000D1820000}"/>
    <cellStyle name="Note 4 5 3" xfId="33726" xr:uid="{00000000-0005-0000-0000-0000D2820000}"/>
    <cellStyle name="Note 4 5 3 2" xfId="28538" xr:uid="{00000000-0005-0000-0000-0000D3820000}"/>
    <cellStyle name="Note 4 5 3 2 2" xfId="25824" xr:uid="{00000000-0005-0000-0000-0000D4820000}"/>
    <cellStyle name="Note 4 5 3 2 2 2" xfId="25887" xr:uid="{00000000-0005-0000-0000-0000D5820000}"/>
    <cellStyle name="Note 4 5 3 2 3" xfId="25828" xr:uid="{00000000-0005-0000-0000-0000D6820000}"/>
    <cellStyle name="Note 4 5 3 3" xfId="21177" xr:uid="{00000000-0005-0000-0000-0000D7820000}"/>
    <cellStyle name="Note 4 5 3 3 2" xfId="25846" xr:uid="{00000000-0005-0000-0000-0000D8820000}"/>
    <cellStyle name="Note 4 5 3 4" xfId="28522" xr:uid="{00000000-0005-0000-0000-0000D9820000}"/>
    <cellStyle name="Note 4 5 4" xfId="26813" xr:uid="{00000000-0005-0000-0000-0000DA820000}"/>
    <cellStyle name="Note 4 5 4 2" xfId="56" xr:uid="{00000000-0005-0000-0000-0000DB820000}"/>
    <cellStyle name="Note 4 5 4 2 2" xfId="25866" xr:uid="{00000000-0005-0000-0000-0000DC820000}"/>
    <cellStyle name="Note 4 5 4 3" xfId="28562" xr:uid="{00000000-0005-0000-0000-0000DD820000}"/>
    <cellStyle name="Note 4 5 5" xfId="26712" xr:uid="{00000000-0005-0000-0000-0000DE820000}"/>
    <cellStyle name="Note 4 5 5 2" xfId="33834" xr:uid="{00000000-0005-0000-0000-0000DF820000}"/>
    <cellStyle name="Note 4 5 6" xfId="17091" xr:uid="{00000000-0005-0000-0000-0000E0820000}"/>
    <cellStyle name="Note 4 6" xfId="2846" xr:uid="{00000000-0005-0000-0000-0000E1820000}"/>
    <cellStyle name="Note 4 6 2" xfId="10977" xr:uid="{00000000-0005-0000-0000-0000E2820000}"/>
    <cellStyle name="Note 4 6 2 2" xfId="21679" xr:uid="{00000000-0005-0000-0000-0000E3820000}"/>
    <cellStyle name="Note 4 6 2 2 2" xfId="10931" xr:uid="{00000000-0005-0000-0000-0000E4820000}"/>
    <cellStyle name="Note 4 6 2 2 2 2" xfId="31993" xr:uid="{00000000-0005-0000-0000-0000E5820000}"/>
    <cellStyle name="Note 4 6 2 2 3" xfId="21990" xr:uid="{00000000-0005-0000-0000-0000E6820000}"/>
    <cellStyle name="Note 4 6 2 3" xfId="14550" xr:uid="{00000000-0005-0000-0000-0000E7820000}"/>
    <cellStyle name="Note 4 6 2 3 2" xfId="8764" xr:uid="{00000000-0005-0000-0000-0000E8820000}"/>
    <cellStyle name="Note 4 6 2 4" xfId="13450" xr:uid="{00000000-0005-0000-0000-0000E9820000}"/>
    <cellStyle name="Note 4 6 3" xfId="33284" xr:uid="{00000000-0005-0000-0000-0000EA820000}"/>
    <cellStyle name="Note 4 6 3 2" xfId="22857" xr:uid="{00000000-0005-0000-0000-0000EB820000}"/>
    <cellStyle name="Note 4 6 3 2 2" xfId="25996" xr:uid="{00000000-0005-0000-0000-0000EC820000}"/>
    <cellStyle name="Note 4 6 3 3" xfId="13457" xr:uid="{00000000-0005-0000-0000-0000ED820000}"/>
    <cellStyle name="Note 4 6 4" xfId="30600" xr:uid="{00000000-0005-0000-0000-0000EE820000}"/>
    <cellStyle name="Note 4 6 4 2" xfId="31125" xr:uid="{00000000-0005-0000-0000-0000EF820000}"/>
    <cellStyle name="Note 4 6 5" xfId="32669" xr:uid="{00000000-0005-0000-0000-0000F0820000}"/>
    <cellStyle name="Note 4 7" xfId="15399" xr:uid="{00000000-0005-0000-0000-0000F1820000}"/>
    <cellStyle name="Note 4 7 2" xfId="10011" xr:uid="{00000000-0005-0000-0000-0000F2820000}"/>
    <cellStyle name="Note 4 7 2 2" xfId="21844" xr:uid="{00000000-0005-0000-0000-0000F3820000}"/>
    <cellStyle name="Note 4 7 2 2 2" xfId="11194" xr:uid="{00000000-0005-0000-0000-0000F4820000}"/>
    <cellStyle name="Note 4 7 2 3" xfId="13471" xr:uid="{00000000-0005-0000-0000-0000F5820000}"/>
    <cellStyle name="Note 4 7 3" xfId="31941" xr:uid="{00000000-0005-0000-0000-0000F6820000}"/>
    <cellStyle name="Note 4 7 3 2" xfId="30186" xr:uid="{00000000-0005-0000-0000-0000F7820000}"/>
    <cellStyle name="Note 4 7 4" xfId="26115" xr:uid="{00000000-0005-0000-0000-0000F8820000}"/>
    <cellStyle name="Note 4 8" xfId="28048" xr:uid="{00000000-0005-0000-0000-0000F9820000}"/>
    <cellStyle name="Note 4 8 2" xfId="30197" xr:uid="{00000000-0005-0000-0000-0000FA820000}"/>
    <cellStyle name="Note 4 8 2 2" xfId="30201" xr:uid="{00000000-0005-0000-0000-0000FB820000}"/>
    <cellStyle name="Note 4 8 3" xfId="29461" xr:uid="{00000000-0005-0000-0000-0000FC820000}"/>
    <cellStyle name="Note 4 9" xfId="30420" xr:uid="{00000000-0005-0000-0000-0000FD820000}"/>
    <cellStyle name="Note 4 9 2" xfId="30718" xr:uid="{00000000-0005-0000-0000-0000FE820000}"/>
    <cellStyle name="Note 5" xfId="33838" xr:uid="{00000000-0005-0000-0000-0000FF820000}"/>
    <cellStyle name="Note 5 2" xfId="33757" xr:uid="{00000000-0005-0000-0000-000000830000}"/>
    <cellStyle name="Note 5 2 2" xfId="34008" xr:uid="{00000000-0005-0000-0000-000001830000}"/>
    <cellStyle name="Note 5 2 2 2" xfId="31267" xr:uid="{00000000-0005-0000-0000-000002830000}"/>
    <cellStyle name="Note 5 2 2 2 2" xfId="33218" xr:uid="{00000000-0005-0000-0000-000003830000}"/>
    <cellStyle name="Note 5 2 2 2 2 2" xfId="33194" xr:uid="{00000000-0005-0000-0000-000004830000}"/>
    <cellStyle name="Note 5 2 2 2 2 2 2" xfId="33900" xr:uid="{00000000-0005-0000-0000-000005830000}"/>
    <cellStyle name="Note 5 2 2 2 2 2 2 2" xfId="21821" xr:uid="{00000000-0005-0000-0000-000006830000}"/>
    <cellStyle name="Note 5 2 2 2 2 2 2 2 2" xfId="28614" xr:uid="{00000000-0005-0000-0000-000007830000}"/>
    <cellStyle name="Note 5 2 2 2 2 2 2 3" xfId="28981" xr:uid="{00000000-0005-0000-0000-000008830000}"/>
    <cellStyle name="Note 5 2 2 2 2 2 3" xfId="10262" xr:uid="{00000000-0005-0000-0000-000009830000}"/>
    <cellStyle name="Note 5 2 2 2 2 2 3 2" xfId="14040" xr:uid="{00000000-0005-0000-0000-00000A830000}"/>
    <cellStyle name="Note 5 2 2 2 2 2 4" xfId="12142" xr:uid="{00000000-0005-0000-0000-00000B830000}"/>
    <cellStyle name="Note 5 2 2 2 2 3" xfId="15226" xr:uid="{00000000-0005-0000-0000-00000C830000}"/>
    <cellStyle name="Note 5 2 2 2 2 3 2" xfId="21858" xr:uid="{00000000-0005-0000-0000-00000D830000}"/>
    <cellStyle name="Note 5 2 2 2 2 3 2 2" xfId="30115" xr:uid="{00000000-0005-0000-0000-00000E830000}"/>
    <cellStyle name="Note 5 2 2 2 2 3 3" xfId="271" xr:uid="{00000000-0005-0000-0000-00000F830000}"/>
    <cellStyle name="Note 5 2 2 2 2 4" xfId="24752" xr:uid="{00000000-0005-0000-0000-000010830000}"/>
    <cellStyle name="Note 5 2 2 2 2 4 2" xfId="33991" xr:uid="{00000000-0005-0000-0000-000011830000}"/>
    <cellStyle name="Note 5 2 2 2 2 5" xfId="20426" xr:uid="{00000000-0005-0000-0000-000012830000}"/>
    <cellStyle name="Note 5 2 2 2 3" xfId="33773" xr:uid="{00000000-0005-0000-0000-000013830000}"/>
    <cellStyle name="Note 5 2 2 2 3 2" xfId="33781" xr:uid="{00000000-0005-0000-0000-000014830000}"/>
    <cellStyle name="Note 5 2 2 2 3 2 2" xfId="22651" xr:uid="{00000000-0005-0000-0000-000015830000}"/>
    <cellStyle name="Note 5 2 2 2 3 2 2 2" xfId="244" xr:uid="{00000000-0005-0000-0000-000016830000}"/>
    <cellStyle name="Note 5 2 2 2 3 2 3" xfId="126" xr:uid="{00000000-0005-0000-0000-000017830000}"/>
    <cellStyle name="Note 5 2 2 2 3 3" xfId="8605" xr:uid="{00000000-0005-0000-0000-000018830000}"/>
    <cellStyle name="Note 5 2 2 2 3 3 2" xfId="34021" xr:uid="{00000000-0005-0000-0000-000019830000}"/>
    <cellStyle name="Note 5 2 2 2 3 4" xfId="30452" xr:uid="{00000000-0005-0000-0000-00001A830000}"/>
    <cellStyle name="Note 5 2 2 2 4" xfId="33793" xr:uid="{00000000-0005-0000-0000-00001B830000}"/>
    <cellStyle name="Note 5 2 2 2 4 2" xfId="28388" xr:uid="{00000000-0005-0000-0000-00001C830000}"/>
    <cellStyle name="Note 5 2 2 2 4 2 2" xfId="33724" xr:uid="{00000000-0005-0000-0000-00001D830000}"/>
    <cellStyle name="Note 5 2 2 2 4 3" xfId="33055" xr:uid="{00000000-0005-0000-0000-00001E830000}"/>
    <cellStyle name="Note 5 2 2 2 5" xfId="33794" xr:uid="{00000000-0005-0000-0000-00001F830000}"/>
    <cellStyle name="Note 5 2 2 2 5 2" xfId="30762" xr:uid="{00000000-0005-0000-0000-000020830000}"/>
    <cellStyle name="Note 5 2 2 2 6" xfId="29210" xr:uid="{00000000-0005-0000-0000-000021830000}"/>
    <cellStyle name="Note 5 2 2 3" xfId="26451" xr:uid="{00000000-0005-0000-0000-000022830000}"/>
    <cellStyle name="Note 5 2 2 3 2" xfId="3956" xr:uid="{00000000-0005-0000-0000-000023830000}"/>
    <cellStyle name="Note 5 2 2 3 2 2" xfId="31458" xr:uid="{00000000-0005-0000-0000-000024830000}"/>
    <cellStyle name="Note 5 2 2 3 2 2 2" xfId="10304" xr:uid="{00000000-0005-0000-0000-000025830000}"/>
    <cellStyle name="Note 5 2 2 3 2 2 2 2" xfId="24472" xr:uid="{00000000-0005-0000-0000-000026830000}"/>
    <cellStyle name="Note 5 2 2 3 2 2 3" xfId="12326" xr:uid="{00000000-0005-0000-0000-000027830000}"/>
    <cellStyle name="Note 5 2 2 3 2 3" xfId="32814" xr:uid="{00000000-0005-0000-0000-000028830000}"/>
    <cellStyle name="Note 5 2 2 3 2 3 2" xfId="24564" xr:uid="{00000000-0005-0000-0000-000029830000}"/>
    <cellStyle name="Note 5 2 2 3 2 4" xfId="32764" xr:uid="{00000000-0005-0000-0000-00002A830000}"/>
    <cellStyle name="Note 5 2 2 3 3" xfId="4223" xr:uid="{00000000-0005-0000-0000-00002B830000}"/>
    <cellStyle name="Note 5 2 2 3 3 2" xfId="33798" xr:uid="{00000000-0005-0000-0000-00002C830000}"/>
    <cellStyle name="Note 5 2 2 3 3 2 2" xfId="24970" xr:uid="{00000000-0005-0000-0000-00002D830000}"/>
    <cellStyle name="Note 5 2 2 3 3 3" xfId="29974" xr:uid="{00000000-0005-0000-0000-00002E830000}"/>
    <cellStyle name="Note 5 2 2 3 4" xfId="11575" xr:uid="{00000000-0005-0000-0000-00002F830000}"/>
    <cellStyle name="Note 5 2 2 3 4 2" xfId="32089" xr:uid="{00000000-0005-0000-0000-000030830000}"/>
    <cellStyle name="Note 5 2 2 3 5" xfId="8720" xr:uid="{00000000-0005-0000-0000-000031830000}"/>
    <cellStyle name="Note 5 2 2 4" xfId="33267" xr:uid="{00000000-0005-0000-0000-000032830000}"/>
    <cellStyle name="Note 5 2 2 4 2" xfId="4687" xr:uid="{00000000-0005-0000-0000-000033830000}"/>
    <cellStyle name="Note 5 2 2 4 2 2" xfId="33983" xr:uid="{00000000-0005-0000-0000-000034830000}"/>
    <cellStyle name="Note 5 2 2 4 2 2 2" xfId="26498" xr:uid="{00000000-0005-0000-0000-000035830000}"/>
    <cellStyle name="Note 5 2 2 4 2 3" xfId="33630" xr:uid="{00000000-0005-0000-0000-000036830000}"/>
    <cellStyle name="Note 5 2 2 4 3" xfId="11577" xr:uid="{00000000-0005-0000-0000-000037830000}"/>
    <cellStyle name="Note 5 2 2 4 3 2" xfId="2788" xr:uid="{00000000-0005-0000-0000-000038830000}"/>
    <cellStyle name="Note 5 2 2 4 4" xfId="27805" xr:uid="{00000000-0005-0000-0000-000039830000}"/>
    <cellStyle name="Note 5 2 2 5" xfId="33806" xr:uid="{00000000-0005-0000-0000-00003A830000}"/>
    <cellStyle name="Note 5 2 2 5 2" xfId="15569" xr:uid="{00000000-0005-0000-0000-00003B830000}"/>
    <cellStyle name="Note 5 2 2 5 2 2" xfId="3983" xr:uid="{00000000-0005-0000-0000-00003C830000}"/>
    <cellStyle name="Note 5 2 2 5 3" xfId="20290" xr:uid="{00000000-0005-0000-0000-00003D830000}"/>
    <cellStyle name="Note 5 2 2 6" xfId="22489" xr:uid="{00000000-0005-0000-0000-00003E830000}"/>
    <cellStyle name="Note 5 2 2 6 2" xfId="33117" xr:uid="{00000000-0005-0000-0000-00003F830000}"/>
    <cellStyle name="Note 5 2 2 7" xfId="33808" xr:uid="{00000000-0005-0000-0000-000040830000}"/>
    <cellStyle name="Note 5 2 3" xfId="30725" xr:uid="{00000000-0005-0000-0000-000041830000}"/>
    <cellStyle name="Note 5 2 3 2" xfId="33661" xr:uid="{00000000-0005-0000-0000-000042830000}"/>
    <cellStyle name="Note 5 2 3 2 2" xfId="26710" xr:uid="{00000000-0005-0000-0000-000043830000}"/>
    <cellStyle name="Note 5 2 3 2 2 2" xfId="12593" xr:uid="{00000000-0005-0000-0000-000044830000}"/>
    <cellStyle name="Note 5 2 3 2 2 2 2" xfId="4612" xr:uid="{00000000-0005-0000-0000-000045830000}"/>
    <cellStyle name="Note 5 2 3 2 2 2 2 2" xfId="20990" xr:uid="{00000000-0005-0000-0000-000046830000}"/>
    <cellStyle name="Note 5 2 3 2 2 2 3" xfId="2188" xr:uid="{00000000-0005-0000-0000-000047830000}"/>
    <cellStyle name="Note 5 2 3 2 2 3" xfId="12603" xr:uid="{00000000-0005-0000-0000-000048830000}"/>
    <cellStyle name="Note 5 2 3 2 2 3 2" xfId="21027" xr:uid="{00000000-0005-0000-0000-000049830000}"/>
    <cellStyle name="Note 5 2 3 2 2 4" xfId="12608" xr:uid="{00000000-0005-0000-0000-00004A830000}"/>
    <cellStyle name="Note 5 2 3 2 3" xfId="33593" xr:uid="{00000000-0005-0000-0000-00004B830000}"/>
    <cellStyle name="Note 5 2 3 2 3 2" xfId="6316" xr:uid="{00000000-0005-0000-0000-00004C830000}"/>
    <cellStyle name="Note 5 2 3 2 3 2 2" xfId="21088" xr:uid="{00000000-0005-0000-0000-00004D830000}"/>
    <cellStyle name="Note 5 2 3 2 3 3" xfId="6320" xr:uid="{00000000-0005-0000-0000-00004E830000}"/>
    <cellStyle name="Note 5 2 3 2 4" xfId="23589" xr:uid="{00000000-0005-0000-0000-00004F830000}"/>
    <cellStyle name="Note 5 2 3 2 4 2" xfId="11662" xr:uid="{00000000-0005-0000-0000-000050830000}"/>
    <cellStyle name="Note 5 2 3 2 5" xfId="30659" xr:uid="{00000000-0005-0000-0000-000051830000}"/>
    <cellStyle name="Note 5 2 3 3" xfId="23102" xr:uid="{00000000-0005-0000-0000-000052830000}"/>
    <cellStyle name="Note 5 2 3 3 2" xfId="4257" xr:uid="{00000000-0005-0000-0000-000053830000}"/>
    <cellStyle name="Note 5 2 3 3 2 2" xfId="8391" xr:uid="{00000000-0005-0000-0000-000054830000}"/>
    <cellStyle name="Note 5 2 3 3 2 2 2" xfId="18981" xr:uid="{00000000-0005-0000-0000-000055830000}"/>
    <cellStyle name="Note 5 2 3 3 2 3" xfId="1075" xr:uid="{00000000-0005-0000-0000-000056830000}"/>
    <cellStyle name="Note 5 2 3 3 3" xfId="11582" xr:uid="{00000000-0005-0000-0000-000057830000}"/>
    <cellStyle name="Note 5 2 3 3 3 2" xfId="6393" xr:uid="{00000000-0005-0000-0000-000058830000}"/>
    <cellStyle name="Note 5 2 3 3 4" xfId="30111" xr:uid="{00000000-0005-0000-0000-000059830000}"/>
    <cellStyle name="Note 5 2 3 4" xfId="3080" xr:uid="{00000000-0005-0000-0000-00005A830000}"/>
    <cellStyle name="Note 5 2 3 4 2" xfId="14269" xr:uid="{00000000-0005-0000-0000-00005B830000}"/>
    <cellStyle name="Note 5 2 3 4 2 2" xfId="7790" xr:uid="{00000000-0005-0000-0000-00005C830000}"/>
    <cellStyle name="Note 5 2 3 4 3" xfId="10096" xr:uid="{00000000-0005-0000-0000-00005D830000}"/>
    <cellStyle name="Note 5 2 3 5" xfId="3112" xr:uid="{00000000-0005-0000-0000-00005E830000}"/>
    <cellStyle name="Note 5 2 3 5 2" xfId="8535" xr:uid="{00000000-0005-0000-0000-00005F830000}"/>
    <cellStyle name="Note 5 2 3 6" xfId="9824" xr:uid="{00000000-0005-0000-0000-000060830000}"/>
    <cellStyle name="Note 5 2 4" xfId="30551" xr:uid="{00000000-0005-0000-0000-000061830000}"/>
    <cellStyle name="Note 5 2 4 2" xfId="31847" xr:uid="{00000000-0005-0000-0000-000062830000}"/>
    <cellStyle name="Note 5 2 4 2 2" xfId="20014" xr:uid="{00000000-0005-0000-0000-000063830000}"/>
    <cellStyle name="Note 5 2 4 2 2 2" xfId="12644" xr:uid="{00000000-0005-0000-0000-000064830000}"/>
    <cellStyle name="Note 5 2 4 2 2 2 2" xfId="5678" xr:uid="{00000000-0005-0000-0000-000065830000}"/>
    <cellStyle name="Note 5 2 4 2 2 3" xfId="12649" xr:uid="{00000000-0005-0000-0000-000066830000}"/>
    <cellStyle name="Note 5 2 4 2 3" xfId="20018" xr:uid="{00000000-0005-0000-0000-000067830000}"/>
    <cellStyle name="Note 5 2 4 2 3 2" xfId="6492" xr:uid="{00000000-0005-0000-0000-000068830000}"/>
    <cellStyle name="Note 5 2 4 2 4" xfId="18726" xr:uid="{00000000-0005-0000-0000-000069830000}"/>
    <cellStyle name="Note 5 2 4 3" xfId="33180" xr:uid="{00000000-0005-0000-0000-00006A830000}"/>
    <cellStyle name="Note 5 2 4 3 2" xfId="20036" xr:uid="{00000000-0005-0000-0000-00006B830000}"/>
    <cellStyle name="Note 5 2 4 3 2 2" xfId="7858" xr:uid="{00000000-0005-0000-0000-00006C830000}"/>
    <cellStyle name="Note 5 2 4 3 3" xfId="20038" xr:uid="{00000000-0005-0000-0000-00006D830000}"/>
    <cellStyle name="Note 5 2 4 4" xfId="4146" xr:uid="{00000000-0005-0000-0000-00006E830000}"/>
    <cellStyle name="Note 5 2 4 4 2" xfId="20042" xr:uid="{00000000-0005-0000-0000-00006F830000}"/>
    <cellStyle name="Note 5 2 4 5" xfId="3188" xr:uid="{00000000-0005-0000-0000-000070830000}"/>
    <cellStyle name="Note 5 2 5" xfId="32672" xr:uid="{00000000-0005-0000-0000-000071830000}"/>
    <cellStyle name="Note 5 2 5 2" xfId="30719" xr:uid="{00000000-0005-0000-0000-000072830000}"/>
    <cellStyle name="Note 5 2 5 2 2" xfId="23726" xr:uid="{00000000-0005-0000-0000-000073830000}"/>
    <cellStyle name="Note 5 2 5 2 2 2" xfId="12678" xr:uid="{00000000-0005-0000-0000-000074830000}"/>
    <cellStyle name="Note 5 2 5 2 3" xfId="10197" xr:uid="{00000000-0005-0000-0000-000075830000}"/>
    <cellStyle name="Note 5 2 5 3" xfId="32686" xr:uid="{00000000-0005-0000-0000-000076830000}"/>
    <cellStyle name="Note 5 2 5 3 2" xfId="19779" xr:uid="{00000000-0005-0000-0000-000077830000}"/>
    <cellStyle name="Note 5 2 5 4" xfId="3196" xr:uid="{00000000-0005-0000-0000-000078830000}"/>
    <cellStyle name="Note 5 2 6" xfId="31715" xr:uid="{00000000-0005-0000-0000-000079830000}"/>
    <cellStyle name="Note 5 2 6 2" xfId="30769" xr:uid="{00000000-0005-0000-0000-00007A830000}"/>
    <cellStyle name="Note 5 2 6 2 2" xfId="20082" xr:uid="{00000000-0005-0000-0000-00007B830000}"/>
    <cellStyle name="Note 5 2 6 3" xfId="33815" xr:uid="{00000000-0005-0000-0000-00007C830000}"/>
    <cellStyle name="Note 5 2 7" xfId="19452" xr:uid="{00000000-0005-0000-0000-00007D830000}"/>
    <cellStyle name="Note 5 2 7 2" xfId="32082" xr:uid="{00000000-0005-0000-0000-00007E830000}"/>
    <cellStyle name="Note 5 2 8" xfId="31565" xr:uid="{00000000-0005-0000-0000-00007F830000}"/>
    <cellStyle name="Note 5 3" xfId="33108" xr:uid="{00000000-0005-0000-0000-000080830000}"/>
    <cellStyle name="Note 5 3 2" xfId="34007" xr:uid="{00000000-0005-0000-0000-000081830000}"/>
    <cellStyle name="Note 5 3 2 2" xfId="33331" xr:uid="{00000000-0005-0000-0000-000082830000}"/>
    <cellStyle name="Note 5 3 2 2 2" xfId="32291" xr:uid="{00000000-0005-0000-0000-000083830000}"/>
    <cellStyle name="Note 5 3 2 2 2 2" xfId="29045" xr:uid="{00000000-0005-0000-0000-000084830000}"/>
    <cellStyle name="Note 5 3 2 2 2 2 2" xfId="33174" xr:uid="{00000000-0005-0000-0000-000085830000}"/>
    <cellStyle name="Note 5 3 2 2 2 2 2 2" xfId="23535" xr:uid="{00000000-0005-0000-0000-000086830000}"/>
    <cellStyle name="Note 5 3 2 2 2 2 3" xfId="6018" xr:uid="{00000000-0005-0000-0000-000087830000}"/>
    <cellStyle name="Note 5 3 2 2 2 3" xfId="29769" xr:uid="{00000000-0005-0000-0000-000088830000}"/>
    <cellStyle name="Note 5 3 2 2 2 3 2" xfId="27021" xr:uid="{00000000-0005-0000-0000-000089830000}"/>
    <cellStyle name="Note 5 3 2 2 2 4" xfId="29771" xr:uid="{00000000-0005-0000-0000-00008A830000}"/>
    <cellStyle name="Note 5 3 2 2 3" xfId="26212" xr:uid="{00000000-0005-0000-0000-00008B830000}"/>
    <cellStyle name="Note 5 3 2 2 3 2" xfId="28866" xr:uid="{00000000-0005-0000-0000-00008C830000}"/>
    <cellStyle name="Note 5 3 2 2 3 2 2" xfId="33993" xr:uid="{00000000-0005-0000-0000-00008D830000}"/>
    <cellStyle name="Note 5 3 2 2 3 3" xfId="29775" xr:uid="{00000000-0005-0000-0000-00008E830000}"/>
    <cellStyle name="Note 5 3 2 2 4" xfId="17901" xr:uid="{00000000-0005-0000-0000-00008F830000}"/>
    <cellStyle name="Note 5 3 2 2 4 2" xfId="28868" xr:uid="{00000000-0005-0000-0000-000090830000}"/>
    <cellStyle name="Note 5 3 2 2 5" xfId="17903" xr:uid="{00000000-0005-0000-0000-000091830000}"/>
    <cellStyle name="Note 5 3 2 3" xfId="30587" xr:uid="{00000000-0005-0000-0000-000092830000}"/>
    <cellStyle name="Note 5 3 2 3 2" xfId="4475" xr:uid="{00000000-0005-0000-0000-000093830000}"/>
    <cellStyle name="Note 5 3 2 3 2 2" xfId="28877" xr:uid="{00000000-0005-0000-0000-000094830000}"/>
    <cellStyle name="Note 5 3 2 3 2 2 2" xfId="26170" xr:uid="{00000000-0005-0000-0000-000095830000}"/>
    <cellStyle name="Note 5 3 2 3 2 3" xfId="29782" xr:uid="{00000000-0005-0000-0000-000096830000}"/>
    <cellStyle name="Note 5 3 2 3 3" xfId="11604" xr:uid="{00000000-0005-0000-0000-000097830000}"/>
    <cellStyle name="Note 5 3 2 3 3 2" xfId="30711" xr:uid="{00000000-0005-0000-0000-000098830000}"/>
    <cellStyle name="Note 5 3 2 3 4" xfId="17907" xr:uid="{00000000-0005-0000-0000-000099830000}"/>
    <cellStyle name="Note 5 3 2 4" xfId="26576" xr:uid="{00000000-0005-0000-0000-00009A830000}"/>
    <cellStyle name="Note 5 3 2 4 2" xfId="11608" xr:uid="{00000000-0005-0000-0000-00009B830000}"/>
    <cellStyle name="Note 5 3 2 4 2 2" xfId="21048" xr:uid="{00000000-0005-0000-0000-00009C830000}"/>
    <cellStyle name="Note 5 3 2 4 3" xfId="24630" xr:uid="{00000000-0005-0000-0000-00009D830000}"/>
    <cellStyle name="Note 5 3 2 5" xfId="32571" xr:uid="{00000000-0005-0000-0000-00009E830000}"/>
    <cellStyle name="Note 5 3 2 5 2" xfId="23217" xr:uid="{00000000-0005-0000-0000-00009F830000}"/>
    <cellStyle name="Note 5 3 2 6" xfId="25370" xr:uid="{00000000-0005-0000-0000-0000A0830000}"/>
    <cellStyle name="Note 5 3 3" xfId="33191" xr:uid="{00000000-0005-0000-0000-0000A1830000}"/>
    <cellStyle name="Note 5 3 3 2" xfId="26791" xr:uid="{00000000-0005-0000-0000-0000A2830000}"/>
    <cellStyle name="Note 5 3 3 2 2" xfId="31955" xr:uid="{00000000-0005-0000-0000-0000A3830000}"/>
    <cellStyle name="Note 5 3 3 2 2 2" xfId="27721" xr:uid="{00000000-0005-0000-0000-0000A4830000}"/>
    <cellStyle name="Note 5 3 3 2 2 2 2" xfId="23556" xr:uid="{00000000-0005-0000-0000-0000A5830000}"/>
    <cellStyle name="Note 5 3 3 2 2 3" xfId="12707" xr:uid="{00000000-0005-0000-0000-0000A6830000}"/>
    <cellStyle name="Note 5 3 3 2 3" xfId="27634" xr:uid="{00000000-0005-0000-0000-0000A7830000}"/>
    <cellStyle name="Note 5 3 3 2 3 2" xfId="8799" xr:uid="{00000000-0005-0000-0000-0000A8830000}"/>
    <cellStyle name="Note 5 3 3 2 4" xfId="6040" xr:uid="{00000000-0005-0000-0000-0000A9830000}"/>
    <cellStyle name="Note 5 3 3 3" xfId="28026" xr:uid="{00000000-0005-0000-0000-0000AA830000}"/>
    <cellStyle name="Note 5 3 3 3 2" xfId="16966" xr:uid="{00000000-0005-0000-0000-0000AB830000}"/>
    <cellStyle name="Note 5 3 3 3 2 2" xfId="10285" xr:uid="{00000000-0005-0000-0000-0000AC830000}"/>
    <cellStyle name="Note 5 3 3 3 3" xfId="33843" xr:uid="{00000000-0005-0000-0000-0000AD830000}"/>
    <cellStyle name="Note 5 3 3 4" xfId="3223" xr:uid="{00000000-0005-0000-0000-0000AE830000}"/>
    <cellStyle name="Note 5 3 3 4 2" xfId="7565" xr:uid="{00000000-0005-0000-0000-0000AF830000}"/>
    <cellStyle name="Note 5 3 3 5" xfId="3228" xr:uid="{00000000-0005-0000-0000-0000B0830000}"/>
    <cellStyle name="Note 5 3 4" xfId="32796" xr:uid="{00000000-0005-0000-0000-0000B1830000}"/>
    <cellStyle name="Note 5 3 4 2" xfId="33845" xr:uid="{00000000-0005-0000-0000-0000B2830000}"/>
    <cellStyle name="Note 5 3 4 2 2" xfId="20232" xr:uid="{00000000-0005-0000-0000-0000B3830000}"/>
    <cellStyle name="Note 5 3 4 2 2 2" xfId="12758" xr:uid="{00000000-0005-0000-0000-0000B4830000}"/>
    <cellStyle name="Note 5 3 4 2 3" xfId="25068" xr:uid="{00000000-0005-0000-0000-0000B5830000}"/>
    <cellStyle name="Note 5 3 4 3" xfId="29810" xr:uid="{00000000-0005-0000-0000-0000B6830000}"/>
    <cellStyle name="Note 5 3 4 3 2" xfId="20250" xr:uid="{00000000-0005-0000-0000-0000B7830000}"/>
    <cellStyle name="Note 5 3 4 4" xfId="5671" xr:uid="{00000000-0005-0000-0000-0000B8830000}"/>
    <cellStyle name="Note 5 3 5" xfId="18732" xr:uid="{00000000-0005-0000-0000-0000B9830000}"/>
    <cellStyle name="Note 5 3 5 2" xfId="30845" xr:uid="{00000000-0005-0000-0000-0000BA830000}"/>
    <cellStyle name="Note 5 3 5 2 2" xfId="20263" xr:uid="{00000000-0005-0000-0000-0000BB830000}"/>
    <cellStyle name="Note 5 3 5 3" xfId="28504" xr:uid="{00000000-0005-0000-0000-0000BC830000}"/>
    <cellStyle name="Note 5 3 6" xfId="30929" xr:uid="{00000000-0005-0000-0000-0000BD830000}"/>
    <cellStyle name="Note 5 3 6 2" xfId="33382" xr:uid="{00000000-0005-0000-0000-0000BE830000}"/>
    <cellStyle name="Note 5 3 7" xfId="30932" xr:uid="{00000000-0005-0000-0000-0000BF830000}"/>
    <cellStyle name="Note 5 4" xfId="6456" xr:uid="{00000000-0005-0000-0000-0000C0830000}"/>
    <cellStyle name="Note 5 4 2" xfId="4948" xr:uid="{00000000-0005-0000-0000-0000C1830000}"/>
    <cellStyle name="Note 5 4 2 2" xfId="33860" xr:uid="{00000000-0005-0000-0000-0000C2830000}"/>
    <cellStyle name="Note 5 4 2 2 2" xfId="29440" xr:uid="{00000000-0005-0000-0000-0000C3830000}"/>
    <cellStyle name="Note 5 4 2 2 2 2" xfId="29442" xr:uid="{00000000-0005-0000-0000-0000C4830000}"/>
    <cellStyle name="Note 5 4 2 2 2 2 2" xfId="29448" xr:uid="{00000000-0005-0000-0000-0000C5830000}"/>
    <cellStyle name="Note 5 4 2 2 2 3" xfId="27953" xr:uid="{00000000-0005-0000-0000-0000C6830000}"/>
    <cellStyle name="Note 5 4 2 2 3" xfId="12083" xr:uid="{00000000-0005-0000-0000-0000C7830000}"/>
    <cellStyle name="Note 5 4 2 2 3 2" xfId="6931" xr:uid="{00000000-0005-0000-0000-0000C8830000}"/>
    <cellStyle name="Note 5 4 2 2 4" xfId="17941" xr:uid="{00000000-0005-0000-0000-0000C9830000}"/>
    <cellStyle name="Note 5 4 2 3" xfId="26600" xr:uid="{00000000-0005-0000-0000-0000CA830000}"/>
    <cellStyle name="Note 5 4 2 3 2" xfId="11613" xr:uid="{00000000-0005-0000-0000-0000CB830000}"/>
    <cellStyle name="Note 5 4 2 3 2 2" xfId="29460" xr:uid="{00000000-0005-0000-0000-0000CC830000}"/>
    <cellStyle name="Note 5 4 2 3 3" xfId="32975" xr:uid="{00000000-0005-0000-0000-0000CD830000}"/>
    <cellStyle name="Note 5 4 2 4" xfId="26582" xr:uid="{00000000-0005-0000-0000-0000CE830000}"/>
    <cellStyle name="Note 5 4 2 4 2" xfId="33716" xr:uid="{00000000-0005-0000-0000-0000CF830000}"/>
    <cellStyle name="Note 5 4 2 5" xfId="29497" xr:uid="{00000000-0005-0000-0000-0000D0830000}"/>
    <cellStyle name="Note 5 4 3" xfId="27777" xr:uid="{00000000-0005-0000-0000-0000D1830000}"/>
    <cellStyle name="Note 5 4 3 2" xfId="33150" xr:uid="{00000000-0005-0000-0000-0000D2830000}"/>
    <cellStyle name="Note 5 4 3 2 2" xfId="29511" xr:uid="{00000000-0005-0000-0000-0000D3830000}"/>
    <cellStyle name="Note 5 4 3 2 2 2" xfId="12819" xr:uid="{00000000-0005-0000-0000-0000D4830000}"/>
    <cellStyle name="Note 5 4 3 2 3" xfId="33520" xr:uid="{00000000-0005-0000-0000-0000D5830000}"/>
    <cellStyle name="Note 5 4 3 3" xfId="26607" xr:uid="{00000000-0005-0000-0000-0000D6830000}"/>
    <cellStyle name="Note 5 4 3 3 2" xfId="29521" xr:uid="{00000000-0005-0000-0000-0000D7830000}"/>
    <cellStyle name="Note 5 4 3 4" xfId="12738" xr:uid="{00000000-0005-0000-0000-0000D8830000}"/>
    <cellStyle name="Note 5 4 4" xfId="29548" xr:uid="{00000000-0005-0000-0000-0000D9830000}"/>
    <cellStyle name="Note 5 4 4 2" xfId="33649" xr:uid="{00000000-0005-0000-0000-0000DA830000}"/>
    <cellStyle name="Note 5 4 4 2 2" xfId="3591" xr:uid="{00000000-0005-0000-0000-0000DB830000}"/>
    <cellStyle name="Note 5 4 4 3" xfId="5194" xr:uid="{00000000-0005-0000-0000-0000DC830000}"/>
    <cellStyle name="Note 5 4 5" xfId="30853" xr:uid="{00000000-0005-0000-0000-0000DD830000}"/>
    <cellStyle name="Note 5 4 5 2" xfId="29580" xr:uid="{00000000-0005-0000-0000-0000DE830000}"/>
    <cellStyle name="Note 5 4 6" xfId="32619" xr:uid="{00000000-0005-0000-0000-0000DF830000}"/>
    <cellStyle name="Note 5 5" xfId="6460" xr:uid="{00000000-0005-0000-0000-0000E0830000}"/>
    <cellStyle name="Note 5 5 2" xfId="17625" xr:uid="{00000000-0005-0000-0000-0000E1830000}"/>
    <cellStyle name="Note 5 5 2 2" xfId="33164" xr:uid="{00000000-0005-0000-0000-0000E2830000}"/>
    <cellStyle name="Note 5 5 2 2 2" xfId="26205" xr:uid="{00000000-0005-0000-0000-0000E3830000}"/>
    <cellStyle name="Note 5 5 2 2 2 2" xfId="29593" xr:uid="{00000000-0005-0000-0000-0000E4830000}"/>
    <cellStyle name="Note 5 5 2 2 3" xfId="2420" xr:uid="{00000000-0005-0000-0000-0000E5830000}"/>
    <cellStyle name="Note 5 5 2 3" xfId="21329" xr:uid="{00000000-0005-0000-0000-0000E6830000}"/>
    <cellStyle name="Note 5 5 2 3 2" xfId="22241" xr:uid="{00000000-0005-0000-0000-0000E7830000}"/>
    <cellStyle name="Note 5 5 2 4" xfId="3644" xr:uid="{00000000-0005-0000-0000-0000E8830000}"/>
    <cellStyle name="Note 5 5 3" xfId="11999" xr:uid="{00000000-0005-0000-0000-0000E9830000}"/>
    <cellStyle name="Note 5 5 3 2" xfId="21332" xr:uid="{00000000-0005-0000-0000-0000EA830000}"/>
    <cellStyle name="Note 5 5 3 2 2" xfId="22462" xr:uid="{00000000-0005-0000-0000-0000EB830000}"/>
    <cellStyle name="Note 5 5 3 3" xfId="28787" xr:uid="{00000000-0005-0000-0000-0000EC830000}"/>
    <cellStyle name="Note 5 5 4" xfId="12005" xr:uid="{00000000-0005-0000-0000-0000ED830000}"/>
    <cellStyle name="Note 5 5 4 2" xfId="27106" xr:uid="{00000000-0005-0000-0000-0000EE830000}"/>
    <cellStyle name="Note 5 5 5" xfId="20016" xr:uid="{00000000-0005-0000-0000-0000EF830000}"/>
    <cellStyle name="Note 5 6" xfId="20187" xr:uid="{00000000-0005-0000-0000-0000F0830000}"/>
    <cellStyle name="Note 5 6 2" xfId="21474" xr:uid="{00000000-0005-0000-0000-0000F1830000}"/>
    <cellStyle name="Note 5 6 2 2" xfId="30243" xr:uid="{00000000-0005-0000-0000-0000F2830000}"/>
    <cellStyle name="Note 5 6 2 2 2" xfId="28105" xr:uid="{00000000-0005-0000-0000-0000F3830000}"/>
    <cellStyle name="Note 5 6 2 3" xfId="13506" xr:uid="{00000000-0005-0000-0000-0000F4830000}"/>
    <cellStyle name="Note 5 6 3" xfId="12601" xr:uid="{00000000-0005-0000-0000-0000F5830000}"/>
    <cellStyle name="Note 5 6 3 2" xfId="22694" xr:uid="{00000000-0005-0000-0000-0000F6830000}"/>
    <cellStyle name="Note 5 6 4" xfId="27364" xr:uid="{00000000-0005-0000-0000-0000F7830000}"/>
    <cellStyle name="Note 5 7" xfId="20202" xr:uid="{00000000-0005-0000-0000-0000F8830000}"/>
    <cellStyle name="Note 5 7 2" xfId="30062" xr:uid="{00000000-0005-0000-0000-0000F9830000}"/>
    <cellStyle name="Note 5 7 2 2" xfId="29655" xr:uid="{00000000-0005-0000-0000-0000FA830000}"/>
    <cellStyle name="Note 5 7 3" xfId="29661" xr:uid="{00000000-0005-0000-0000-0000FB830000}"/>
    <cellStyle name="Note 5 8" xfId="30427" xr:uid="{00000000-0005-0000-0000-0000FC830000}"/>
    <cellStyle name="Note 5 8 2" xfId="29635" xr:uid="{00000000-0005-0000-0000-0000FD830000}"/>
    <cellStyle name="Note 5 9" xfId="29674" xr:uid="{00000000-0005-0000-0000-0000FE830000}"/>
    <cellStyle name="Note 6" xfId="23766" xr:uid="{00000000-0005-0000-0000-0000FF830000}"/>
    <cellStyle name="Note 6 2" xfId="10958" xr:uid="{00000000-0005-0000-0000-000000840000}"/>
    <cellStyle name="Note 6 2 2" xfId="30947" xr:uid="{00000000-0005-0000-0000-000001840000}"/>
    <cellStyle name="Note 6 2 2 2" xfId="33764" xr:uid="{00000000-0005-0000-0000-000002840000}"/>
    <cellStyle name="Note 6 2 2 2 2" xfId="31677" xr:uid="{00000000-0005-0000-0000-000003840000}"/>
    <cellStyle name="Note 6 2 2 2 2 2" xfId="30426" xr:uid="{00000000-0005-0000-0000-000004840000}"/>
    <cellStyle name="Note 6 2 2 2 2 2 2" xfId="9740" xr:uid="{00000000-0005-0000-0000-000005840000}"/>
    <cellStyle name="Note 6 2 2 2 2 2 2 2" xfId="31447" xr:uid="{00000000-0005-0000-0000-000006840000}"/>
    <cellStyle name="Note 6 2 2 2 2 2 3" xfId="8091" xr:uid="{00000000-0005-0000-0000-000007840000}"/>
    <cellStyle name="Note 6 2 2 2 2 3" xfId="30432" xr:uid="{00000000-0005-0000-0000-000008840000}"/>
    <cellStyle name="Note 6 2 2 2 2 3 2" xfId="9745" xr:uid="{00000000-0005-0000-0000-000009840000}"/>
    <cellStyle name="Note 6 2 2 2 2 4" xfId="30423" xr:uid="{00000000-0005-0000-0000-00000A840000}"/>
    <cellStyle name="Note 6 2 2 2 3" xfId="27730" xr:uid="{00000000-0005-0000-0000-00000B840000}"/>
    <cellStyle name="Note 6 2 2 2 3 2" xfId="23559" xr:uid="{00000000-0005-0000-0000-00000C840000}"/>
    <cellStyle name="Note 6 2 2 2 3 2 2" xfId="9760" xr:uid="{00000000-0005-0000-0000-00000D840000}"/>
    <cellStyle name="Note 6 2 2 2 3 3" xfId="7018" xr:uid="{00000000-0005-0000-0000-00000E840000}"/>
    <cellStyle name="Note 6 2 2 2 4" xfId="12980" xr:uid="{00000000-0005-0000-0000-00000F840000}"/>
    <cellStyle name="Note 6 2 2 2 4 2" xfId="23367" xr:uid="{00000000-0005-0000-0000-000010840000}"/>
    <cellStyle name="Note 6 2 2 2 5" xfId="7150" xr:uid="{00000000-0005-0000-0000-000011840000}"/>
    <cellStyle name="Note 6 2 2 3" xfId="31681" xr:uid="{00000000-0005-0000-0000-000012840000}"/>
    <cellStyle name="Note 6 2 2 3 2" xfId="16997" xr:uid="{00000000-0005-0000-0000-000013840000}"/>
    <cellStyle name="Note 6 2 2 3 2 2" xfId="30455" xr:uid="{00000000-0005-0000-0000-000014840000}"/>
    <cellStyle name="Note 6 2 2 3 2 2 2" xfId="12147" xr:uid="{00000000-0005-0000-0000-000015840000}"/>
    <cellStyle name="Note 6 2 2 3 2 3" xfId="25801" xr:uid="{00000000-0005-0000-0000-000016840000}"/>
    <cellStyle name="Note 6 2 2 3 3" xfId="11706" xr:uid="{00000000-0005-0000-0000-000017840000}"/>
    <cellStyle name="Note 6 2 2 3 3 2" xfId="23568" xr:uid="{00000000-0005-0000-0000-000018840000}"/>
    <cellStyle name="Note 6 2 2 3 4" xfId="7158" xr:uid="{00000000-0005-0000-0000-000019840000}"/>
    <cellStyle name="Note 6 2 2 4" xfId="22947" xr:uid="{00000000-0005-0000-0000-00001A840000}"/>
    <cellStyle name="Note 6 2 2 4 2" xfId="21730" xr:uid="{00000000-0005-0000-0000-00001B840000}"/>
    <cellStyle name="Note 6 2 2 4 2 2" xfId="33536" xr:uid="{00000000-0005-0000-0000-00001C840000}"/>
    <cellStyle name="Note 6 2 2 4 3" xfId="25666" xr:uid="{00000000-0005-0000-0000-00001D840000}"/>
    <cellStyle name="Note 6 2 2 5" xfId="26104" xr:uid="{00000000-0005-0000-0000-00001E840000}"/>
    <cellStyle name="Note 6 2 2 5 2" xfId="25675" xr:uid="{00000000-0005-0000-0000-00001F840000}"/>
    <cellStyle name="Note 6 2 2 6" xfId="9774" xr:uid="{00000000-0005-0000-0000-000020840000}"/>
    <cellStyle name="Note 6 2 3" xfId="31693" xr:uid="{00000000-0005-0000-0000-000021840000}"/>
    <cellStyle name="Note 6 2 3 2" xfId="1062" xr:uid="{00000000-0005-0000-0000-000022840000}"/>
    <cellStyle name="Note 6 2 3 2 2" xfId="24415" xr:uid="{00000000-0005-0000-0000-000023840000}"/>
    <cellStyle name="Note 6 2 3 2 2 2" xfId="12911" xr:uid="{00000000-0005-0000-0000-000024840000}"/>
    <cellStyle name="Note 6 2 3 2 2 2 2" xfId="9786" xr:uid="{00000000-0005-0000-0000-000025840000}"/>
    <cellStyle name="Note 6 2 3 2 2 3" xfId="12913" xr:uid="{00000000-0005-0000-0000-000026840000}"/>
    <cellStyle name="Note 6 2 3 2 3" xfId="30369" xr:uid="{00000000-0005-0000-0000-000027840000}"/>
    <cellStyle name="Note 6 2 3 2 3 2" xfId="26160" xr:uid="{00000000-0005-0000-0000-000028840000}"/>
    <cellStyle name="Note 6 2 3 2 4" xfId="12994" xr:uid="{00000000-0005-0000-0000-000029840000}"/>
    <cellStyle name="Note 6 2 3 3" xfId="31702" xr:uid="{00000000-0005-0000-0000-00002A840000}"/>
    <cellStyle name="Note 6 2 3 3 2" xfId="15794" xr:uid="{00000000-0005-0000-0000-00002B840000}"/>
    <cellStyle name="Note 6 2 3 3 2 2" xfId="12374" xr:uid="{00000000-0005-0000-0000-00002C840000}"/>
    <cellStyle name="Note 6 2 3 3 3" xfId="156" xr:uid="{00000000-0005-0000-0000-00002D840000}"/>
    <cellStyle name="Note 6 2 3 4" xfId="2384" xr:uid="{00000000-0005-0000-0000-00002E840000}"/>
    <cellStyle name="Note 6 2 3 4 2" xfId="25715" xr:uid="{00000000-0005-0000-0000-00002F840000}"/>
    <cellStyle name="Note 6 2 3 5" xfId="681" xr:uid="{00000000-0005-0000-0000-000030840000}"/>
    <cellStyle name="Note 6 2 4" xfId="27401" xr:uid="{00000000-0005-0000-0000-000031840000}"/>
    <cellStyle name="Note 6 2 4 2" xfId="26150" xr:uid="{00000000-0005-0000-0000-000032840000}"/>
    <cellStyle name="Note 6 2 4 2 2" xfId="27546" xr:uid="{00000000-0005-0000-0000-000033840000}"/>
    <cellStyle name="Note 6 2 4 2 2 2" xfId="12932" xr:uid="{00000000-0005-0000-0000-000034840000}"/>
    <cellStyle name="Note 6 2 4 2 3" xfId="25017" xr:uid="{00000000-0005-0000-0000-000035840000}"/>
    <cellStyle name="Note 6 2 4 3" xfId="22885" xr:uid="{00000000-0005-0000-0000-000036840000}"/>
    <cellStyle name="Note 6 2 4 3 2" xfId="17502" xr:uid="{00000000-0005-0000-0000-000037840000}"/>
    <cellStyle name="Note 6 2 4 4" xfId="3268" xr:uid="{00000000-0005-0000-0000-000038840000}"/>
    <cellStyle name="Note 6 2 5" xfId="28065" xr:uid="{00000000-0005-0000-0000-000039840000}"/>
    <cellStyle name="Note 6 2 5 2" xfId="22493" xr:uid="{00000000-0005-0000-0000-00003A840000}"/>
    <cellStyle name="Note 6 2 5 2 2" xfId="14564" xr:uid="{00000000-0005-0000-0000-00003B840000}"/>
    <cellStyle name="Note 6 2 5 3" xfId="29304" xr:uid="{00000000-0005-0000-0000-00003C840000}"/>
    <cellStyle name="Note 6 2 6" xfId="28414" xr:uid="{00000000-0005-0000-0000-00003D840000}"/>
    <cellStyle name="Note 6 2 6 2" xfId="30636" xr:uid="{00000000-0005-0000-0000-00003E840000}"/>
    <cellStyle name="Note 6 2 7" xfId="30670" xr:uid="{00000000-0005-0000-0000-00003F840000}"/>
    <cellStyle name="Note 6 3" xfId="29701" xr:uid="{00000000-0005-0000-0000-000040840000}"/>
    <cellStyle name="Note 6 3 2" xfId="33914" xr:uid="{00000000-0005-0000-0000-000041840000}"/>
    <cellStyle name="Note 6 3 2 2" xfId="32865" xr:uid="{00000000-0005-0000-0000-000042840000}"/>
    <cellStyle name="Note 6 3 2 2 2" xfId="32267" xr:uid="{00000000-0005-0000-0000-000043840000}"/>
    <cellStyle name="Note 6 3 2 2 2 2" xfId="9855" xr:uid="{00000000-0005-0000-0000-000044840000}"/>
    <cellStyle name="Note 6 3 2 2 2 2 2" xfId="23331" xr:uid="{00000000-0005-0000-0000-000045840000}"/>
    <cellStyle name="Note 6 3 2 2 2 3" xfId="9871" xr:uid="{00000000-0005-0000-0000-000046840000}"/>
    <cellStyle name="Note 6 3 2 2 3" xfId="24087" xr:uid="{00000000-0005-0000-0000-000047840000}"/>
    <cellStyle name="Note 6 3 2 2 3 2" xfId="10364" xr:uid="{00000000-0005-0000-0000-000048840000}"/>
    <cellStyle name="Note 6 3 2 2 4" xfId="17964" xr:uid="{00000000-0005-0000-0000-000049840000}"/>
    <cellStyle name="Note 6 3 2 3" xfId="28062" xr:uid="{00000000-0005-0000-0000-00004A840000}"/>
    <cellStyle name="Note 6 3 2 3 2" xfId="23889" xr:uid="{00000000-0005-0000-0000-00004B840000}"/>
    <cellStyle name="Note 6 3 2 3 2 2" xfId="2173" xr:uid="{00000000-0005-0000-0000-00004C840000}"/>
    <cellStyle name="Note 6 3 2 3 3" xfId="10506" xr:uid="{00000000-0005-0000-0000-00004D840000}"/>
    <cellStyle name="Note 6 3 2 4" xfId="28596" xr:uid="{00000000-0005-0000-0000-00004E840000}"/>
    <cellStyle name="Note 6 3 2 4 2" xfId="25799" xr:uid="{00000000-0005-0000-0000-00004F840000}"/>
    <cellStyle name="Note 6 3 2 5" xfId="31391" xr:uid="{00000000-0005-0000-0000-000050840000}"/>
    <cellStyle name="Note 6 3 3" xfId="33824" xr:uid="{00000000-0005-0000-0000-000051840000}"/>
    <cellStyle name="Note 6 3 3 2" xfId="33512" xr:uid="{00000000-0005-0000-0000-000052840000}"/>
    <cellStyle name="Note 6 3 3 2 2" xfId="31628" xr:uid="{00000000-0005-0000-0000-000053840000}"/>
    <cellStyle name="Note 6 3 3 2 2 2" xfId="25878" xr:uid="{00000000-0005-0000-0000-000054840000}"/>
    <cellStyle name="Note 6 3 3 2 3" xfId="24175" xr:uid="{00000000-0005-0000-0000-000055840000}"/>
    <cellStyle name="Note 6 3 3 3" xfId="30604" xr:uid="{00000000-0005-0000-0000-000056840000}"/>
    <cellStyle name="Note 6 3 3 3 2" xfId="32578" xr:uid="{00000000-0005-0000-0000-000057840000}"/>
    <cellStyle name="Note 6 3 3 4" xfId="6024" xr:uid="{00000000-0005-0000-0000-000058840000}"/>
    <cellStyle name="Note 6 3 4" xfId="27749" xr:uid="{00000000-0005-0000-0000-000059840000}"/>
    <cellStyle name="Note 6 3 4 2" xfId="28996" xr:uid="{00000000-0005-0000-0000-00005A840000}"/>
    <cellStyle name="Note 6 3 4 2 2" xfId="31576" xr:uid="{00000000-0005-0000-0000-00005B840000}"/>
    <cellStyle name="Note 6 3 4 3" xfId="29016" xr:uid="{00000000-0005-0000-0000-00005C840000}"/>
    <cellStyle name="Note 6 3 5" xfId="29118" xr:uid="{00000000-0005-0000-0000-00005D840000}"/>
    <cellStyle name="Note 6 3 5 2" xfId="30459" xr:uid="{00000000-0005-0000-0000-00005E840000}"/>
    <cellStyle name="Note 6 3 6" xfId="29133" xr:uid="{00000000-0005-0000-0000-00005F840000}"/>
    <cellStyle name="Note 6 4" xfId="848" xr:uid="{00000000-0005-0000-0000-000060840000}"/>
    <cellStyle name="Note 6 4 2" xfId="27786" xr:uid="{00000000-0005-0000-0000-000061840000}"/>
    <cellStyle name="Note 6 4 2 2" xfId="26400" xr:uid="{00000000-0005-0000-0000-000062840000}"/>
    <cellStyle name="Note 6 4 2 2 2" xfId="31551" xr:uid="{00000000-0005-0000-0000-000063840000}"/>
    <cellStyle name="Note 6 4 2 2 2 2" xfId="30820" xr:uid="{00000000-0005-0000-0000-000064840000}"/>
    <cellStyle name="Note 6 4 2 2 3" xfId="20956" xr:uid="{00000000-0005-0000-0000-000065840000}"/>
    <cellStyle name="Note 6 4 2 3" xfId="34019" xr:uid="{00000000-0005-0000-0000-000066840000}"/>
    <cellStyle name="Note 6 4 2 3 2" xfId="2979" xr:uid="{00000000-0005-0000-0000-000067840000}"/>
    <cellStyle name="Note 6 4 2 4" xfId="29706" xr:uid="{00000000-0005-0000-0000-000068840000}"/>
    <cellStyle name="Note 6 4 3" xfId="30923" xr:uid="{00000000-0005-0000-0000-000069840000}"/>
    <cellStyle name="Note 6 4 3 2" xfId="33530" xr:uid="{00000000-0005-0000-0000-00006A840000}"/>
    <cellStyle name="Note 6 4 3 2 2" xfId="19864" xr:uid="{00000000-0005-0000-0000-00006B840000}"/>
    <cellStyle name="Note 6 4 3 3" xfId="30796" xr:uid="{00000000-0005-0000-0000-00006C840000}"/>
    <cellStyle name="Note 6 4 4" xfId="19922" xr:uid="{00000000-0005-0000-0000-00006D840000}"/>
    <cellStyle name="Note 6 4 4 2" xfId="29438" xr:uid="{00000000-0005-0000-0000-00006E840000}"/>
    <cellStyle name="Note 6 4 5" xfId="6939" xr:uid="{00000000-0005-0000-0000-00006F840000}"/>
    <cellStyle name="Note 6 5" xfId="29720" xr:uid="{00000000-0005-0000-0000-000070840000}"/>
    <cellStyle name="Note 6 5 2" xfId="29721" xr:uid="{00000000-0005-0000-0000-000071840000}"/>
    <cellStyle name="Note 6 5 2 2" xfId="33962" xr:uid="{00000000-0005-0000-0000-000072840000}"/>
    <cellStyle name="Note 6 5 2 2 2" xfId="21222" xr:uid="{00000000-0005-0000-0000-000073840000}"/>
    <cellStyle name="Note 6 5 2 3" xfId="30149" xr:uid="{00000000-0005-0000-0000-000074840000}"/>
    <cellStyle name="Note 6 5 3" xfId="17783" xr:uid="{00000000-0005-0000-0000-000075840000}"/>
    <cellStyle name="Note 6 5 3 2" xfId="31172" xr:uid="{00000000-0005-0000-0000-000076840000}"/>
    <cellStyle name="Note 6 5 4" xfId="29082" xr:uid="{00000000-0005-0000-0000-000077840000}"/>
    <cellStyle name="Note 6 6" xfId="19881" xr:uid="{00000000-0005-0000-0000-000078840000}"/>
    <cellStyle name="Note 6 6 2" xfId="33887" xr:uid="{00000000-0005-0000-0000-000079840000}"/>
    <cellStyle name="Note 6 6 2 2" xfId="30274" xr:uid="{00000000-0005-0000-0000-00007A840000}"/>
    <cellStyle name="Note 6 6 3" xfId="32369" xr:uid="{00000000-0005-0000-0000-00007B840000}"/>
    <cellStyle name="Note 6 7" xfId="19466" xr:uid="{00000000-0005-0000-0000-00007C840000}"/>
    <cellStyle name="Note 6 7 2" xfId="32611" xr:uid="{00000000-0005-0000-0000-00007D840000}"/>
    <cellStyle name="Note 6 8" xfId="26185" xr:uid="{00000000-0005-0000-0000-00007E840000}"/>
    <cellStyle name="Note 7" xfId="25252" xr:uid="{00000000-0005-0000-0000-00007F840000}"/>
    <cellStyle name="Note 7 2" xfId="6008" xr:uid="{00000000-0005-0000-0000-000080840000}"/>
    <cellStyle name="Note 7 2 2" xfId="15498" xr:uid="{00000000-0005-0000-0000-000081840000}"/>
    <cellStyle name="Note 7 2 2 2" xfId="21957" xr:uid="{00000000-0005-0000-0000-000082840000}"/>
    <cellStyle name="Note 7 2 2 2 2" xfId="33370" xr:uid="{00000000-0005-0000-0000-000083840000}"/>
    <cellStyle name="Note 7 2 2 2 2 2" xfId="33742" xr:uid="{00000000-0005-0000-0000-000084840000}"/>
    <cellStyle name="Note 7 2 2 2 2 2 2" xfId="10281" xr:uid="{00000000-0005-0000-0000-000085840000}"/>
    <cellStyle name="Note 7 2 2 2 2 3" xfId="33891" xr:uid="{00000000-0005-0000-0000-000086840000}"/>
    <cellStyle name="Note 7 2 2 2 3" xfId="7941" xr:uid="{00000000-0005-0000-0000-000087840000}"/>
    <cellStyle name="Note 7 2 2 2 3 2" xfId="1998" xr:uid="{00000000-0005-0000-0000-000088840000}"/>
    <cellStyle name="Note 7 2 2 2 4" xfId="13682" xr:uid="{00000000-0005-0000-0000-000089840000}"/>
    <cellStyle name="Note 7 2 2 3" xfId="25256" xr:uid="{00000000-0005-0000-0000-00008A840000}"/>
    <cellStyle name="Note 7 2 2 3 2" xfId="5137" xr:uid="{00000000-0005-0000-0000-00008B840000}"/>
    <cellStyle name="Note 7 2 2 3 2 2" xfId="33546" xr:uid="{00000000-0005-0000-0000-00008C840000}"/>
    <cellStyle name="Note 7 2 2 3 3" xfId="7972" xr:uid="{00000000-0005-0000-0000-00008D840000}"/>
    <cellStyle name="Note 7 2 2 4" xfId="25264" xr:uid="{00000000-0005-0000-0000-00008E840000}"/>
    <cellStyle name="Note 7 2 2 4 2" xfId="25928" xr:uid="{00000000-0005-0000-0000-00008F840000}"/>
    <cellStyle name="Note 7 2 2 5" xfId="986" xr:uid="{00000000-0005-0000-0000-000090840000}"/>
    <cellStyle name="Note 7 2 3" xfId="25267" xr:uid="{00000000-0005-0000-0000-000091840000}"/>
    <cellStyle name="Note 7 2 3 2" xfId="25269" xr:uid="{00000000-0005-0000-0000-000092840000}"/>
    <cellStyle name="Note 7 2 3 2 2" xfId="33582" xr:uid="{00000000-0005-0000-0000-000093840000}"/>
    <cellStyle name="Note 7 2 3 2 2 2" xfId="3660" xr:uid="{00000000-0005-0000-0000-000094840000}"/>
    <cellStyle name="Note 7 2 3 2 3" xfId="4544" xr:uid="{00000000-0005-0000-0000-000095840000}"/>
    <cellStyle name="Note 7 2 3 3" xfId="25273" xr:uid="{00000000-0005-0000-0000-000096840000}"/>
    <cellStyle name="Note 7 2 3 3 2" xfId="33597" xr:uid="{00000000-0005-0000-0000-000097840000}"/>
    <cellStyle name="Note 7 2 3 4" xfId="16601" xr:uid="{00000000-0005-0000-0000-000098840000}"/>
    <cellStyle name="Note 7 2 4" xfId="16848" xr:uid="{00000000-0005-0000-0000-000099840000}"/>
    <cellStyle name="Note 7 2 4 2" xfId="25277" xr:uid="{00000000-0005-0000-0000-00009A840000}"/>
    <cellStyle name="Note 7 2 4 2 2" xfId="32427" xr:uid="{00000000-0005-0000-0000-00009B840000}"/>
    <cellStyle name="Note 7 2 4 3" xfId="32395" xr:uid="{00000000-0005-0000-0000-00009C840000}"/>
    <cellStyle name="Note 7 2 5" xfId="10627" xr:uid="{00000000-0005-0000-0000-00009D840000}"/>
    <cellStyle name="Note 7 2 5 2" xfId="32440" xr:uid="{00000000-0005-0000-0000-00009E840000}"/>
    <cellStyle name="Note 7 2 6" xfId="33901" xr:uid="{00000000-0005-0000-0000-00009F840000}"/>
    <cellStyle name="Note 7 3" xfId="1018" xr:uid="{00000000-0005-0000-0000-0000A0840000}"/>
    <cellStyle name="Note 7 3 2" xfId="20351" xr:uid="{00000000-0005-0000-0000-0000A1840000}"/>
    <cellStyle name="Note 7 3 2 2" xfId="25284" xr:uid="{00000000-0005-0000-0000-0000A2840000}"/>
    <cellStyle name="Note 7 3 2 2 2" xfId="33396" xr:uid="{00000000-0005-0000-0000-0000A3840000}"/>
    <cellStyle name="Note 7 3 2 2 2 2" xfId="33066" xr:uid="{00000000-0005-0000-0000-0000A4840000}"/>
    <cellStyle name="Note 7 3 2 2 3" xfId="9884" xr:uid="{00000000-0005-0000-0000-0000A5840000}"/>
    <cellStyle name="Note 7 3 2 3" xfId="4537" xr:uid="{00000000-0005-0000-0000-0000A6840000}"/>
    <cellStyle name="Note 7 3 2 3 2" xfId="10519" xr:uid="{00000000-0005-0000-0000-0000A7840000}"/>
    <cellStyle name="Note 7 3 2 4" xfId="24697" xr:uid="{00000000-0005-0000-0000-0000A8840000}"/>
    <cellStyle name="Note 7 3 3" xfId="22288" xr:uid="{00000000-0005-0000-0000-0000A9840000}"/>
    <cellStyle name="Note 7 3 3 2" xfId="25292" xr:uid="{00000000-0005-0000-0000-0000AA840000}"/>
    <cellStyle name="Note 7 3 3 2 2" xfId="16597" xr:uid="{00000000-0005-0000-0000-0000AB840000}"/>
    <cellStyle name="Note 7 3 3 3" xfId="27166" xr:uid="{00000000-0005-0000-0000-0000AC840000}"/>
    <cellStyle name="Note 7 3 4" xfId="14593" xr:uid="{00000000-0005-0000-0000-0000AD840000}"/>
    <cellStyle name="Note 7 3 4 2" xfId="33188" xr:uid="{00000000-0005-0000-0000-0000AE840000}"/>
    <cellStyle name="Note 7 3 5" xfId="14598" xr:uid="{00000000-0005-0000-0000-0000AF840000}"/>
    <cellStyle name="Note 7 4" xfId="22296" xr:uid="{00000000-0005-0000-0000-0000B0840000}"/>
    <cellStyle name="Note 7 4 2" xfId="22309" xr:uid="{00000000-0005-0000-0000-0000B1840000}"/>
    <cellStyle name="Note 7 4 2 2" xfId="4029" xr:uid="{00000000-0005-0000-0000-0000B2840000}"/>
    <cellStyle name="Note 7 4 2 2 2" xfId="29807" xr:uid="{00000000-0005-0000-0000-0000B3840000}"/>
    <cellStyle name="Note 7 4 2 3" xfId="33864" xr:uid="{00000000-0005-0000-0000-0000B4840000}"/>
    <cellStyle name="Note 7 4 3" xfId="22321" xr:uid="{00000000-0005-0000-0000-0000B5840000}"/>
    <cellStyle name="Note 7 4 3 2" xfId="32508" xr:uid="{00000000-0005-0000-0000-0000B6840000}"/>
    <cellStyle name="Note 7 4 4" xfId="31404" xr:uid="{00000000-0005-0000-0000-0000B7840000}"/>
    <cellStyle name="Note 7 5" xfId="22325" xr:uid="{00000000-0005-0000-0000-0000B8840000}"/>
    <cellStyle name="Note 7 5 2" xfId="364" xr:uid="{00000000-0005-0000-0000-0000B9840000}"/>
    <cellStyle name="Note 7 5 2 2" xfId="33969" xr:uid="{00000000-0005-0000-0000-0000BA840000}"/>
    <cellStyle name="Note 7 5 3" xfId="31293" xr:uid="{00000000-0005-0000-0000-0000BB840000}"/>
    <cellStyle name="Note 7 6" xfId="22328" xr:uid="{00000000-0005-0000-0000-0000BC840000}"/>
    <cellStyle name="Note 7 6 2" xfId="20182" xr:uid="{00000000-0005-0000-0000-0000BD840000}"/>
    <cellStyle name="Note 7 7" xfId="33106" xr:uid="{00000000-0005-0000-0000-0000BE840000}"/>
    <cellStyle name="Note 8" xfId="10616" xr:uid="{00000000-0005-0000-0000-0000BF840000}"/>
    <cellStyle name="Note 8 2" xfId="11406" xr:uid="{00000000-0005-0000-0000-0000C0840000}"/>
    <cellStyle name="Note 8 2 2" xfId="25294" xr:uid="{00000000-0005-0000-0000-0000C1840000}"/>
    <cellStyle name="Note 8 2 2 2" xfId="25296" xr:uid="{00000000-0005-0000-0000-0000C2840000}"/>
    <cellStyle name="Note 8 2 2 2 2" xfId="17594" xr:uid="{00000000-0005-0000-0000-0000C3840000}"/>
    <cellStyle name="Note 8 2 2 2 2 2" xfId="33213" xr:uid="{00000000-0005-0000-0000-0000C4840000}"/>
    <cellStyle name="Note 8 2 2 2 3" xfId="26040" xr:uid="{00000000-0005-0000-0000-0000C5840000}"/>
    <cellStyle name="Note 8 2 2 3" xfId="25299" xr:uid="{00000000-0005-0000-0000-0000C6840000}"/>
    <cellStyle name="Note 8 2 2 3 2" xfId="31892" xr:uid="{00000000-0005-0000-0000-0000C7840000}"/>
    <cellStyle name="Note 8 2 2 4" xfId="28835" xr:uid="{00000000-0005-0000-0000-0000C8840000}"/>
    <cellStyle name="Note 8 2 3" xfId="25302" xr:uid="{00000000-0005-0000-0000-0000C9840000}"/>
    <cellStyle name="Note 8 2 3 2" xfId="8511" xr:uid="{00000000-0005-0000-0000-0000CA840000}"/>
    <cellStyle name="Note 8 2 3 2 2" xfId="32377" xr:uid="{00000000-0005-0000-0000-0000CB840000}"/>
    <cellStyle name="Note 8 2 3 3" xfId="32222" xr:uid="{00000000-0005-0000-0000-0000CC840000}"/>
    <cellStyle name="Note 8 2 4" xfId="25310" xr:uid="{00000000-0005-0000-0000-0000CD840000}"/>
    <cellStyle name="Note 8 2 4 2" xfId="32388" xr:uid="{00000000-0005-0000-0000-0000CE840000}"/>
    <cellStyle name="Note 8 2 5" xfId="33475" xr:uid="{00000000-0005-0000-0000-0000CF840000}"/>
    <cellStyle name="Note 8 3" xfId="22334" xr:uid="{00000000-0005-0000-0000-0000D0840000}"/>
    <cellStyle name="Note 8 3 2" xfId="22339" xr:uid="{00000000-0005-0000-0000-0000D1840000}"/>
    <cellStyle name="Note 8 3 2 2" xfId="31908" xr:uid="{00000000-0005-0000-0000-0000D2840000}"/>
    <cellStyle name="Note 8 3 2 2 2" xfId="24742" xr:uid="{00000000-0005-0000-0000-0000D3840000}"/>
    <cellStyle name="Note 8 3 2 3" xfId="31916" xr:uid="{00000000-0005-0000-0000-0000D4840000}"/>
    <cellStyle name="Note 8 3 3" xfId="26303" xr:uid="{00000000-0005-0000-0000-0000D5840000}"/>
    <cellStyle name="Note 8 3 3 2" xfId="24745" xr:uid="{00000000-0005-0000-0000-0000D6840000}"/>
    <cellStyle name="Note 8 3 4" xfId="6786" xr:uid="{00000000-0005-0000-0000-0000D7840000}"/>
    <cellStyle name="Note 8 4" xfId="22343" xr:uid="{00000000-0005-0000-0000-0000D8840000}"/>
    <cellStyle name="Note 8 4 2" xfId="17588" xr:uid="{00000000-0005-0000-0000-0000D9840000}"/>
    <cellStyle name="Note 8 4 2 2" xfId="30601" xr:uid="{00000000-0005-0000-0000-0000DA840000}"/>
    <cellStyle name="Note 8 4 3" xfId="100" xr:uid="{00000000-0005-0000-0000-0000DB840000}"/>
    <cellStyle name="Note 8 5" xfId="29350" xr:uid="{00000000-0005-0000-0000-0000DC840000}"/>
    <cellStyle name="Note 8 5 2" xfId="25655" xr:uid="{00000000-0005-0000-0000-0000DD840000}"/>
    <cellStyle name="Note 8 6" xfId="33045" xr:uid="{00000000-0005-0000-0000-0000DE840000}"/>
    <cellStyle name="Note 9" xfId="10622" xr:uid="{00000000-0005-0000-0000-0000DF840000}"/>
    <cellStyle name="Note 9 2" xfId="25315" xr:uid="{00000000-0005-0000-0000-0000E0840000}"/>
    <cellStyle name="Note 9 2 2" xfId="18769" xr:uid="{00000000-0005-0000-0000-0000E1840000}"/>
    <cellStyle name="Note 9 2 2 2" xfId="25318" xr:uid="{00000000-0005-0000-0000-0000E2840000}"/>
    <cellStyle name="Note 9 2 2 2 2" xfId="33877" xr:uid="{00000000-0005-0000-0000-0000E3840000}"/>
    <cellStyle name="Note 9 2 2 3" xfId="33261" xr:uid="{00000000-0005-0000-0000-0000E4840000}"/>
    <cellStyle name="Note 9 2 3" xfId="25326" xr:uid="{00000000-0005-0000-0000-0000E5840000}"/>
    <cellStyle name="Note 9 2 3 2" xfId="466" xr:uid="{00000000-0005-0000-0000-0000E6840000}"/>
    <cellStyle name="Note 9 2 4" xfId="32522" xr:uid="{00000000-0005-0000-0000-0000E7840000}"/>
    <cellStyle name="Note 9 3" xfId="22355" xr:uid="{00000000-0005-0000-0000-0000E8840000}"/>
    <cellStyle name="Note 9 3 2" xfId="22365" xr:uid="{00000000-0005-0000-0000-0000E9840000}"/>
    <cellStyle name="Note 9 3 2 2" xfId="24167" xr:uid="{00000000-0005-0000-0000-0000EA840000}"/>
    <cellStyle name="Note 9 3 3" xfId="11456" xr:uid="{00000000-0005-0000-0000-0000EB840000}"/>
    <cellStyle name="Note 9 4" xfId="22376" xr:uid="{00000000-0005-0000-0000-0000EC840000}"/>
    <cellStyle name="Note 9 4 2" xfId="32469" xr:uid="{00000000-0005-0000-0000-0000ED840000}"/>
    <cellStyle name="Note 9 5" xfId="24635" xr:uid="{00000000-0005-0000-0000-0000EE840000}"/>
    <cellStyle name="Output 2" xfId="26288" xr:uid="{00000000-0005-0000-0000-0000EF840000}"/>
    <cellStyle name="Percent" xfId="2" builtinId="5"/>
    <cellStyle name="Percent 2" xfId="32445" xr:uid="{00000000-0005-0000-0000-0000F1840000}"/>
    <cellStyle name="Percent 3" xfId="21418" xr:uid="{00000000-0005-0000-0000-0000F2840000}"/>
    <cellStyle name="Percent 4" xfId="25095" xr:uid="{00000000-0005-0000-0000-0000F3840000}"/>
    <cellStyle name="Style 1" xfId="18443" xr:uid="{00000000-0005-0000-0000-0000F4840000}"/>
    <cellStyle name="Style 1 2" xfId="34038" xr:uid="{00000000-0005-0000-0000-0000F5840000}"/>
    <cellStyle name="Total 2" xfId="27686" xr:uid="{00000000-0005-0000-0000-0000F6840000}"/>
    <cellStyle name="Warning Text 2" xfId="33287" xr:uid="{00000000-0005-0000-0000-0000F7840000}"/>
  </cellStyles>
  <dxfs count="483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1" formatCode="[$-409]dd/mmm/yy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[$-409]d/mmm/yy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6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37" totalsRowShown="0" headerRowDxfId="482" dataDxfId="481">
  <autoFilter ref="A3:AB137" xr:uid="{00000000-0009-0000-0100-00000C000000}"/>
  <tableColumns count="28">
    <tableColumn id="1" xr3:uid="{00000000-0010-0000-0200-000001000000}" name="Finacial Year" dataDxfId="480"/>
    <tableColumn id="2" xr3:uid="{00000000-0010-0000-0200-000002000000}" name="Start Month" dataDxfId="479"/>
    <tableColumn id="3" xr3:uid="{00000000-0010-0000-0200-000003000000}" name="Calendor Year" dataDxfId="478">
      <calculatedColumnFormula>YEAR(Inv_SY[[#This Row],[Date]])</calculatedColumnFormula>
    </tableColumn>
    <tableColumn id="4" xr3:uid="{00000000-0010-0000-0200-000004000000}" name="Contrcatual Year" dataDxfId="477"/>
    <tableColumn id="5" xr3:uid="{00000000-0010-0000-0200-000005000000}" name="Operating Year" dataDxfId="476"/>
    <tableColumn id="6" xr3:uid="{00000000-0010-0000-0200-000006000000}" name="Month Year" dataDxfId="475">
      <calculatedColumnFormula>TEXT(Inv_SY[[#This Row],[Date]],"mmm-yy")</calculatedColumnFormula>
    </tableColumn>
    <tableColumn id="7" xr3:uid="{00000000-0010-0000-0200-000007000000}" name="Days" dataDxfId="474">
      <calculatedColumnFormula>DAY(EOMONTH(Inv_SY[[#This Row],[Month Year]],0))</calculatedColumnFormula>
    </tableColumn>
    <tableColumn id="8" xr3:uid="{00000000-0010-0000-0200-000008000000}" name="Date" dataDxfId="473">
      <calculatedColumnFormula>H3+1</calculatedColumnFormula>
    </tableColumn>
    <tableColumn id="9" xr3:uid="{00000000-0010-0000-0200-000009000000}" name="Plant DC Capcity (MW)" dataDxfId="472">
      <calculatedColumnFormula>'Modelling New'!$AR$1</calculatedColumnFormula>
    </tableColumn>
    <tableColumn id="10" xr3:uid="{00000000-0010-0000-0200-00000A000000}" name="Inv 1 (630kw) unit 1" dataDxfId="471">
      <calculatedColumnFormula>IFERROR('Raw Data'!K4/Inv_SY!J$2,"")</calculatedColumnFormula>
    </tableColumn>
    <tableColumn id="11" xr3:uid="{00000000-0010-0000-0200-00000B000000}" name="Inv 1 (630kw) unit 2" dataDxfId="470">
      <calculatedColumnFormula>IFERROR('Raw Data'!L4/Inv_SY!K$2,"")</calculatedColumnFormula>
    </tableColumn>
    <tableColumn id="12" xr3:uid="{00000000-0010-0000-0200-00000C000000}" name="Inv 1 (630kw) unit 3" dataDxfId="469">
      <calculatedColumnFormula>IFERROR('Raw Data'!M4/Inv_SY!L$2,"")</calculatedColumnFormula>
    </tableColumn>
    <tableColumn id="13" xr3:uid="{00000000-0010-0000-0200-00000D000000}" name="Inv 1 (630kw) unit 4" dataDxfId="468">
      <calculatedColumnFormula>IFERROR('Raw Data'!N4/Inv_SY!M$2,"")</calculatedColumnFormula>
    </tableColumn>
    <tableColumn id="14" xr3:uid="{00000000-0010-0000-0200-00000E000000}" name="Inv 2 (630kw) unit 1" dataDxfId="467">
      <calculatedColumnFormula>IFERROR('Raw Data'!O4/Inv_SY!N$2,"")</calculatedColumnFormula>
    </tableColumn>
    <tableColumn id="15" xr3:uid="{00000000-0010-0000-0200-00000F000000}" name="Inv 2 (630kw) unit 2" dataDxfId="466">
      <calculatedColumnFormula>IFERROR('Raw Data'!P4/Inv_SY!O$2,"")</calculatedColumnFormula>
    </tableColumn>
    <tableColumn id="16" xr3:uid="{00000000-0010-0000-0200-000010000000}" name="Inv 2 (630kw) unit 3" dataDxfId="465">
      <calculatedColumnFormula>IFERROR('Raw Data'!Q4/Inv_SY!P$2,"")</calculatedColumnFormula>
    </tableColumn>
    <tableColumn id="17" xr3:uid="{00000000-0010-0000-0200-000011000000}" name="Inv 2 (630kw) unit 4" dataDxfId="464">
      <calculatedColumnFormula>IFERROR('Raw Data'!R4/Inv_SY!Q$2,"")</calculatedColumnFormula>
    </tableColumn>
    <tableColumn id="18" xr3:uid="{00000000-0010-0000-0200-000012000000}" name="Inv 3 (630kw) unit 1" dataDxfId="463">
      <calculatedColumnFormula>IFERROR('Raw Data'!S4/Inv_SY!R$2,"")</calculatedColumnFormula>
    </tableColumn>
    <tableColumn id="19" xr3:uid="{00000000-0010-0000-0200-000013000000}" name="Inv 3 (630kw) unit 2" dataDxfId="462">
      <calculatedColumnFormula>IFERROR('Raw Data'!T4/Inv_SY!S$2,"")</calculatedColumnFormula>
    </tableColumn>
    <tableColumn id="20" xr3:uid="{00000000-0010-0000-0200-000014000000}" name="Inv 3 (630kw) unit 3" dataDxfId="461">
      <calculatedColumnFormula>IFERROR('Raw Data'!U4/Inv_SY!T$2,"")</calculatedColumnFormula>
    </tableColumn>
    <tableColumn id="21" xr3:uid="{00000000-0010-0000-0200-000015000000}" name="Inv 3 (630kw) unit 4" dataDxfId="460">
      <calculatedColumnFormula>IFERROR('Raw Data'!V4/Inv_SY!U$2,"")</calculatedColumnFormula>
    </tableColumn>
    <tableColumn id="22" xr3:uid="{00000000-0010-0000-0200-000016000000}" name="Inv1" dataDxfId="459">
      <calculatedColumnFormula>IFERROR('Raw Data'!W4/Inv_SY!V$2,"")</calculatedColumnFormula>
    </tableColumn>
    <tableColumn id="23" xr3:uid="{00000000-0010-0000-0200-000017000000}" name="Inv2" dataDxfId="458">
      <calculatedColumnFormula>IFERROR('Raw Data'!X4/Inv_SY!W$2,"")</calculatedColumnFormula>
    </tableColumn>
    <tableColumn id="24" xr3:uid="{00000000-0010-0000-0200-000018000000}" name="Inv3" dataDxfId="457">
      <calculatedColumnFormula>IFERROR('Raw Data'!Y4/Inv_SY!X$2,"")</calculatedColumnFormula>
    </tableColumn>
    <tableColumn id="25" xr3:uid="{00000000-0010-0000-0200-000019000000}" name="Avg. SY Inv" dataDxfId="456">
      <calculatedColumnFormula>IFERROR(AVERAGEIF(V4:X4,"&gt;"&amp;0,V4:X4),"")</calculatedColumnFormula>
    </tableColumn>
    <tableColumn id="26" xr3:uid="{00000000-0010-0000-0200-00001A000000}" name="Max. SY Inv" dataDxfId="455">
      <calculatedColumnFormula>IFERROR(_xlfn.MAXIFS(V4:X4,Inv_SY[[#This Row],[Inv1]:[Inv3]],"&gt;"&amp;0),"")</calculatedColumnFormula>
    </tableColumn>
    <tableColumn id="27" xr3:uid="{00000000-0010-0000-0200-00001B000000}" name="Avg. SY Unit" dataDxfId="454">
      <calculatedColumnFormula>IFERROR(AVERAGEIF(J4:U4,"&gt;"&amp;0,J4:U4),"")</calculatedColumnFormula>
    </tableColumn>
    <tableColumn id="28" xr3:uid="{00000000-0010-0000-0200-00001C000000}" name="Max. SY Unit" dataDxfId="453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V369" totalsRowShown="0" headerRowDxfId="452" dataDxfId="450" totalsRowDxfId="448" headerRowBorderDxfId="451" tableBorderDxfId="449" totalsRowBorderDxfId="447">
  <autoFilter ref="A1:AV369" xr:uid="{3B203726-2095-49D8-A694-A659B4A14C0A}"/>
  <tableColumns count="48">
    <tableColumn id="1" xr3:uid="{CA5D0213-23BA-4378-924D-05526586FBCC}" name="Date" dataDxfId="446" totalsRowDxfId="445"/>
    <tableColumn id="2" xr3:uid="{61A1FD58-58BF-409B-B5E7-0FA2BF000D8C}" name="Financial Year" dataDxfId="444" totalsRowDxfId="443">
      <calculatedColumnFormula>YEAR(Table13[[#This Row],[Date]])+IF(MONTH(Table13[[#This Row],[Date]])&gt;=4,1,0)</calculatedColumnFormula>
    </tableColumn>
    <tableColumn id="3" xr3:uid="{5E051EE9-AB82-4328-97D8-052B93A035D1}" name="Calendar Year" dataDxfId="442" totalsRowDxfId="441">
      <calculatedColumnFormula>YEAR(Table13[[#This Row],[Date]])</calculatedColumnFormula>
    </tableColumn>
    <tableColumn id="4" xr3:uid="{E733D645-A7AA-409D-BE65-619D3FE71CB2}" name="Month Year" dataDxfId="440" totalsRowDxfId="439">
      <calculatedColumnFormula>Table13[[#This Row],[Date]]-DAY(Table13[[#This Row],[Date]])+1</calculatedColumnFormula>
    </tableColumn>
    <tableColumn id="5" xr3:uid="{62B94507-F4DB-4402-B152-4D4310A75558}" name="Days" dataDxfId="438" totalsRowDxfId="437">
      <calculatedColumnFormula>DAY(EOMONTH(A2,0))</calculatedColumnFormula>
    </tableColumn>
    <tableColumn id="6" xr3:uid="{CEC83751-39C2-446B-A5EF-98D9D34C887D}" name="Operating Hours" dataDxfId="436">
      <calculatedColumnFormula>IFERROR(_xlfn.XLOOKUP($A2,'Raw Data'!$G:$G,'Raw Data'!$AM:$AM),"")</calculatedColumnFormula>
    </tableColumn>
    <tableColumn id="7" xr3:uid="{4C4DDD55-0563-4C14-B8EE-E4AC120BF5EE}" name="GHI-UP (KWh/m2)" dataDxfId="435" totalsRowDxfId="434">
      <calculatedColumnFormula>IFERROR(_xlfn.XLOOKUP($A2,'Raw Data'!$G:$G,'Raw Data'!$AB:$AB),"")</calculatedColumnFormula>
    </tableColumn>
    <tableColumn id="8" xr3:uid="{396655D4-B8DD-48D3-B884-FD6CEACDECDE}" name="GHI-Down(KWh/m2)" dataDxfId="433" totalsRowDxfId="432"/>
    <tableColumn id="9" xr3:uid="{56E12C64-2DCC-4639-B732-0FA92EA2D65E}" name="POA-UP(KWh/m2)" dataDxfId="431" totalsRowDxfId="430">
      <calculatedColumnFormula>IFERROR(_xlfn.XLOOKUP($A2,'Raw Data'!$G:$G,'Raw Data'!$AC:$AC),"")</calculatedColumnFormula>
    </tableColumn>
    <tableColumn id="10" xr3:uid="{D65DD5AA-B83A-4CC1-9ECC-612D7A4E7488}" name="POA-Down(KWh/m2)" dataDxfId="429"/>
    <tableColumn id="11" xr3:uid="{ECE2658F-9CF0-4B9C-A164-741E39FF1ABE}" name="Amb_Temp(°C)" dataDxfId="428" totalsRowDxfId="427">
      <calculatedColumnFormula>IFERROR(_xlfn.XLOOKUP($A2,'Raw Data'!$G:$G,'Raw Data'!AD:AD),"")</calculatedColumnFormula>
    </tableColumn>
    <tableColumn id="12" xr3:uid="{5B411C8B-DDBC-4193-A08B-332D20A77B37}" name="Mod_Temp(°C)" dataDxfId="426" totalsRowDxfId="425">
      <calculatedColumnFormula>IFERROR(_xlfn.XLOOKUP($A2,'Raw Data'!$G:$G,'Raw Data'!AE:AE),"")</calculatedColumnFormula>
    </tableColumn>
    <tableColumn id="13" xr3:uid="{1600AE36-56A6-474F-8D24-8AB29ABF52CC}" name="WS_Avg(m/s)" dataDxfId="424" totalsRowDxfId="423">
      <calculatedColumnFormula>IFERROR(_xlfn.XLOOKUP($A2,'Raw Data'!$G:$G,'Raw Data'!AF:AF),"")</calculatedColumnFormula>
    </tableColumn>
    <tableColumn id="14" xr3:uid="{CB86B47D-6915-43F1-BE89-239D15C3D749}" name="WS_Max(m/s)" dataDxfId="422" totalsRowDxfId="421">
      <calculatedColumnFormula>IFERROR(_xlfn.XLOOKUP($A2,'Raw Data'!$G:$G,'Raw Data'!AG:AG),"")</calculatedColumnFormula>
    </tableColumn>
    <tableColumn id="15" xr3:uid="{0C744CDD-6860-4C49-AAED-96FC764A175A}" name="PA(%)" dataDxfId="420" totalsRowDxfId="419">
      <calculatedColumnFormula>IFERROR(1-SUMIF('Plant BD'!$B:$B,$A2,'Plant BD'!$AM:$AM)/($AA2+SUMIF('Plant BD'!$B:$B,$A2,'Plant BD'!$AM:$AM)),"")</calculatedColumnFormula>
    </tableColumn>
    <tableColumn id="16" xr3:uid="{53FB723E-BD84-4E63-9AB5-A9D26DA527B2}" name="MA (%)" dataDxfId="418" totalsRowDxfId="417"/>
    <tableColumn id="17" xr3:uid="{6766154E-01DB-4147-B3F7-FD9809E546DB}" name="IGA (%)" dataDxfId="416" totalsRowDxfId="415"/>
    <tableColumn id="18" xr3:uid="{6997DBD3-4A82-4F0F-A0BC-00310C05E863}" name="EGA(%)" dataDxfId="414" totalsRowDxfId="413">
      <calculatedColumnFormula>IFERROR(1-SUMIF('Grid BD'!$B:$B,$A2,'Grid BD'!$AE:$AE)/($AA2+SUMIF('Grid BD'!$B:$B,$A2,'Grid BD'!$AE:$AE)),"")</calculatedColumnFormula>
    </tableColumn>
    <tableColumn id="19" xr3:uid="{E3620291-FFE1-4934-B150-CF4C50C437D4}" name="EMA (%)" dataDxfId="412" totalsRowDxfId="411"/>
    <tableColumn id="20" xr3:uid="{736663D8-7245-4375-A01F-68E6EAA72868}" name="TA (%)" dataDxfId="410" totalsRowDxfId="409"/>
    <tableColumn id="21" xr3:uid="{1934CEFC-F603-48C8-BA8E-0BE6D2E83F0B}" name="PR(%)" dataDxfId="408" totalsRowDxfId="407">
      <calculatedColumnFormula>IFERROR(AA2/I2/AB2/1000,"")</calculatedColumnFormula>
    </tableColumn>
    <tableColumn id="22" xr3:uid="{2D8C6E65-0669-4002-9C16-CBB08C1FF8A8}" name="WPR(%)" dataDxfId="406" totalsRowDxfId="405"/>
    <tableColumn id="23" xr3:uid="{631310ED-CECE-46D2-9981-43367968C0D1}" name="CUF(%)" dataDxfId="404" totalsRowDxfId="403">
      <calculatedColumnFormula>IFERROR(AA2/(24*AB2*1000),"")</calculatedColumnFormula>
    </tableColumn>
    <tableColumn id="24" xr3:uid="{4A472037-CFBB-4C65-B277-91A6751956D7}" name="Gen_Exp (kWh)" dataDxfId="402" totalsRowDxfId="401">
      <calculatedColumnFormula>IFERROR(_xlfn.XLOOKUP($A2,'Raw Data'!$G:$G,'Raw Data'!AI:AI),"")</calculatedColumnFormula>
    </tableColumn>
    <tableColumn id="25" xr3:uid="{8CBEA3DB-B9D7-482F-AF7E-70944117B439}" name="Mtr_Export (kWh)" dataDxfId="400" totalsRowDxfId="399">
      <calculatedColumnFormula>IFERROR(_xlfn.XLOOKUP($A2,'Raw Data'!$G:$G,'Raw Data'!AJ:AJ),"")</calculatedColumnFormula>
    </tableColumn>
    <tableColumn id="26" xr3:uid="{B31C0B08-0472-44F1-87CA-EE911CCE8D2F}" name="Mtr_Import (kWh)" dataDxfId="398" totalsRowDxfId="397">
      <calculatedColumnFormula>IFERROR(_xlfn.XLOOKUP($A2,'Raw Data'!$G:$G,'Raw Data'!AK:AK),"")</calculatedColumnFormula>
    </tableColumn>
    <tableColumn id="27" xr3:uid="{E662E85A-EE28-44C0-9DF3-B2863A5FA79A}" name="Mtr_Net_Exp (KWh)" dataDxfId="396">
      <calculatedColumnFormula>IFERROR(_xlfn.XLOOKUP($A2,'Raw Data'!$G:$G,'Raw Data'!$AL:$AL)*(1+(_xlfn.XLOOKUP(Table13[[#This Row],[Month Year]],JMR!$A:$A,JMR!$J:$J))),"")</calculatedColumnFormula>
    </tableColumn>
    <tableColumn id="28" xr3:uid="{90A7A873-BC1C-40C9-BD4E-CD2DBD0C80A1}" name="Operational Capacity (MW)" dataDxfId="395" totalsRowDxfId="394">
      <calculatedColumnFormula>IFERROR(_xlfn.XLOOKUP($A2,'Raw Data'!$G:$G,'Raw Data'!$H:$H),"")</calculatedColumnFormula>
    </tableColumn>
    <tableColumn id="29" xr3:uid="{20F79834-BA65-4E81-98C2-2DF0CE80B384}" name="Bugt_Resource" dataDxfId="393" totalsRowDxfId="392">
      <calculatedColumnFormula>IFERROR(_xlfn.XLOOKUP($D2,'Modelling New'!$D:$D,'Modelling New'!$P:$P),"")</calculatedColumnFormula>
    </tableColumn>
    <tableColumn id="30" xr3:uid="{FCFCB4F5-397F-405C-A98D-2F6552DB6E17}" name="Bugt_Energy" dataDxfId="391" totalsRowDxfId="390">
      <calculatedColumnFormula>IFERROR(_xlfn.XLOOKUP($D2,'Modelling New'!$D:$D,'Modelling New'!$T:$T)*1000,"")</calculatedColumnFormula>
    </tableColumn>
    <tableColumn id="43" xr3:uid="{BC223FB0-2ABB-4BE1-88EB-7D2CAC6E1002}" name="Bugt PR" dataDxfId="389">
      <calculatedColumnFormula>IFERROR(_xlfn.XLOOKUP($D2,'Modelling New'!$D:$D,'Modelling New'!$O:$O),"")</calculatedColumnFormula>
    </tableColumn>
    <tableColumn id="42" xr3:uid="{04EEFC41-DF0C-4A58-82CC-9CC6DC992E7C}" name="Bugt CUF" dataDxfId="388" totalsRowDxfId="387">
      <calculatedColumnFormula>IFERROR(_xlfn.XLOOKUP($D2,'Modelling New'!$D:$D,'Modelling New'!$W:$W),"")</calculatedColumnFormula>
    </tableColumn>
    <tableColumn id="31" xr3:uid="{D5B4B459-B110-4CC9-BA68-24DA76B3C370}" name="Bugt_PA" dataDxfId="386" totalsRowDxfId="385">
      <calculatedColumnFormula>IFERROR(_xlfn.XLOOKUP($D2,'Modelling New'!$D:$D,'Modelling New'!$AE:$AE),"")</calculatedColumnFormula>
    </tableColumn>
    <tableColumn id="32" xr3:uid="{47A1C0C5-0AF1-4FAD-8F99-6D6D0FB92F3A}" name="Bugt_EGA" dataDxfId="384" totalsRowDxfId="383">
      <calculatedColumnFormula>IFERROR(_xlfn.XLOOKUP($D2,'Modelling New'!$D:$D,'Modelling New'!$AF:$AF),"")</calculatedColumnFormula>
    </tableColumn>
    <tableColumn id="33" xr3:uid="{D7DA444C-22C9-45F9-99E7-6B51C1F25333}" name="Expected Energy" dataDxfId="382" totalsRowDxfId="381"/>
    <tableColumn id="34" xr3:uid="{83990969-6178-4CCE-B4E2-167569C61987}" name="Actual Energy WPR" dataDxfId="380" totalsRowDxfId="379"/>
    <tableColumn id="35" xr3:uid="{CFF8E45A-4279-4013-A49C-8853E390D3E2}" name="RA (%)" dataDxfId="378" totalsRowDxfId="377"/>
    <tableColumn id="36" xr3:uid="{C7AA9861-913B-471F-9862-74B8122073EE}" name="Mod Clean Dry (Num)" dataDxfId="376" totalsRowDxfId="375"/>
    <tableColumn id="37" xr3:uid="{C1D903E3-0638-47FD-97FB-9E4599E7DAD7}" name="Mod Clean Wet (Num)" dataDxfId="374" totalsRowDxfId="373"/>
    <tableColumn id="38" xr3:uid="{F4355827-3C69-4CBE-B398-CCD2A84DD32E}" name="Line Loss(%)" dataDxfId="372" totalsRowDxfId="371"/>
    <tableColumn id="39" xr3:uid="{9430973A-3118-4F30-BE71-2DA18F1117A3}" name="Reactive Power (%)" dataDxfId="370"/>
    <tableColumn id="40" xr3:uid="{C433DDCC-CC74-47F0-9619-14A592E3E130}" name="Bugt Line loss (%) (Wind)" dataDxfId="369" totalsRowDxfId="368"/>
    <tableColumn id="41" xr3:uid="{2C047626-C736-485B-8D3D-FF8850E555A4}" name="Bugt Reactive Power (%) (Wind)" dataDxfId="367" totalsRowDxfId="366"/>
    <tableColumn id="44" xr3:uid="{B02A2E2B-0FF3-430D-B820-B6747B75439B}" name="Bugt Capacity" dataDxfId="365" totalsRowDxfId="364">
      <calculatedColumnFormula>'Basic Data'!$J$2</calculatedColumnFormula>
    </tableColumn>
    <tableColumn id="45" xr3:uid="{2E672B87-8EE8-4F12-A759-827221907EE6}" name="CC*Bugt" dataDxfId="363" totalsRowDxfId="362"/>
    <tableColumn id="46" xr3:uid="{2F9A65B4-1D40-4598-A266-BB3F1AB73712}" name="Operational AC Capacity (MW)" dataDxfId="361" totalsRowDxfId="360">
      <calculatedColumnFormula>IFERROR(_xlfn.XLOOKUP(Table13[[#This Row],[Date]],'Raw Data'!$E:$E,'Raw Data'!$AN:$AN),"")</calculatedColumnFormula>
    </tableColumn>
    <tableColumn id="47" xr3:uid="{AB4F9715-F4D4-4AF8-9333-EBB24A1BB82E}" name="Bugt AC Capacity (MW)" dataDxfId="359" totalsRowDxfId="358">
      <calculatedColumnFormula>IFERROR(_xlfn.XLOOKUP(Table13[[#This Row],[Month Year]],'Modelling New'!$D:$D,'Modelling New'!$AO:$AO),"")</calculatedColumnFormula>
    </tableColumn>
    <tableColumn id="48" xr3:uid="{3B23A752-21DB-4DB7-A393-BD51E16844F5}" name="Curtailment Gen Loss (MWh)" dataDxfId="357" totalsRowDxfId="356">
      <calculatedColumnFormula>IFERROR(SUMIF('Curtailment Records'!$C:$C,Table13[[#This Row],[Date]],'Curtailment Records'!$R:$R)/1000,"")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55" headerRowBorderDxfId="354" tableBorderDxfId="353" totalsRowBorderDxfId="352">
  <sortState xmlns:xlrd2="http://schemas.microsoft.com/office/spreadsheetml/2017/richdata2" ref="A3:AL4">
    <sortCondition ref="G3"/>
  </sortState>
  <tableColumns count="40">
    <tableColumn id="1" xr3:uid="{00000000-0010-0000-0100-000001000000}" name="Financial Year" dataDxfId="351" totalsRowDxfId="350">
      <calculatedColumnFormula>YEAR(Raw_Data[[#This Row],[Date]])+IF(MONTH(Raw_Data[[#This Row],[Date]])&gt;=4,1,0)</calculatedColumnFormula>
    </tableColumn>
    <tableColumn id="2" xr3:uid="{00000000-0010-0000-0100-000002000000}" name="Calendar Year" dataDxfId="349" totalsRowDxfId="348"/>
    <tableColumn id="3" xr3:uid="{00000000-0010-0000-0100-000003000000}" name="Contractual Year" dataDxfId="347" totalsRowDxfId="346"/>
    <tableColumn id="4" xr3:uid="{00000000-0010-0000-0100-000004000000}" name="Operating Year" dataDxfId="345" totalsRowDxfId="344"/>
    <tableColumn id="5" xr3:uid="{00000000-0010-0000-0100-000005000000}" name="Month Year" dataDxfId="343" totalsRowDxfId="342">
      <calculatedColumnFormula>TEXT(Raw_Data[[#This Row],[Date]],"mmm-yy")</calculatedColumnFormula>
    </tableColumn>
    <tableColumn id="6" xr3:uid="{00000000-0010-0000-0100-000006000000}" name="Days" dataDxfId="341" totalsRowDxfId="340">
      <calculatedColumnFormula>DAY(EOMONTH(Raw_Data[[#This Row],[Month Year]],0))</calculatedColumnFormula>
    </tableColumn>
    <tableColumn id="7" xr3:uid="{00000000-0010-0000-0100-000007000000}" name="Date" dataDxfId="339" totalsRowDxfId="338"/>
    <tableColumn id="8" xr3:uid="{00000000-0010-0000-0100-000008000000}" name="Plant DC Capcity (MW)" dataDxfId="337" totalsRowDxfId="336">
      <calculatedColumnFormula>'Modelling New'!$AR$1</calculatedColumnFormula>
    </tableColumn>
    <tableColumn id="9" xr3:uid="{00000000-0010-0000-0100-000009000000}" name="Sunrise Time (POA&gt;20 W/m2)" dataDxfId="335" totalsRowDxfId="334"/>
    <tableColumn id="10" xr3:uid="{00000000-0010-0000-0100-00000A000000}" name="Sunset Time (POA&lt;20 W/m2)" dataDxfId="333" totalsRowDxfId="332"/>
    <tableColumn id="14" xr3:uid="{00000000-0010-0000-0100-00000E000000}" name="Inv1_U1" dataDxfId="331" totalsRowDxfId="330"/>
    <tableColumn id="15" xr3:uid="{00000000-0010-0000-0100-00000F000000}" name="Inv1_U2" dataDxfId="329" totalsRowDxfId="328"/>
    <tableColumn id="16" xr3:uid="{00000000-0010-0000-0100-000010000000}" name="Inv1_U3" dataDxfId="327" totalsRowDxfId="326"/>
    <tableColumn id="21" xr3:uid="{00000000-0010-0000-0100-000015000000}" name="Inv1_U4" dataDxfId="325" totalsRowDxfId="324"/>
    <tableColumn id="22" xr3:uid="{00000000-0010-0000-0100-000016000000}" name="Inv2_U1" dataDxfId="323" totalsRowDxfId="322"/>
    <tableColumn id="23" xr3:uid="{00000000-0010-0000-0100-000017000000}" name="Inv2_U2" dataDxfId="321" totalsRowDxfId="320"/>
    <tableColumn id="24" xr3:uid="{00000000-0010-0000-0100-000018000000}" name="Inv2_U3" dataDxfId="319" totalsRowDxfId="318"/>
    <tableColumn id="33" xr3:uid="{00000000-0010-0000-0100-000021000000}" name="Inv2_U4" dataDxfId="317" totalsRowDxfId="316"/>
    <tableColumn id="38" xr3:uid="{00000000-0010-0000-0100-000026000000}" name="Inv3_U1" dataDxfId="315" totalsRowDxfId="314"/>
    <tableColumn id="39" xr3:uid="{00000000-0010-0000-0100-000027000000}" name="Inv3_U2" dataDxfId="313" totalsRowDxfId="312"/>
    <tableColumn id="40" xr3:uid="{00000000-0010-0000-0100-000028000000}" name="Inv3_U3" dataDxfId="311" totalsRowDxfId="310"/>
    <tableColumn id="41" xr3:uid="{00000000-0010-0000-0100-000029000000}" name="Inv3_U4" dataDxfId="309" totalsRowDxfId="308"/>
    <tableColumn id="11" xr3:uid="{00000000-0010-0000-0100-00000B000000}" name="Inv1" dataDxfId="307" totalsRowDxfId="306"/>
    <tableColumn id="12" xr3:uid="{00000000-0010-0000-0100-00000C000000}" name="Inv2" dataDxfId="305" totalsRowDxfId="304"/>
    <tableColumn id="13" xr3:uid="{00000000-0010-0000-0100-00000D000000}" name="Inv3" dataDxfId="303" totalsRowDxfId="302"/>
    <tableColumn id="17" xr3:uid="{00000000-0010-0000-0100-000011000000}" name="33 kV Outgoinng Export Reading" dataDxfId="301" totalsRowDxfId="300"/>
    <tableColumn id="18" xr3:uid="{00000000-0010-0000-0100-000012000000}" name="33 kV Outgoinng Import Reading" dataDxfId="299" totalsRowDxfId="298"/>
    <tableColumn id="19" xr3:uid="{00000000-0010-0000-0100-000013000000}" name="GHI(Wh/m2)" dataDxfId="297" totalsRowDxfId="296"/>
    <tableColumn id="20" xr3:uid="{00000000-0010-0000-0100-000014000000}" name="POA(kWh/m2)" dataDxfId="295" totalsRowDxfId="294"/>
    <tableColumn id="25" xr3:uid="{00000000-0010-0000-0100-000019000000}" name="Avg. Ambient Temp (POA&gt;20W/m2)" dataDxfId="293" totalsRowDxfId="292"/>
    <tableColumn id="26" xr3:uid="{00000000-0010-0000-0100-00001A000000}" name="Avg. Module Temp (POA&gt;20W/m2)" dataDxfId="291" totalsRowDxfId="290"/>
    <tableColumn id="27" xr3:uid="{00000000-0010-0000-0100-00001B000000}" name="Avg. Wind Speed (m/s)" dataDxfId="289" totalsRowDxfId="288"/>
    <tableColumn id="28" xr3:uid="{00000000-0010-0000-0100-00001C000000}" name="Max. Wind Speed (m/s)" dataDxfId="287" totalsRowDxfId="286"/>
    <tableColumn id="29" xr3:uid="{00000000-0010-0000-0100-00001D000000}" name="Rain Fall (mm)" dataDxfId="285" totalsRowDxfId="284"/>
    <tableColumn id="37" xr3:uid="{00000000-0010-0000-0100-000025000000}" name="Inverters Generation ( kWh)" dataDxfId="283" totalsRowDxfId="282">
      <calculatedColumnFormula>SUM(Raw_Data[[#This Row],[Inv1]:[Inv3]])</calculatedColumnFormula>
    </tableColumn>
    <tableColumn id="30" xr3:uid="{00000000-0010-0000-0100-00001E000000}" name="Export  (kWh)" dataDxfId="281" totalsRowDxfId="280">
      <calculatedColumnFormula>(Raw_Data[[#This Row],[33 kV Outgoinng Export Reading]]-Z3)*1000</calculatedColumnFormula>
    </tableColumn>
    <tableColumn id="35" xr3:uid="{00000000-0010-0000-0100-000023000000}" name="Import (kWh)" dataDxfId="279" totalsRowDxfId="278"/>
    <tableColumn id="36" xr3:uid="{00000000-0010-0000-0100-000024000000}" name="Net Export (kWh)" dataDxfId="277" totalsRowDxfId="276">
      <calculatedColumnFormula>Raw_Data[[#This Row],[Export  (kWh)]]-Raw_Data[[#This Row],[Import (kWh)]]</calculatedColumnFormula>
    </tableColumn>
    <tableColumn id="32" xr3:uid="{7780E55E-B125-407C-B9FA-CCB4AD3B2C0A}" name="Operating Hours" dataDxfId="275" totalsRowDxfId="274">
      <calculatedColumnFormula>IFERROR((J4-I4)*24,"")</calculatedColumnFormula>
    </tableColumn>
    <tableColumn id="31" xr3:uid="{00000000-0010-0000-0100-00001F000000}" name="Operational AC Capacity (MW)" totalsRowDxfId="27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19992A-8344-44BF-9380-93010FAF8CD6}" name="JMR" displayName="JMR" ref="A1:J6" totalsRowShown="0" headerRowDxfId="272" dataDxfId="270" headerRowBorderDxfId="271" tableBorderDxfId="269" totalsRowBorderDxfId="268">
  <autoFilter ref="A1:J6" xr:uid="{8745D0B3-BF9B-404E-8C2D-369EEC93627D}"/>
  <tableColumns count="10">
    <tableColumn id="1" xr3:uid="{26C17BFF-3D0E-497C-9412-32BBB9A98103}" name="Month Year" dataDxfId="267"/>
    <tableColumn id="2" xr3:uid="{2D80AC94-6FFD-427E-976B-F8EC2F586684}" name="Plant Name" dataDxfId="266"/>
    <tableColumn id="3" xr3:uid="{F81C8E3E-8B29-43CA-81E9-964BF16880C6}" name="Export (kWh)" dataDxfId="265"/>
    <tableColumn id="4" xr3:uid="{265E84BC-A157-45DC-BA37-7E1BB36E6DC2}" name="Import (kWh)" dataDxfId="264"/>
    <tableColumn id="5" xr3:uid="{A7CDF353-AF9B-4493-A6F1-6C0E29B33FC4}" name="Net Export (JMR) (kWh)" dataDxfId="263">
      <calculatedColumnFormula>JMR[[#This Row],[Export (kWh)]]</calculatedColumnFormula>
    </tableColumn>
    <tableColumn id="6" xr3:uid="{2D8C2B8C-E872-4ADD-93CC-DF6C9A0608A0}" name="Billed (kWh)" dataDxfId="262"/>
    <tableColumn id="7" xr3:uid="{CD49BACC-E0B9-4F7E-AF4D-84C4E2FD817D}" name="Net Export (Manual) (kWh)" dataDxfId="261">
      <calculatedColumnFormula>SUMIF('Daily KPI'!$D:$D,$A2,'Daily KPI'!$Y:$Y)-SUMIF('Daily KPI'!$D:$D,$A2,'Daily KPI'!$Z:$Z)</calculatedColumnFormula>
    </tableColumn>
    <tableColumn id="8" xr3:uid="{C141F6F6-F629-4FD5-96DD-ADE738F8D1E5}" name="Difference" dataDxfId="260">
      <calculatedColumnFormula>IF(C2="",0,JMR[[#This Row],[Net Export (JMR) (kWh)]]-JMR[[#This Row],[Net Export (Manual) (kWh)]])</calculatedColumnFormula>
    </tableColumn>
    <tableColumn id="9" xr3:uid="{1AD62413-5D67-4710-8FBF-DEEEF2B68C22}" name="Revised Net Export (Manual) (kWh)" dataDxfId="259">
      <calculatedColumnFormula>SUMIF('Daily KPI'!$D:$D,$A2,'Daily KPI'!$AA:$AA)</calculatedColumnFormula>
    </tableColumn>
    <tableColumn id="10" xr3:uid="{01781B12-58E0-4617-8FF7-17F5F3EC396D}" name="%Delta" dataDxfId="258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O97" totalsRowShown="0" headerRowDxfId="257" dataDxfId="255" headerRowBorderDxfId="256" tableBorderDxfId="254" totalsRowBorderDxfId="253">
  <tableColumns count="41">
    <tableColumn id="1" xr3:uid="{5D1E61C1-173D-4CBC-B4C0-CE88A74E44FE}" name="Sr. No." dataDxfId="252"/>
    <tableColumn id="2" xr3:uid="{4A4747DC-BE7A-482F-B566-72239B475633}" name="Month Name" dataDxfId="251"/>
    <tableColumn id="3" xr3:uid="{E74FA9C7-407B-4E4A-8C2A-3BBD456F6914}" name="Month Number" dataDxfId="250"/>
    <tableColumn id="4" xr3:uid="{63EE43C9-BC90-43BE-AA33-B5071F91F1F3}" name="Month" dataDxfId="249"/>
    <tableColumn id="5" xr3:uid="{9066F7A5-91A1-4CCD-B89A-EA7C3293D805}" name="CY" dataDxfId="248">
      <calculatedColumnFormula>YEAR(D2)</calculatedColumnFormula>
    </tableColumn>
    <tableColumn id="6" xr3:uid="{E506306B-E3BC-4FFD-B814-904A7BF8FA29}" name="FY" dataDxfId="247"/>
    <tableColumn id="7" xr3:uid="{2138D99D-C9D7-4FAF-A6FC-F4D237751825}" name="No. of Days in Month" dataDxfId="246">
      <calculatedColumnFormula>DAY(EOMONTH(D2,0))</calculatedColumnFormula>
    </tableColumn>
    <tableColumn id="8" xr3:uid="{189C45BC-5377-49E0-9BAF-FACAA8C197E9}" name="GHI" dataDxfId="245"/>
    <tableColumn id="9" xr3:uid="{78B2041F-01B0-4380-BE47-F15E6D711598}" name="POA" dataDxfId="244"/>
    <tableColumn id="10" xr3:uid="{624070A1-51D0-417A-90C5-9F32664B6387}" name="WS" dataDxfId="243"/>
    <tableColumn id="11" xr3:uid="{5B311138-D9F8-44CF-846B-0D780B337D33}" name="Tamb" dataDxfId="242"/>
    <tableColumn id="12" xr3:uid="{16119427-6B56-45EE-87FF-F070D6344BB1}" name="Tmod" dataDxfId="241"/>
    <tableColumn id="13" xr3:uid="{E35FC902-973C-4D99-B328-BFEF02BCDE6E}" name="Egrid (MWh)" dataDxfId="240"/>
    <tableColumn id="14" xr3:uid="{80427942-69FF-4BB3-B061-596610BD1920}" name="Bugt_Capacity" dataDxfId="239"/>
    <tableColumn id="15" xr3:uid="{0E17AFDC-A553-40EA-9F22-364944C07AC0}" name="PR" dataDxfId="238">
      <calculatedColumnFormula>IFERROR(M2/I2/N2,"")</calculatedColumnFormula>
    </tableColumn>
    <tableColumn id="16" xr3:uid="{0D044DF5-724A-4364-8C74-B8FF9484A52D}" name="Daily POA" dataDxfId="237">
      <calculatedColumnFormula>IFERROR(I2/G2,"")</calculatedColumnFormula>
    </tableColumn>
    <tableColumn id="17" xr3:uid="{18FD709C-CB9E-498C-A379-B13556EE3079}" name="Days Operated" dataDxfId="236">
      <calculatedColumnFormula>COUNTIFS('Daily KPI'!$D:$D,D2,'Daily KPI'!O:O,"&gt;0")</calculatedColumnFormula>
    </tableColumn>
    <tableColumn id="18" xr3:uid="{23C0ED8A-2CCF-4EBB-AC86-214835E02C00}" name="MTD POA" dataDxfId="235">
      <calculatedColumnFormula>I2/G2*Q2</calculatedColumnFormula>
    </tableColumn>
    <tableColumn id="27" xr3:uid="{107AA7FD-46C5-4126-8483-79F81B0C1D1F}" name="YTD POA" dataDxfId="234">
      <calculatedColumnFormula>SUMIF($F$2:F2,F2,$R$2:R2)</calculatedColumnFormula>
    </tableColumn>
    <tableColumn id="19" xr3:uid="{BEF98602-F10C-4EB0-B66E-95DD8F4CC76F}" name="Daily Energy (MWh)" dataDxfId="233">
      <calculatedColumnFormula>M2/G2</calculatedColumnFormula>
    </tableColumn>
    <tableColumn id="20" xr3:uid="{9B47BCBC-C045-48B7-802D-1F61C22440E9}" name="MTD Energy (MWh)" dataDxfId="232">
      <calculatedColumnFormula>M2/G2*Q2</calculatedColumnFormula>
    </tableColumn>
    <tableColumn id="28" xr3:uid="{AA3D7A6B-F326-46B9-9F8D-C8C11A276A01}" name="YTD Energy (MWh)" dataDxfId="231">
      <calculatedColumnFormula>SUMIF($F$2:F2,F2,$U$2:U2)</calculatedColumnFormula>
    </tableColumn>
    <tableColumn id="38" xr3:uid="{5E25F5E0-3A3D-4114-BE7F-814624532FFF}" name="Bugt CUF (%)" dataDxfId="230" dataCellStyle="Percent">
      <calculatedColumnFormula>IFERROR(T2/(24*N2),"")</calculatedColumnFormula>
    </tableColumn>
    <tableColumn id="37" xr3:uid="{86A95442-92E4-4B24-8A27-110615C9B34D}" name="Bugt CUF (%) MTD" dataDxfId="229" dataCellStyle="Percent">
      <calculatedColumnFormula>IFERROR(U2/(24*N2*Q2),"")</calculatedColumnFormula>
    </tableColumn>
    <tableColumn id="36" xr3:uid="{D69BFE67-8866-4F68-9EF2-3EE1AC2A05F1}" name="Bugt CUF (%)YTD" dataDxfId="228" dataCellStyle="Percent">
      <calculatedColumnFormula>IFERROR(V2/(24*N2*SUMIFS($Q:$Q,$F:$F,$F2,$D:$D,"&lt;="&amp;D2)),"")</calculatedColumnFormula>
    </tableColumn>
    <tableColumn id="21" xr3:uid="{55BFF1C0-C2E4-4E91-9389-AD4DAB2DE688}" name="Ave. Cap MTD" dataDxfId="227">
      <calculatedColumnFormula>IFERROR(AVERAGEIF('Daily KPI'!D:D,Table14[[#This Row],[Month]],'Daily KPI'!AB:AB),"")</calculatedColumnFormula>
    </tableColumn>
    <tableColumn id="29" xr3:uid="{904F69F1-2D7B-4307-A79A-233412D2A5AE}" name="Ave. Cap YTD" dataDxfId="226">
      <calculatedColumnFormula>IFERROR(AVERAGEIF($F$2:F2,F2,$N$2:N2),"")</calculatedColumnFormula>
    </tableColumn>
    <tableColumn id="22" xr3:uid="{CC1AB1D5-A8ED-4C7E-8C84-42784025671B}" name="CC Energy MTD" dataDxfId="225"/>
    <tableColumn id="31" xr3:uid="{B71DAB68-17C7-4107-84C0-F8220342AA65}" name="WS MTD" dataDxfId="224"/>
    <tableColumn id="23" xr3:uid="{26A872CD-C165-4CEE-A270-12EF2B3153BC}" name="WS YTD" dataDxfId="223"/>
    <tableColumn id="24" xr3:uid="{D62225E1-A747-4C59-9536-0B2CDAB2D910}" name="Bugt PA" dataDxfId="222"/>
    <tableColumn id="25" xr3:uid="{75C9CF31-D30F-461B-B536-C567F31E282D}" name="Bugt EGA" dataDxfId="221"/>
    <tableColumn id="35" xr3:uid="{B003405C-6722-499C-AD99-BEE41D836E38}" name="Bugt TA" dataDxfId="220" dataCellStyle="Percent"/>
    <tableColumn id="26" xr3:uid="{F6B2DB2E-61B0-4CF1-92A4-31E4582651BB}" name="Bugt MA" dataDxfId="219" dataCellStyle="Percent"/>
    <tableColumn id="30" xr3:uid="{77C9BD3C-053A-46D2-A8AC-9738FDB77E0D}" name="Bugt IGA" dataDxfId="218" dataCellStyle="Percent"/>
    <tableColumn id="32" xr3:uid="{BD889FE4-B633-4329-BA30-E07317AF02B5}" name="Corelation" dataDxfId="217" dataCellStyle="Percent"/>
    <tableColumn id="33" xr3:uid="{1335AACD-1966-4902-8BC4-EFF32020B54B}" name="Bugt Line loss" dataDxfId="216" dataCellStyle="Percent"/>
    <tableColumn id="34" xr3:uid="{C199691B-8B24-49AD-A975-5EEEB6E31527}" name="Bugt Reactive Power" dataDxfId="215" dataCellStyle="Percent"/>
    <tableColumn id="39" xr3:uid="{6905C8EF-EDEE-4947-9859-D099FD2EFF0C}" name="Bugt Capacity" dataDxfId="214" dataCellStyle="Percent"/>
    <tableColumn id="40" xr3:uid="{0F8D3801-B25E-442E-BE52-FF0C12B41C1F}" name="CC*Bugt" dataDxfId="213" dataCellStyle="Percent"/>
    <tableColumn id="41" xr3:uid="{31D6D41A-3D7E-4824-AF76-0260AE7B8019}" name="Bugt AC Capacity (MW)" dataDxfId="212" dataCellStyle="Comma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211" dataDxfId="209" headerRowBorderDxfId="210" tableBorderDxfId="208" totalsRowBorderDxfId="207">
  <tableColumns count="39">
    <tableColumn id="1" xr3:uid="{00000000-0010-0000-0500-000001000000}" name="Finacial Year" dataDxfId="206">
      <calculatedColumnFormula>YEAR(Inv_SY_D[[#This Row],[Date]])+IF(MONTH(Inv_SY_D[[#This Row],[Date]])&gt;=4,1,0)</calculatedColumnFormula>
    </tableColumn>
    <tableColumn id="2" xr3:uid="{00000000-0010-0000-0500-000002000000}" name="Start Month" dataDxfId="205"/>
    <tableColumn id="3" xr3:uid="{00000000-0010-0000-0500-000003000000}" name="Calendor Year" dataDxfId="204">
      <calculatedColumnFormula>YEAR(Inv_SY_D[[#This Row],[Month Year]])</calculatedColumnFormula>
    </tableColumn>
    <tableColumn id="4" xr3:uid="{00000000-0010-0000-0500-000004000000}" name="Contrcatual Year" dataDxfId="203"/>
    <tableColumn id="5" xr3:uid="{00000000-0010-0000-0500-000005000000}" name="Operating Year" dataDxfId="202"/>
    <tableColumn id="6" xr3:uid="{00000000-0010-0000-0500-000006000000}" name="Month Year" dataDxfId="201">
      <calculatedColumnFormula>TEXT(Inv_SY_D[[#This Row],[Date]],"mmm-yy")</calculatedColumnFormula>
    </tableColumn>
    <tableColumn id="7" xr3:uid="{00000000-0010-0000-0500-000007000000}" name="Days" dataDxfId="200">
      <calculatedColumnFormula>DAY(EOMONTH(Inv_SY_D[[#This Row],[Month Year]],0))</calculatedColumnFormula>
    </tableColumn>
    <tableColumn id="8" xr3:uid="{00000000-0010-0000-0500-000008000000}" name="Date" dataDxfId="199">
      <calculatedColumnFormula>H1+1</calculatedColumnFormula>
    </tableColumn>
    <tableColumn id="9" xr3:uid="{00000000-0010-0000-0500-000009000000}" name="Plant DC Capcity (MW)" dataDxfId="198"/>
    <tableColumn id="10" xr3:uid="{00000000-0010-0000-0500-00000A000000}" name="Inv 1 (630kw) unit 1 wrt avg" dataDxfId="197">
      <calculatedColumnFormula>IFERROR(Inv_SY!#REF!/Inv_SY!#REF!-1,"")</calculatedColumnFormula>
    </tableColumn>
    <tableColumn id="11" xr3:uid="{00000000-0010-0000-0500-00000B000000}" name="Inv 1 (630kw) unit 2 wrt avg" dataDxfId="196">
      <calculatedColumnFormula>IFERROR(Inv_SY!#REF!/Inv_SY!#REF!-1,"")</calculatedColumnFormula>
    </tableColumn>
    <tableColumn id="12" xr3:uid="{00000000-0010-0000-0500-00000C000000}" name="Inv 1 (630kw) unit 3 wrt avg" dataDxfId="195">
      <calculatedColumnFormula>IFERROR(Inv_SY!#REF!/Inv_SY!#REF!-1,"")</calculatedColumnFormula>
    </tableColumn>
    <tableColumn id="13" xr3:uid="{00000000-0010-0000-0500-00000D000000}" name="Inv 1 (630kw) unit 4 wrt avg" dataDxfId="194">
      <calculatedColumnFormula>IFERROR(Inv_SY!#REF!/Inv_SY!#REF!-1,"")</calculatedColumnFormula>
    </tableColumn>
    <tableColumn id="14" xr3:uid="{00000000-0010-0000-0500-00000E000000}" name="Inv 2 (630kw) unit 1 wrt avg" dataDxfId="193">
      <calculatedColumnFormula>IFERROR(Inv_SY!#REF!/Inv_SY!#REF!-1,"")</calculatedColumnFormula>
    </tableColumn>
    <tableColumn id="15" xr3:uid="{00000000-0010-0000-0500-00000F000000}" name="Inv 2 (630kw) unit 2 wrt avg" dataDxfId="192">
      <calculatedColumnFormula>IFERROR(Inv_SY!#REF!/Inv_SY!#REF!-1,"")</calculatedColumnFormula>
    </tableColumn>
    <tableColumn id="16" xr3:uid="{00000000-0010-0000-0500-000010000000}" name="Inv 2 (630kw) unit 3 wrt avg" dataDxfId="191">
      <calculatedColumnFormula>IFERROR(Inv_SY!#REF!/Inv_SY!#REF!-1,"")</calculatedColumnFormula>
    </tableColumn>
    <tableColumn id="17" xr3:uid="{00000000-0010-0000-0500-000011000000}" name="Inv 2 (630kw) unit 4 wrt avg" dataDxfId="190">
      <calculatedColumnFormula>IFERROR(Inv_SY!#REF!/Inv_SY!#REF!-1,"")</calculatedColumnFormula>
    </tableColumn>
    <tableColumn id="18" xr3:uid="{00000000-0010-0000-0500-000012000000}" name="Inv 3 (630kw) unit 1 wrt avg" dataDxfId="189">
      <calculatedColumnFormula>IFERROR(Inv_SY!#REF!/Inv_SY!#REF!-1,"")</calculatedColumnFormula>
    </tableColumn>
    <tableColumn id="19" xr3:uid="{00000000-0010-0000-0500-000013000000}" name="Inv 3 (630kw) unit 2 wrt avg" dataDxfId="188">
      <calculatedColumnFormula>IFERROR(Inv_SY!#REF!/Inv_SY!#REF!-1,"")</calculatedColumnFormula>
    </tableColumn>
    <tableColumn id="20" xr3:uid="{00000000-0010-0000-0500-000014000000}" name="Inv 3 (630kw) unit 3 wrt avg" dataDxfId="187">
      <calculatedColumnFormula>IFERROR(Inv_SY!#REF!/Inv_SY!#REF!-1,"")</calculatedColumnFormula>
    </tableColumn>
    <tableColumn id="21" xr3:uid="{00000000-0010-0000-0500-000015000000}" name="Inv 3 (630kw) unit 4 wrt avg" dataDxfId="186">
      <calculatedColumnFormula>IFERROR(Inv_SY!#REF!/Inv_SY!#REF!-1,"")</calculatedColumnFormula>
    </tableColumn>
    <tableColumn id="22" xr3:uid="{00000000-0010-0000-0500-000016000000}" name="Inv 1 (630kw) unit 1 wrt max" dataDxfId="185">
      <calculatedColumnFormula>IFERROR(Inv_SY!#REF!/Inv_SY!#REF!-1,"")</calculatedColumnFormula>
    </tableColumn>
    <tableColumn id="23" xr3:uid="{00000000-0010-0000-0500-000017000000}" name="Inv 1 (630kw) unit 2 wrt max" dataDxfId="184">
      <calculatedColumnFormula>IFERROR(Inv_SY!#REF!/Inv_SY!#REF!-1,"")</calculatedColumnFormula>
    </tableColumn>
    <tableColumn id="24" xr3:uid="{00000000-0010-0000-0500-000018000000}" name="Inv 1 (630kw) unit 3 wrt max" dataDxfId="183">
      <calculatedColumnFormula>IFERROR(Inv_SY!#REF!/Inv_SY!#REF!-1,"")</calculatedColumnFormula>
    </tableColumn>
    <tableColumn id="25" xr3:uid="{00000000-0010-0000-0500-000019000000}" name="Inv 1 (630kw) unit 4 wrt max" dataDxfId="182">
      <calculatedColumnFormula>IFERROR(Inv_SY!#REF!/Inv_SY!#REF!-1,"")</calculatedColumnFormula>
    </tableColumn>
    <tableColumn id="26" xr3:uid="{00000000-0010-0000-0500-00001A000000}" name="Inv 2 (630kw) unit 1 wrt max" dataDxfId="181">
      <calculatedColumnFormula>IFERROR(Inv_SY!#REF!/Inv_SY!#REF!-1,"")</calculatedColumnFormula>
    </tableColumn>
    <tableColumn id="27" xr3:uid="{00000000-0010-0000-0500-00001B000000}" name="Inv 2 (630kw) unit 2 wrt max" dataDxfId="180">
      <calculatedColumnFormula>IFERROR(Inv_SY!#REF!/Inv_SY!#REF!-1,"")</calculatedColumnFormula>
    </tableColumn>
    <tableColumn id="28" xr3:uid="{00000000-0010-0000-0500-00001C000000}" name="Inv 2 (630kw) unit 3 wrt max" dataDxfId="179">
      <calculatedColumnFormula>IFERROR(Inv_SY!#REF!/Inv_SY!#REF!-1,"")</calculatedColumnFormula>
    </tableColumn>
    <tableColumn id="29" xr3:uid="{00000000-0010-0000-0500-00001D000000}" name="Inv 2 (630kw) unit 4 wrt max" dataDxfId="178">
      <calculatedColumnFormula>IFERROR(Inv_SY!#REF!/Inv_SY!#REF!-1,"")</calculatedColumnFormula>
    </tableColumn>
    <tableColumn id="30" xr3:uid="{00000000-0010-0000-0500-00001E000000}" name="Inv 3 (630kw) unit 1 wrt max" dataDxfId="177">
      <calculatedColumnFormula>IFERROR(Inv_SY!#REF!/Inv_SY!#REF!-1,"")</calculatedColumnFormula>
    </tableColumn>
    <tableColumn id="31" xr3:uid="{00000000-0010-0000-0500-00001F000000}" name="Inv 3 (630kw) unit 2 wrt max" dataDxfId="176">
      <calculatedColumnFormula>IFERROR(Inv_SY!#REF!/Inv_SY!#REF!-1,"")</calculatedColumnFormula>
    </tableColumn>
    <tableColumn id="32" xr3:uid="{00000000-0010-0000-0500-000020000000}" name="Inv 3 (630kw) unit 3 wrt max" dataDxfId="175">
      <calculatedColumnFormula>IFERROR(Inv_SY!#REF!/Inv_SY!#REF!-1,"")</calculatedColumnFormula>
    </tableColumn>
    <tableColumn id="33" xr3:uid="{00000000-0010-0000-0500-000021000000}" name="Inv 3 (630kw) unit 4 wrt max" dataDxfId="174">
      <calculatedColumnFormula>IFERROR(Inv_SY!#REF!/Inv_SY!#REF!-1,"")</calculatedColumnFormula>
    </tableColumn>
    <tableColumn id="34" xr3:uid="{00000000-0010-0000-0500-000022000000}" name="Inv1 wrt avg" dataDxfId="173">
      <calculatedColumnFormula>IFERROR(Inv_SY!#REF!/Inv_SY!#REF!-1,"")</calculatedColumnFormula>
    </tableColumn>
    <tableColumn id="35" xr3:uid="{00000000-0010-0000-0500-000023000000}" name="Inv2 wrt avg" dataDxfId="172">
      <calculatedColumnFormula>IFERROR(Inv_SY!#REF!/Inv_SY!#REF!-1,"")</calculatedColumnFormula>
    </tableColumn>
    <tableColumn id="36" xr3:uid="{00000000-0010-0000-0500-000024000000}" name="Inv3 wrt avg" dataDxfId="171">
      <calculatedColumnFormula>IFERROR(Inv_SY!#REF!/Inv_SY!#REF!-1,"")</calculatedColumnFormula>
    </tableColumn>
    <tableColumn id="37" xr3:uid="{00000000-0010-0000-0500-000025000000}" name="Inv1 wrt Max" dataDxfId="170">
      <calculatedColumnFormula>IFERROR(Inv_SY!#REF!/Inv_SY!#REF!-1,"")</calculatedColumnFormula>
    </tableColumn>
    <tableColumn id="38" xr3:uid="{00000000-0010-0000-0500-000026000000}" name="Inv2 wrt Max" dataDxfId="169">
      <calculatedColumnFormula>IFERROR(Inv_SY!#REF!/Inv_SY!#REF!-1,"")</calculatedColumnFormula>
    </tableColumn>
    <tableColumn id="39" xr3:uid="{00000000-0010-0000-0500-000027000000}" name="Inv3 wrt Max" dataDxfId="168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E9EBD0A-AC29-402A-98CF-D6858110D661}" name="Plant_BD" displayName="Plant_BD" ref="A1:AP53" totalsRowShown="0" headerRowDxfId="167" dataDxfId="165" headerRowBorderDxfId="166" tableBorderDxfId="164" totalsRowBorderDxfId="163">
  <tableColumns count="42">
    <tableColumn id="1" xr3:uid="{10BE4B99-1323-4E27-A6EF-1608E3A487C5}" name="Sr. No." dataDxfId="162"/>
    <tableColumn id="34" xr3:uid="{06FB95D0-179E-4FDA-951F-4373D1A3D4D9}" name="Date" dataDxfId="161"/>
    <tableColumn id="2" xr3:uid="{4CF77148-BAC8-4374-A1B2-D9690A685B7B}" name="Financial Year" dataDxfId="160">
      <calculatedColumnFormula>YEAR(Plant_BD[[#This Row],[Date]])+IF(MONTH(Plant_BD[[#This Row],[Date]])&gt;=4,1,0)</calculatedColumnFormula>
    </tableColumn>
    <tableColumn id="3" xr3:uid="{090F3EBA-98AF-46AA-8F2F-612641AE7C0F}" name="Calendar Year" dataDxfId="159">
      <calculatedColumnFormula>YEAR(Plant_BD[[#This Row],[Date]])</calculatedColumnFormula>
    </tableColumn>
    <tableColumn id="4" xr3:uid="{5872647D-5D7A-444E-BEC3-54D20EAF5A41}" name="Contractual Year" dataDxfId="158"/>
    <tableColumn id="5" xr3:uid="{610F7022-18C1-45FC-B6CE-ACD25DB4F9C5}" name="Operating Year" dataDxfId="157"/>
    <tableColumn id="6" xr3:uid="{F3DA3797-DFFF-4C3B-8270-10AA5E22A6A4}" name="Month Year" dataDxfId="156">
      <calculatedColumnFormula>Plant_BD[[#This Row],[Date]]-DAY(Plant_BD[[#This Row],[Date]])+1</calculatedColumnFormula>
    </tableColumn>
    <tableColumn id="7" xr3:uid="{44479C39-AEDF-4653-B31E-AB95B8EE1AEF}" name="Days" dataDxfId="155">
      <calculatedColumnFormula>DAY(EOMONTH(Plant_BD[[#This Row],[Month Year]],0))</calculatedColumnFormula>
    </tableColumn>
    <tableColumn id="26" xr3:uid="{8E8E528D-8B0F-4D48-BDD4-DB2522DF43D8}" name="Sunrise Time (POA&gt;20 W/m2)" dataDxfId="154">
      <calculatedColumnFormula>IFERROR(_xlfn.XLOOKUP(Plant_BD[[#This Row],[Date]],'Raw Data'!$G:$G,'Raw Data'!$I:$I),"")</calculatedColumnFormula>
    </tableColumn>
    <tableColumn id="27" xr3:uid="{61D2DDB0-ABF4-41DA-B85A-C9BE372B44F2}" name="Sunset Time (POA&lt;20 W/m2)" dataDxfId="153">
      <calculatedColumnFormula>IFERROR(_xlfn.XLOOKUP(Plant_BD[[#This Row],[Date]],'Raw Data'!$G:$G,'Raw Data'!$J:$J),"")</calculatedColumnFormula>
    </tableColumn>
    <tableColumn id="28" xr3:uid="{84C740FF-3F75-4F8D-BA94-526136AC6E54}" name="Total Generation Time" dataDxfId="152">
      <calculatedColumnFormula>IFERROR((Plant_BD[[#This Row],[Sunset Time (POA&lt;20 W/m2)]]-Plant_BD[[#This Row],[Sunrise Time (POA&gt;20 W/m2)]])*24,"")</calculatedColumnFormula>
    </tableColumn>
    <tableColumn id="42" xr3:uid="{FAD50877-5DBA-4CD5-AB67-9553404BE970}" name="Inverter  Station Number (if Bd in filed)" dataDxfId="151"/>
    <tableColumn id="41" xr3:uid="{4C7DF91E-32E4-46AF-9443-53B3967D3260}" name="Inverter number (If Inv, SCb or Str BD)" dataDxfId="150"/>
    <tableColumn id="40" xr3:uid="{C3CF9028-20BA-41F2-8E02-1A0DF6376F47}" name="Inverter Module Number" dataDxfId="149"/>
    <tableColumn id="39" xr3:uid="{3DAA8C2B-9A93-482F-B2B2-4CDB78FEA7FE}" name="SCB Number (If SCB or Str BD)" dataDxfId="148"/>
    <tableColumn id="38" xr3:uid="{17E07816-8040-431C-BB0D-CE28413E620D}" name="String Type(If String BD)" dataDxfId="147"/>
    <tableColumn id="37" xr3:uid="{D541981A-EE16-4514-B7F9-8BD4905C85AC}" name="Equipment (If any BD other than PV  array and inv)" dataDxfId="146"/>
    <tableColumn id="36" xr3:uid="{615CDF37-E676-4F13-91B7-D2878C304499}" name="C1" dataDxfId="145"/>
    <tableColumn id="35" xr3:uid="{9CDAEBBE-84BA-4E5E-86E9-2C6F12876813}" name="C2" dataDxfId="144"/>
    <tableColumn id="9" xr3:uid="{917944F5-6934-4AC2-BD51-9ACA86BEBB38}" name="Affected Equipment" dataDxfId="143"/>
    <tableColumn id="10" xr3:uid="{2757F1F4-7419-4FE6-8F18-21862097FEC0}" name="DC Capacity Affected (kW)" dataDxfId="142">
      <calculatedColumnFormula>_xlfn.XLOOKUP(Plant_BD[[#This Row],[Affected Equipment]],'Basic Data'!$A:$A,'Basic Data'!$B:$B)</calculatedColumnFormula>
    </tableColumn>
    <tableColumn id="29" xr3:uid="{9B1641A2-127C-47CB-860F-3C01C085B26E}" name="Plant Equivalent Weightage" dataDxfId="141">
      <calculatedColumnFormula>_xlfn.XLOOKUP(Plant_BD[[#This Row],[Affected Equipment]],'Basic Data'!$A:$A,'Basic Data'!$C:$C)</calculatedColumnFormula>
    </tableColumn>
    <tableColumn id="11" xr3:uid="{CD506E28-06E4-4258-ACB5-79217BB03244}" name="Affected Equipment Location" dataDxfId="140"/>
    <tableColumn id="12" xr3:uid="{B7BE5680-0DF2-4CB3-B244-CBA8D4FCD955}" name="Fault Category" dataDxfId="139"/>
    <tableColumn id="13" xr3:uid="{7A596FAE-75A6-4A30-AD59-BAAA817F80C1}" name="Fault Code (As per HMI)" dataDxfId="138"/>
    <tableColumn id="14" xr3:uid="{593F87F5-5426-43D2-8DEF-001BEDA26C9E}" name="Breakdown Description" dataDxfId="137"/>
    <tableColumn id="15" xr3:uid="{74FC4779-CF38-4301-9FCB-ED05C90E2A18}" name="Fault Time" dataDxfId="136"/>
    <tableColumn id="16" xr3:uid="{AA226F8E-CE5A-4B29-AB3A-9F499747B6BA}" name="Acknowledgement Time " dataDxfId="135"/>
    <tableColumn id="17" xr3:uid="{AC109518-690E-4C97-BF65-DAA4733386D2}" name="Work Start time on Fault" dataDxfId="134"/>
    <tableColumn id="18" xr3:uid="{100CF59B-A155-4678-B00F-D8646182AF8A}" name="Work Completion time on fault" dataDxfId="133"/>
    <tableColumn id="19" xr3:uid="{B4C2E062-ECAB-40FA-BC3C-422C6E2899D4}" name="Acknowledgement time" dataDxfId="132"/>
    <tableColumn id="20" xr3:uid="{77741663-485B-45FA-A74E-A2440D023B7A}" name="Response Time" dataDxfId="131"/>
    <tableColumn id="21" xr3:uid="{95B1CBC5-C43A-4660-98E9-506D6CA99F72}" name="Resolution Time" dataDxfId="130">
      <calculatedColumnFormula>(Plant_BD[[#This Row],[Work Completion time on fault]]-Plant_BD[[#This Row],[Fault Time]])*24</calculatedColumnFormula>
    </tableColumn>
    <tableColumn id="30" xr3:uid="{C94B4DF2-80E1-4DF7-B61C-5A7A2A6DD1AA}" name="Breakdown Time" dataDxfId="129">
      <calculatedColumnFormula>IFERROR((Plant_BD[[#This Row],[Work Completion time on fault]]-Plant_BD[[#This Row],[Fault Time]])*24,"")</calculatedColumnFormula>
    </tableColumn>
    <tableColumn id="22" xr3:uid="{2583B4DA-EC97-486F-BEC3-BE2D80308812}" name="Action taken" dataDxfId="128"/>
    <tableColumn id="23" xr3:uid="{A0F10E77-59A3-4F1B-9D83-A36D8D62D65D}" name="Status" dataDxfId="127"/>
    <tableColumn id="31" xr3:uid="{2DE6698A-FE8C-4E0C-87C6-AD99D448BF52}" name="Plant Equivalent breakdown" dataDxfId="126">
      <calculatedColumnFormula>IFERROR(Plant_BD[[#This Row],[Breakdown Time]]*Plant_BD[[#This Row],[Plant Equivalent Weightage]],"")</calculatedColumnFormula>
    </tableColumn>
    <tableColumn id="25" xr3:uid="{41A19EC5-411C-4893-B8E4-02243FC52E06}" name="Lost PoA(kWh/m2)" dataDxfId="125"/>
    <tableColumn id="24" xr3:uid="{DDE3B4D5-DE63-4E2E-B8C2-148DF20F6B84}" name="Approximate Energy Loss (KWh)" dataDxfId="124">
      <calculatedColumnFormula>IFERROR((_xlfn.XLOOKUP(Plant_BD[[#This Row],[Month Year]],'Modelling New'!$D:$D,'Modelling New'!$O:$O)*Plant_BD[[#This Row],[Lost PoA(kWh/m2)]]*Plant_BD[[#This Row],[DC Capacity Affected (kW)]]),"")</calculatedColumnFormula>
    </tableColumn>
    <tableColumn id="32" xr3:uid="{55D9AAE3-73DB-4675-996F-545CB8042080}" name="Job Card No." dataDxfId="123"/>
    <tableColumn id="33" xr3:uid="{FAE2FC6E-542E-49EC-9A32-AA26D9C11E2C}" name="PTW No." dataDxfId="122"/>
    <tableColumn id="43" xr3:uid="{327E2D83-4B67-4FB2-809D-1FE47D3D1946}" name="Scope" dataDxfId="12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AA14E-B607-435F-B887-34C62E614185}" name="Grid_BD" displayName="Grid_BD" ref="A1:AE45" totalsRowShown="0" headerRowDxfId="120" dataDxfId="119">
  <autoFilter ref="A1:AE45" xr:uid="{2338FC6F-6E6F-4DF9-89B3-6B5E6C20CC58}"/>
  <tableColumns count="31">
    <tableColumn id="1" xr3:uid="{4A0F5754-08C1-455C-B349-256EA74EC009}" name="Sr. No." dataDxfId="118"/>
    <tableColumn id="2" xr3:uid="{A191B19C-72CA-4D4D-9B52-0680982E5DFE}" name="Date" dataDxfId="117"/>
    <tableColumn id="3" xr3:uid="{EC36B324-C5CA-4277-90F0-67F5C75EEAA8}" name="Financial Year" dataDxfId="116">
      <calculatedColumnFormula>YEAR(Grid_BD[[#This Row],[Date]])+IF(MONTH(Grid_BD[[#This Row],[Date]])&gt;=4,1,0)</calculatedColumnFormula>
    </tableColumn>
    <tableColumn id="4" xr3:uid="{0FE5590E-E4E1-4434-BA01-76D3E1FEF83A}" name="Calendar Year" dataDxfId="115">
      <calculatedColumnFormula>YEAR(Grid_BD[[#This Row],[Date]])</calculatedColumnFormula>
    </tableColumn>
    <tableColumn id="5" xr3:uid="{0C10A236-043F-4C74-A4F1-432B42BB5731}" name="Contractual Year" dataDxfId="114"/>
    <tableColumn id="6" xr3:uid="{625908B5-EFCA-48F5-BF92-71EDEAC841D7}" name="Operating Year" dataDxfId="113"/>
    <tableColumn id="7" xr3:uid="{6FAEA91C-1B3C-49EE-BB3B-134A527EA874}" name="Month Year" dataDxfId="112">
      <calculatedColumnFormula>Grid_BD[[#This Row],[Date]]-DAY(Grid_BD[[#This Row],[Date]])+1</calculatedColumnFormula>
    </tableColumn>
    <tableColumn id="8" xr3:uid="{B8A691C4-557A-4276-A14B-A703D59280BF}" name="Days" dataDxfId="111">
      <calculatedColumnFormula>DAY(EOMONTH(Grid_BD[[#This Row],[Month Year]],0))</calculatedColumnFormula>
    </tableColumn>
    <tableColumn id="9" xr3:uid="{90D526C8-E0DE-4D5B-80E9-01DA4A301D6F}" name="Sunrise Time (POA&gt;20 W/m2)" dataDxfId="110">
      <calculatedColumnFormula>_xlfn.XLOOKUP(Grid_BD[[#This Row],[Date]],'Raw Data'!$G:$G,'Raw Data'!$I:$I)</calculatedColumnFormula>
    </tableColumn>
    <tableColumn id="10" xr3:uid="{F88D005E-BC5F-4243-85EB-0828910055F6}" name="Sunset Time (POA&lt;20 W/m2)" dataDxfId="109">
      <calculatedColumnFormula>_xlfn.XLOOKUP(Grid_BD[[#This Row],[Date]],'Raw Data'!$G:$G,'Raw Data'!$J:$J)</calculatedColumnFormula>
    </tableColumn>
    <tableColumn id="11" xr3:uid="{7C665F6A-0EA4-4880-9510-0C6EA5E08CA4}" name="Total Generation Time" dataDxfId="108">
      <calculatedColumnFormula>IFERROR((Grid_BD[[#This Row],[Sunset Time (POA&lt;20 W/m2)]]-Grid_BD[[#This Row],[Sunrise Time (POA&gt;20 W/m2)]])*24,"")</calculatedColumnFormula>
    </tableColumn>
    <tableColumn id="20" xr3:uid="{2880F329-8526-4E83-85FE-8DCC64946AD7}" name="Affected Equipment " dataDxfId="107"/>
    <tableColumn id="21" xr3:uid="{F13BC1A9-DB4F-432F-AE3A-65E1A54D7A79}" name="DC Capacity Affected (kW)" dataDxfId="106">
      <calculatedColumnFormula>_xlfn.XLOOKUP(Grid_BD[[#This Row],[Affected Equipment ]],'Basic Data'!$A:$A,'Basic Data'!$B:$B)</calculatedColumnFormula>
    </tableColumn>
    <tableColumn id="22" xr3:uid="{7621DFD6-4FD9-44DE-9A8D-D7E15A37EE7D}" name="Plant Equivalent Weightage" dataDxfId="105" dataCellStyle="Percent">
      <calculatedColumnFormula>_xlfn.XLOOKUP(Grid_BD[[#This Row],[Affected Equipment ]],'Basic Data'!$A:$A,'Basic Data'!$C:$C)</calculatedColumnFormula>
    </tableColumn>
    <tableColumn id="23" xr3:uid="{60076EA0-4835-4889-88B3-49C579E4E580}" name="Affected Equipment Location" dataDxfId="104"/>
    <tableColumn id="24" xr3:uid="{6B914314-B5F4-4CAD-9778-35E55EC35D63}" name="Fault Category" dataDxfId="103"/>
    <tableColumn id="25" xr3:uid="{27AE8EE9-34E7-441E-B000-8BC5E59D2D9D}" name="Fault Code (As per HMI)" dataDxfId="102"/>
    <tableColumn id="26" xr3:uid="{CB03B332-CF51-459A-8285-BFA7EB294827}" name="Breakdown Description" dataDxfId="101"/>
    <tableColumn id="27" xr3:uid="{C1ABCE2F-22B9-4DAA-A2CF-E2663AF9DD6A}" name="Fault Time" dataDxfId="100"/>
    <tableColumn id="28" xr3:uid="{08B13E44-D6BF-4F22-B14E-8ACE99B53ECC}" name="Acknowledgement Time " dataDxfId="99"/>
    <tableColumn id="29" xr3:uid="{DC75A1AC-C14B-46BB-A663-517EF6401F21}" name="Work Start time on Fault" dataDxfId="98"/>
    <tableColumn id="30" xr3:uid="{D8C49C73-1B60-4303-A1B2-9A66E33BF82D}" name="Work Completion time on fault" dataDxfId="97"/>
    <tableColumn id="31" xr3:uid="{74E32C79-FC0B-402A-8E1E-F997B4A249B7}" name="Acknowledgement time" dataDxfId="96"/>
    <tableColumn id="32" xr3:uid="{80256E3A-34E6-4252-AD5C-C79F0D53CAB3}" name="Response Time" dataDxfId="95"/>
    <tableColumn id="33" xr3:uid="{83C832C6-46E5-4C50-A207-54F76F575B5A}" name="Resolution Time" dataDxfId="94">
      <calculatedColumnFormula>(Grid_BD[[#This Row],[Work Completion time on fault]]-Grid_BD[[#This Row],[Fault Time]])*24</calculatedColumnFormula>
    </tableColumn>
    <tableColumn id="34" xr3:uid="{54929C1C-FC64-403F-8EDC-8F66BF9BD4C7}" name="Breakdown Time" dataDxfId="93">
      <calculatedColumnFormula>(Grid_BD[[#This Row],[Work Completion time on fault]]-Grid_BD[[#This Row],[Fault Time]])*24</calculatedColumnFormula>
    </tableColumn>
    <tableColumn id="35" xr3:uid="{2975132F-662F-4AC5-95E2-CE3CED021EA2}" name="Action taken" dataDxfId="92"/>
    <tableColumn id="36" xr3:uid="{DCBD393D-EE8A-46D1-9F33-00A4343C9146}" name="Status" dataDxfId="91"/>
    <tableColumn id="37" xr3:uid="{3394D5E1-652E-4AB7-A985-7649F86B985E}" name="Plant Equivalent breakdown" dataDxfId="90">
      <calculatedColumnFormula>IFERROR(Grid_BD[[#This Row],[Plant Equivalent Weightage]]*Grid_BD[[#This Row],[Resolution Time]],"")</calculatedColumnFormula>
    </tableColumn>
    <tableColumn id="38" xr3:uid="{27EE9CDE-0C6C-4813-8E4D-27FBD7985508}" name="Lost PoA(kWh/m2)" dataDxfId="89"/>
    <tableColumn id="39" xr3:uid="{E0E595C9-4394-4BD9-9C52-E165AEBC6218}" name="Approximate Energy Loss (KWh)" dataDxfId="88">
      <calculatedColumnFormula>IFERROR(_xlfn.XLOOKUP(Grid_BD[[#This Row],[Month Year]],'Modelling New'!$D:$D,'Modelling New'!$O:$O)*Grid_BD[[#This Row],[Lost PoA(kWh/m2)]]*Grid_BD[[#This Row],[DC Capacity Affected (kW)]],"")</calculatedColumnFormula>
    </tableColumn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81AC6D9-F8F7-49C4-90E1-7C6E104D972E}" name="Curtailment" displayName="Curtailment" ref="A1:U5" totalsRowShown="0" headerRowDxfId="87" dataDxfId="85" headerRowBorderDxfId="86" tableBorderDxfId="84" totalsRowBorderDxfId="83">
  <autoFilter ref="A1:U5" xr:uid="{81D9D1A4-A742-4DB9-9425-E2BA7E48A461}"/>
  <tableColumns count="21">
    <tableColumn id="1" xr3:uid="{9EC755A9-C276-464A-BC42-E16D995092CD}" name="Sr. No" dataDxfId="82"/>
    <tableColumn id="2" xr3:uid="{88BD4B8E-9620-43F9-A2E3-BD2C06D4EA87}" name="Month" dataDxfId="81">
      <calculatedColumnFormula>Curtailment[[#This Row],[Date]]-DAY(Curtailment[[#This Row],[Date]])+1</calculatedColumnFormula>
    </tableColumn>
    <tableColumn id="3" xr3:uid="{F217A4C7-61B0-455E-B808-02BE75A3ABE3}" name="Date" dataDxfId="80"/>
    <tableColumn id="4" xr3:uid="{FA1176EC-A7FA-4E4E-BDBD-FAE57A8647BB}" name="Plant Name" dataDxfId="79"/>
    <tableColumn id="5" xr3:uid="{AA045FB5-0889-4328-AA2C-39AD16345A85}" name="Category" dataDxfId="78"/>
    <tableColumn id="6" xr3:uid="{3DDC73D5-7CE2-451E-BED8-288A0F10DACF}" name="Equipment Name" dataDxfId="77"/>
    <tableColumn id="7" xr3:uid="{2B6626C6-4591-4CEA-857D-2D8C6CCAC98C}" name="Inverter No." dataDxfId="76"/>
    <tableColumn id="8" xr3:uid="{F03AF0A3-D9C4-4D65-8D19-D028D587628E}" name="From" dataDxfId="75"/>
    <tableColumn id="9" xr3:uid="{13EF28D8-C19D-44A7-8A6D-D1EF46B03E33}" name="To" dataDxfId="74"/>
    <tableColumn id="10" xr3:uid="{D0EC50A0-0687-4C18-8687-93130A4B4C5D}" name="Duration in MIN" dataDxfId="73">
      <calculatedColumnFormula>I2-H2</calculatedColumnFormula>
    </tableColumn>
    <tableColumn id="11" xr3:uid="{1F4AAC97-8D35-438F-AAF3-802C2CE69084}" name="Total Breakdown Hrs." dataDxfId="72">
      <calculatedColumnFormula>(J2/0.041677)</calculatedColumnFormula>
    </tableColumn>
    <tableColumn id="12" xr3:uid="{31054052-7AFD-4819-8478-805E67D2814B}" name="Avg POA During BD time" dataDxfId="71"/>
    <tableColumn id="13" xr3:uid="{A6A44E08-ACBF-4FF0-B99C-557DB3E2C97B}" name="Lost POA" dataDxfId="70"/>
    <tableColumn id="14" xr3:uid="{D6683FC3-6C07-40A5-83A7-13B112C858E4}" name="Total POA " dataDxfId="69"/>
    <tableColumn id="15" xr3:uid="{32D293B7-04ED-436E-8A1A-E1A806C3B865}" name="Net POA" dataDxfId="68">
      <calculatedColumnFormula>(N2-M2)</calculatedColumnFormula>
    </tableColumn>
    <tableColumn id="16" xr3:uid="{C7B89E9A-1FD1-4F08-B319-F5CADAE92E56}" name="Loss of Capacity in KWp" dataDxfId="67"/>
    <tableColumn id="17" xr3:uid="{A74535FA-1D7D-4474-A0A4-B70892894620}" name="Estimated PR % (Pvsyst)" dataDxfId="66" dataCellStyle="Percent"/>
    <tableColumn id="18" xr3:uid="{3DCCF1FD-6120-4962-94A0-15B4F7C6B54B}" name="Loss of Generation kWh" dataDxfId="65" dataCellStyle="Comma">
      <calculatedColumnFormula>(M2*P2*Q2)/100</calculatedColumnFormula>
    </tableColumn>
    <tableColumn id="19" xr3:uid="{6A9DCE12-F133-40B8-90EB-FE01AFA69FFC}" name="Remark" dataDxfId="64"/>
    <tableColumn id="20" xr3:uid="{29453AF8-4527-428C-8F6A-CE645EEC6DF8}" name="Current Load befor Load Sheeding (AC MW)" dataDxfId="63"/>
    <tableColumn id="21" xr3:uid="{46102FBD-FA94-4CCE-968A-936F8D772B63}" name="Load to be maintain (AC Mw)" dataDxfId="6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38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40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B4" sqref="B4:F4"/>
    </sheetView>
  </sheetViews>
  <sheetFormatPr defaultColWidth="8.5703125" defaultRowHeight="15" x14ac:dyDescent="0.25"/>
  <cols>
    <col min="1" max="1" width="14.42578125" style="35" customWidth="1"/>
    <col min="2" max="2" width="17.42578125" style="35" bestFit="1" customWidth="1"/>
    <col min="3" max="5" width="13.85546875" style="35" customWidth="1"/>
    <col min="6" max="6" width="57.140625" style="35" customWidth="1"/>
    <col min="7" max="16384" width="8.5703125" style="35"/>
  </cols>
  <sheetData>
    <row r="1" spans="1:6" ht="15.75" x14ac:dyDescent="0.25">
      <c r="A1" s="259" t="s">
        <v>0</v>
      </c>
      <c r="B1" s="260"/>
      <c r="C1" s="260"/>
      <c r="D1" s="260"/>
      <c r="E1" s="260"/>
      <c r="F1" s="261"/>
    </row>
    <row r="2" spans="1:6" x14ac:dyDescent="0.25">
      <c r="A2" s="68" t="s">
        <v>1</v>
      </c>
      <c r="B2" s="262">
        <v>45870</v>
      </c>
      <c r="C2" s="262"/>
      <c r="D2" s="262"/>
      <c r="E2" s="262"/>
      <c r="F2" s="263"/>
    </row>
    <row r="3" spans="1:6" x14ac:dyDescent="0.25">
      <c r="A3" s="68" t="s">
        <v>2</v>
      </c>
      <c r="B3" s="264">
        <v>45873</v>
      </c>
      <c r="C3" s="264"/>
      <c r="D3" s="264"/>
      <c r="E3" s="264"/>
      <c r="F3" s="265"/>
    </row>
    <row r="4" spans="1:6" x14ac:dyDescent="0.25">
      <c r="A4" s="68" t="s">
        <v>3</v>
      </c>
      <c r="B4" s="266" t="s">
        <v>4</v>
      </c>
      <c r="C4" s="266"/>
      <c r="D4" s="266"/>
      <c r="E4" s="266"/>
      <c r="F4" s="267"/>
    </row>
    <row r="5" spans="1:6" x14ac:dyDescent="0.25">
      <c r="A5" s="68" t="s">
        <v>5</v>
      </c>
      <c r="B5" s="268">
        <v>45748</v>
      </c>
      <c r="C5" s="268"/>
      <c r="D5" s="268"/>
      <c r="E5" s="268"/>
      <c r="F5" s="269"/>
    </row>
    <row r="6" spans="1:6" ht="15.75" thickBot="1" x14ac:dyDescent="0.3">
      <c r="A6" s="69" t="s">
        <v>6</v>
      </c>
      <c r="B6" s="257">
        <v>46112</v>
      </c>
      <c r="C6" s="257"/>
      <c r="D6" s="257"/>
      <c r="E6" s="257"/>
      <c r="F6" s="258"/>
    </row>
    <row r="7" spans="1:6" ht="4.5" customHeight="1" thickBot="1" x14ac:dyDescent="0.3">
      <c r="A7" s="36"/>
      <c r="B7" s="37"/>
      <c r="C7" s="37"/>
      <c r="D7" s="37"/>
      <c r="E7" s="37"/>
      <c r="F7" s="37"/>
    </row>
    <row r="8" spans="1:6" ht="15.75" thickBot="1" x14ac:dyDescent="0.3">
      <c r="A8" s="62" t="s">
        <v>7</v>
      </c>
      <c r="B8" s="63" t="s">
        <v>8</v>
      </c>
      <c r="C8" s="63" t="s">
        <v>9</v>
      </c>
      <c r="D8" s="63" t="s">
        <v>10</v>
      </c>
      <c r="E8" s="63" t="s">
        <v>11</v>
      </c>
      <c r="F8" s="64" t="s">
        <v>12</v>
      </c>
    </row>
    <row r="9" spans="1:6" x14ac:dyDescent="0.25">
      <c r="A9" s="254">
        <v>1</v>
      </c>
      <c r="B9" s="66" t="s">
        <v>13</v>
      </c>
      <c r="C9" s="142">
        <f>_xlfn.XLOOKUP($B$3,'Daily KPI'!$A:$A,'Daily KPI'!$AD:$AD)/1000</f>
        <v>21.483872714890964</v>
      </c>
      <c r="D9" s="143">
        <f>_xlfn.XLOOKUP($B$3,'Daily KPI'!$A:$A,'Daily KPI'!$AA:$AA)/1000</f>
        <v>20.399999999999451</v>
      </c>
      <c r="E9" s="117">
        <f>-(C9-D9)/C9</f>
        <v>-5.0450527671403282E-2</v>
      </c>
      <c r="F9" s="132"/>
    </row>
    <row r="10" spans="1:6" x14ac:dyDescent="0.25">
      <c r="A10" s="255"/>
      <c r="B10" s="65" t="s">
        <v>14</v>
      </c>
      <c r="C10" s="144">
        <f>_xlfn.XLOOKUP($B$2,'Modelling New'!$D:$D,'Modelling New'!U:U)</f>
        <v>85.935490859563856</v>
      </c>
      <c r="D10" s="145">
        <f>'Monthly KPI'!$F$4</f>
        <v>107.09999999999998</v>
      </c>
      <c r="E10" s="118">
        <f t="shared" ref="E10:E11" si="0">-(C10-D10)/C10</f>
        <v>0.24628368243131646</v>
      </c>
      <c r="F10" s="133"/>
    </row>
    <row r="11" spans="1:6" ht="15.75" thickBot="1" x14ac:dyDescent="0.3">
      <c r="A11" s="256"/>
      <c r="B11" s="67" t="s">
        <v>15</v>
      </c>
      <c r="C11" s="144">
        <f>_xlfn.XLOOKUP($B$2,'Modelling New'!$D:$D,'Modelling New'!V:V)</f>
        <v>3243.6078605711677</v>
      </c>
      <c r="D11" s="146">
        <f>'Annual KPI'!$F$4</f>
        <v>3315.3000000000011</v>
      </c>
      <c r="E11" s="119">
        <f t="shared" si="0"/>
        <v>2.2102591469305741E-2</v>
      </c>
      <c r="F11" s="134"/>
    </row>
    <row r="12" spans="1:6" x14ac:dyDescent="0.25">
      <c r="A12" s="254">
        <v>2</v>
      </c>
      <c r="B12" s="66" t="s">
        <v>16</v>
      </c>
      <c r="C12" s="147">
        <f>_xlfn.XLOOKUP($B$3,'Daily KPI'!$A:$A,'Daily KPI'!AF:AF)</f>
        <v>0.12609327292095684</v>
      </c>
      <c r="D12" s="148">
        <f>_xlfn.XLOOKUP($B$3,'Daily KPI'!$A:$A,'Daily KPI'!$W:$W)</f>
        <v>0.1197318007662803</v>
      </c>
      <c r="E12" s="117">
        <f t="shared" ref="E12:E26" si="1">-(C12-D12)/C12</f>
        <v>-5.0450527671403303E-2</v>
      </c>
      <c r="F12" s="135"/>
    </row>
    <row r="13" spans="1:6" x14ac:dyDescent="0.25">
      <c r="A13" s="255"/>
      <c r="B13" s="65" t="s">
        <v>17</v>
      </c>
      <c r="C13" s="149">
        <f>_xlfn.XLOOKUP($B$2,'Modelling New'!$D:$D,'Modelling New'!X:X)</f>
        <v>0.12609327292095684</v>
      </c>
      <c r="D13" s="150">
        <f>'Monthly KPI'!$J$4</f>
        <v>0.1571479885057471</v>
      </c>
      <c r="E13" s="118">
        <f t="shared" si="1"/>
        <v>0.24628368243131649</v>
      </c>
      <c r="F13" s="133"/>
    </row>
    <row r="14" spans="1:6" ht="15.75" thickBot="1" x14ac:dyDescent="0.3">
      <c r="A14" s="256"/>
      <c r="B14" s="67" t="s">
        <v>18</v>
      </c>
      <c r="C14" s="151">
        <f>_xlfn.XLOOKUP($B$2,'Modelling New'!$D:$D,'Modelling New'!Y:Y)</f>
        <v>0.15109049569166599</v>
      </c>
      <c r="D14" s="152">
        <f>'Annual KPI'!$J$4</f>
        <v>0.15442998719283377</v>
      </c>
      <c r="E14" s="119">
        <f t="shared" si="1"/>
        <v>2.2102591469305616E-2</v>
      </c>
      <c r="F14" s="134"/>
    </row>
    <row r="15" spans="1:6" x14ac:dyDescent="0.25">
      <c r="A15" s="254">
        <v>3</v>
      </c>
      <c r="B15" s="66" t="s">
        <v>19</v>
      </c>
      <c r="C15" s="147">
        <f>_xlfn.XLOOKUP($B$3,'Daily KPI'!$A:$A,'Daily KPI'!AE:AE)</f>
        <v>0.73177375236499143</v>
      </c>
      <c r="D15" s="153">
        <f>_xlfn.XLOOKUP($B$3,'Daily KPI'!$A:$A,'Daily KPI'!$U:$U)</f>
        <v>0.77039228375086521</v>
      </c>
      <c r="E15" s="117">
        <f t="shared" si="1"/>
        <v>5.2773867962692081E-2</v>
      </c>
      <c r="F15" s="136"/>
    </row>
    <row r="16" spans="1:6" x14ac:dyDescent="0.25">
      <c r="A16" s="255"/>
      <c r="B16" s="65" t="s">
        <v>20</v>
      </c>
      <c r="C16" s="149">
        <f>'Monthly KPI'!$G$4</f>
        <v>0.73177375236499143</v>
      </c>
      <c r="D16" s="154">
        <f>'Monthly KPI'!$H$4</f>
        <v>0.71094283207124054</v>
      </c>
      <c r="E16" s="118">
        <f t="shared" si="1"/>
        <v>-2.8466339803017309E-2</v>
      </c>
      <c r="F16" s="137"/>
    </row>
    <row r="17" spans="1:6" ht="15.75" thickBot="1" x14ac:dyDescent="0.3">
      <c r="A17" s="256"/>
      <c r="B17" s="67" t="s">
        <v>21</v>
      </c>
      <c r="C17" s="149">
        <f>'Annual KPI'!$G$4</f>
        <v>0.69846868727905254</v>
      </c>
      <c r="D17" s="155">
        <f>'Annual KPI'!$H$4</f>
        <v>0.76032021828223129</v>
      </c>
      <c r="E17" s="119">
        <f t="shared" si="1"/>
        <v>8.8553047730925399E-2</v>
      </c>
      <c r="F17" s="138"/>
    </row>
    <row r="18" spans="1:6" x14ac:dyDescent="0.25">
      <c r="A18" s="254">
        <v>4</v>
      </c>
      <c r="B18" s="66" t="s">
        <v>22</v>
      </c>
      <c r="C18" s="156">
        <f>_xlfn.XLOOKUP($B$3,'Daily KPI'!$A:$A,'Daily KPI'!AC:AC)</f>
        <v>4.1354838709677413</v>
      </c>
      <c r="D18" s="157">
        <f>_xlfn.XLOOKUP($B$3,'Daily KPI'!$A:$A,'Daily KPI'!$I:$I)</f>
        <v>3.73</v>
      </c>
      <c r="E18" s="117">
        <f t="shared" si="1"/>
        <v>-9.8049921996879744E-2</v>
      </c>
      <c r="F18" s="139"/>
    </row>
    <row r="19" spans="1:6" x14ac:dyDescent="0.25">
      <c r="A19" s="255"/>
      <c r="B19" s="65" t="s">
        <v>23</v>
      </c>
      <c r="C19" s="158">
        <f>'Monthly KPI'!$C$4</f>
        <v>16.541935483870965</v>
      </c>
      <c r="D19" s="159">
        <f>'Monthly KPI'!$D$4</f>
        <v>21.22</v>
      </c>
      <c r="E19" s="118">
        <f t="shared" si="1"/>
        <v>0.28280031201248063</v>
      </c>
      <c r="F19" s="137"/>
    </row>
    <row r="20" spans="1:6" ht="15.75" thickBot="1" x14ac:dyDescent="0.3">
      <c r="A20" s="256"/>
      <c r="B20" s="67" t="s">
        <v>24</v>
      </c>
      <c r="C20" s="160">
        <f>'Annual KPI'!$C$4</f>
        <v>654.14193548387084</v>
      </c>
      <c r="D20" s="161">
        <f>'Annual KPI'!$D$4</f>
        <v>614.21</v>
      </c>
      <c r="E20" s="119">
        <f t="shared" si="1"/>
        <v>-6.1044756982799188E-2</v>
      </c>
      <c r="F20" s="140"/>
    </row>
    <row r="21" spans="1:6" x14ac:dyDescent="0.25">
      <c r="A21" s="254">
        <v>5</v>
      </c>
      <c r="B21" s="66" t="s">
        <v>25</v>
      </c>
      <c r="C21" s="162">
        <f>_xlfn.XLOOKUP($B$3,'Daily KPI'!$A:$A,'Daily KPI'!AG:AG)</f>
        <v>0.98040000000000005</v>
      </c>
      <c r="D21" s="153">
        <f>_xlfn.XLOOKUP($B$3,'Daily KPI'!$A:$A,'Daily KPI'!$O:$O)</f>
        <v>1</v>
      </c>
      <c r="E21" s="117">
        <f t="shared" si="1"/>
        <v>1.9991840065279428E-2</v>
      </c>
      <c r="F21" s="139"/>
    </row>
    <row r="22" spans="1:6" x14ac:dyDescent="0.25">
      <c r="A22" s="255"/>
      <c r="B22" s="65" t="s">
        <v>26</v>
      </c>
      <c r="C22" s="163">
        <f>_xlfn.XLOOKUP($B$2,'Modelling New'!$D:$D,'Modelling New'!AE:AE)</f>
        <v>0.98040000000000005</v>
      </c>
      <c r="D22" s="154">
        <f>'Monthly KPI'!$N$4</f>
        <v>1</v>
      </c>
      <c r="E22" s="118">
        <f>-(C22-D22)/C22</f>
        <v>1.9991840065279428E-2</v>
      </c>
      <c r="F22" s="137"/>
    </row>
    <row r="23" spans="1:6" ht="15.75" thickBot="1" x14ac:dyDescent="0.3">
      <c r="A23" s="256"/>
      <c r="B23" s="67" t="s">
        <v>27</v>
      </c>
      <c r="C23" s="163">
        <f>_xlfn.XLOOKUP($B$2,'Modelling New'!$D:$D,'Modelling New'!AE:AE)</f>
        <v>0.98040000000000005</v>
      </c>
      <c r="D23" s="155">
        <f>'Annual KPI'!$N$4</f>
        <v>0.99050946195609413</v>
      </c>
      <c r="E23" s="119">
        <f>-(C23-D23)/C23</f>
        <v>1.0311568702666338E-2</v>
      </c>
      <c r="F23" s="138"/>
    </row>
    <row r="24" spans="1:6" x14ac:dyDescent="0.25">
      <c r="A24" s="254">
        <v>6</v>
      </c>
      <c r="B24" s="66" t="s">
        <v>28</v>
      </c>
      <c r="C24" s="153">
        <f>_xlfn.XLOOKUP($B$3,'Daily KPI'!$A:$A,'Daily KPI'!AH:AH)</f>
        <v>0.98</v>
      </c>
      <c r="D24" s="153">
        <f>_xlfn.XLOOKUP($B$3,'Daily KPI'!$A:$A,'Daily KPI'!$R:$R)</f>
        <v>1</v>
      </c>
      <c r="E24" s="117">
        <f t="shared" si="1"/>
        <v>2.0408163265306142E-2</v>
      </c>
      <c r="F24" s="136"/>
    </row>
    <row r="25" spans="1:6" x14ac:dyDescent="0.25">
      <c r="A25" s="255"/>
      <c r="B25" s="65" t="s">
        <v>29</v>
      </c>
      <c r="C25" s="154">
        <f>_xlfn.XLOOKUP($B$2,'Modelling New'!$D:$D,'Modelling New'!AF:AF)</f>
        <v>0.98</v>
      </c>
      <c r="D25" s="154">
        <f>'Monthly KPI'!$L$4</f>
        <v>0.93094650305819415</v>
      </c>
      <c r="E25" s="118">
        <f t="shared" si="1"/>
        <v>-5.0054588716128397E-2</v>
      </c>
      <c r="F25" s="141"/>
    </row>
    <row r="26" spans="1:6" ht="15.75" thickBot="1" x14ac:dyDescent="0.3">
      <c r="A26" s="256"/>
      <c r="B26" s="67" t="s">
        <v>30</v>
      </c>
      <c r="C26" s="155">
        <f>_xlfn.XLOOKUP($B$2,'Modelling New'!$D:$D,'Modelling New'!AF:AF)</f>
        <v>0.98</v>
      </c>
      <c r="D26" s="155">
        <f>'Annual KPI'!$L$4</f>
        <v>0.98514784155706758</v>
      </c>
      <c r="E26" s="119">
        <f t="shared" si="1"/>
        <v>5.2528995480281638E-3</v>
      </c>
      <c r="F26" s="138"/>
    </row>
  </sheetData>
  <sheetProtection algorithmName="SHA-512" hashValue="tHB4vwsEPWTleF0JbGVdPTSofZdgSCISJ/ujLlhPwZN+/sveztL0oLd5cQuelUzOmLNKzmpfRA3AXkth6Rw6Nw==" saltValue="XeHb7l88/XXY7YBzlAECqw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2" max="2" width="18.85546875" bestFit="1" customWidth="1"/>
    <col min="3" max="3" width="10.42578125" bestFit="1" customWidth="1"/>
    <col min="6" max="6" width="12.7109375" bestFit="1" customWidth="1"/>
  </cols>
  <sheetData>
    <row r="4" spans="2:6" x14ac:dyDescent="0.25">
      <c r="B4" t="s">
        <v>31</v>
      </c>
    </row>
    <row r="6" spans="2:6" x14ac:dyDescent="0.25">
      <c r="B6" s="3" t="s">
        <v>32</v>
      </c>
      <c r="C6" s="3" t="s">
        <v>33</v>
      </c>
      <c r="D6" s="3" t="s">
        <v>9</v>
      </c>
      <c r="E6" s="3" t="s">
        <v>34</v>
      </c>
      <c r="F6" s="3" t="s">
        <v>35</v>
      </c>
    </row>
    <row r="7" spans="2:6" x14ac:dyDescent="0.25">
      <c r="B7" s="3" t="s">
        <v>36</v>
      </c>
      <c r="C7" s="78">
        <f>'Daily Dashboard'!B3</f>
        <v>45873</v>
      </c>
      <c r="D7" s="79">
        <f>'Daily Dashboard'!C9</f>
        <v>21.483872714890964</v>
      </c>
      <c r="E7" s="79">
        <f>'Daily Dashboard'!D9</f>
        <v>20.399999999999451</v>
      </c>
      <c r="F7" s="79">
        <f>D7-E7</f>
        <v>1.0838727148915126</v>
      </c>
    </row>
    <row r="8" spans="2:6" x14ac:dyDescent="0.25">
      <c r="B8" s="3" t="s">
        <v>37</v>
      </c>
      <c r="C8" s="78">
        <f t="shared" ref="C8:C30" si="0">$C$7</f>
        <v>45873</v>
      </c>
      <c r="D8" s="3">
        <v>0</v>
      </c>
      <c r="E8" s="3">
        <v>0</v>
      </c>
      <c r="F8" s="3">
        <v>0</v>
      </c>
    </row>
    <row r="9" spans="2:6" x14ac:dyDescent="0.25">
      <c r="B9" s="3" t="s">
        <v>38</v>
      </c>
      <c r="C9" s="78">
        <f t="shared" si="0"/>
        <v>45873</v>
      </c>
      <c r="D9" s="3">
        <v>0</v>
      </c>
      <c r="E9" s="3">
        <v>0</v>
      </c>
      <c r="F9" s="3">
        <v>0</v>
      </c>
    </row>
    <row r="10" spans="2:6" x14ac:dyDescent="0.25">
      <c r="B10" s="3" t="s">
        <v>39</v>
      </c>
      <c r="C10" s="78">
        <f t="shared" si="0"/>
        <v>45873</v>
      </c>
      <c r="D10" s="3">
        <v>0</v>
      </c>
      <c r="E10" s="3">
        <v>0</v>
      </c>
      <c r="F10" s="3">
        <v>0</v>
      </c>
    </row>
    <row r="11" spans="2:6" x14ac:dyDescent="0.25">
      <c r="B11" s="3" t="s">
        <v>40</v>
      </c>
      <c r="C11" s="78">
        <f t="shared" si="0"/>
        <v>45873</v>
      </c>
      <c r="D11" s="3">
        <v>0</v>
      </c>
      <c r="E11" s="3">
        <v>0</v>
      </c>
      <c r="F11" s="3">
        <v>0</v>
      </c>
    </row>
    <row r="12" spans="2:6" x14ac:dyDescent="0.25">
      <c r="B12" s="3" t="s">
        <v>41</v>
      </c>
      <c r="C12" s="78">
        <f t="shared" si="0"/>
        <v>45873</v>
      </c>
      <c r="D12" s="3">
        <v>0</v>
      </c>
      <c r="E12" s="3">
        <v>0</v>
      </c>
      <c r="F12" s="3">
        <v>0</v>
      </c>
    </row>
    <row r="13" spans="2:6" x14ac:dyDescent="0.25">
      <c r="B13" s="3" t="s">
        <v>42</v>
      </c>
      <c r="C13" s="78">
        <f t="shared" si="0"/>
        <v>45873</v>
      </c>
      <c r="D13" s="3">
        <v>0</v>
      </c>
      <c r="E13" s="3">
        <v>0</v>
      </c>
      <c r="F13" s="3">
        <v>0</v>
      </c>
    </row>
    <row r="14" spans="2:6" x14ac:dyDescent="0.25">
      <c r="B14" s="3" t="s">
        <v>43</v>
      </c>
      <c r="C14" s="78">
        <f t="shared" si="0"/>
        <v>45873</v>
      </c>
      <c r="D14" s="3">
        <v>0</v>
      </c>
      <c r="E14" s="3">
        <v>0</v>
      </c>
      <c r="F14" s="3">
        <v>0</v>
      </c>
    </row>
    <row r="15" spans="2:6" x14ac:dyDescent="0.25">
      <c r="B15" s="3" t="s">
        <v>44</v>
      </c>
      <c r="C15" s="78">
        <f t="shared" si="0"/>
        <v>45873</v>
      </c>
      <c r="D15" s="3">
        <v>0</v>
      </c>
      <c r="E15" s="3">
        <v>0</v>
      </c>
      <c r="F15" s="3">
        <v>0</v>
      </c>
    </row>
    <row r="16" spans="2:6" x14ac:dyDescent="0.25">
      <c r="B16" s="3" t="s">
        <v>45</v>
      </c>
      <c r="C16" s="78">
        <f t="shared" si="0"/>
        <v>45873</v>
      </c>
      <c r="D16" s="3">
        <v>0</v>
      </c>
      <c r="E16" s="3">
        <v>0</v>
      </c>
      <c r="F16" s="3">
        <v>0</v>
      </c>
    </row>
    <row r="17" spans="2:7" x14ac:dyDescent="0.25">
      <c r="B17" s="3" t="s">
        <v>46</v>
      </c>
      <c r="C17" s="78">
        <f t="shared" si="0"/>
        <v>45873</v>
      </c>
      <c r="D17" s="3">
        <v>0</v>
      </c>
      <c r="E17" s="3">
        <v>0</v>
      </c>
      <c r="F17" s="3">
        <v>0</v>
      </c>
    </row>
    <row r="18" spans="2:7" x14ac:dyDescent="0.25">
      <c r="B18" s="3" t="s">
        <v>47</v>
      </c>
      <c r="C18" s="78">
        <f t="shared" si="0"/>
        <v>45873</v>
      </c>
      <c r="D18" s="3">
        <v>0</v>
      </c>
      <c r="E18" s="3">
        <v>0</v>
      </c>
      <c r="F18" s="3">
        <v>0</v>
      </c>
    </row>
    <row r="19" spans="2:7" x14ac:dyDescent="0.25">
      <c r="B19" s="3" t="s">
        <v>48</v>
      </c>
      <c r="C19" s="78">
        <f t="shared" si="0"/>
        <v>45873</v>
      </c>
      <c r="D19" s="3">
        <v>0</v>
      </c>
      <c r="E19" s="3">
        <v>0</v>
      </c>
      <c r="F19" s="3">
        <v>0</v>
      </c>
    </row>
    <row r="20" spans="2:7" x14ac:dyDescent="0.25">
      <c r="B20" s="3" t="s">
        <v>49</v>
      </c>
      <c r="C20" s="78">
        <f t="shared" si="0"/>
        <v>45873</v>
      </c>
      <c r="D20" s="3">
        <v>0</v>
      </c>
      <c r="E20" s="3">
        <v>0</v>
      </c>
      <c r="F20" s="3">
        <v>0</v>
      </c>
    </row>
    <row r="21" spans="2:7" x14ac:dyDescent="0.25">
      <c r="B21" s="3" t="s">
        <v>50</v>
      </c>
      <c r="C21" s="78">
        <f t="shared" si="0"/>
        <v>45873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80">
        <f>(F21/100)*$D$7</f>
        <v>0.42108390521186156</v>
      </c>
    </row>
    <row r="22" spans="2:7" x14ac:dyDescent="0.25">
      <c r="B22" s="3" t="s">
        <v>51</v>
      </c>
      <c r="C22" s="78">
        <f t="shared" si="0"/>
        <v>45873</v>
      </c>
      <c r="D22" s="3">
        <f>'Daily Dashboard'!C24*100</f>
        <v>98</v>
      </c>
      <c r="E22" s="3">
        <f>'Daily Dashboard'!D24*100</f>
        <v>100</v>
      </c>
      <c r="F22" s="3">
        <f>E22-D22</f>
        <v>2</v>
      </c>
      <c r="G22" s="80">
        <f>(F22/100)*$D$7</f>
        <v>0.42967745429781928</v>
      </c>
    </row>
    <row r="23" spans="2:7" x14ac:dyDescent="0.25">
      <c r="B23" s="3" t="s">
        <v>52</v>
      </c>
      <c r="C23" s="78">
        <f t="shared" si="0"/>
        <v>45873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80">
        <f>((F23/100)*$D$7)*20%</f>
        <v>0</v>
      </c>
    </row>
    <row r="24" spans="2:7" x14ac:dyDescent="0.25">
      <c r="B24" s="3" t="s">
        <v>53</v>
      </c>
      <c r="C24" s="78">
        <f t="shared" si="0"/>
        <v>45873</v>
      </c>
      <c r="D24" s="3">
        <v>0</v>
      </c>
      <c r="E24" s="3">
        <v>0</v>
      </c>
      <c r="F24" s="3">
        <v>0</v>
      </c>
    </row>
    <row r="25" spans="2:7" x14ac:dyDescent="0.25">
      <c r="B25" s="3" t="s">
        <v>54</v>
      </c>
      <c r="C25" s="78">
        <f t="shared" si="0"/>
        <v>45873</v>
      </c>
      <c r="D25" s="3">
        <v>0</v>
      </c>
      <c r="E25" s="3">
        <v>0</v>
      </c>
      <c r="F25" s="3">
        <v>0</v>
      </c>
    </row>
    <row r="26" spans="2:7" x14ac:dyDescent="0.25">
      <c r="B26" s="3" t="s">
        <v>10</v>
      </c>
      <c r="C26" s="78">
        <f t="shared" si="0"/>
        <v>45873</v>
      </c>
      <c r="D26" s="81">
        <f>'Daily Dashboard'!$D$9</f>
        <v>20.399999999999451</v>
      </c>
      <c r="E26" s="81">
        <f>'Daily Dashboard'!$D$9</f>
        <v>20.399999999999451</v>
      </c>
      <c r="F26" s="81">
        <f>'Daily Dashboard'!$D$9</f>
        <v>20.399999999999451</v>
      </c>
    </row>
    <row r="27" spans="2:7" x14ac:dyDescent="0.25">
      <c r="B27" s="3" t="s">
        <v>55</v>
      </c>
      <c r="C27" s="78">
        <f t="shared" si="0"/>
        <v>45873</v>
      </c>
      <c r="D27" s="3">
        <v>0</v>
      </c>
      <c r="E27" s="3">
        <v>0</v>
      </c>
      <c r="F27" s="3">
        <v>0</v>
      </c>
    </row>
    <row r="28" spans="2:7" x14ac:dyDescent="0.25">
      <c r="B28" s="3" t="s">
        <v>56</v>
      </c>
      <c r="C28" s="78">
        <f t="shared" si="0"/>
        <v>45873</v>
      </c>
      <c r="D28" s="3">
        <v>0</v>
      </c>
      <c r="E28" s="3">
        <v>0</v>
      </c>
      <c r="F28" s="3">
        <v>0</v>
      </c>
    </row>
    <row r="29" spans="2:7" x14ac:dyDescent="0.25">
      <c r="B29" s="3" t="s">
        <v>57</v>
      </c>
      <c r="C29" s="78">
        <f t="shared" si="0"/>
        <v>45873</v>
      </c>
      <c r="D29" s="3">
        <v>0</v>
      </c>
      <c r="E29" s="79">
        <f>-(F7+G30)+(SUM(G21:G23))</f>
        <v>1.8733806885041202</v>
      </c>
      <c r="F29" s="79">
        <f>E29</f>
        <v>1.8733806885041202</v>
      </c>
    </row>
    <row r="30" spans="2:7" x14ac:dyDescent="0.25">
      <c r="B30" s="3" t="s">
        <v>58</v>
      </c>
      <c r="C30" s="78">
        <f t="shared" si="0"/>
        <v>45873</v>
      </c>
      <c r="D30" s="3">
        <f>'Daily Dashboard'!C18</f>
        <v>4.1354838709677413</v>
      </c>
      <c r="E30" s="82">
        <f>'Daily Dashboard'!D18</f>
        <v>3.73</v>
      </c>
      <c r="F30" s="3">
        <f>E30-D30</f>
        <v>-0.4054838709677413</v>
      </c>
      <c r="G30">
        <f>(F30/D30)*D7</f>
        <v>-2.106492043885952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B14" sqref="B14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8" t="s">
        <v>59</v>
      </c>
      <c r="B1" s="39">
        <f>'Daily Dashboard'!B3</f>
        <v>45873</v>
      </c>
      <c r="C1" s="27">
        <f>'Daily Dashboard'!B2</f>
        <v>45870</v>
      </c>
      <c r="D1" s="50"/>
      <c r="E1" s="50"/>
      <c r="F1" s="50"/>
    </row>
    <row r="2" spans="1:14" ht="21" x14ac:dyDescent="0.25">
      <c r="A2" s="270" t="s">
        <v>60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</row>
    <row r="3" spans="1:14" ht="45" x14ac:dyDescent="0.25">
      <c r="A3" s="29" t="s">
        <v>61</v>
      </c>
      <c r="B3" s="29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  <c r="H3" s="22" t="s">
        <v>68</v>
      </c>
      <c r="I3" s="22" t="s">
        <v>69</v>
      </c>
      <c r="J3" s="22" t="s">
        <v>70</v>
      </c>
      <c r="K3" s="22" t="s">
        <v>71</v>
      </c>
      <c r="L3" s="22" t="s">
        <v>72</v>
      </c>
      <c r="M3" s="22" t="s">
        <v>73</v>
      </c>
      <c r="N3" s="22" t="s">
        <v>74</v>
      </c>
    </row>
    <row r="4" spans="1:14" s="9" customFormat="1" ht="18.600000000000001" customHeight="1" x14ac:dyDescent="0.25">
      <c r="A4" s="116">
        <f>YEAR($B$1)+IF(MONTH($B$1)&gt;=4,1,0)</f>
        <v>2026</v>
      </c>
      <c r="B4" s="30">
        <f>($B$1-'Daily Dashboard'!$B$5)+1</f>
        <v>126</v>
      </c>
      <c r="C4" s="30">
        <f>_xlfn.XLOOKUP($C$1,'Modelling New'!$D:$D,'Modelling New'!$S:$S)</f>
        <v>654.14193548387084</v>
      </c>
      <c r="D4" s="31">
        <f>SUMIFS('Daily KPI'!$I:$I,'Daily KPI'!$B:$B,'Annual KPI'!$A$4,'Daily KPI'!$A:$A,"&lt;="&amp;'Annual KPI'!$B$1)</f>
        <v>614.21</v>
      </c>
      <c r="E4" s="30">
        <f>_xlfn.XLOOKUP($C$1,'Modelling New'!$D:$D,'Modelling New'!V:V)</f>
        <v>3243.6078605711677</v>
      </c>
      <c r="F4" s="31">
        <f>SUMIFS('Daily KPI'!$AA:$AA,'Daily KPI'!$B:$B,'Annual KPI'!A4,'Daily KPI'!$A:$A,"&lt;="&amp;'Annual KPI'!$B$1)/1000</f>
        <v>3315.3000000000011</v>
      </c>
      <c r="G4" s="32">
        <f>IFERROR(E4/C4/'Modelling New'!$AR$1,"")</f>
        <v>0.69846868727905254</v>
      </c>
      <c r="H4" s="33">
        <f>IFERROR(F4/D4/'Modelling New'!$AR$1,"")</f>
        <v>0.76032021828223129</v>
      </c>
      <c r="I4" s="32">
        <f>IFERROR(E4/(B4*24*'Modelling New'!$AR$1),"")</f>
        <v>0.15109049569166599</v>
      </c>
      <c r="J4" s="33">
        <f>IFERROR(F4/(B4*24*'Modelling New'!$AR$1),"")</f>
        <v>0.15442998719283377</v>
      </c>
      <c r="K4" s="32">
        <f>_xlfn.XLOOKUP($C$1,'Modelling New'!$D:$D,'Modelling New'!AF:AF)</f>
        <v>0.98</v>
      </c>
      <c r="L4" s="34">
        <f>AVERAGEIFS('Daily KPI'!$R:$R,'Daily KPI'!$B:$B,'Annual KPI'!$A$4,'Daily KPI'!$A:$A,"&lt;="&amp;'Annual KPI'!$B$1)</f>
        <v>0.98514784155706758</v>
      </c>
      <c r="M4" s="32">
        <f>_xlfn.XLOOKUP($C$1,'Modelling New'!$D:$D,'Modelling New'!AE:AE)</f>
        <v>0.98040000000000005</v>
      </c>
      <c r="N4" s="34">
        <f>AVERAGEIFS('Daily KPI'!$O:$O,'Daily KPI'!$B:$B,'Annual KPI'!$A$4,'Daily KPI'!$A:$A,"&lt;="&amp;'Annual KPI'!$B$1)</f>
        <v>0.99050946195609413</v>
      </c>
    </row>
    <row r="8" spans="1:14" ht="21" x14ac:dyDescent="0.25">
      <c r="A8" s="270" t="s">
        <v>75</v>
      </c>
      <c r="B8" s="270"/>
      <c r="C8" s="270"/>
      <c r="D8" s="270"/>
      <c r="E8" s="270"/>
      <c r="F8" s="270"/>
      <c r="G8" s="270"/>
      <c r="H8" s="270"/>
      <c r="I8" s="270"/>
      <c r="J8" s="270"/>
      <c r="K8" s="270"/>
      <c r="L8" s="270"/>
      <c r="M8" s="270"/>
      <c r="N8" s="270"/>
    </row>
    <row r="9" spans="1:14" ht="45" x14ac:dyDescent="0.25">
      <c r="A9" s="29" t="s">
        <v>61</v>
      </c>
      <c r="B9" s="21" t="s">
        <v>62</v>
      </c>
      <c r="C9" s="22" t="s">
        <v>63</v>
      </c>
      <c r="D9" s="22" t="s">
        <v>64</v>
      </c>
      <c r="E9" s="22" t="s">
        <v>65</v>
      </c>
      <c r="F9" s="22" t="s">
        <v>66</v>
      </c>
      <c r="G9" s="22" t="s">
        <v>67</v>
      </c>
      <c r="H9" s="22" t="s">
        <v>68</v>
      </c>
      <c r="I9" s="22" t="s">
        <v>69</v>
      </c>
      <c r="J9" s="22" t="s">
        <v>70</v>
      </c>
      <c r="K9" s="22" t="s">
        <v>71</v>
      </c>
      <c r="L9" s="22" t="s">
        <v>72</v>
      </c>
      <c r="M9" s="22" t="s">
        <v>73</v>
      </c>
      <c r="N9" s="22" t="s">
        <v>74</v>
      </c>
    </row>
    <row r="10" spans="1:14" x14ac:dyDescent="0.25">
      <c r="A10" s="27">
        <v>45748</v>
      </c>
      <c r="B10" s="23">
        <f>_xlfn.XLOOKUP($A10,'Modelling New'!$D:$D,'Modelling New'!Q:Q)</f>
        <v>30</v>
      </c>
      <c r="C10" s="30">
        <f>_xlfn.XLOOKUP($A10,'Modelling New'!$D:$D,'Modelling New'!$R:$R)</f>
        <v>191.2</v>
      </c>
      <c r="D10" s="24">
        <f>SUMIF('Daily KPI'!$D:$D,A10,'Daily KPI'!$I:$I)</f>
        <v>171.59000000000003</v>
      </c>
      <c r="E10" s="30">
        <f>_xlfn.XLOOKUP($A10,'Modelling New'!$D:$D,'Modelling New'!$U:$U)</f>
        <v>918.99263206787668</v>
      </c>
      <c r="F10" s="24">
        <f>SUMIF('Daily KPI'!$D:$D,$A10,'Daily KPI'!$AA:$AA)/1000</f>
        <v>922.5</v>
      </c>
      <c r="G10" s="25">
        <f>IFERROR(E10/C10/'Modelling New'!$AR$1,"")</f>
        <v>0.67704062717470792</v>
      </c>
      <c r="H10" s="26">
        <f>IFERROR(F10/D10/'Modelling New'!$AR$1,"")</f>
        <v>0.75729482526334346</v>
      </c>
      <c r="I10" s="25">
        <f>IFERROR(E10/(B10*24*'Modelling New'!$AR$1),"")</f>
        <v>0.1797918998830613</v>
      </c>
      <c r="J10" s="26">
        <f>IFERROR(F10/(B10*24*'Modelling New'!$AR$1),"")</f>
        <v>0.18047808203741267</v>
      </c>
      <c r="K10" s="25">
        <f>_xlfn.XLOOKUP($A10,'Modelling New'!$D:$D,'Modelling New'!AF:AF)</f>
        <v>0.98</v>
      </c>
      <c r="L10" s="26">
        <f>IFERROR(AVERAGEIF('Daily KPI'!$D:$D,A10,'Daily KPI'!R:R),"")</f>
        <v>0.99693621546085243</v>
      </c>
      <c r="M10" s="25">
        <f>_xlfn.XLOOKUP($A10,'Modelling New'!$D:$D,'Modelling New'!AE:AE)</f>
        <v>0.98040000000000005</v>
      </c>
      <c r="N10" s="26">
        <f>IFERROR(AVERAGEIF('Daily KPI'!$D:$D,A10,'Daily KPI'!$O:$O),"")</f>
        <v>0.96290242131176029</v>
      </c>
    </row>
    <row r="11" spans="1:14" x14ac:dyDescent="0.25">
      <c r="A11" s="27">
        <v>45778</v>
      </c>
      <c r="B11" s="23">
        <f>_xlfn.XLOOKUP($A11,'Modelling New'!$D:$D,'Modelling New'!Q:Q)</f>
        <v>31</v>
      </c>
      <c r="C11" s="30">
        <f>_xlfn.XLOOKUP($A11,'Modelling New'!$D:$D,'Modelling New'!$R:$R)</f>
        <v>187.1</v>
      </c>
      <c r="D11" s="24">
        <f>SUMIF('Daily KPI'!$D:$D,A11,'Daily KPI'!$I:$I)</f>
        <v>159.93999999999997</v>
      </c>
      <c r="E11" s="30">
        <f>_xlfn.XLOOKUP($A11,'Modelling New'!$D:$D,'Modelling New'!$U:$U)</f>
        <v>921.2967184068209</v>
      </c>
      <c r="F11" s="24">
        <f>SUMIF('Daily KPI'!$D:$D,$A11,'Daily KPI'!$AA:$AA)/1000</f>
        <v>859.59999999999991</v>
      </c>
      <c r="G11" s="25">
        <f>IFERROR(E11/C11/'Modelling New'!$AR$1,"")</f>
        <v>0.69361156434065652</v>
      </c>
      <c r="H11" s="26">
        <f>IFERROR(F11/D11/'Modelling New'!$AR$1,"")</f>
        <v>0.75705930855465897</v>
      </c>
      <c r="I11" s="25">
        <f>IFERROR(E11/(B11*24*'Modelling New'!$AR$1),"")</f>
        <v>0.17442839205394733</v>
      </c>
      <c r="J11" s="26">
        <f>IFERROR(F11/(B11*24*'Modelling New'!$AR$1),"")</f>
        <v>0.16274740028257006</v>
      </c>
      <c r="K11" s="25">
        <f>_xlfn.XLOOKUP($A11,'Modelling New'!$D:$D,'Modelling New'!AF:AF)</f>
        <v>0.98</v>
      </c>
      <c r="L11" s="26">
        <f>IFERROR(AVERAGEIF('Daily KPI'!$D:$D,A11,'Daily KPI'!R:R),"")</f>
        <v>0.97575655255594129</v>
      </c>
      <c r="M11" s="25">
        <f>_xlfn.XLOOKUP($A11,'Modelling New'!$D:$D,'Modelling New'!AE:AE)</f>
        <v>0.98040000000000005</v>
      </c>
      <c r="N11" s="26">
        <f>IFERROR(AVERAGEIF('Daily KPI'!$D:$D,A11,'Daily KPI'!$O:$O),"")</f>
        <v>0.99961452534597062</v>
      </c>
    </row>
    <row r="12" spans="1:14" x14ac:dyDescent="0.25">
      <c r="A12" s="27">
        <v>45809</v>
      </c>
      <c r="B12" s="23">
        <f>_xlfn.XLOOKUP($A12,'Modelling New'!$D:$D,'Modelling New'!Q:Q)</f>
        <v>30</v>
      </c>
      <c r="C12" s="30">
        <f>_xlfn.XLOOKUP($A12,'Modelling New'!$D:$D,'Modelling New'!$R:$R)</f>
        <v>138.30000000000001</v>
      </c>
      <c r="D12" s="24">
        <f>SUMIF('Daily KPI'!$D:$D,A12,'Daily KPI'!$I:$I)</f>
        <v>136.33000000000001</v>
      </c>
      <c r="E12" s="30">
        <f>_xlfn.XLOOKUP($A12,'Modelling New'!$D:$D,'Modelling New'!$U:$U)</f>
        <v>688.23751902496178</v>
      </c>
      <c r="F12" s="24">
        <f>SUMIF('Daily KPI'!$D:$D,$A12,'Daily KPI'!$AA:$AA)/1000</f>
        <v>744.40000000000032</v>
      </c>
      <c r="G12" s="25">
        <f>IFERROR(E12/C12/'Modelling New'!$AR$1,"")</f>
        <v>0.70098181708798424</v>
      </c>
      <c r="H12" s="26">
        <f>IFERROR(F12/D12/'Modelling New'!$AR$1,"")</f>
        <v>0.76914021332684523</v>
      </c>
      <c r="I12" s="25">
        <f>IFERROR(E12/(B12*24*'Modelling New'!$AR$1),"")</f>
        <v>0.13464692403231698</v>
      </c>
      <c r="J12" s="26">
        <f>IFERROR(F12/(B12*24*'Modelling New'!$AR$1),"")</f>
        <v>0.14563456289284557</v>
      </c>
      <c r="K12" s="25">
        <f>_xlfn.XLOOKUP($A12,'Modelling New'!$D:$D,'Modelling New'!AF:AF)</f>
        <v>0.98</v>
      </c>
      <c r="L12" s="26">
        <f>IFERROR(AVERAGEIF('Daily KPI'!$D:$D,A12,'Daily KPI'!R:R),"")</f>
        <v>0.99513464471702595</v>
      </c>
      <c r="M12" s="25">
        <f>_xlfn.XLOOKUP($A12,'Modelling New'!$D:$D,'Modelling New'!AE:AE)</f>
        <v>0.98040000000000005</v>
      </c>
      <c r="N12" s="26">
        <f>IFERROR(AVERAGEIF('Daily KPI'!$D:$D,A12,'Daily KPI'!$O:$O),"")</f>
        <v>0.99990375989430769</v>
      </c>
    </row>
    <row r="13" spans="1:14" x14ac:dyDescent="0.25">
      <c r="A13" s="27">
        <v>45839</v>
      </c>
      <c r="B13" s="23">
        <f>_xlfn.XLOOKUP($A13,'Modelling New'!$D:$D,'Modelling New'!Q:Q)</f>
        <v>31</v>
      </c>
      <c r="C13" s="30">
        <f>_xlfn.XLOOKUP($A13,'Modelling New'!$D:$D,'Modelling New'!$R:$R)</f>
        <v>121</v>
      </c>
      <c r="D13" s="24">
        <f>SUMIF('Daily KPI'!$D:$D,A13,'Daily KPI'!$I:$I)</f>
        <v>125.13</v>
      </c>
      <c r="E13" s="30">
        <f>_xlfn.XLOOKUP($A13,'Modelling New'!$D:$D,'Modelling New'!$U:$U)</f>
        <v>629.14550021194464</v>
      </c>
      <c r="F13" s="24">
        <f>SUMIF('Daily KPI'!$D:$D,$A13,'Daily KPI'!$AA:$AA)/1000</f>
        <v>681.69999999999959</v>
      </c>
      <c r="G13" s="25">
        <f>IFERROR(E13/C13/'Modelling New'!$AR$1,"")</f>
        <v>0.73241345342129649</v>
      </c>
      <c r="H13" s="26">
        <f>IFERROR(F13/D13/'Modelling New'!$AR$1,"")</f>
        <v>0.76740113653447894</v>
      </c>
      <c r="I13" s="25">
        <f>IFERROR(E13/(B13*24*'Modelling New'!$AR$1),"")</f>
        <v>0.11911562884943129</v>
      </c>
      <c r="J13" s="26">
        <f>IFERROR(F13/(B13*24*'Modelling New'!$AR$1),"")</f>
        <v>0.12906573147118189</v>
      </c>
      <c r="K13" s="25">
        <f>_xlfn.XLOOKUP($A13,'Modelling New'!$D:$D,'Modelling New'!AF:AF)</f>
        <v>0.98</v>
      </c>
      <c r="L13" s="26">
        <f>IFERROR(AVERAGEIF('Daily KPI'!$D:$D,A13,'Daily KPI'!R:R),"")</f>
        <v>0.98046009965765246</v>
      </c>
      <c r="M13" s="25">
        <f>_xlfn.XLOOKUP($A13,'Modelling New'!$D:$D,'Modelling New'!AE:AE)</f>
        <v>0.98040000000000005</v>
      </c>
      <c r="N13" s="26">
        <f>IFERROR(AVERAGEIF('Daily KPI'!$D:$D,A13,'Daily KPI'!$O:$O),"")</f>
        <v>0.99780504788905555</v>
      </c>
    </row>
    <row r="14" spans="1:14" x14ac:dyDescent="0.25">
      <c r="A14" s="27">
        <v>45870</v>
      </c>
      <c r="B14" s="23">
        <f>_xlfn.XLOOKUP($A14,'Modelling New'!$D:$D,'Modelling New'!Q:Q)</f>
        <v>4</v>
      </c>
      <c r="C14" s="30">
        <f>_xlfn.XLOOKUP($A14,'Modelling New'!$D:$D,'Modelling New'!$R:$R)</f>
        <v>16.541935483870965</v>
      </c>
      <c r="D14" s="24">
        <f>SUMIF('Daily KPI'!$D:$D,A14,'Daily KPI'!$I:$I)</f>
        <v>21.22</v>
      </c>
      <c r="E14" s="30">
        <f>_xlfn.XLOOKUP($A14,'Modelling New'!$D:$D,'Modelling New'!$U:$U)</f>
        <v>85.935490859563856</v>
      </c>
      <c r="F14" s="24">
        <f>SUMIF('Daily KPI'!$D:$D,$A14,'Daily KPI'!$AA:$AA)/1000</f>
        <v>107.09999999999998</v>
      </c>
      <c r="G14" s="25">
        <f>IFERROR(E14/C14/'Modelling New'!$AR$1,"")</f>
        <v>0.73177375236499143</v>
      </c>
      <c r="H14" s="26">
        <f>IFERROR(F14/D14/'Modelling New'!$AR$1,"")</f>
        <v>0.71094283207124054</v>
      </c>
      <c r="I14" s="25">
        <f>IFERROR(E14/(B14*24*'Modelling New'!$AR$1),"")</f>
        <v>0.12609327292095684</v>
      </c>
      <c r="J14" s="26">
        <f>IFERROR(F14/(B14*24*'Modelling New'!$AR$1),"")</f>
        <v>0.1571479885057471</v>
      </c>
      <c r="K14" s="25">
        <f>_xlfn.XLOOKUP($A14,'Modelling New'!$D:$D,'Modelling New'!AF:AF)</f>
        <v>0.98</v>
      </c>
      <c r="L14" s="26">
        <f>IFERROR(AVERAGEIF('Daily KPI'!$D:$D,A14,'Daily KPI'!R:R),"")</f>
        <v>0.93094650305819415</v>
      </c>
      <c r="M14" s="25">
        <f>_xlfn.XLOOKUP($A14,'Modelling New'!$D:$D,'Modelling New'!AE:AE)</f>
        <v>0.98040000000000005</v>
      </c>
      <c r="N14" s="26">
        <f>IFERROR(AVERAGEIF('Daily KPI'!$D:$D,A14,'Daily KPI'!$O:$O),"")</f>
        <v>1</v>
      </c>
    </row>
    <row r="15" spans="1:14" x14ac:dyDescent="0.25">
      <c r="A15" s="27">
        <v>45901</v>
      </c>
      <c r="B15" s="23">
        <f>_xlfn.XLOOKUP($A15,'Modelling New'!$D:$D,'Modelling New'!Q:Q)</f>
        <v>0</v>
      </c>
      <c r="C15" s="30">
        <f>_xlfn.XLOOKUP($A15,'Modelling New'!$D:$D,'Modelling New'!$R:$R)</f>
        <v>0</v>
      </c>
      <c r="D15" s="24">
        <f>SUMIF('Daily KPI'!$D:$D,A15,'Daily KPI'!$I:$I)</f>
        <v>0</v>
      </c>
      <c r="E15" s="30">
        <f>_xlfn.XLOOKUP($A15,'Modelling New'!$D:$D,'Modelling New'!$U:$U)</f>
        <v>0</v>
      </c>
      <c r="F15" s="24">
        <f>SUMIF('Daily KPI'!$D:$D,$A15,'Daily KPI'!$AA:$AA)/1000</f>
        <v>0</v>
      </c>
      <c r="G15" s="25" t="str">
        <f>IFERROR(E15/C15/'Modelling New'!$AR$1,"")</f>
        <v/>
      </c>
      <c r="H15" s="26" t="str">
        <f>IFERROR(F15/D15/'Modelling New'!$AR$1,"")</f>
        <v/>
      </c>
      <c r="I15" s="25" t="str">
        <f>IFERROR(E15/(B15*24*'Modelling New'!$AR$1),"")</f>
        <v/>
      </c>
      <c r="J15" s="26" t="str">
        <f>IFERROR(F15/(B15*24*'Modelling New'!$AR$1),"")</f>
        <v/>
      </c>
      <c r="K15" s="25">
        <f>_xlfn.XLOOKUP($A15,'Modelling New'!$D:$D,'Modelling New'!AF:AF)</f>
        <v>0.98</v>
      </c>
      <c r="L15" s="26" t="str">
        <f>IFERROR(AVERAGEIF('Daily KPI'!$D:$D,A15,'Daily KPI'!R:R),"")</f>
        <v/>
      </c>
      <c r="M15" s="25">
        <f>_xlfn.XLOOKUP($A15,'Modelling New'!$D:$D,'Modelling New'!AE:AE)</f>
        <v>0.98040000000000005</v>
      </c>
      <c r="N15" s="26" t="str">
        <f>IFERROR(AVERAGEIF('Daily KPI'!$D:$D,A15,'Daily KPI'!$O:$O),"")</f>
        <v/>
      </c>
    </row>
    <row r="16" spans="1:14" x14ac:dyDescent="0.25">
      <c r="A16" s="27">
        <v>45931</v>
      </c>
      <c r="B16" s="23">
        <f>_xlfn.XLOOKUP($A16,'Modelling New'!$D:$D,'Modelling New'!Q:Q)</f>
        <v>0</v>
      </c>
      <c r="C16" s="30">
        <f>_xlfn.XLOOKUP($A16,'Modelling New'!$D:$D,'Modelling New'!$R:$R)</f>
        <v>0</v>
      </c>
      <c r="D16" s="24">
        <f>SUMIF('Daily KPI'!$D:$D,A16,'Daily KPI'!$I:$I)</f>
        <v>0</v>
      </c>
      <c r="E16" s="30">
        <f>_xlfn.XLOOKUP($A16,'Modelling New'!$D:$D,'Modelling New'!$U:$U)</f>
        <v>0</v>
      </c>
      <c r="F16" s="24">
        <f>SUMIF('Daily KPI'!$D:$D,$A16,'Daily KPI'!$AA:$AA)/1000</f>
        <v>0</v>
      </c>
      <c r="G16" s="25" t="str">
        <f>IFERROR(E16/C16/'Modelling New'!$AR$1,"")</f>
        <v/>
      </c>
      <c r="H16" s="26" t="str">
        <f>IFERROR(F16/D16/'Modelling New'!$AR$1,"")</f>
        <v/>
      </c>
      <c r="I16" s="25" t="str">
        <f>IFERROR(E16/(B16*24*'Modelling New'!$AR$1),"")</f>
        <v/>
      </c>
      <c r="J16" s="26" t="str">
        <f>IFERROR(F16/(B16*24*'Modelling New'!$AR$1),"")</f>
        <v/>
      </c>
      <c r="K16" s="25">
        <f>_xlfn.XLOOKUP($A16,'Modelling New'!$D:$D,'Modelling New'!AF:AF)</f>
        <v>0.98</v>
      </c>
      <c r="L16" s="26" t="str">
        <f>IFERROR(AVERAGEIF('Daily KPI'!$D:$D,A16,'Daily KPI'!R:R),"")</f>
        <v/>
      </c>
      <c r="M16" s="25">
        <f>_xlfn.XLOOKUP($A16,'Modelling New'!$D:$D,'Modelling New'!AE:AE)</f>
        <v>0.98040000000000005</v>
      </c>
      <c r="N16" s="26" t="str">
        <f>IFERROR(AVERAGEIF('Daily KPI'!$D:$D,A16,'Daily KPI'!$O:$O),"")</f>
        <v/>
      </c>
    </row>
    <row r="17" spans="1:14" x14ac:dyDescent="0.25">
      <c r="A17" s="27">
        <v>45962</v>
      </c>
      <c r="B17" s="23">
        <f>_xlfn.XLOOKUP($A17,'Modelling New'!$D:$D,'Modelling New'!Q:Q)</f>
        <v>0</v>
      </c>
      <c r="C17" s="30">
        <f>_xlfn.XLOOKUP($A17,'Modelling New'!$D:$D,'Modelling New'!$R:$R)</f>
        <v>0</v>
      </c>
      <c r="D17" s="24">
        <f>SUMIF('Daily KPI'!$D:$D,A17,'Daily KPI'!$I:$I)</f>
        <v>0</v>
      </c>
      <c r="E17" s="30">
        <f>_xlfn.XLOOKUP($A17,'Modelling New'!$D:$D,'Modelling New'!$U:$U)</f>
        <v>0</v>
      </c>
      <c r="F17" s="24">
        <f>SUMIF('Daily KPI'!$D:$D,$A17,'Daily KPI'!$AA:$AA)/1000</f>
        <v>0</v>
      </c>
      <c r="G17" s="25" t="str">
        <f>IFERROR(E17/C17/'Modelling New'!$AR$1,"")</f>
        <v/>
      </c>
      <c r="H17" s="26" t="str">
        <f>IFERROR(F17/D17/'Modelling New'!$AR$1,"")</f>
        <v/>
      </c>
      <c r="I17" s="25" t="str">
        <f>IFERROR(E17/(B17*24*'Modelling New'!$AR$1),"")</f>
        <v/>
      </c>
      <c r="J17" s="26" t="str">
        <f>IFERROR(F17/(B17*24*'Modelling New'!$AR$1),"")</f>
        <v/>
      </c>
      <c r="K17" s="25">
        <f>_xlfn.XLOOKUP($A17,'Modelling New'!$D:$D,'Modelling New'!AF:AF)</f>
        <v>0.98</v>
      </c>
      <c r="L17" s="26" t="str">
        <f>IFERROR(AVERAGEIF('Daily KPI'!$D:$D,A17,'Daily KPI'!R:R),"")</f>
        <v/>
      </c>
      <c r="M17" s="25">
        <f>_xlfn.XLOOKUP($A17,'Modelling New'!$D:$D,'Modelling New'!AE:AE)</f>
        <v>0.98040000000000005</v>
      </c>
      <c r="N17" s="26" t="str">
        <f>IFERROR(AVERAGEIF('Daily KPI'!$D:$D,A17,'Daily KPI'!$O:$O),"")</f>
        <v/>
      </c>
    </row>
    <row r="18" spans="1:14" x14ac:dyDescent="0.25">
      <c r="A18" s="27">
        <v>45992</v>
      </c>
      <c r="B18" s="23">
        <f>_xlfn.XLOOKUP($A18,'Modelling New'!$D:$D,'Modelling New'!Q:Q)</f>
        <v>0</v>
      </c>
      <c r="C18" s="30">
        <f>_xlfn.XLOOKUP($A18,'Modelling New'!$D:$D,'Modelling New'!$R:$R)</f>
        <v>0</v>
      </c>
      <c r="D18" s="24">
        <f>SUMIF('Daily KPI'!$D:$D,A18,'Daily KPI'!$I:$I)</f>
        <v>0</v>
      </c>
      <c r="E18" s="30">
        <f>_xlfn.XLOOKUP($A18,'Modelling New'!$D:$D,'Modelling New'!$U:$U)</f>
        <v>0</v>
      </c>
      <c r="F18" s="24">
        <f>SUMIF('Daily KPI'!$D:$D,$A18,'Daily KPI'!$AA:$AA)/1000</f>
        <v>0</v>
      </c>
      <c r="G18" s="25" t="str">
        <f>IFERROR(E18/C18/'Modelling New'!$AR$1,"")</f>
        <v/>
      </c>
      <c r="H18" s="26" t="str">
        <f>IFERROR(F18/D18/'Modelling New'!$AR$1,"")</f>
        <v/>
      </c>
      <c r="I18" s="25" t="str">
        <f>IFERROR(E18/(B18*24*'Modelling New'!$AR$1),"")</f>
        <v/>
      </c>
      <c r="J18" s="26" t="str">
        <f>IFERROR(F18/(B18*24*'Modelling New'!$AR$1),"")</f>
        <v/>
      </c>
      <c r="K18" s="25">
        <f>_xlfn.XLOOKUP($A18,'Modelling New'!$D:$D,'Modelling New'!AF:AF)</f>
        <v>0.98</v>
      </c>
      <c r="L18" s="26" t="str">
        <f>IFERROR(AVERAGEIF('Daily KPI'!$D:$D,A18,'Daily KPI'!R:R),"")</f>
        <v/>
      </c>
      <c r="M18" s="25">
        <f>_xlfn.XLOOKUP($A18,'Modelling New'!$D:$D,'Modelling New'!AE:AE)</f>
        <v>0.98040000000000005</v>
      </c>
      <c r="N18" s="26" t="str">
        <f>IFERROR(AVERAGEIF('Daily KPI'!$D:$D,A18,'Daily KPI'!$O:$O),"")</f>
        <v/>
      </c>
    </row>
    <row r="19" spans="1:14" x14ac:dyDescent="0.25">
      <c r="A19" s="27">
        <v>46023</v>
      </c>
      <c r="B19" s="23">
        <f>_xlfn.XLOOKUP($A19,'Modelling New'!$D:$D,'Modelling New'!Q:Q)</f>
        <v>0</v>
      </c>
      <c r="C19" s="30">
        <f>_xlfn.XLOOKUP($A19,'Modelling New'!$D:$D,'Modelling New'!$R:$R)</f>
        <v>0</v>
      </c>
      <c r="D19" s="24">
        <f>SUMIF('Daily KPI'!$D:$D,A19,'Daily KPI'!$I:$I)</f>
        <v>0</v>
      </c>
      <c r="E19" s="30">
        <f>_xlfn.XLOOKUP($A19,'Modelling New'!$D:$D,'Modelling New'!$U:$U)</f>
        <v>0</v>
      </c>
      <c r="F19" s="24">
        <f>SUMIF('Daily KPI'!$D:$D,$A19,'Daily KPI'!$AA:$AA)/1000</f>
        <v>0</v>
      </c>
      <c r="G19" s="25" t="str">
        <f>IFERROR(E19/C19/'Modelling New'!$AR$1,"")</f>
        <v/>
      </c>
      <c r="H19" s="26" t="str">
        <f>IFERROR(F19/D19/'Modelling New'!$AR$1,"")</f>
        <v/>
      </c>
      <c r="I19" s="25" t="str">
        <f>IFERROR(E19/(B19*24*'Modelling New'!$AR$1),"")</f>
        <v/>
      </c>
      <c r="J19" s="26" t="str">
        <f>IFERROR(F19/(B19*24*'Modelling New'!$AR$1),"")</f>
        <v/>
      </c>
      <c r="K19" s="25">
        <f>_xlfn.XLOOKUP($A19,'Modelling New'!$D:$D,'Modelling New'!AF:AF)</f>
        <v>0.98</v>
      </c>
      <c r="L19" s="26" t="str">
        <f>IFERROR(AVERAGEIF('Daily KPI'!$D:$D,A19,'Daily KPI'!R:R),"")</f>
        <v/>
      </c>
      <c r="M19" s="25">
        <f>_xlfn.XLOOKUP($A19,'Modelling New'!$D:$D,'Modelling New'!AE:AE)</f>
        <v>0.98040000000000005</v>
      </c>
      <c r="N19" s="26" t="str">
        <f>IFERROR(AVERAGEIF('Daily KPI'!$D:$D,A19,'Daily KPI'!$O:$O),"")</f>
        <v/>
      </c>
    </row>
    <row r="20" spans="1:14" x14ac:dyDescent="0.25">
      <c r="A20" s="27">
        <v>46054</v>
      </c>
      <c r="B20" s="23">
        <f>_xlfn.XLOOKUP($A20,'Modelling New'!$D:$D,'Modelling New'!Q:Q)</f>
        <v>0</v>
      </c>
      <c r="C20" s="30">
        <f>_xlfn.XLOOKUP($A20,'Modelling New'!$D:$D,'Modelling New'!$R:$R)</f>
        <v>0</v>
      </c>
      <c r="D20" s="24">
        <f>SUMIF('Daily KPI'!$D:$D,A20,'Daily KPI'!$I:$I)</f>
        <v>0</v>
      </c>
      <c r="E20" s="30">
        <f>_xlfn.XLOOKUP($A20,'Modelling New'!$D:$D,'Modelling New'!$U:$U)</f>
        <v>0</v>
      </c>
      <c r="F20" s="24">
        <f>SUMIF('Daily KPI'!$D:$D,$A20,'Daily KPI'!$AA:$AA)/1000</f>
        <v>0</v>
      </c>
      <c r="G20" s="25" t="str">
        <f>IFERROR(E20/C20/'Modelling New'!$AR$1,"")</f>
        <v/>
      </c>
      <c r="H20" s="26" t="str">
        <f>IFERROR(F20/D20/'Modelling New'!$AR$1,"")</f>
        <v/>
      </c>
      <c r="I20" s="25" t="str">
        <f>IFERROR(E20/(B20*24*'Modelling New'!$AR$1),"")</f>
        <v/>
      </c>
      <c r="J20" s="26" t="str">
        <f>IFERROR(F20/(B20*24*'Modelling New'!$AR$1),"")</f>
        <v/>
      </c>
      <c r="K20" s="25">
        <f>_xlfn.XLOOKUP($A20,'Modelling New'!$D:$D,'Modelling New'!AF:AF)</f>
        <v>0.98</v>
      </c>
      <c r="L20" s="26" t="str">
        <f>IFERROR(AVERAGEIF('Daily KPI'!$D:$D,A20,'Daily KPI'!R:R),"")</f>
        <v/>
      </c>
      <c r="M20" s="25">
        <f>_xlfn.XLOOKUP($A20,'Modelling New'!$D:$D,'Modelling New'!AE:AE)</f>
        <v>0.98040000000000005</v>
      </c>
      <c r="N20" s="26" t="str">
        <f>IFERROR(AVERAGEIF('Daily KPI'!$D:$D,A20,'Daily KPI'!$O:$O),"")</f>
        <v/>
      </c>
    </row>
    <row r="21" spans="1:14" x14ac:dyDescent="0.25">
      <c r="A21" s="27">
        <v>46082</v>
      </c>
      <c r="B21" s="23">
        <f>_xlfn.XLOOKUP($A21,'Modelling New'!$D:$D,'Modelling New'!Q:Q)</f>
        <v>0</v>
      </c>
      <c r="C21" s="30">
        <f>_xlfn.XLOOKUP($A21,'Modelling New'!$D:$D,'Modelling New'!$R:$R)</f>
        <v>0</v>
      </c>
      <c r="D21" s="24">
        <f>SUMIF('Daily KPI'!$D:$D,A21,'Daily KPI'!$I:$I)</f>
        <v>0</v>
      </c>
      <c r="E21" s="30">
        <f>_xlfn.XLOOKUP($A21,'Modelling New'!$D:$D,'Modelling New'!$U:$U)</f>
        <v>0</v>
      </c>
      <c r="F21" s="24">
        <f>SUMIF('Daily KPI'!$D:$D,$A21,'Daily KPI'!$AA:$AA)/1000</f>
        <v>0</v>
      </c>
      <c r="G21" s="25" t="str">
        <f>IFERROR(E21/C21/'Modelling New'!$AR$1,"")</f>
        <v/>
      </c>
      <c r="H21" s="26" t="str">
        <f>IFERROR(F21/D21/'Modelling New'!$AR$1,"")</f>
        <v/>
      </c>
      <c r="I21" s="25" t="str">
        <f>IFERROR(E21/(B21*24*'Modelling New'!$AR$1),"")</f>
        <v/>
      </c>
      <c r="J21" s="26" t="str">
        <f>IFERROR(F21/(B21*24*'Modelling New'!$AR$1),"")</f>
        <v/>
      </c>
      <c r="K21" s="25">
        <f>_xlfn.XLOOKUP($A21,'Modelling New'!$D:$D,'Modelling New'!AF:AF)</f>
        <v>0.98</v>
      </c>
      <c r="L21" s="26" t="str">
        <f>IFERROR(AVERAGEIF('Daily KPI'!$D:$D,A21,'Daily KPI'!R:R),"")</f>
        <v/>
      </c>
      <c r="M21" s="25">
        <f>_xlfn.XLOOKUP($A21,'Modelling New'!$D:$D,'Modelling New'!AE:AE)</f>
        <v>0.98040000000000005</v>
      </c>
      <c r="N21" s="26" t="str">
        <f>IFERROR(AVERAGEIF('Daily KPI'!$D:$D,A21,'Daily KPI'!$O:$O),"")</f>
        <v/>
      </c>
    </row>
  </sheetData>
  <sheetProtection algorithmName="SHA-512" hashValue="H3jtNUvzH5pwHjoWr3mpP8FVkls9kZ142OPkVV8m6+n+5+mKkNwvWz6gUEjZRYy93JRPPVy//BXFWIh2UPNlJA==" saltValue="EQqM9/USBpFPfiRG4zPoP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1" sqref="B1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8" t="s">
        <v>59</v>
      </c>
      <c r="B1" s="39" cm="1">
        <f t="array" ref="B1:F1">'Daily Dashboard'!B3:F3</f>
        <v>45873</v>
      </c>
      <c r="C1" s="50">
        <v>0</v>
      </c>
      <c r="D1" s="50">
        <v>0</v>
      </c>
      <c r="E1" s="50">
        <v>0</v>
      </c>
      <c r="F1" s="50">
        <v>0</v>
      </c>
    </row>
    <row r="2" spans="1:14" ht="20.45" customHeight="1" x14ac:dyDescent="0.25">
      <c r="A2" s="270" t="s">
        <v>76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</row>
    <row r="3" spans="1:14" ht="45" x14ac:dyDescent="0.25">
      <c r="A3" s="21" t="s">
        <v>77</v>
      </c>
      <c r="B3" s="21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  <c r="H3" s="22" t="s">
        <v>68</v>
      </c>
      <c r="I3" s="22" t="s">
        <v>69</v>
      </c>
      <c r="J3" s="22" t="s">
        <v>70</v>
      </c>
      <c r="K3" s="22" t="s">
        <v>71</v>
      </c>
      <c r="L3" s="22" t="s">
        <v>72</v>
      </c>
      <c r="M3" s="22" t="s">
        <v>73</v>
      </c>
      <c r="N3" s="22" t="s">
        <v>74</v>
      </c>
    </row>
    <row r="4" spans="1:14" x14ac:dyDescent="0.25">
      <c r="A4" s="27">
        <f>'Daily Dashboard'!B2</f>
        <v>45870</v>
      </c>
      <c r="B4" s="23">
        <f>DAY(B1)</f>
        <v>4</v>
      </c>
      <c r="C4" s="23">
        <f>_xlfn.XLOOKUP($A$4,'Modelling New'!$D:$D,'Modelling New'!R:R)</f>
        <v>16.541935483870965</v>
      </c>
      <c r="D4" s="57">
        <f>SUMIF('Daily KPI'!$D:$D,'Monthly KPI'!A4,'Daily KPI'!$I:$I)</f>
        <v>21.22</v>
      </c>
      <c r="E4" s="23">
        <f>_xlfn.XLOOKUP($A$4,'Modelling New'!$D:$D,'Modelling New'!U:U)</f>
        <v>85.935490859563856</v>
      </c>
      <c r="F4" s="57">
        <f>SUMIF('Daily KPI'!$D:$D,'Monthly KPI'!A4,'Daily KPI'!$AA:$AA)/1000</f>
        <v>107.09999999999998</v>
      </c>
      <c r="G4" s="25">
        <f>IFERROR(E4/C4/'Modelling New'!$AR$1,"")</f>
        <v>0.73177375236499143</v>
      </c>
      <c r="H4" s="26">
        <f>IFERROR(F4/D4/'Modelling New'!$AR$1,"")</f>
        <v>0.71094283207124054</v>
      </c>
      <c r="I4" s="25">
        <f>IFERROR(E4/(B4*24*'Modelling New'!$AR$1),"")</f>
        <v>0.12609327292095684</v>
      </c>
      <c r="J4" s="26">
        <f>IFERROR(F4/(B4*24*'Modelling New'!$AR$1),"")</f>
        <v>0.1571479885057471</v>
      </c>
      <c r="K4" s="25">
        <f>_xlfn.XLOOKUP($A$4,'Modelling New'!$D:$D,'Modelling New'!AF:AF)</f>
        <v>0.98</v>
      </c>
      <c r="L4" s="26">
        <f>IFERROR(AVERAGEIF('Daily KPI'!$D:$D,'Monthly KPI'!A4,'Daily KPI'!R:R),"")</f>
        <v>0.93094650305819415</v>
      </c>
      <c r="M4" s="25">
        <f>_xlfn.XLOOKUP($A$4,'Modelling New'!$D:$D,'Modelling New'!AE:AE)</f>
        <v>0.98040000000000005</v>
      </c>
      <c r="N4" s="26">
        <f>IFERROR(AVERAGEIF('Daily KPI'!$D:$D,'Monthly KPI'!A4,'Daily KPI'!O:O),"")</f>
        <v>1</v>
      </c>
    </row>
    <row r="7" spans="1:14" x14ac:dyDescent="0.25">
      <c r="A7" s="38" t="s">
        <v>78</v>
      </c>
      <c r="B7" s="39">
        <f>B8-6</f>
        <v>45867</v>
      </c>
    </row>
    <row r="8" spans="1:14" x14ac:dyDescent="0.25">
      <c r="A8" s="38" t="s">
        <v>79</v>
      </c>
      <c r="B8" s="39">
        <f>B1</f>
        <v>45873</v>
      </c>
    </row>
    <row r="10" spans="1:14" ht="21" x14ac:dyDescent="0.25">
      <c r="A10" s="270" t="s">
        <v>76</v>
      </c>
      <c r="B10" s="270"/>
      <c r="C10" s="270"/>
      <c r="D10" s="270"/>
      <c r="E10" s="270"/>
      <c r="F10" s="270"/>
      <c r="G10" s="270"/>
      <c r="H10" s="270"/>
      <c r="I10" s="270"/>
      <c r="J10" s="270"/>
      <c r="K10" s="270"/>
      <c r="L10" s="270"/>
      <c r="M10" s="270"/>
      <c r="N10" s="270"/>
    </row>
    <row r="11" spans="1:14" ht="45" x14ac:dyDescent="0.25">
      <c r="A11" s="21" t="s">
        <v>77</v>
      </c>
      <c r="B11" s="21" t="s">
        <v>62</v>
      </c>
      <c r="C11" s="22" t="s">
        <v>63</v>
      </c>
      <c r="D11" s="22" t="s">
        <v>64</v>
      </c>
      <c r="E11" s="22" t="s">
        <v>65</v>
      </c>
      <c r="F11" s="22" t="s">
        <v>66</v>
      </c>
      <c r="G11" s="22" t="s">
        <v>67</v>
      </c>
      <c r="H11" s="22" t="s">
        <v>68</v>
      </c>
      <c r="I11" s="22" t="s">
        <v>69</v>
      </c>
      <c r="J11" s="22" t="s">
        <v>70</v>
      </c>
      <c r="K11" s="22" t="s">
        <v>71</v>
      </c>
      <c r="L11" s="22" t="s">
        <v>72</v>
      </c>
      <c r="M11" s="22" t="s">
        <v>73</v>
      </c>
      <c r="N11" s="22" t="s">
        <v>74</v>
      </c>
    </row>
    <row r="12" spans="1:14" x14ac:dyDescent="0.25">
      <c r="A12" s="27">
        <f>A4</f>
        <v>45870</v>
      </c>
      <c r="B12" s="23">
        <f>(B8-B7)+1</f>
        <v>7</v>
      </c>
      <c r="C12" s="23">
        <f>SUMIFS('Daily KPI'!$AC:$AC,'Daily KPI'!$A:$A,"&gt;="&amp;$B$7,'Daily KPI'!$A:$A,"&lt;="&amp;$B$8)</f>
        <v>28.251612903225805</v>
      </c>
      <c r="D12" s="24">
        <f>SUMIFS('Daily KPI'!$I:$I,'Daily KPI'!$A:$A,"&gt;="&amp;$B$7,'Daily KPI'!$A:$A,"&lt;="&amp;$B$8)</f>
        <v>34.32</v>
      </c>
      <c r="E12" s="23">
        <f>SUMIFS('Daily KPI'!$AD:$AD,'Daily KPI'!$A:$A,"&gt;="&amp;$B$7,'Daily KPI'!$A:$A,"&lt;="&amp;$B$8)/1000</f>
        <v>146.8205392671714</v>
      </c>
      <c r="F12" s="24">
        <f>SUMIFS('Daily KPI'!$AA:$AA,'Daily KPI'!$A:$A,"&gt;="&amp;$B$7,'Daily KPI'!$A:$A,"&lt;="&amp;$B$8)/1000</f>
        <v>177.49999999999963</v>
      </c>
      <c r="G12" s="25">
        <f>IFERROR(E12/C12/'Modelling New'!$AR$1,"")</f>
        <v>0.73203889450182491</v>
      </c>
      <c r="H12" s="26">
        <f>IFERROR(F12/D12/'Modelling New'!$AR$1,"")</f>
        <v>0.72852031523430971</v>
      </c>
      <c r="I12" s="25">
        <f>IFERROR(E12/(B12*24*'Modelling New'!$AR$1),"")</f>
        <v>0.12310285403316017</v>
      </c>
      <c r="J12" s="26">
        <f>IFERROR(F12/(B12*24*'Modelling New'!$AR$1),"")</f>
        <v>0.14882629296929467</v>
      </c>
      <c r="K12" s="25">
        <f>_xlfn.XLOOKUP($A$12,'Modelling New'!$D:$D,'Modelling New'!AF:AF)</f>
        <v>0.98</v>
      </c>
      <c r="L12" s="26">
        <f>AVERAGEIFS('Daily KPI'!$R:$R,'Daily KPI'!$A:$A,"&gt;="&amp;$B$7,'Daily KPI'!$A:$A,"&lt;="&amp;$B$8)</f>
        <v>0.94848803647585123</v>
      </c>
      <c r="M12" s="25">
        <f>_xlfn.XLOOKUP($A$12,'Modelling New'!$D:$D,'Modelling New'!AE:AE)</f>
        <v>0.98040000000000005</v>
      </c>
      <c r="N12" s="26">
        <f>AVERAGEIFS('Daily KPI'!$O:$O,'Daily KPI'!$A:$A,"&gt;="&amp;$B$7,'Daily KPI'!$A:$A,"&lt;="&amp;$B$8)</f>
        <v>0.99978579645603105</v>
      </c>
    </row>
  </sheetData>
  <sheetProtection algorithmName="SHA-512" hashValue="sDrFuG9QoOwKSgG2upDKTAUOrEvKddl4iP/RLKp45t04eReIpzjijaRJv4asTYS2psdbfUFiYPkqIbkfMFMYwA==" saltValue="4ahNa30P1X9jI7cxcmfKFA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37"/>
  <sheetViews>
    <sheetView topLeftCell="F1" workbookViewId="0">
      <pane xSplit="3" ySplit="3" topLeftCell="O123" activePane="bottomRight" state="frozen"/>
      <selection pane="topRight" activeCell="I1" sqref="I1"/>
      <selection pane="bottomLeft" activeCell="F4" sqref="F4"/>
      <selection pane="bottomRight" activeCell="T133" sqref="T133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56"/>
      <c r="B1" s="56"/>
      <c r="C1" s="56"/>
      <c r="D1" s="56"/>
      <c r="E1" s="56"/>
      <c r="F1" s="56"/>
      <c r="G1" s="56"/>
      <c r="H1" s="56"/>
    </row>
    <row r="2" spans="1:28" x14ac:dyDescent="0.25">
      <c r="A2" s="56"/>
      <c r="B2" s="56"/>
      <c r="C2" s="56"/>
      <c r="D2" s="56"/>
      <c r="E2" s="56"/>
      <c r="F2" s="56"/>
      <c r="G2" s="56"/>
      <c r="H2" s="56"/>
      <c r="I2" s="2" t="s">
        <v>80</v>
      </c>
      <c r="J2" s="5">
        <v>567.00000000000011</v>
      </c>
      <c r="K2" s="5">
        <v>680.40000000000009</v>
      </c>
      <c r="L2" s="5">
        <v>565.20000000000005</v>
      </c>
      <c r="M2" s="5">
        <v>567.00000000000011</v>
      </c>
      <c r="N2" s="5">
        <v>669.59999999999991</v>
      </c>
      <c r="O2" s="5">
        <v>567.00000000000011</v>
      </c>
      <c r="P2" s="5">
        <v>665.46</v>
      </c>
      <c r="Q2" s="5">
        <v>448.2</v>
      </c>
      <c r="R2" s="5">
        <v>559.79999999999995</v>
      </c>
      <c r="S2" s="5">
        <v>676.8</v>
      </c>
      <c r="T2" s="5">
        <v>454.14</v>
      </c>
      <c r="U2" s="5">
        <v>678.59999999999991</v>
      </c>
      <c r="V2" s="5">
        <v>2379.6000000000008</v>
      </c>
      <c r="W2" s="11">
        <v>2350.2600000000002</v>
      </c>
      <c r="X2" s="11">
        <v>2369.3399999999997</v>
      </c>
    </row>
    <row r="3" spans="1:28" ht="36" x14ac:dyDescent="0.25">
      <c r="A3" s="15" t="s">
        <v>81</v>
      </c>
      <c r="B3" s="15" t="s">
        <v>82</v>
      </c>
      <c r="C3" s="15" t="s">
        <v>83</v>
      </c>
      <c r="D3" s="15" t="s">
        <v>84</v>
      </c>
      <c r="E3" s="15" t="s">
        <v>85</v>
      </c>
      <c r="F3" s="15" t="s">
        <v>86</v>
      </c>
      <c r="G3" s="15" t="s">
        <v>62</v>
      </c>
      <c r="H3" s="15" t="s">
        <v>33</v>
      </c>
      <c r="I3" s="15" t="s">
        <v>87</v>
      </c>
      <c r="J3" s="55" t="s">
        <v>88</v>
      </c>
      <c r="K3" s="55" t="s">
        <v>89</v>
      </c>
      <c r="L3" s="55" t="s">
        <v>90</v>
      </c>
      <c r="M3" s="55" t="s">
        <v>91</v>
      </c>
      <c r="N3" s="55" t="s">
        <v>92</v>
      </c>
      <c r="O3" s="55" t="s">
        <v>93</v>
      </c>
      <c r="P3" s="55" t="s">
        <v>94</v>
      </c>
      <c r="Q3" s="55" t="s">
        <v>95</v>
      </c>
      <c r="R3" s="55" t="s">
        <v>96</v>
      </c>
      <c r="S3" s="53" t="s">
        <v>97</v>
      </c>
      <c r="T3" s="53" t="s">
        <v>98</v>
      </c>
      <c r="U3" s="53" t="s">
        <v>99</v>
      </c>
      <c r="V3" s="53" t="s">
        <v>100</v>
      </c>
      <c r="W3" s="53" t="s">
        <v>101</v>
      </c>
      <c r="X3" s="53" t="s">
        <v>102</v>
      </c>
      <c r="Y3" s="53" t="s">
        <v>103</v>
      </c>
      <c r="Z3" s="54" t="s">
        <v>104</v>
      </c>
      <c r="AA3" s="55" t="s">
        <v>105</v>
      </c>
      <c r="AB3" s="54" t="s">
        <v>106</v>
      </c>
    </row>
    <row r="4" spans="1:28" x14ac:dyDescent="0.25">
      <c r="A4" s="121"/>
      <c r="B4" s="121"/>
      <c r="C4" s="121">
        <f>YEAR(Inv_SY[[#This Row],[Date]])</f>
        <v>2025</v>
      </c>
      <c r="D4" s="121"/>
      <c r="E4" s="121"/>
      <c r="F4" s="120" t="str">
        <f>TEXT(Inv_SY[[#This Row],[Date]],"mmm-yy")</f>
        <v>Mar-25</v>
      </c>
      <c r="G4" s="121">
        <f>DAY(EOMONTH(Inv_SY[[#This Row],[Month Year]],0))</f>
        <v>31</v>
      </c>
      <c r="H4" s="122">
        <v>45745</v>
      </c>
      <c r="I4" s="1">
        <f>'Modelling New'!$AR$1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21"/>
      <c r="B5" s="121"/>
      <c r="C5" s="121">
        <f>YEAR(Inv_SY[[#This Row],[Date]])</f>
        <v>2025</v>
      </c>
      <c r="D5" s="121"/>
      <c r="E5" s="121"/>
      <c r="F5" s="120" t="str">
        <f>TEXT(Inv_SY[[#This Row],[Date]],"mmm-yy")</f>
        <v>Mar-25</v>
      </c>
      <c r="G5" s="121">
        <f>DAY(EOMONTH(Inv_SY[[#This Row],[Month Year]],0))</f>
        <v>31</v>
      </c>
      <c r="H5" s="122">
        <f t="shared" ref="H5:H15" si="2">H4+1</f>
        <v>45746</v>
      </c>
      <c r="I5" s="1">
        <f>'Modelling New'!$AR$1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21"/>
      <c r="B6" s="121"/>
      <c r="C6" s="121">
        <f>YEAR(Inv_SY[[#This Row],[Date]])</f>
        <v>2025</v>
      </c>
      <c r="D6" s="121"/>
      <c r="E6" s="121"/>
      <c r="F6" s="120" t="str">
        <f>TEXT(Inv_SY[[#This Row],[Date]],"mmm-yy")</f>
        <v>Mar-25</v>
      </c>
      <c r="G6" s="121">
        <f>DAY(EOMONTH(Inv_SY[[#This Row],[Month Year]],0))</f>
        <v>31</v>
      </c>
      <c r="H6" s="122">
        <f t="shared" si="2"/>
        <v>45747</v>
      </c>
      <c r="I6" s="1">
        <f>'Modelling New'!$AR$1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21"/>
      <c r="B7" s="121"/>
      <c r="C7" s="121">
        <f>YEAR(Inv_SY[[#This Row],[Date]])</f>
        <v>2025</v>
      </c>
      <c r="D7" s="121"/>
      <c r="E7" s="121"/>
      <c r="F7" s="120" t="str">
        <f>TEXT(Inv_SY[[#This Row],[Date]],"mmm-yy")</f>
        <v>Apr-25</v>
      </c>
      <c r="G7" s="121">
        <f>DAY(EOMONTH(Inv_SY[[#This Row],[Month Year]],0))</f>
        <v>30</v>
      </c>
      <c r="H7" s="122">
        <f t="shared" si="2"/>
        <v>45748</v>
      </c>
      <c r="I7" s="1">
        <f>'Modelling New'!$AR$1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21"/>
      <c r="B8" s="121"/>
      <c r="C8" s="121">
        <f>YEAR(Inv_SY[[#This Row],[Date]])</f>
        <v>2025</v>
      </c>
      <c r="D8" s="121"/>
      <c r="E8" s="121"/>
      <c r="F8" s="120" t="str">
        <f>TEXT(Inv_SY[[#This Row],[Date]],"mmm-yy")</f>
        <v>Apr-25</v>
      </c>
      <c r="G8" s="121">
        <f>DAY(EOMONTH(Inv_SY[[#This Row],[Month Year]],0))</f>
        <v>30</v>
      </c>
      <c r="H8" s="122">
        <f t="shared" si="2"/>
        <v>45749</v>
      </c>
      <c r="I8" s="1">
        <f>'Modelling New'!$AR$1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21"/>
      <c r="B9" s="121"/>
      <c r="C9" s="121">
        <f>YEAR(Inv_SY[[#This Row],[Date]])</f>
        <v>2025</v>
      </c>
      <c r="D9" s="121"/>
      <c r="E9" s="121"/>
      <c r="F9" s="120" t="str">
        <f>TEXT(Inv_SY[[#This Row],[Date]],"mmm-yy")</f>
        <v>Apr-25</v>
      </c>
      <c r="G9" s="121">
        <f>DAY(EOMONTH(Inv_SY[[#This Row],[Month Year]],0))</f>
        <v>30</v>
      </c>
      <c r="H9" s="122">
        <f t="shared" si="2"/>
        <v>45750</v>
      </c>
      <c r="I9" s="1">
        <f>'Modelling New'!$AR$1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21"/>
      <c r="B10" s="121"/>
      <c r="C10" s="121">
        <f>YEAR(Inv_SY[[#This Row],[Date]])</f>
        <v>2025</v>
      </c>
      <c r="D10" s="121"/>
      <c r="E10" s="121"/>
      <c r="F10" s="120" t="str">
        <f>TEXT(Inv_SY[[#This Row],[Date]],"mmm-yy")</f>
        <v>Apr-25</v>
      </c>
      <c r="G10" s="121">
        <f>DAY(EOMONTH(Inv_SY[[#This Row],[Month Year]],0))</f>
        <v>30</v>
      </c>
      <c r="H10" s="122">
        <f t="shared" si="2"/>
        <v>45751</v>
      </c>
      <c r="I10" s="1">
        <f>'Modelling New'!$AR$1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21"/>
      <c r="B11" s="121"/>
      <c r="C11" s="121">
        <f>YEAR(Inv_SY[[#This Row],[Date]])</f>
        <v>2025</v>
      </c>
      <c r="D11" s="121"/>
      <c r="E11" s="121"/>
      <c r="F11" s="120" t="str">
        <f>TEXT(Inv_SY[[#This Row],[Date]],"mmm-yy")</f>
        <v>Apr-25</v>
      </c>
      <c r="G11" s="121">
        <f>DAY(EOMONTH(Inv_SY[[#This Row],[Month Year]],0))</f>
        <v>30</v>
      </c>
      <c r="H11" s="122">
        <f t="shared" si="2"/>
        <v>45752</v>
      </c>
      <c r="I11" s="1">
        <f>'Modelling New'!$AR$1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21"/>
      <c r="B12" s="121"/>
      <c r="C12" s="121">
        <f>YEAR(Inv_SY[[#This Row],[Date]])</f>
        <v>2025</v>
      </c>
      <c r="D12" s="121"/>
      <c r="E12" s="121"/>
      <c r="F12" s="120" t="str">
        <f>TEXT(Inv_SY[[#This Row],[Date]],"mmm-yy")</f>
        <v>Apr-25</v>
      </c>
      <c r="G12" s="121">
        <f>DAY(EOMONTH(Inv_SY[[#This Row],[Month Year]],0))</f>
        <v>30</v>
      </c>
      <c r="H12" s="122">
        <f t="shared" si="2"/>
        <v>45753</v>
      </c>
      <c r="I12" s="1">
        <f>'Modelling New'!$AR$1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21"/>
      <c r="B13" s="121"/>
      <c r="C13" s="121">
        <f>YEAR(Inv_SY[[#This Row],[Date]])</f>
        <v>2025</v>
      </c>
      <c r="D13" s="121"/>
      <c r="E13" s="121"/>
      <c r="F13" s="120" t="str">
        <f>TEXT(Inv_SY[[#This Row],[Date]],"mmm-yy")</f>
        <v>Apr-25</v>
      </c>
      <c r="G13" s="121">
        <f>DAY(EOMONTH(Inv_SY[[#This Row],[Month Year]],0))</f>
        <v>30</v>
      </c>
      <c r="H13" s="122">
        <f t="shared" si="2"/>
        <v>45754</v>
      </c>
      <c r="I13" s="1">
        <f>'Modelling New'!$AR$1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21"/>
      <c r="B14" s="121"/>
      <c r="C14" s="121">
        <f>YEAR(Inv_SY[[#This Row],[Date]])</f>
        <v>2025</v>
      </c>
      <c r="D14" s="121"/>
      <c r="E14" s="121"/>
      <c r="F14" s="120" t="str">
        <f>TEXT(Inv_SY[[#This Row],[Date]],"mmm-yy")</f>
        <v>Apr-25</v>
      </c>
      <c r="G14" s="121">
        <f>DAY(EOMONTH(Inv_SY[[#This Row],[Month Year]],0))</f>
        <v>30</v>
      </c>
      <c r="H14" s="122">
        <f t="shared" si="2"/>
        <v>45755</v>
      </c>
      <c r="I14" s="1">
        <f>'Modelling New'!$AR$1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21"/>
      <c r="B15" s="121"/>
      <c r="C15" s="121">
        <f>YEAR(Inv_SY[[#This Row],[Date]])</f>
        <v>2025</v>
      </c>
      <c r="D15" s="121"/>
      <c r="E15" s="121"/>
      <c r="F15" s="120" t="str">
        <f>TEXT(Inv_SY[[#This Row],[Date]],"mmm-yy")</f>
        <v>Apr-25</v>
      </c>
      <c r="G15" s="121">
        <f>DAY(EOMONTH(Inv_SY[[#This Row],[Month Year]],0))</f>
        <v>30</v>
      </c>
      <c r="H15" s="122">
        <f t="shared" si="2"/>
        <v>45756</v>
      </c>
      <c r="I15" s="1">
        <f>'Modelling New'!$AR$1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21"/>
      <c r="B16" s="121"/>
      <c r="C16" s="121">
        <f>YEAR(Inv_SY[[#This Row],[Date]])</f>
        <v>2025</v>
      </c>
      <c r="D16" s="121"/>
      <c r="E16" s="121"/>
      <c r="F16" s="120" t="str">
        <f>TEXT(Inv_SY[[#This Row],[Date]],"mmm-yy")</f>
        <v>Apr-25</v>
      </c>
      <c r="G16" s="121">
        <f>DAY(EOMONTH(Inv_SY[[#This Row],[Month Year]],0))</f>
        <v>30</v>
      </c>
      <c r="H16" s="122">
        <f t="shared" ref="H16:H79" si="3">H15+1</f>
        <v>45757</v>
      </c>
      <c r="I16" s="1">
        <f>'Modelling New'!$AR$1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21"/>
      <c r="B17" s="121"/>
      <c r="C17" s="121">
        <f>YEAR(Inv_SY[[#This Row],[Date]])</f>
        <v>2025</v>
      </c>
      <c r="D17" s="121"/>
      <c r="E17" s="121"/>
      <c r="F17" s="120" t="str">
        <f>TEXT(Inv_SY[[#This Row],[Date]],"mmm-yy")</f>
        <v>Apr-25</v>
      </c>
      <c r="G17" s="121">
        <f>DAY(EOMONTH(Inv_SY[[#This Row],[Month Year]],0))</f>
        <v>30</v>
      </c>
      <c r="H17" s="122">
        <f t="shared" si="3"/>
        <v>45758</v>
      </c>
      <c r="I17" s="1">
        <f>'Modelling New'!$AR$1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21"/>
      <c r="B18" s="121"/>
      <c r="C18" s="121">
        <f>YEAR(Inv_SY[[#This Row],[Date]])</f>
        <v>2025</v>
      </c>
      <c r="D18" s="121"/>
      <c r="E18" s="121"/>
      <c r="F18" s="120" t="str">
        <f>TEXT(Inv_SY[[#This Row],[Date]],"mmm-yy")</f>
        <v>Apr-25</v>
      </c>
      <c r="G18" s="121">
        <f>DAY(EOMONTH(Inv_SY[[#This Row],[Month Year]],0))</f>
        <v>30</v>
      </c>
      <c r="H18" s="122">
        <f t="shared" si="3"/>
        <v>45759</v>
      </c>
      <c r="I18" s="1">
        <f>'Modelling New'!$AR$1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21"/>
      <c r="B19" s="121"/>
      <c r="C19" s="121">
        <f>YEAR(Inv_SY[[#This Row],[Date]])</f>
        <v>2025</v>
      </c>
      <c r="D19" s="121"/>
      <c r="E19" s="121"/>
      <c r="F19" s="120" t="str">
        <f>TEXT(Inv_SY[[#This Row],[Date]],"mmm-yy")</f>
        <v>Apr-25</v>
      </c>
      <c r="G19" s="121">
        <f>DAY(EOMONTH(Inv_SY[[#This Row],[Month Year]],0))</f>
        <v>30</v>
      </c>
      <c r="H19" s="122">
        <f t="shared" si="3"/>
        <v>45760</v>
      </c>
      <c r="I19" s="1">
        <f>'Modelling New'!$AR$1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21"/>
      <c r="B20" s="121"/>
      <c r="C20" s="121">
        <f>YEAR(Inv_SY[[#This Row],[Date]])</f>
        <v>2025</v>
      </c>
      <c r="D20" s="121"/>
      <c r="E20" s="121"/>
      <c r="F20" s="120" t="str">
        <f>TEXT(Inv_SY[[#This Row],[Date]],"mmm-yy")</f>
        <v>Apr-25</v>
      </c>
      <c r="G20" s="121">
        <f>DAY(EOMONTH(Inv_SY[[#This Row],[Month Year]],0))</f>
        <v>30</v>
      </c>
      <c r="H20" s="122">
        <f t="shared" si="3"/>
        <v>45761</v>
      </c>
      <c r="I20" s="1">
        <f>'Modelling New'!$AR$1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21"/>
      <c r="B21" s="121"/>
      <c r="C21" s="121">
        <f>YEAR(Inv_SY[[#This Row],[Date]])</f>
        <v>2025</v>
      </c>
      <c r="D21" s="121"/>
      <c r="E21" s="121"/>
      <c r="F21" s="120" t="str">
        <f>TEXT(Inv_SY[[#This Row],[Date]],"mmm-yy")</f>
        <v>Apr-25</v>
      </c>
      <c r="G21" s="121">
        <f>DAY(EOMONTH(Inv_SY[[#This Row],[Month Year]],0))</f>
        <v>30</v>
      </c>
      <c r="H21" s="122">
        <f t="shared" si="3"/>
        <v>45762</v>
      </c>
      <c r="I21" s="1">
        <f>'Modelling New'!$AR$1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21"/>
      <c r="B22" s="121"/>
      <c r="C22" s="121">
        <f>YEAR(Inv_SY[[#This Row],[Date]])</f>
        <v>2025</v>
      </c>
      <c r="D22" s="121"/>
      <c r="E22" s="121"/>
      <c r="F22" s="120" t="str">
        <f>TEXT(Inv_SY[[#This Row],[Date]],"mmm-yy")</f>
        <v>Apr-25</v>
      </c>
      <c r="G22" s="121">
        <f>DAY(EOMONTH(Inv_SY[[#This Row],[Month Year]],0))</f>
        <v>30</v>
      </c>
      <c r="H22" s="122">
        <f t="shared" si="3"/>
        <v>45763</v>
      </c>
      <c r="I22" s="1">
        <f>'Modelling New'!$AR$1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21"/>
      <c r="B23" s="121"/>
      <c r="C23" s="121">
        <f>YEAR(Inv_SY[[#This Row],[Date]])</f>
        <v>2025</v>
      </c>
      <c r="D23" s="121"/>
      <c r="E23" s="121"/>
      <c r="F23" s="120" t="str">
        <f>TEXT(Inv_SY[[#This Row],[Date]],"mmm-yy")</f>
        <v>Apr-25</v>
      </c>
      <c r="G23" s="121">
        <f>DAY(EOMONTH(Inv_SY[[#This Row],[Month Year]],0))</f>
        <v>30</v>
      </c>
      <c r="H23" s="122">
        <f t="shared" si="3"/>
        <v>45764</v>
      </c>
      <c r="I23" s="1">
        <f>'Modelling New'!$AR$1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21"/>
      <c r="B24" s="121"/>
      <c r="C24" s="121">
        <f>YEAR(Inv_SY[[#This Row],[Date]])</f>
        <v>2025</v>
      </c>
      <c r="D24" s="121"/>
      <c r="E24" s="121"/>
      <c r="F24" s="120" t="str">
        <f>TEXT(Inv_SY[[#This Row],[Date]],"mmm-yy")</f>
        <v>Apr-25</v>
      </c>
      <c r="G24" s="121">
        <f>DAY(EOMONTH(Inv_SY[[#This Row],[Month Year]],0))</f>
        <v>30</v>
      </c>
      <c r="H24" s="122">
        <f t="shared" si="3"/>
        <v>45765</v>
      </c>
      <c r="I24" s="1">
        <f>'Modelling New'!$AR$1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21"/>
      <c r="B25" s="121"/>
      <c r="C25" s="121">
        <f>YEAR(Inv_SY[[#This Row],[Date]])</f>
        <v>2025</v>
      </c>
      <c r="D25" s="121"/>
      <c r="E25" s="121"/>
      <c r="F25" s="120" t="str">
        <f>TEXT(Inv_SY[[#This Row],[Date]],"mmm-yy")</f>
        <v>Apr-25</v>
      </c>
      <c r="G25" s="121">
        <f>DAY(EOMONTH(Inv_SY[[#This Row],[Month Year]],0))</f>
        <v>30</v>
      </c>
      <c r="H25" s="122">
        <f t="shared" si="3"/>
        <v>45766</v>
      </c>
      <c r="I25" s="1">
        <f>'Modelling New'!$AR$1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21"/>
      <c r="B26" s="121"/>
      <c r="C26" s="121">
        <f>YEAR(Inv_SY[[#This Row],[Date]])</f>
        <v>2025</v>
      </c>
      <c r="D26" s="121"/>
      <c r="E26" s="121"/>
      <c r="F26" s="120" t="str">
        <f>TEXT(Inv_SY[[#This Row],[Date]],"mmm-yy")</f>
        <v>Apr-25</v>
      </c>
      <c r="G26" s="121">
        <f>DAY(EOMONTH(Inv_SY[[#This Row],[Month Year]],0))</f>
        <v>30</v>
      </c>
      <c r="H26" s="122">
        <f t="shared" si="3"/>
        <v>45767</v>
      </c>
      <c r="I26" s="1">
        <f>'Modelling New'!$AR$1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21"/>
      <c r="B27" s="121"/>
      <c r="C27" s="121">
        <f>YEAR(Inv_SY[[#This Row],[Date]])</f>
        <v>2025</v>
      </c>
      <c r="D27" s="121"/>
      <c r="E27" s="121"/>
      <c r="F27" s="120" t="str">
        <f>TEXT(Inv_SY[[#This Row],[Date]],"mmm-yy")</f>
        <v>Apr-25</v>
      </c>
      <c r="G27" s="121">
        <f>DAY(EOMONTH(Inv_SY[[#This Row],[Month Year]],0))</f>
        <v>30</v>
      </c>
      <c r="H27" s="122">
        <f t="shared" si="3"/>
        <v>45768</v>
      </c>
      <c r="I27" s="1">
        <f>'Modelling New'!$AR$1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21"/>
      <c r="B28" s="121"/>
      <c r="C28" s="121">
        <f>YEAR(Inv_SY[[#This Row],[Date]])</f>
        <v>2025</v>
      </c>
      <c r="D28" s="121"/>
      <c r="E28" s="121"/>
      <c r="F28" s="120" t="str">
        <f>TEXT(Inv_SY[[#This Row],[Date]],"mmm-yy")</f>
        <v>Apr-25</v>
      </c>
      <c r="G28" s="121">
        <f>DAY(EOMONTH(Inv_SY[[#This Row],[Month Year]],0))</f>
        <v>30</v>
      </c>
      <c r="H28" s="122">
        <f t="shared" si="3"/>
        <v>45769</v>
      </c>
      <c r="I28" s="1">
        <f>'Modelling New'!$AR$1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21"/>
      <c r="B29" s="121"/>
      <c r="C29" s="121">
        <f>YEAR(Inv_SY[[#This Row],[Date]])</f>
        <v>2025</v>
      </c>
      <c r="D29" s="121"/>
      <c r="E29" s="121"/>
      <c r="F29" s="120" t="str">
        <f>TEXT(Inv_SY[[#This Row],[Date]],"mmm-yy")</f>
        <v>Apr-25</v>
      </c>
      <c r="G29" s="121">
        <f>DAY(EOMONTH(Inv_SY[[#This Row],[Month Year]],0))</f>
        <v>30</v>
      </c>
      <c r="H29" s="122">
        <f t="shared" si="3"/>
        <v>45770</v>
      </c>
      <c r="I29" s="1">
        <f>'Modelling New'!$AR$1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21"/>
      <c r="B30" s="121"/>
      <c r="C30" s="121">
        <f>YEAR(Inv_SY[[#This Row],[Date]])</f>
        <v>2025</v>
      </c>
      <c r="D30" s="121"/>
      <c r="E30" s="121"/>
      <c r="F30" s="120" t="str">
        <f>TEXT(Inv_SY[[#This Row],[Date]],"mmm-yy")</f>
        <v>Apr-25</v>
      </c>
      <c r="G30" s="121">
        <f>DAY(EOMONTH(Inv_SY[[#This Row],[Month Year]],0))</f>
        <v>30</v>
      </c>
      <c r="H30" s="122">
        <f t="shared" si="3"/>
        <v>45771</v>
      </c>
      <c r="I30" s="1">
        <f>'Modelling New'!$AR$1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21"/>
      <c r="B31" s="121"/>
      <c r="C31" s="121">
        <f>YEAR(Inv_SY[[#This Row],[Date]])</f>
        <v>2025</v>
      </c>
      <c r="D31" s="121"/>
      <c r="E31" s="121"/>
      <c r="F31" s="120" t="str">
        <f>TEXT(Inv_SY[[#This Row],[Date]],"mmm-yy")</f>
        <v>Apr-25</v>
      </c>
      <c r="G31" s="121">
        <f>DAY(EOMONTH(Inv_SY[[#This Row],[Month Year]],0))</f>
        <v>30</v>
      </c>
      <c r="H31" s="122">
        <f t="shared" si="3"/>
        <v>45772</v>
      </c>
      <c r="I31" s="1">
        <f>'Modelling New'!$AR$1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21"/>
      <c r="B32" s="121"/>
      <c r="C32" s="121">
        <f>YEAR(Inv_SY[[#This Row],[Date]])</f>
        <v>2025</v>
      </c>
      <c r="D32" s="121"/>
      <c r="E32" s="121"/>
      <c r="F32" s="120" t="str">
        <f>TEXT(Inv_SY[[#This Row],[Date]],"mmm-yy")</f>
        <v>Apr-25</v>
      </c>
      <c r="G32" s="121">
        <f>DAY(EOMONTH(Inv_SY[[#This Row],[Month Year]],0))</f>
        <v>30</v>
      </c>
      <c r="H32" s="122">
        <f t="shared" si="3"/>
        <v>45773</v>
      </c>
      <c r="I32" s="1">
        <f>'Modelling New'!$AR$1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21"/>
      <c r="B33" s="121"/>
      <c r="C33" s="121">
        <f>YEAR(Inv_SY[[#This Row],[Date]])</f>
        <v>2025</v>
      </c>
      <c r="D33" s="121"/>
      <c r="E33" s="121"/>
      <c r="F33" s="120" t="str">
        <f>TEXT(Inv_SY[[#This Row],[Date]],"mmm-yy")</f>
        <v>Apr-25</v>
      </c>
      <c r="G33" s="121">
        <f>DAY(EOMONTH(Inv_SY[[#This Row],[Month Year]],0))</f>
        <v>30</v>
      </c>
      <c r="H33" s="122">
        <f t="shared" si="3"/>
        <v>45774</v>
      </c>
      <c r="I33" s="1">
        <f>'Modelling New'!$AR$1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21"/>
      <c r="B34" s="121"/>
      <c r="C34" s="121">
        <f>YEAR(Inv_SY[[#This Row],[Date]])</f>
        <v>2025</v>
      </c>
      <c r="D34" s="121"/>
      <c r="E34" s="121"/>
      <c r="F34" s="120" t="str">
        <f>TEXT(Inv_SY[[#This Row],[Date]],"mmm-yy")</f>
        <v>Apr-25</v>
      </c>
      <c r="G34" s="121">
        <f>DAY(EOMONTH(Inv_SY[[#This Row],[Month Year]],0))</f>
        <v>30</v>
      </c>
      <c r="H34" s="122">
        <f t="shared" si="3"/>
        <v>45775</v>
      </c>
      <c r="I34" s="1">
        <f>'Modelling New'!$AR$1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21"/>
      <c r="B35" s="121"/>
      <c r="C35" s="121">
        <f>YEAR(Inv_SY[[#This Row],[Date]])</f>
        <v>2025</v>
      </c>
      <c r="D35" s="121"/>
      <c r="E35" s="121"/>
      <c r="F35" s="120" t="str">
        <f>TEXT(Inv_SY[[#This Row],[Date]],"mmm-yy")</f>
        <v>Apr-25</v>
      </c>
      <c r="G35" s="121">
        <f>DAY(EOMONTH(Inv_SY[[#This Row],[Month Year]],0))</f>
        <v>30</v>
      </c>
      <c r="H35" s="122">
        <f t="shared" si="3"/>
        <v>45776</v>
      </c>
      <c r="I35" s="1">
        <f>'Modelling New'!$AR$1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21"/>
      <c r="B36" s="121"/>
      <c r="C36" s="121">
        <f>YEAR(Inv_SY[[#This Row],[Date]])</f>
        <v>2025</v>
      </c>
      <c r="D36" s="121"/>
      <c r="E36" s="121"/>
      <c r="F36" s="120" t="str">
        <f>TEXT(Inv_SY[[#This Row],[Date]],"mmm-yy")</f>
        <v>Apr-25</v>
      </c>
      <c r="G36" s="121">
        <f>DAY(EOMONTH(Inv_SY[[#This Row],[Month Year]],0))</f>
        <v>30</v>
      </c>
      <c r="H36" s="122">
        <f t="shared" si="3"/>
        <v>45777</v>
      </c>
      <c r="I36" s="1">
        <f>'Modelling New'!$AR$1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168"/>
      <c r="B37" s="168"/>
      <c r="C37" s="168">
        <f>YEAR(Inv_SY[[#This Row],[Date]])</f>
        <v>2025</v>
      </c>
      <c r="D37" s="168"/>
      <c r="E37" s="168"/>
      <c r="F37" s="169" t="str">
        <f>TEXT(Inv_SY[[#This Row],[Date]],"mmm-yy")</f>
        <v>May-25</v>
      </c>
      <c r="G37" s="168">
        <f>DAY(EOMONTH(Inv_SY[[#This Row],[Month Year]],0))</f>
        <v>31</v>
      </c>
      <c r="H37" s="170">
        <f t="shared" si="3"/>
        <v>45778</v>
      </c>
      <c r="I37" s="171">
        <f>'Modelling New'!$AR$1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168"/>
      <c r="B38" s="168"/>
      <c r="C38" s="168">
        <f>YEAR(Inv_SY[[#This Row],[Date]])</f>
        <v>2025</v>
      </c>
      <c r="D38" s="168"/>
      <c r="E38" s="168"/>
      <c r="F38" s="169" t="str">
        <f>TEXT(Inv_SY[[#This Row],[Date]],"mmm-yy")</f>
        <v>May-25</v>
      </c>
      <c r="G38" s="168">
        <f>DAY(EOMONTH(Inv_SY[[#This Row],[Month Year]],0))</f>
        <v>31</v>
      </c>
      <c r="H38" s="170">
        <f t="shared" si="3"/>
        <v>45779</v>
      </c>
      <c r="I38" s="171">
        <f>'Modelling New'!$AR$1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168"/>
      <c r="B39" s="168"/>
      <c r="C39" s="168">
        <f>YEAR(Inv_SY[[#This Row],[Date]])</f>
        <v>2025</v>
      </c>
      <c r="D39" s="168"/>
      <c r="E39" s="168"/>
      <c r="F39" s="169" t="str">
        <f>TEXT(Inv_SY[[#This Row],[Date]],"mmm-yy")</f>
        <v>May-25</v>
      </c>
      <c r="G39" s="168">
        <f>DAY(EOMONTH(Inv_SY[[#This Row],[Month Year]],0))</f>
        <v>31</v>
      </c>
      <c r="H39" s="170">
        <f t="shared" si="3"/>
        <v>45780</v>
      </c>
      <c r="I39" s="171">
        <f>'Modelling New'!$AR$1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168"/>
      <c r="B40" s="168"/>
      <c r="C40" s="168">
        <f>YEAR(Inv_SY[[#This Row],[Date]])</f>
        <v>2025</v>
      </c>
      <c r="D40" s="168"/>
      <c r="E40" s="168"/>
      <c r="F40" s="169" t="str">
        <f>TEXT(Inv_SY[[#This Row],[Date]],"mmm-yy")</f>
        <v>May-25</v>
      </c>
      <c r="G40" s="168">
        <f>DAY(EOMONTH(Inv_SY[[#This Row],[Month Year]],0))</f>
        <v>31</v>
      </c>
      <c r="H40" s="170">
        <f t="shared" si="3"/>
        <v>45781</v>
      </c>
      <c r="I40" s="171">
        <f>'Modelling New'!$AR$1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168"/>
      <c r="B41" s="168"/>
      <c r="C41" s="168">
        <f>YEAR(Inv_SY[[#This Row],[Date]])</f>
        <v>2025</v>
      </c>
      <c r="D41" s="168"/>
      <c r="E41" s="168"/>
      <c r="F41" s="169" t="str">
        <f>TEXT(Inv_SY[[#This Row],[Date]],"mmm-yy")</f>
        <v>May-25</v>
      </c>
      <c r="G41" s="168">
        <f>DAY(EOMONTH(Inv_SY[[#This Row],[Month Year]],0))</f>
        <v>31</v>
      </c>
      <c r="H41" s="170">
        <f t="shared" si="3"/>
        <v>45782</v>
      </c>
      <c r="I41" s="171">
        <f>'Modelling New'!$AR$1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168"/>
      <c r="B42" s="168"/>
      <c r="C42" s="168">
        <f>YEAR(Inv_SY[[#This Row],[Date]])</f>
        <v>2025</v>
      </c>
      <c r="D42" s="168"/>
      <c r="E42" s="168"/>
      <c r="F42" s="169" t="str">
        <f>TEXT(Inv_SY[[#This Row],[Date]],"mmm-yy")</f>
        <v>May-25</v>
      </c>
      <c r="G42" s="168">
        <f>DAY(EOMONTH(Inv_SY[[#This Row],[Month Year]],0))</f>
        <v>31</v>
      </c>
      <c r="H42" s="170">
        <f t="shared" si="3"/>
        <v>45783</v>
      </c>
      <c r="I42" s="171">
        <f>'Modelling New'!$AR$1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168"/>
      <c r="B43" s="168"/>
      <c r="C43" s="168">
        <f>YEAR(Inv_SY[[#This Row],[Date]])</f>
        <v>2025</v>
      </c>
      <c r="D43" s="168"/>
      <c r="E43" s="168"/>
      <c r="F43" s="169" t="str">
        <f>TEXT(Inv_SY[[#This Row],[Date]],"mmm-yy")</f>
        <v>May-25</v>
      </c>
      <c r="G43" s="168">
        <f>DAY(EOMONTH(Inv_SY[[#This Row],[Month Year]],0))</f>
        <v>31</v>
      </c>
      <c r="H43" s="170">
        <f t="shared" si="3"/>
        <v>45784</v>
      </c>
      <c r="I43" s="171">
        <f>'Modelling New'!$AR$1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168"/>
      <c r="B44" s="168"/>
      <c r="C44" s="168">
        <f>YEAR(Inv_SY[[#This Row],[Date]])</f>
        <v>2025</v>
      </c>
      <c r="D44" s="168"/>
      <c r="E44" s="168"/>
      <c r="F44" s="169" t="str">
        <f>TEXT(Inv_SY[[#This Row],[Date]],"mmm-yy")</f>
        <v>May-25</v>
      </c>
      <c r="G44" s="168">
        <f>DAY(EOMONTH(Inv_SY[[#This Row],[Month Year]],0))</f>
        <v>31</v>
      </c>
      <c r="H44" s="170">
        <f t="shared" si="3"/>
        <v>45785</v>
      </c>
      <c r="I44" s="171">
        <f>'Modelling New'!$AR$1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168"/>
      <c r="B45" s="168"/>
      <c r="C45" s="168">
        <f>YEAR(Inv_SY[[#This Row],[Date]])</f>
        <v>2025</v>
      </c>
      <c r="D45" s="168"/>
      <c r="E45" s="168"/>
      <c r="F45" s="169" t="str">
        <f>TEXT(Inv_SY[[#This Row],[Date]],"mmm-yy")</f>
        <v>May-25</v>
      </c>
      <c r="G45" s="168">
        <f>DAY(EOMONTH(Inv_SY[[#This Row],[Month Year]],0))</f>
        <v>31</v>
      </c>
      <c r="H45" s="170">
        <f t="shared" si="3"/>
        <v>45786</v>
      </c>
      <c r="I45" s="171">
        <f>'Modelling New'!$AR$1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168"/>
      <c r="B46" s="168"/>
      <c r="C46" s="168">
        <f>YEAR(Inv_SY[[#This Row],[Date]])</f>
        <v>2025</v>
      </c>
      <c r="D46" s="168"/>
      <c r="E46" s="168"/>
      <c r="F46" s="169" t="str">
        <f>TEXT(Inv_SY[[#This Row],[Date]],"mmm-yy")</f>
        <v>May-25</v>
      </c>
      <c r="G46" s="168">
        <f>DAY(EOMONTH(Inv_SY[[#This Row],[Month Year]],0))</f>
        <v>31</v>
      </c>
      <c r="H46" s="170">
        <f t="shared" si="3"/>
        <v>45787</v>
      </c>
      <c r="I46" s="171">
        <f>'Modelling New'!$AR$1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168"/>
      <c r="B47" s="168"/>
      <c r="C47" s="168">
        <f>YEAR(Inv_SY[[#This Row],[Date]])</f>
        <v>2025</v>
      </c>
      <c r="D47" s="168"/>
      <c r="E47" s="168"/>
      <c r="F47" s="169" t="str">
        <f>TEXT(Inv_SY[[#This Row],[Date]],"mmm-yy")</f>
        <v>May-25</v>
      </c>
      <c r="G47" s="168">
        <f>DAY(EOMONTH(Inv_SY[[#This Row],[Month Year]],0))</f>
        <v>31</v>
      </c>
      <c r="H47" s="170">
        <f t="shared" si="3"/>
        <v>45788</v>
      </c>
      <c r="I47" s="171">
        <f>'Modelling New'!$AR$1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168"/>
      <c r="B48" s="168"/>
      <c r="C48" s="168">
        <f>YEAR(Inv_SY[[#This Row],[Date]])</f>
        <v>2025</v>
      </c>
      <c r="D48" s="168"/>
      <c r="E48" s="168"/>
      <c r="F48" s="169" t="str">
        <f>TEXT(Inv_SY[[#This Row],[Date]],"mmm-yy")</f>
        <v>May-25</v>
      </c>
      <c r="G48" s="168">
        <f>DAY(EOMONTH(Inv_SY[[#This Row],[Month Year]],0))</f>
        <v>31</v>
      </c>
      <c r="H48" s="170">
        <f t="shared" si="3"/>
        <v>45789</v>
      </c>
      <c r="I48" s="171">
        <f>'Modelling New'!$AR$1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168"/>
      <c r="B49" s="168"/>
      <c r="C49" s="168">
        <f>YEAR(Inv_SY[[#This Row],[Date]])</f>
        <v>2025</v>
      </c>
      <c r="D49" s="168"/>
      <c r="E49" s="168"/>
      <c r="F49" s="169" t="str">
        <f>TEXT(Inv_SY[[#This Row],[Date]],"mmm-yy")</f>
        <v>May-25</v>
      </c>
      <c r="G49" s="168">
        <f>DAY(EOMONTH(Inv_SY[[#This Row],[Month Year]],0))</f>
        <v>31</v>
      </c>
      <c r="H49" s="170">
        <f t="shared" si="3"/>
        <v>45790</v>
      </c>
      <c r="I49" s="171">
        <f>'Modelling New'!$AR$1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168"/>
      <c r="B50" s="168"/>
      <c r="C50" s="168">
        <f>YEAR(Inv_SY[[#This Row],[Date]])</f>
        <v>2025</v>
      </c>
      <c r="D50" s="168"/>
      <c r="E50" s="168"/>
      <c r="F50" s="169" t="str">
        <f>TEXT(Inv_SY[[#This Row],[Date]],"mmm-yy")</f>
        <v>May-25</v>
      </c>
      <c r="G50" s="168">
        <f>DAY(EOMONTH(Inv_SY[[#This Row],[Month Year]],0))</f>
        <v>31</v>
      </c>
      <c r="H50" s="170">
        <f t="shared" si="3"/>
        <v>45791</v>
      </c>
      <c r="I50" s="171">
        <f>'Modelling New'!$AR$1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168"/>
      <c r="B51" s="168"/>
      <c r="C51" s="168">
        <f>YEAR(Inv_SY[[#This Row],[Date]])</f>
        <v>2025</v>
      </c>
      <c r="D51" s="168"/>
      <c r="E51" s="168"/>
      <c r="F51" s="169" t="str">
        <f>TEXT(Inv_SY[[#This Row],[Date]],"mmm-yy")</f>
        <v>May-25</v>
      </c>
      <c r="G51" s="168">
        <f>DAY(EOMONTH(Inv_SY[[#This Row],[Month Year]],0))</f>
        <v>31</v>
      </c>
      <c r="H51" s="170">
        <f t="shared" si="3"/>
        <v>45792</v>
      </c>
      <c r="I51" s="171">
        <f>'Modelling New'!$AR$1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168"/>
      <c r="B52" s="168"/>
      <c r="C52" s="168">
        <f>YEAR(Inv_SY[[#This Row],[Date]])</f>
        <v>2025</v>
      </c>
      <c r="D52" s="168"/>
      <c r="E52" s="168"/>
      <c r="F52" s="169" t="str">
        <f>TEXT(Inv_SY[[#This Row],[Date]],"mmm-yy")</f>
        <v>May-25</v>
      </c>
      <c r="G52" s="168">
        <f>DAY(EOMONTH(Inv_SY[[#This Row],[Month Year]],0))</f>
        <v>31</v>
      </c>
      <c r="H52" s="170">
        <f t="shared" si="3"/>
        <v>45793</v>
      </c>
      <c r="I52" s="171">
        <f>'Modelling New'!$AR$1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168"/>
      <c r="B53" s="168"/>
      <c r="C53" s="168">
        <f>YEAR(Inv_SY[[#This Row],[Date]])</f>
        <v>2025</v>
      </c>
      <c r="D53" s="168"/>
      <c r="E53" s="168"/>
      <c r="F53" s="169" t="str">
        <f>TEXT(Inv_SY[[#This Row],[Date]],"mmm-yy")</f>
        <v>May-25</v>
      </c>
      <c r="G53" s="168">
        <f>DAY(EOMONTH(Inv_SY[[#This Row],[Month Year]],0))</f>
        <v>31</v>
      </c>
      <c r="H53" s="170">
        <f t="shared" si="3"/>
        <v>45794</v>
      </c>
      <c r="I53" s="171">
        <f>'Modelling New'!$AR$1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168"/>
      <c r="B54" s="168"/>
      <c r="C54" s="168">
        <f>YEAR(Inv_SY[[#This Row],[Date]])</f>
        <v>2025</v>
      </c>
      <c r="D54" s="168"/>
      <c r="E54" s="168"/>
      <c r="F54" s="169" t="str">
        <f>TEXT(Inv_SY[[#This Row],[Date]],"mmm-yy")</f>
        <v>May-25</v>
      </c>
      <c r="G54" s="168">
        <f>DAY(EOMONTH(Inv_SY[[#This Row],[Month Year]],0))</f>
        <v>31</v>
      </c>
      <c r="H54" s="170">
        <f t="shared" si="3"/>
        <v>45795</v>
      </c>
      <c r="I54" s="171">
        <f>'Modelling New'!$AR$1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168"/>
      <c r="B55" s="168"/>
      <c r="C55" s="168">
        <f>YEAR(Inv_SY[[#This Row],[Date]])</f>
        <v>2025</v>
      </c>
      <c r="D55" s="168"/>
      <c r="E55" s="168"/>
      <c r="F55" s="169" t="str">
        <f>TEXT(Inv_SY[[#This Row],[Date]],"mmm-yy")</f>
        <v>May-25</v>
      </c>
      <c r="G55" s="168">
        <f>DAY(EOMONTH(Inv_SY[[#This Row],[Month Year]],0))</f>
        <v>31</v>
      </c>
      <c r="H55" s="170">
        <f t="shared" si="3"/>
        <v>45796</v>
      </c>
      <c r="I55" s="171">
        <f>'Modelling New'!$AR$1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168"/>
      <c r="B56" s="168"/>
      <c r="C56" s="168">
        <f>YEAR(Inv_SY[[#This Row],[Date]])</f>
        <v>2025</v>
      </c>
      <c r="D56" s="168"/>
      <c r="E56" s="168"/>
      <c r="F56" s="169" t="str">
        <f>TEXT(Inv_SY[[#This Row],[Date]],"mmm-yy")</f>
        <v>May-25</v>
      </c>
      <c r="G56" s="168">
        <f>DAY(EOMONTH(Inv_SY[[#This Row],[Month Year]],0))</f>
        <v>31</v>
      </c>
      <c r="H56" s="170">
        <f t="shared" si="3"/>
        <v>45797</v>
      </c>
      <c r="I56" s="171">
        <f>'Modelling New'!$AR$1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168"/>
      <c r="B57" s="168"/>
      <c r="C57" s="168">
        <f>YEAR(Inv_SY[[#This Row],[Date]])</f>
        <v>2025</v>
      </c>
      <c r="D57" s="168"/>
      <c r="E57" s="168"/>
      <c r="F57" s="169" t="str">
        <f>TEXT(Inv_SY[[#This Row],[Date]],"mmm-yy")</f>
        <v>May-25</v>
      </c>
      <c r="G57" s="168">
        <f>DAY(EOMONTH(Inv_SY[[#This Row],[Month Year]],0))</f>
        <v>31</v>
      </c>
      <c r="H57" s="170">
        <f t="shared" si="3"/>
        <v>45798</v>
      </c>
      <c r="I57" s="171">
        <f>'Modelling New'!$AR$1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168"/>
      <c r="B58" s="168"/>
      <c r="C58" s="168">
        <f>YEAR(Inv_SY[[#This Row],[Date]])</f>
        <v>2025</v>
      </c>
      <c r="D58" s="168"/>
      <c r="E58" s="168"/>
      <c r="F58" s="169" t="str">
        <f>TEXT(Inv_SY[[#This Row],[Date]],"mmm-yy")</f>
        <v>May-25</v>
      </c>
      <c r="G58" s="168">
        <f>DAY(EOMONTH(Inv_SY[[#This Row],[Month Year]],0))</f>
        <v>31</v>
      </c>
      <c r="H58" s="170">
        <f t="shared" si="3"/>
        <v>45799</v>
      </c>
      <c r="I58" s="171">
        <f>'Modelling New'!$AR$1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168"/>
      <c r="B59" s="168"/>
      <c r="C59" s="168">
        <f>YEAR(Inv_SY[[#This Row],[Date]])</f>
        <v>2025</v>
      </c>
      <c r="D59" s="168"/>
      <c r="E59" s="168"/>
      <c r="F59" s="169" t="str">
        <f>TEXT(Inv_SY[[#This Row],[Date]],"mmm-yy")</f>
        <v>May-25</v>
      </c>
      <c r="G59" s="168">
        <f>DAY(EOMONTH(Inv_SY[[#This Row],[Month Year]],0))</f>
        <v>31</v>
      </c>
      <c r="H59" s="170">
        <f t="shared" si="3"/>
        <v>45800</v>
      </c>
      <c r="I59" s="171">
        <f>'Modelling New'!$AR$1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168"/>
      <c r="B60" s="168"/>
      <c r="C60" s="168">
        <f>YEAR(Inv_SY[[#This Row],[Date]])</f>
        <v>2025</v>
      </c>
      <c r="D60" s="168"/>
      <c r="E60" s="168"/>
      <c r="F60" s="169" t="str">
        <f>TEXT(Inv_SY[[#This Row],[Date]],"mmm-yy")</f>
        <v>May-25</v>
      </c>
      <c r="G60" s="168">
        <f>DAY(EOMONTH(Inv_SY[[#This Row],[Month Year]],0))</f>
        <v>31</v>
      </c>
      <c r="H60" s="170">
        <f t="shared" si="3"/>
        <v>45801</v>
      </c>
      <c r="I60" s="171">
        <f>'Modelling New'!$AR$1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168"/>
      <c r="B61" s="168"/>
      <c r="C61" s="168">
        <f>YEAR(Inv_SY[[#This Row],[Date]])</f>
        <v>2025</v>
      </c>
      <c r="D61" s="168"/>
      <c r="E61" s="168"/>
      <c r="F61" s="169" t="str">
        <f>TEXT(Inv_SY[[#This Row],[Date]],"mmm-yy")</f>
        <v>May-25</v>
      </c>
      <c r="G61" s="168">
        <f>DAY(EOMONTH(Inv_SY[[#This Row],[Month Year]],0))</f>
        <v>31</v>
      </c>
      <c r="H61" s="170">
        <f t="shared" si="3"/>
        <v>45802</v>
      </c>
      <c r="I61" s="171">
        <f>'Modelling New'!$AR$1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168"/>
      <c r="B62" s="168"/>
      <c r="C62" s="168">
        <f>YEAR(Inv_SY[[#This Row],[Date]])</f>
        <v>2025</v>
      </c>
      <c r="D62" s="168"/>
      <c r="E62" s="168"/>
      <c r="F62" s="169" t="str">
        <f>TEXT(Inv_SY[[#This Row],[Date]],"mmm-yy")</f>
        <v>May-25</v>
      </c>
      <c r="G62" s="168">
        <f>DAY(EOMONTH(Inv_SY[[#This Row],[Month Year]],0))</f>
        <v>31</v>
      </c>
      <c r="H62" s="170">
        <f t="shared" si="3"/>
        <v>45803</v>
      </c>
      <c r="I62" s="171">
        <f>'Modelling New'!$AR$1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168"/>
      <c r="B63" s="168"/>
      <c r="C63" s="168">
        <f>YEAR(Inv_SY[[#This Row],[Date]])</f>
        <v>2025</v>
      </c>
      <c r="D63" s="168"/>
      <c r="E63" s="168"/>
      <c r="F63" s="169" t="str">
        <f>TEXT(Inv_SY[[#This Row],[Date]],"mmm-yy")</f>
        <v>May-25</v>
      </c>
      <c r="G63" s="168">
        <f>DAY(EOMONTH(Inv_SY[[#This Row],[Month Year]],0))</f>
        <v>31</v>
      </c>
      <c r="H63" s="170">
        <f t="shared" si="3"/>
        <v>45804</v>
      </c>
      <c r="I63" s="171">
        <f>'Modelling New'!$AR$1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168"/>
      <c r="B64" s="168"/>
      <c r="C64" s="168">
        <f>YEAR(Inv_SY[[#This Row],[Date]])</f>
        <v>2025</v>
      </c>
      <c r="D64" s="168"/>
      <c r="E64" s="168"/>
      <c r="F64" s="169" t="str">
        <f>TEXT(Inv_SY[[#This Row],[Date]],"mmm-yy")</f>
        <v>May-25</v>
      </c>
      <c r="G64" s="168">
        <f>DAY(EOMONTH(Inv_SY[[#This Row],[Month Year]],0))</f>
        <v>31</v>
      </c>
      <c r="H64" s="170">
        <f t="shared" si="3"/>
        <v>45805</v>
      </c>
      <c r="I64" s="171">
        <f>'Modelling New'!$AR$1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168"/>
      <c r="B65" s="168"/>
      <c r="C65" s="168">
        <f>YEAR(Inv_SY[[#This Row],[Date]])</f>
        <v>2025</v>
      </c>
      <c r="D65" s="168"/>
      <c r="E65" s="168"/>
      <c r="F65" s="169" t="str">
        <f>TEXT(Inv_SY[[#This Row],[Date]],"mmm-yy")</f>
        <v>May-25</v>
      </c>
      <c r="G65" s="168">
        <f>DAY(EOMONTH(Inv_SY[[#This Row],[Month Year]],0))</f>
        <v>31</v>
      </c>
      <c r="H65" s="170">
        <f t="shared" si="3"/>
        <v>45806</v>
      </c>
      <c r="I65" s="171">
        <f>'Modelling New'!$AR$1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168"/>
      <c r="B66" s="168"/>
      <c r="C66" s="168">
        <f>YEAR(Inv_SY[[#This Row],[Date]])</f>
        <v>2025</v>
      </c>
      <c r="D66" s="168"/>
      <c r="E66" s="168"/>
      <c r="F66" s="169" t="str">
        <f>TEXT(Inv_SY[[#This Row],[Date]],"mmm-yy")</f>
        <v>May-25</v>
      </c>
      <c r="G66" s="168">
        <f>DAY(EOMONTH(Inv_SY[[#This Row],[Month Year]],0))</f>
        <v>31</v>
      </c>
      <c r="H66" s="170">
        <f t="shared" si="3"/>
        <v>45807</v>
      </c>
      <c r="I66" s="171">
        <f>'Modelling New'!$AR$1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168"/>
      <c r="B67" s="168"/>
      <c r="C67" s="168">
        <f>YEAR(Inv_SY[[#This Row],[Date]])</f>
        <v>2025</v>
      </c>
      <c r="D67" s="168"/>
      <c r="E67" s="168"/>
      <c r="F67" s="169" t="str">
        <f>TEXT(Inv_SY[[#This Row],[Date]],"mmm-yy")</f>
        <v>May-25</v>
      </c>
      <c r="G67" s="168">
        <f>DAY(EOMONTH(Inv_SY[[#This Row],[Month Year]],0))</f>
        <v>31</v>
      </c>
      <c r="H67" s="170">
        <f t="shared" si="3"/>
        <v>45808</v>
      </c>
      <c r="I67" s="171">
        <f>'Modelling New'!$AR$1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168"/>
      <c r="B68" s="168"/>
      <c r="C68" s="168">
        <f>YEAR(Inv_SY[[#This Row],[Date]])</f>
        <v>2025</v>
      </c>
      <c r="D68" s="168"/>
      <c r="E68" s="168"/>
      <c r="F68" s="169" t="str">
        <f>TEXT(Inv_SY[[#This Row],[Date]],"mmm-yy")</f>
        <v>Jun-25</v>
      </c>
      <c r="G68" s="168">
        <f>DAY(EOMONTH(Inv_SY[[#This Row],[Month Year]],0))</f>
        <v>30</v>
      </c>
      <c r="H68" s="170">
        <f t="shared" si="3"/>
        <v>45809</v>
      </c>
      <c r="I68" s="171">
        <f>'Modelling New'!$AR$1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168"/>
      <c r="B69" s="168"/>
      <c r="C69" s="168">
        <f>YEAR(Inv_SY[[#This Row],[Date]])</f>
        <v>2025</v>
      </c>
      <c r="D69" s="168"/>
      <c r="E69" s="168"/>
      <c r="F69" s="169" t="str">
        <f>TEXT(Inv_SY[[#This Row],[Date]],"mmm-yy")</f>
        <v>Jun-25</v>
      </c>
      <c r="G69" s="168">
        <f>DAY(EOMONTH(Inv_SY[[#This Row],[Month Year]],0))</f>
        <v>30</v>
      </c>
      <c r="H69" s="170">
        <f t="shared" si="3"/>
        <v>45810</v>
      </c>
      <c r="I69" s="171">
        <f>'Modelling New'!$AR$1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168"/>
      <c r="B70" s="168"/>
      <c r="C70" s="168">
        <f>YEAR(Inv_SY[[#This Row],[Date]])</f>
        <v>2025</v>
      </c>
      <c r="D70" s="168"/>
      <c r="E70" s="168"/>
      <c r="F70" s="169" t="str">
        <f>TEXT(Inv_SY[[#This Row],[Date]],"mmm-yy")</f>
        <v>Jun-25</v>
      </c>
      <c r="G70" s="168">
        <f>DAY(EOMONTH(Inv_SY[[#This Row],[Month Year]],0))</f>
        <v>30</v>
      </c>
      <c r="H70" s="170">
        <f t="shared" si="3"/>
        <v>45811</v>
      </c>
      <c r="I70" s="171">
        <f>'Modelling New'!$AR$1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168"/>
      <c r="B71" s="168"/>
      <c r="C71" s="168">
        <f>YEAR(Inv_SY[[#This Row],[Date]])</f>
        <v>2025</v>
      </c>
      <c r="D71" s="168"/>
      <c r="E71" s="168"/>
      <c r="F71" s="169" t="str">
        <f>TEXT(Inv_SY[[#This Row],[Date]],"mmm-yy")</f>
        <v>Jun-25</v>
      </c>
      <c r="G71" s="168">
        <f>DAY(EOMONTH(Inv_SY[[#This Row],[Month Year]],0))</f>
        <v>30</v>
      </c>
      <c r="H71" s="170">
        <f t="shared" si="3"/>
        <v>45812</v>
      </c>
      <c r="I71" s="171">
        <f>'Modelling New'!$AR$1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168"/>
      <c r="B72" s="168"/>
      <c r="C72" s="168">
        <f>YEAR(Inv_SY[[#This Row],[Date]])</f>
        <v>2025</v>
      </c>
      <c r="D72" s="168"/>
      <c r="E72" s="168"/>
      <c r="F72" s="169" t="str">
        <f>TEXT(Inv_SY[[#This Row],[Date]],"mmm-yy")</f>
        <v>Jun-25</v>
      </c>
      <c r="G72" s="168">
        <f>DAY(EOMONTH(Inv_SY[[#This Row],[Month Year]],0))</f>
        <v>30</v>
      </c>
      <c r="H72" s="170">
        <f t="shared" si="3"/>
        <v>45813</v>
      </c>
      <c r="I72" s="171">
        <f>'Modelling New'!$AR$1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168"/>
      <c r="B73" s="168"/>
      <c r="C73" s="168">
        <f>YEAR(Inv_SY[[#This Row],[Date]])</f>
        <v>2025</v>
      </c>
      <c r="D73" s="168"/>
      <c r="E73" s="168"/>
      <c r="F73" s="169" t="str">
        <f>TEXT(Inv_SY[[#This Row],[Date]],"mmm-yy")</f>
        <v>Jun-25</v>
      </c>
      <c r="G73" s="168">
        <f>DAY(EOMONTH(Inv_SY[[#This Row],[Month Year]],0))</f>
        <v>30</v>
      </c>
      <c r="H73" s="170">
        <f t="shared" si="3"/>
        <v>45814</v>
      </c>
      <c r="I73" s="171">
        <f>'Modelling New'!$AR$1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168"/>
      <c r="B74" s="168"/>
      <c r="C74" s="168">
        <f>YEAR(Inv_SY[[#This Row],[Date]])</f>
        <v>2025</v>
      </c>
      <c r="D74" s="168"/>
      <c r="E74" s="168"/>
      <c r="F74" s="169" t="str">
        <f>TEXT(Inv_SY[[#This Row],[Date]],"mmm-yy")</f>
        <v>Jun-25</v>
      </c>
      <c r="G74" s="168">
        <f>DAY(EOMONTH(Inv_SY[[#This Row],[Month Year]],0))</f>
        <v>30</v>
      </c>
      <c r="H74" s="170">
        <f t="shared" si="3"/>
        <v>45815</v>
      </c>
      <c r="I74" s="171">
        <f>'Modelling New'!$AR$1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168"/>
      <c r="B75" s="168"/>
      <c r="C75" s="168">
        <f>YEAR(Inv_SY[[#This Row],[Date]])</f>
        <v>2025</v>
      </c>
      <c r="D75" s="168"/>
      <c r="E75" s="168"/>
      <c r="F75" s="169" t="str">
        <f>TEXT(Inv_SY[[#This Row],[Date]],"mmm-yy")</f>
        <v>Jun-25</v>
      </c>
      <c r="G75" s="168">
        <f>DAY(EOMONTH(Inv_SY[[#This Row],[Month Year]],0))</f>
        <v>30</v>
      </c>
      <c r="H75" s="170">
        <f t="shared" si="3"/>
        <v>45816</v>
      </c>
      <c r="I75" s="171">
        <f>'Modelling New'!$AR$1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168"/>
      <c r="B76" s="168"/>
      <c r="C76" s="168">
        <f>YEAR(Inv_SY[[#This Row],[Date]])</f>
        <v>2025</v>
      </c>
      <c r="D76" s="168"/>
      <c r="E76" s="168"/>
      <c r="F76" s="169" t="str">
        <f>TEXT(Inv_SY[[#This Row],[Date]],"mmm-yy")</f>
        <v>Jun-25</v>
      </c>
      <c r="G76" s="168">
        <f>DAY(EOMONTH(Inv_SY[[#This Row],[Month Year]],0))</f>
        <v>30</v>
      </c>
      <c r="H76" s="170">
        <f t="shared" si="3"/>
        <v>45817</v>
      </c>
      <c r="I76" s="171">
        <f>'Modelling New'!$AR$1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168"/>
      <c r="B77" s="168"/>
      <c r="C77" s="168">
        <f>YEAR(Inv_SY[[#This Row],[Date]])</f>
        <v>2025</v>
      </c>
      <c r="D77" s="168"/>
      <c r="E77" s="168"/>
      <c r="F77" s="169" t="str">
        <f>TEXT(Inv_SY[[#This Row],[Date]],"mmm-yy")</f>
        <v>Jun-25</v>
      </c>
      <c r="G77" s="168">
        <f>DAY(EOMONTH(Inv_SY[[#This Row],[Month Year]],0))</f>
        <v>30</v>
      </c>
      <c r="H77" s="170">
        <f t="shared" si="3"/>
        <v>45818</v>
      </c>
      <c r="I77" s="171">
        <f>'Modelling New'!$AR$1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168"/>
      <c r="B78" s="168"/>
      <c r="C78" s="168">
        <f>YEAR(Inv_SY[[#This Row],[Date]])</f>
        <v>2025</v>
      </c>
      <c r="D78" s="168"/>
      <c r="E78" s="168"/>
      <c r="F78" s="169" t="str">
        <f>TEXT(Inv_SY[[#This Row],[Date]],"mmm-yy")</f>
        <v>Jun-25</v>
      </c>
      <c r="G78" s="168">
        <f>DAY(EOMONTH(Inv_SY[[#This Row],[Month Year]],0))</f>
        <v>30</v>
      </c>
      <c r="H78" s="170">
        <f t="shared" si="3"/>
        <v>45819</v>
      </c>
      <c r="I78" s="171">
        <f>'Modelling New'!$AR$1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168"/>
      <c r="B79" s="168"/>
      <c r="C79" s="168">
        <f>YEAR(Inv_SY[[#This Row],[Date]])</f>
        <v>2025</v>
      </c>
      <c r="D79" s="168"/>
      <c r="E79" s="168"/>
      <c r="F79" s="169" t="str">
        <f>TEXT(Inv_SY[[#This Row],[Date]],"mmm-yy")</f>
        <v>Jun-25</v>
      </c>
      <c r="G79" s="168">
        <f>DAY(EOMONTH(Inv_SY[[#This Row],[Month Year]],0))</f>
        <v>30</v>
      </c>
      <c r="H79" s="170">
        <f t="shared" si="3"/>
        <v>45820</v>
      </c>
      <c r="I79" s="171">
        <f>'Modelling New'!$AR$1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168"/>
      <c r="B80" s="168"/>
      <c r="C80" s="168">
        <f>YEAR(Inv_SY[[#This Row],[Date]])</f>
        <v>2025</v>
      </c>
      <c r="D80" s="168"/>
      <c r="E80" s="168"/>
      <c r="F80" s="169" t="str">
        <f>TEXT(Inv_SY[[#This Row],[Date]],"mmm-yy")</f>
        <v>Jun-25</v>
      </c>
      <c r="G80" s="168">
        <f>DAY(EOMONTH(Inv_SY[[#This Row],[Month Year]],0))</f>
        <v>30</v>
      </c>
      <c r="H80" s="170">
        <f t="shared" ref="H80:H92" si="10">H79+1</f>
        <v>45821</v>
      </c>
      <c r="I80" s="171">
        <f>'Modelling New'!$AR$1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168"/>
      <c r="B81" s="168"/>
      <c r="C81" s="168">
        <f>YEAR(Inv_SY[[#This Row],[Date]])</f>
        <v>2025</v>
      </c>
      <c r="D81" s="168"/>
      <c r="E81" s="168"/>
      <c r="F81" s="169" t="str">
        <f>TEXT(Inv_SY[[#This Row],[Date]],"mmm-yy")</f>
        <v>Jun-25</v>
      </c>
      <c r="G81" s="168">
        <f>DAY(EOMONTH(Inv_SY[[#This Row],[Month Year]],0))</f>
        <v>30</v>
      </c>
      <c r="H81" s="170">
        <f t="shared" si="10"/>
        <v>45822</v>
      </c>
      <c r="I81" s="171">
        <f>'Modelling New'!$AR$1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168"/>
      <c r="B82" s="168"/>
      <c r="C82" s="168">
        <f>YEAR(Inv_SY[[#This Row],[Date]])</f>
        <v>2025</v>
      </c>
      <c r="D82" s="168"/>
      <c r="E82" s="168"/>
      <c r="F82" s="169" t="str">
        <f>TEXT(Inv_SY[[#This Row],[Date]],"mmm-yy")</f>
        <v>Jun-25</v>
      </c>
      <c r="G82" s="168">
        <f>DAY(EOMONTH(Inv_SY[[#This Row],[Month Year]],0))</f>
        <v>30</v>
      </c>
      <c r="H82" s="170">
        <f t="shared" si="10"/>
        <v>45823</v>
      </c>
      <c r="I82" s="171">
        <f>'Modelling New'!$AR$1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168"/>
      <c r="B83" s="168"/>
      <c r="C83" s="168">
        <f>YEAR(Inv_SY[[#This Row],[Date]])</f>
        <v>2025</v>
      </c>
      <c r="D83" s="168"/>
      <c r="E83" s="168"/>
      <c r="F83" s="169" t="str">
        <f>TEXT(Inv_SY[[#This Row],[Date]],"mmm-yy")</f>
        <v>Jun-25</v>
      </c>
      <c r="G83" s="168">
        <f>DAY(EOMONTH(Inv_SY[[#This Row],[Month Year]],0))</f>
        <v>30</v>
      </c>
      <c r="H83" s="170">
        <f t="shared" si="10"/>
        <v>45824</v>
      </c>
      <c r="I83" s="171">
        <f>'Modelling New'!$AR$1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168"/>
      <c r="B84" s="168"/>
      <c r="C84" s="168">
        <f>YEAR(Inv_SY[[#This Row],[Date]])</f>
        <v>2025</v>
      </c>
      <c r="D84" s="168"/>
      <c r="E84" s="168"/>
      <c r="F84" s="169" t="str">
        <f>TEXT(Inv_SY[[#This Row],[Date]],"mmm-yy")</f>
        <v>Jun-25</v>
      </c>
      <c r="G84" s="168">
        <f>DAY(EOMONTH(Inv_SY[[#This Row],[Month Year]],0))</f>
        <v>30</v>
      </c>
      <c r="H84" s="170">
        <f t="shared" si="10"/>
        <v>45825</v>
      </c>
      <c r="I84" s="171">
        <f>'Modelling New'!$AR$1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168"/>
      <c r="B85" s="168"/>
      <c r="C85" s="168">
        <f>YEAR(Inv_SY[[#This Row],[Date]])</f>
        <v>2025</v>
      </c>
      <c r="D85" s="168"/>
      <c r="E85" s="168"/>
      <c r="F85" s="169" t="str">
        <f>TEXT(Inv_SY[[#This Row],[Date]],"mmm-yy")</f>
        <v>Jun-25</v>
      </c>
      <c r="G85" s="168">
        <f>DAY(EOMONTH(Inv_SY[[#This Row],[Month Year]],0))</f>
        <v>30</v>
      </c>
      <c r="H85" s="170">
        <f t="shared" si="10"/>
        <v>45826</v>
      </c>
      <c r="I85" s="171">
        <f>'Modelling New'!$AR$1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168"/>
      <c r="B86" s="168"/>
      <c r="C86" s="168">
        <f>YEAR(Inv_SY[[#This Row],[Date]])</f>
        <v>2025</v>
      </c>
      <c r="D86" s="168"/>
      <c r="E86" s="168"/>
      <c r="F86" s="169" t="str">
        <f>TEXT(Inv_SY[[#This Row],[Date]],"mmm-yy")</f>
        <v>Jun-25</v>
      </c>
      <c r="G86" s="168">
        <f>DAY(EOMONTH(Inv_SY[[#This Row],[Month Year]],0))</f>
        <v>30</v>
      </c>
      <c r="H86" s="170">
        <f t="shared" si="10"/>
        <v>45827</v>
      </c>
      <c r="I86" s="171">
        <f>'Modelling New'!$AR$1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168"/>
      <c r="B87" s="168"/>
      <c r="C87" s="168">
        <f>YEAR(Inv_SY[[#This Row],[Date]])</f>
        <v>2025</v>
      </c>
      <c r="D87" s="168"/>
      <c r="E87" s="168"/>
      <c r="F87" s="169" t="str">
        <f>TEXT(Inv_SY[[#This Row],[Date]],"mmm-yy")</f>
        <v>Jun-25</v>
      </c>
      <c r="G87" s="168">
        <f>DAY(EOMONTH(Inv_SY[[#This Row],[Month Year]],0))</f>
        <v>30</v>
      </c>
      <c r="H87" s="170">
        <f t="shared" si="10"/>
        <v>45828</v>
      </c>
      <c r="I87" s="171">
        <f>'Modelling New'!$AR$1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168"/>
      <c r="B88" s="168"/>
      <c r="C88" s="168">
        <f>YEAR(Inv_SY[[#This Row],[Date]])</f>
        <v>2025</v>
      </c>
      <c r="D88" s="168"/>
      <c r="E88" s="168"/>
      <c r="F88" s="169" t="str">
        <f>TEXT(Inv_SY[[#This Row],[Date]],"mmm-yy")</f>
        <v>Jun-25</v>
      </c>
      <c r="G88" s="168">
        <f>DAY(EOMONTH(Inv_SY[[#This Row],[Month Year]],0))</f>
        <v>30</v>
      </c>
      <c r="H88" s="170">
        <f t="shared" si="10"/>
        <v>45829</v>
      </c>
      <c r="I88" s="171">
        <f>'Modelling New'!$AR$1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168"/>
      <c r="B89" s="168"/>
      <c r="C89" s="168">
        <f>YEAR(Inv_SY[[#This Row],[Date]])</f>
        <v>2025</v>
      </c>
      <c r="D89" s="168"/>
      <c r="E89" s="168"/>
      <c r="F89" s="169" t="str">
        <f>TEXT(Inv_SY[[#This Row],[Date]],"mmm-yy")</f>
        <v>Jun-25</v>
      </c>
      <c r="G89" s="168">
        <f>DAY(EOMONTH(Inv_SY[[#This Row],[Month Year]],0))</f>
        <v>30</v>
      </c>
      <c r="H89" s="170">
        <f t="shared" si="10"/>
        <v>45830</v>
      </c>
      <c r="I89" s="171">
        <f>'Modelling New'!$AR$1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168"/>
      <c r="B90" s="168"/>
      <c r="C90" s="168">
        <f>YEAR(Inv_SY[[#This Row],[Date]])</f>
        <v>2025</v>
      </c>
      <c r="D90" s="168"/>
      <c r="E90" s="168"/>
      <c r="F90" s="169" t="str">
        <f>TEXT(Inv_SY[[#This Row],[Date]],"mmm-yy")</f>
        <v>Jun-25</v>
      </c>
      <c r="G90" s="168">
        <f>DAY(EOMONTH(Inv_SY[[#This Row],[Month Year]],0))</f>
        <v>30</v>
      </c>
      <c r="H90" s="170">
        <f t="shared" si="10"/>
        <v>45831</v>
      </c>
      <c r="I90" s="171">
        <f>'Modelling New'!$AR$1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168"/>
      <c r="B91" s="168"/>
      <c r="C91" s="168">
        <f>YEAR(Inv_SY[[#This Row],[Date]])</f>
        <v>2025</v>
      </c>
      <c r="D91" s="168"/>
      <c r="E91" s="168"/>
      <c r="F91" s="169" t="str">
        <f>TEXT(Inv_SY[[#This Row],[Date]],"mmm-yy")</f>
        <v>Jun-25</v>
      </c>
      <c r="G91" s="168">
        <f>DAY(EOMONTH(Inv_SY[[#This Row],[Month Year]],0))</f>
        <v>30</v>
      </c>
      <c r="H91" s="170">
        <f t="shared" si="10"/>
        <v>45832</v>
      </c>
      <c r="I91" s="171">
        <f>'Modelling New'!$AR$1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168"/>
      <c r="B92" s="168"/>
      <c r="C92" s="168">
        <f>YEAR(Inv_SY[[#This Row],[Date]])</f>
        <v>2025</v>
      </c>
      <c r="D92" s="168"/>
      <c r="E92" s="168"/>
      <c r="F92" s="169" t="str">
        <f>TEXT(Inv_SY[[#This Row],[Date]],"mmm-yy")</f>
        <v>Jun-25</v>
      </c>
      <c r="G92" s="168">
        <f>DAY(EOMONTH(Inv_SY[[#This Row],[Month Year]],0))</f>
        <v>30</v>
      </c>
      <c r="H92" s="170">
        <f t="shared" si="10"/>
        <v>45833</v>
      </c>
      <c r="I92" s="171">
        <f>'Modelling New'!$AR$1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179"/>
      <c r="B93" s="179"/>
      <c r="C93" s="179">
        <f>YEAR(Inv_SY[[#This Row],[Date]])</f>
        <v>2025</v>
      </c>
      <c r="D93" s="179"/>
      <c r="E93" s="179"/>
      <c r="F93" s="180" t="str">
        <f>TEXT(Inv_SY[[#This Row],[Date]],"mmm-yy")</f>
        <v>Jun-25</v>
      </c>
      <c r="G93" s="179">
        <f>DAY(EOMONTH(Inv_SY[[#This Row],[Month Year]],0))</f>
        <v>30</v>
      </c>
      <c r="H93" s="181">
        <f t="shared" ref="H93:H107" si="13">H92+1</f>
        <v>45834</v>
      </c>
      <c r="I93" s="182">
        <f>'Modelling New'!$AR$1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179"/>
      <c r="B94" s="179"/>
      <c r="C94" s="179">
        <f>YEAR(Inv_SY[[#This Row],[Date]])</f>
        <v>2025</v>
      </c>
      <c r="D94" s="179"/>
      <c r="E94" s="179"/>
      <c r="F94" s="180" t="str">
        <f>TEXT(Inv_SY[[#This Row],[Date]],"mmm-yy")</f>
        <v>Jun-25</v>
      </c>
      <c r="G94" s="179">
        <f>DAY(EOMONTH(Inv_SY[[#This Row],[Month Year]],0))</f>
        <v>30</v>
      </c>
      <c r="H94" s="181">
        <f t="shared" si="13"/>
        <v>45835</v>
      </c>
      <c r="I94" s="182">
        <f>'Modelling New'!$AR$1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179"/>
      <c r="B95" s="179"/>
      <c r="C95" s="179">
        <f>YEAR(Inv_SY[[#This Row],[Date]])</f>
        <v>2025</v>
      </c>
      <c r="D95" s="179"/>
      <c r="E95" s="179"/>
      <c r="F95" s="180" t="str">
        <f>TEXT(Inv_SY[[#This Row],[Date]],"mmm-yy")</f>
        <v>Jun-25</v>
      </c>
      <c r="G95" s="179">
        <f>DAY(EOMONTH(Inv_SY[[#This Row],[Month Year]],0))</f>
        <v>30</v>
      </c>
      <c r="H95" s="181">
        <f t="shared" si="13"/>
        <v>45836</v>
      </c>
      <c r="I95" s="182">
        <f>'Modelling New'!$AR$1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179"/>
      <c r="B96" s="179"/>
      <c r="C96" s="179">
        <f>YEAR(Inv_SY[[#This Row],[Date]])</f>
        <v>2025</v>
      </c>
      <c r="D96" s="179"/>
      <c r="E96" s="179"/>
      <c r="F96" s="180" t="str">
        <f>TEXT(Inv_SY[[#This Row],[Date]],"mmm-yy")</f>
        <v>Jun-25</v>
      </c>
      <c r="G96" s="179">
        <f>DAY(EOMONTH(Inv_SY[[#This Row],[Month Year]],0))</f>
        <v>30</v>
      </c>
      <c r="H96" s="181">
        <f t="shared" si="13"/>
        <v>45837</v>
      </c>
      <c r="I96" s="182">
        <f>'Modelling New'!$AR$1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179"/>
      <c r="B97" s="179"/>
      <c r="C97" s="179">
        <f>YEAR(Inv_SY[[#This Row],[Date]])</f>
        <v>2025</v>
      </c>
      <c r="D97" s="179"/>
      <c r="E97" s="179"/>
      <c r="F97" s="180" t="str">
        <f>TEXT(Inv_SY[[#This Row],[Date]],"mmm-yy")</f>
        <v>Jun-25</v>
      </c>
      <c r="G97" s="179">
        <f>DAY(EOMONTH(Inv_SY[[#This Row],[Month Year]],0))</f>
        <v>30</v>
      </c>
      <c r="H97" s="181">
        <f t="shared" si="13"/>
        <v>45838</v>
      </c>
      <c r="I97" s="182">
        <f>'Modelling New'!$AR$1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179"/>
      <c r="B98" s="179"/>
      <c r="C98" s="179">
        <f>YEAR(Inv_SY[[#This Row],[Date]])</f>
        <v>2025</v>
      </c>
      <c r="D98" s="179"/>
      <c r="E98" s="179"/>
      <c r="F98" s="180" t="str">
        <f>TEXT(Inv_SY[[#This Row],[Date]],"mmm-yy")</f>
        <v>Jul-25</v>
      </c>
      <c r="G98" s="179">
        <f>DAY(EOMONTH(Inv_SY[[#This Row],[Month Year]],0))</f>
        <v>31</v>
      </c>
      <c r="H98" s="181">
        <f t="shared" si="13"/>
        <v>45839</v>
      </c>
      <c r="I98" s="182">
        <f>'Modelling New'!$AR$1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179"/>
      <c r="B99" s="179"/>
      <c r="C99" s="179">
        <f>YEAR(Inv_SY[[#This Row],[Date]])</f>
        <v>2025</v>
      </c>
      <c r="D99" s="179"/>
      <c r="E99" s="179"/>
      <c r="F99" s="180" t="str">
        <f>TEXT(Inv_SY[[#This Row],[Date]],"mmm-yy")</f>
        <v>Jul-25</v>
      </c>
      <c r="G99" s="179">
        <f>DAY(EOMONTH(Inv_SY[[#This Row],[Month Year]],0))</f>
        <v>31</v>
      </c>
      <c r="H99" s="181">
        <f t="shared" si="13"/>
        <v>45840</v>
      </c>
      <c r="I99" s="182">
        <f>'Modelling New'!$AR$1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179"/>
      <c r="B100" s="179"/>
      <c r="C100" s="179">
        <f>YEAR(Inv_SY[[#This Row],[Date]])</f>
        <v>2025</v>
      </c>
      <c r="D100" s="179"/>
      <c r="E100" s="179"/>
      <c r="F100" s="180" t="str">
        <f>TEXT(Inv_SY[[#This Row],[Date]],"mmm-yy")</f>
        <v>Jul-25</v>
      </c>
      <c r="G100" s="179">
        <f>DAY(EOMONTH(Inv_SY[[#This Row],[Month Year]],0))</f>
        <v>31</v>
      </c>
      <c r="H100" s="181">
        <f t="shared" si="13"/>
        <v>45841</v>
      </c>
      <c r="I100" s="182">
        <f>'Modelling New'!$AR$1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179"/>
      <c r="B101" s="179"/>
      <c r="C101" s="179">
        <f>YEAR(Inv_SY[[#This Row],[Date]])</f>
        <v>2025</v>
      </c>
      <c r="D101" s="179"/>
      <c r="E101" s="179"/>
      <c r="F101" s="180" t="str">
        <f>TEXT(Inv_SY[[#This Row],[Date]],"mmm-yy")</f>
        <v>Jul-25</v>
      </c>
      <c r="G101" s="179">
        <f>DAY(EOMONTH(Inv_SY[[#This Row],[Month Year]],0))</f>
        <v>31</v>
      </c>
      <c r="H101" s="181">
        <f t="shared" si="13"/>
        <v>45842</v>
      </c>
      <c r="I101" s="182">
        <f>'Modelling New'!$AR$1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179"/>
      <c r="B102" s="179"/>
      <c r="C102" s="179">
        <f>YEAR(Inv_SY[[#This Row],[Date]])</f>
        <v>2025</v>
      </c>
      <c r="D102" s="179"/>
      <c r="E102" s="179"/>
      <c r="F102" s="180" t="str">
        <f>TEXT(Inv_SY[[#This Row],[Date]],"mmm-yy")</f>
        <v>Jul-25</v>
      </c>
      <c r="G102" s="179">
        <f>DAY(EOMONTH(Inv_SY[[#This Row],[Month Year]],0))</f>
        <v>31</v>
      </c>
      <c r="H102" s="181">
        <f t="shared" si="13"/>
        <v>45843</v>
      </c>
      <c r="I102" s="182">
        <f>'Modelling New'!$AR$1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179"/>
      <c r="B103" s="179"/>
      <c r="C103" s="179">
        <f>YEAR(Inv_SY[[#This Row],[Date]])</f>
        <v>2025</v>
      </c>
      <c r="D103" s="179"/>
      <c r="E103" s="179"/>
      <c r="F103" s="180" t="str">
        <f>TEXT(Inv_SY[[#This Row],[Date]],"mmm-yy")</f>
        <v>Jul-25</v>
      </c>
      <c r="G103" s="179">
        <f>DAY(EOMONTH(Inv_SY[[#This Row],[Month Year]],0))</f>
        <v>31</v>
      </c>
      <c r="H103" s="181">
        <f t="shared" si="13"/>
        <v>45844</v>
      </c>
      <c r="I103" s="182">
        <f>'Modelling New'!$AR$1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179"/>
      <c r="B104" s="179"/>
      <c r="C104" s="179">
        <f>YEAR(Inv_SY[[#This Row],[Date]])</f>
        <v>2025</v>
      </c>
      <c r="D104" s="179"/>
      <c r="E104" s="179"/>
      <c r="F104" s="180" t="str">
        <f>TEXT(Inv_SY[[#This Row],[Date]],"mmm-yy")</f>
        <v>Jul-25</v>
      </c>
      <c r="G104" s="179">
        <f>DAY(EOMONTH(Inv_SY[[#This Row],[Month Year]],0))</f>
        <v>31</v>
      </c>
      <c r="H104" s="181">
        <f t="shared" si="13"/>
        <v>45845</v>
      </c>
      <c r="I104" s="182">
        <f>'Modelling New'!$AR$1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179"/>
      <c r="B105" s="179"/>
      <c r="C105" s="179">
        <f>YEAR(Inv_SY[[#This Row],[Date]])</f>
        <v>2025</v>
      </c>
      <c r="D105" s="179"/>
      <c r="E105" s="179"/>
      <c r="F105" s="180" t="str">
        <f>TEXT(Inv_SY[[#This Row],[Date]],"mmm-yy")</f>
        <v>Jul-25</v>
      </c>
      <c r="G105" s="179">
        <f>DAY(EOMONTH(Inv_SY[[#This Row],[Month Year]],0))</f>
        <v>31</v>
      </c>
      <c r="H105" s="181">
        <f t="shared" si="13"/>
        <v>45846</v>
      </c>
      <c r="I105" s="182">
        <f>'Modelling New'!$AR$1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179"/>
      <c r="B106" s="179"/>
      <c r="C106" s="179">
        <f>YEAR(Inv_SY[[#This Row],[Date]])</f>
        <v>2025</v>
      </c>
      <c r="D106" s="179"/>
      <c r="E106" s="179"/>
      <c r="F106" s="180" t="str">
        <f>TEXT(Inv_SY[[#This Row],[Date]],"mmm-yy")</f>
        <v>Jul-25</v>
      </c>
      <c r="G106" s="179">
        <f>DAY(EOMONTH(Inv_SY[[#This Row],[Month Year]],0))</f>
        <v>31</v>
      </c>
      <c r="H106" s="181">
        <f t="shared" si="13"/>
        <v>45847</v>
      </c>
      <c r="I106" s="182">
        <f>'Modelling New'!$AR$1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179"/>
      <c r="B107" s="179"/>
      <c r="C107" s="179">
        <f>YEAR(Inv_SY[[#This Row],[Date]])</f>
        <v>2025</v>
      </c>
      <c r="D107" s="179"/>
      <c r="E107" s="179"/>
      <c r="F107" s="180" t="str">
        <f>TEXT(Inv_SY[[#This Row],[Date]],"mmm-yy")</f>
        <v>Jul-25</v>
      </c>
      <c r="G107" s="179">
        <f>DAY(EOMONTH(Inv_SY[[#This Row],[Month Year]],0))</f>
        <v>31</v>
      </c>
      <c r="H107" s="181">
        <f t="shared" si="13"/>
        <v>45848</v>
      </c>
      <c r="I107" s="182">
        <f>'Modelling New'!$AR$1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183"/>
      <c r="B108" s="183"/>
      <c r="C108" s="183">
        <f>YEAR(Inv_SY[[#This Row],[Date]])</f>
        <v>2025</v>
      </c>
      <c r="D108" s="183"/>
      <c r="E108" s="183"/>
      <c r="F108" s="184" t="str">
        <f>TEXT(Inv_SY[[#This Row],[Date]],"mmm-yy")</f>
        <v>Jul-25</v>
      </c>
      <c r="G108" s="183">
        <f>DAY(EOMONTH(Inv_SY[[#This Row],[Month Year]],0))</f>
        <v>31</v>
      </c>
      <c r="H108" s="185">
        <f t="shared" ref="H108:H113" si="16">H107+1</f>
        <v>45849</v>
      </c>
      <c r="I108" s="186">
        <f>'Modelling New'!$AR$1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183"/>
      <c r="B109" s="183"/>
      <c r="C109" s="183">
        <f>YEAR(Inv_SY[[#This Row],[Date]])</f>
        <v>2025</v>
      </c>
      <c r="D109" s="183"/>
      <c r="E109" s="183"/>
      <c r="F109" s="184" t="str">
        <f>TEXT(Inv_SY[[#This Row],[Date]],"mmm-yy")</f>
        <v>Jul-25</v>
      </c>
      <c r="G109" s="183">
        <f>DAY(EOMONTH(Inv_SY[[#This Row],[Month Year]],0))</f>
        <v>31</v>
      </c>
      <c r="H109" s="185">
        <f t="shared" si="16"/>
        <v>45850</v>
      </c>
      <c r="I109" s="186">
        <f>'Modelling New'!$AR$1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183"/>
      <c r="B110" s="183"/>
      <c r="C110" s="183">
        <f>YEAR(Inv_SY[[#This Row],[Date]])</f>
        <v>2025</v>
      </c>
      <c r="D110" s="183"/>
      <c r="E110" s="183"/>
      <c r="F110" s="184" t="str">
        <f>TEXT(Inv_SY[[#This Row],[Date]],"mmm-yy")</f>
        <v>Jul-25</v>
      </c>
      <c r="G110" s="183">
        <f>DAY(EOMONTH(Inv_SY[[#This Row],[Month Year]],0))</f>
        <v>31</v>
      </c>
      <c r="H110" s="185">
        <f t="shared" si="16"/>
        <v>45851</v>
      </c>
      <c r="I110" s="186">
        <f>'Modelling New'!$AR$1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183"/>
      <c r="B111" s="183"/>
      <c r="C111" s="183">
        <f>YEAR(Inv_SY[[#This Row],[Date]])</f>
        <v>2025</v>
      </c>
      <c r="D111" s="183"/>
      <c r="E111" s="183"/>
      <c r="F111" s="184" t="str">
        <f>TEXT(Inv_SY[[#This Row],[Date]],"mmm-yy")</f>
        <v>Jul-25</v>
      </c>
      <c r="G111" s="183">
        <f>DAY(EOMONTH(Inv_SY[[#This Row],[Month Year]],0))</f>
        <v>31</v>
      </c>
      <c r="H111" s="185">
        <f t="shared" si="16"/>
        <v>45852</v>
      </c>
      <c r="I111" s="186">
        <f>'Modelling New'!$AR$1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183"/>
      <c r="B112" s="183"/>
      <c r="C112" s="183">
        <f>YEAR(Inv_SY[[#This Row],[Date]])</f>
        <v>2025</v>
      </c>
      <c r="D112" s="183"/>
      <c r="E112" s="183"/>
      <c r="F112" s="184" t="str">
        <f>TEXT(Inv_SY[[#This Row],[Date]],"mmm-yy")</f>
        <v>Jul-25</v>
      </c>
      <c r="G112" s="183">
        <f>DAY(EOMONTH(Inv_SY[[#This Row],[Month Year]],0))</f>
        <v>31</v>
      </c>
      <c r="H112" s="185">
        <f t="shared" si="16"/>
        <v>45853</v>
      </c>
      <c r="I112" s="186">
        <f>'Modelling New'!$AR$1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183"/>
      <c r="B113" s="183"/>
      <c r="C113" s="183">
        <f>YEAR(Inv_SY[[#This Row],[Date]])</f>
        <v>2025</v>
      </c>
      <c r="D113" s="183"/>
      <c r="E113" s="183"/>
      <c r="F113" s="184" t="str">
        <f>TEXT(Inv_SY[[#This Row],[Date]],"mmm-yy")</f>
        <v>Jul-25</v>
      </c>
      <c r="G113" s="183">
        <f>DAY(EOMONTH(Inv_SY[[#This Row],[Month Year]],0))</f>
        <v>31</v>
      </c>
      <c r="H113" s="185">
        <f t="shared" si="16"/>
        <v>45854</v>
      </c>
      <c r="I113" s="186">
        <f>'Modelling New'!$AR$1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183"/>
      <c r="B114" s="183"/>
      <c r="C114" s="183">
        <f>YEAR(Inv_SY[[#This Row],[Date]])</f>
        <v>2025</v>
      </c>
      <c r="D114" s="183"/>
      <c r="E114" s="183"/>
      <c r="F114" s="184" t="str">
        <f>TEXT(Inv_SY[[#This Row],[Date]],"mmm-yy")</f>
        <v>Jul-25</v>
      </c>
      <c r="G114" s="183">
        <f>DAY(EOMONTH(Inv_SY[[#This Row],[Month Year]],0))</f>
        <v>31</v>
      </c>
      <c r="H114" s="185">
        <f t="shared" ref="H114:H137" si="19">H113+1</f>
        <v>45855</v>
      </c>
      <c r="I114" s="186">
        <f>'Modelling New'!$AR$1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183"/>
      <c r="B115" s="183"/>
      <c r="C115" s="183">
        <f>YEAR(Inv_SY[[#This Row],[Date]])</f>
        <v>2025</v>
      </c>
      <c r="D115" s="183"/>
      <c r="E115" s="183"/>
      <c r="F115" s="184" t="str">
        <f>TEXT(Inv_SY[[#This Row],[Date]],"mmm-yy")</f>
        <v>Jul-25</v>
      </c>
      <c r="G115" s="183">
        <f>DAY(EOMONTH(Inv_SY[[#This Row],[Month Year]],0))</f>
        <v>31</v>
      </c>
      <c r="H115" s="185">
        <f t="shared" si="19"/>
        <v>45856</v>
      </c>
      <c r="I115" s="186">
        <f>'Modelling New'!$AR$1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183"/>
      <c r="B116" s="183"/>
      <c r="C116" s="183">
        <f>YEAR(Inv_SY[[#This Row],[Date]])</f>
        <v>2025</v>
      </c>
      <c r="D116" s="183"/>
      <c r="E116" s="183"/>
      <c r="F116" s="184" t="str">
        <f>TEXT(Inv_SY[[#This Row],[Date]],"mmm-yy")</f>
        <v>Jul-25</v>
      </c>
      <c r="G116" s="183">
        <f>DAY(EOMONTH(Inv_SY[[#This Row],[Month Year]],0))</f>
        <v>31</v>
      </c>
      <c r="H116" s="185">
        <f t="shared" si="19"/>
        <v>45857</v>
      </c>
      <c r="I116" s="186">
        <f>'Modelling New'!$AR$1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187"/>
      <c r="B117" s="187"/>
      <c r="C117" s="187">
        <f>YEAR(Inv_SY[[#This Row],[Date]])</f>
        <v>2025</v>
      </c>
      <c r="D117" s="187"/>
      <c r="E117" s="187"/>
      <c r="F117" s="188" t="str">
        <f>TEXT(Inv_SY[[#This Row],[Date]],"mmm-yy")</f>
        <v>Jul-25</v>
      </c>
      <c r="G117" s="187">
        <f>DAY(EOMONTH(Inv_SY[[#This Row],[Month Year]],0))</f>
        <v>31</v>
      </c>
      <c r="H117" s="189">
        <f t="shared" si="19"/>
        <v>45858</v>
      </c>
      <c r="I117" s="190">
        <f>'Modelling New'!$AR$1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187"/>
      <c r="B118" s="187"/>
      <c r="C118" s="187">
        <f>YEAR(Inv_SY[[#This Row],[Date]])</f>
        <v>2025</v>
      </c>
      <c r="D118" s="187"/>
      <c r="E118" s="187"/>
      <c r="F118" s="188" t="str">
        <f>TEXT(Inv_SY[[#This Row],[Date]],"mmm-yy")</f>
        <v>Jul-25</v>
      </c>
      <c r="G118" s="187">
        <f>DAY(EOMONTH(Inv_SY[[#This Row],[Month Year]],0))</f>
        <v>31</v>
      </c>
      <c r="H118" s="189">
        <f t="shared" si="19"/>
        <v>45859</v>
      </c>
      <c r="I118" s="190">
        <f>'Modelling New'!$AR$1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187"/>
      <c r="B119" s="187"/>
      <c r="C119" s="187">
        <f>YEAR(Inv_SY[[#This Row],[Date]])</f>
        <v>2025</v>
      </c>
      <c r="D119" s="187"/>
      <c r="E119" s="187"/>
      <c r="F119" s="188" t="str">
        <f>TEXT(Inv_SY[[#This Row],[Date]],"mmm-yy")</f>
        <v>Jul-25</v>
      </c>
      <c r="G119" s="187">
        <f>DAY(EOMONTH(Inv_SY[[#This Row],[Month Year]],0))</f>
        <v>31</v>
      </c>
      <c r="H119" s="189">
        <f t="shared" si="19"/>
        <v>45860</v>
      </c>
      <c r="I119" s="190">
        <f>'Modelling New'!$AR$1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187"/>
      <c r="B120" s="187"/>
      <c r="C120" s="187">
        <f>YEAR(Inv_SY[[#This Row],[Date]])</f>
        <v>2025</v>
      </c>
      <c r="D120" s="187"/>
      <c r="E120" s="187"/>
      <c r="F120" s="188" t="str">
        <f>TEXT(Inv_SY[[#This Row],[Date]],"mmm-yy")</f>
        <v>Jul-25</v>
      </c>
      <c r="G120" s="187">
        <f>DAY(EOMONTH(Inv_SY[[#This Row],[Month Year]],0))</f>
        <v>31</v>
      </c>
      <c r="H120" s="189">
        <f t="shared" si="19"/>
        <v>45861</v>
      </c>
      <c r="I120" s="190">
        <f>'Modelling New'!$AR$1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187"/>
      <c r="B121" s="187"/>
      <c r="C121" s="187">
        <f>YEAR(Inv_SY[[#This Row],[Date]])</f>
        <v>2025</v>
      </c>
      <c r="D121" s="187"/>
      <c r="E121" s="187"/>
      <c r="F121" s="188" t="str">
        <f>TEXT(Inv_SY[[#This Row],[Date]],"mmm-yy")</f>
        <v>Jul-25</v>
      </c>
      <c r="G121" s="187">
        <f>DAY(EOMONTH(Inv_SY[[#This Row],[Month Year]],0))</f>
        <v>31</v>
      </c>
      <c r="H121" s="189">
        <f t="shared" si="19"/>
        <v>45862</v>
      </c>
      <c r="I121" s="190">
        <f>'Modelling New'!$AR$1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187"/>
      <c r="B122" s="187"/>
      <c r="C122" s="187">
        <f>YEAR(Inv_SY[[#This Row],[Date]])</f>
        <v>2025</v>
      </c>
      <c r="D122" s="187"/>
      <c r="E122" s="187"/>
      <c r="F122" s="188" t="str">
        <f>TEXT(Inv_SY[[#This Row],[Date]],"mmm-yy")</f>
        <v>Jul-25</v>
      </c>
      <c r="G122" s="187">
        <f>DAY(EOMONTH(Inv_SY[[#This Row],[Month Year]],0))</f>
        <v>31</v>
      </c>
      <c r="H122" s="189">
        <f t="shared" si="19"/>
        <v>45863</v>
      </c>
      <c r="I122" s="190">
        <f>'Modelling New'!$AR$1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187"/>
      <c r="B123" s="187"/>
      <c r="C123" s="187">
        <f>YEAR(Inv_SY[[#This Row],[Date]])</f>
        <v>2025</v>
      </c>
      <c r="D123" s="187"/>
      <c r="E123" s="187"/>
      <c r="F123" s="188" t="str">
        <f>TEXT(Inv_SY[[#This Row],[Date]],"mmm-yy")</f>
        <v>Jul-25</v>
      </c>
      <c r="G123" s="187">
        <f>DAY(EOMONTH(Inv_SY[[#This Row],[Month Year]],0))</f>
        <v>31</v>
      </c>
      <c r="H123" s="189">
        <f t="shared" si="19"/>
        <v>45864</v>
      </c>
      <c r="I123" s="190">
        <f>'Modelling New'!$AR$1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187"/>
      <c r="B124" s="187"/>
      <c r="C124" s="187">
        <f>YEAR(Inv_SY[[#This Row],[Date]])</f>
        <v>2025</v>
      </c>
      <c r="D124" s="187"/>
      <c r="E124" s="187"/>
      <c r="F124" s="188" t="str">
        <f>TEXT(Inv_SY[[#This Row],[Date]],"mmm-yy")</f>
        <v>Jul-25</v>
      </c>
      <c r="G124" s="187">
        <f>DAY(EOMONTH(Inv_SY[[#This Row],[Month Year]],0))</f>
        <v>31</v>
      </c>
      <c r="H124" s="189">
        <f t="shared" si="19"/>
        <v>45865</v>
      </c>
      <c r="I124" s="190">
        <f>'Modelling New'!$AR$1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25">
      <c r="A125" s="187"/>
      <c r="B125" s="187"/>
      <c r="C125" s="187">
        <f>YEAR(Inv_SY[[#This Row],[Date]])</f>
        <v>2025</v>
      </c>
      <c r="D125" s="187"/>
      <c r="E125" s="187"/>
      <c r="F125" s="188" t="str">
        <f>TEXT(Inv_SY[[#This Row],[Date]],"mmm-yy")</f>
        <v>Jul-25</v>
      </c>
      <c r="G125" s="187">
        <f>DAY(EOMONTH(Inv_SY[[#This Row],[Month Year]],0))</f>
        <v>31</v>
      </c>
      <c r="H125" s="189">
        <f t="shared" si="19"/>
        <v>45866</v>
      </c>
      <c r="I125" s="190">
        <f>'Modelling New'!$AR$1</f>
        <v>7.0991999999999997</v>
      </c>
      <c r="J125" s="1">
        <f>IFERROR('Raw Data'!K125/Inv_SY!J$2,"")</f>
        <v>4.0694885361552018</v>
      </c>
      <c r="K125" s="1">
        <f>IFERROR('Raw Data'!L125/Inv_SY!K$2,"")</f>
        <v>3.371399176954732</v>
      </c>
      <c r="L125" s="1">
        <f>IFERROR('Raw Data'!M125/Inv_SY!L$2,"")</f>
        <v>4.0451167728237793</v>
      </c>
      <c r="M125" s="1">
        <f>IFERROR('Raw Data'!N125/Inv_SY!M$2,"")</f>
        <v>4.159435626102292</v>
      </c>
      <c r="N125" s="1">
        <f>IFERROR('Raw Data'!O125/Inv_SY!N$2,"")</f>
        <v>3.4347371565113507</v>
      </c>
      <c r="O125" s="1">
        <f>IFERROR('Raw Data'!P125/Inv_SY!O$2,"")</f>
        <v>4.0310405643738969</v>
      </c>
      <c r="P125" s="1">
        <f>IFERROR('Raw Data'!Q125/Inv_SY!P$2,"")</f>
        <v>3.5377032428695934</v>
      </c>
      <c r="Q125" s="1">
        <f>IFERROR('Raw Data'!R125/Inv_SY!Q$2,"")</f>
        <v>5.1381079875055784</v>
      </c>
      <c r="R125" s="1">
        <f>IFERROR('Raw Data'!S125/Inv_SY!R$2,"")</f>
        <v>4.137191854233655</v>
      </c>
      <c r="S125" s="1">
        <f>IFERROR('Raw Data'!T125/Inv_SY!S$2,"")</f>
        <v>3.4323286052009458</v>
      </c>
      <c r="T125" s="1">
        <f>IFERROR('Raw Data'!U125/Inv_SY!T$2,"")</f>
        <v>5.0929228872153969</v>
      </c>
      <c r="U125" s="1">
        <f>IFERROR('Raw Data'!V125/Inv_SY!U$2,"")</f>
        <v>3.4065723548482172</v>
      </c>
      <c r="V125" s="1">
        <f>IFERROR('Raw Data'!W125/Inv_SY!V$2,"")</f>
        <v>3.8855269793242551</v>
      </c>
      <c r="W125" s="1">
        <f>IFERROR('Raw Data'!X125/Inv_SY!W$2,"")</f>
        <v>3.9325861819543366</v>
      </c>
      <c r="X125" s="1">
        <f>IFERROR('Raw Data'!Y125/Inv_SY!X$2,"")</f>
        <v>3.909780782834039</v>
      </c>
      <c r="Y125" s="1">
        <f t="shared" si="20"/>
        <v>3.9092979813708766</v>
      </c>
      <c r="Z125" s="1">
        <f>IFERROR(_xlfn.MAXIFS(V125:X125,Inv_SY[[#This Row],[Inv1]:[Inv3]],"&gt;"&amp;0),"")</f>
        <v>3.9325861819543366</v>
      </c>
      <c r="AA125" s="1">
        <f t="shared" si="21"/>
        <v>3.9880037303995528</v>
      </c>
      <c r="AB125" s="1">
        <f>IFERROR(_xlfn.MAXIFS(J125:U125,Inv_SY[[#This Row],[Inv 1 (630kw) unit 1]:[Inv 3 (630kw) unit 4]],"&gt;"&amp;0),"")</f>
        <v>5.1381079875055784</v>
      </c>
    </row>
    <row r="126" spans="1:28" x14ac:dyDescent="0.25">
      <c r="A126" s="187"/>
      <c r="B126" s="187"/>
      <c r="C126" s="187">
        <f>YEAR(Inv_SY[[#This Row],[Date]])</f>
        <v>2025</v>
      </c>
      <c r="D126" s="187"/>
      <c r="E126" s="187"/>
      <c r="F126" s="188" t="str">
        <f>TEXT(Inv_SY[[#This Row],[Date]],"mmm-yy")</f>
        <v>Jul-25</v>
      </c>
      <c r="G126" s="187">
        <f>DAY(EOMONTH(Inv_SY[[#This Row],[Month Year]],0))</f>
        <v>31</v>
      </c>
      <c r="H126" s="189">
        <f t="shared" si="19"/>
        <v>45867</v>
      </c>
      <c r="I126" s="190">
        <f>'Modelling New'!$AR$1</f>
        <v>7.0991999999999997</v>
      </c>
      <c r="J126" s="1">
        <f>IFERROR('Raw Data'!K126/Inv_SY!J$2,"")</f>
        <v>3.6151675485008816</v>
      </c>
      <c r="K126" s="1">
        <f>IFERROR('Raw Data'!L126/Inv_SY!K$2,"")</f>
        <v>2.9476778365667249</v>
      </c>
      <c r="L126" s="1">
        <f>IFERROR('Raw Data'!M126/Inv_SY!L$2,"")</f>
        <v>3.5348549186128801</v>
      </c>
      <c r="M126" s="1">
        <f>IFERROR('Raw Data'!N126/Inv_SY!M$2,"")</f>
        <v>3.5347442680776009</v>
      </c>
      <c r="N126" s="1">
        <f>IFERROR('Raw Data'!O126/Inv_SY!N$2,"")</f>
        <v>3.0353942652329753</v>
      </c>
      <c r="O126" s="1">
        <f>IFERROR('Raw Data'!P126/Inv_SY!O$2,"")</f>
        <v>3.5619047619047612</v>
      </c>
      <c r="P126" s="1">
        <f>IFERROR('Raw Data'!Q126/Inv_SY!P$2,"")</f>
        <v>3.0347428846211639</v>
      </c>
      <c r="Q126" s="1">
        <f>IFERROR('Raw Data'!R126/Inv_SY!Q$2,"")</f>
        <v>4.6117804551539496</v>
      </c>
      <c r="R126" s="1">
        <f>IFERROR('Raw Data'!S126/Inv_SY!R$2,"")</f>
        <v>3.6384423008217222</v>
      </c>
      <c r="S126" s="1">
        <f>IFERROR('Raw Data'!T126/Inv_SY!S$2,"")</f>
        <v>3.0156619385342793</v>
      </c>
      <c r="T126" s="1">
        <f>IFERROR('Raw Data'!U126/Inv_SY!T$2,"")</f>
        <v>4.4732901748359541</v>
      </c>
      <c r="U126" s="1">
        <f>IFERROR('Raw Data'!V126/Inv_SY!U$2,"")</f>
        <v>2.9938107869142354</v>
      </c>
      <c r="V126" s="1">
        <f>IFERROR('Raw Data'!W126/Inv_SY!V$2,"")</f>
        <v>3.386073289628508</v>
      </c>
      <c r="W126" s="1">
        <f>IFERROR('Raw Data'!X126/Inv_SY!W$2,"")</f>
        <v>3.4628509186217693</v>
      </c>
      <c r="X126" s="1">
        <f>IFERROR('Raw Data'!Y126/Inv_SY!X$2,"")</f>
        <v>3.4359357458195112</v>
      </c>
      <c r="Y126" s="1">
        <f t="shared" si="20"/>
        <v>3.4282866513565966</v>
      </c>
      <c r="Z126" s="1">
        <f>IFERROR(_xlfn.MAXIFS(V126:X126,Inv_SY[[#This Row],[Inv1]:[Inv3]],"&gt;"&amp;0),"")</f>
        <v>3.4628509186217693</v>
      </c>
      <c r="AA126" s="1">
        <f t="shared" si="21"/>
        <v>3.4997893449814277</v>
      </c>
      <c r="AB126" s="1">
        <f>IFERROR(_xlfn.MAXIFS(J126:U126,Inv_SY[[#This Row],[Inv 1 (630kw) unit 1]:[Inv 3 (630kw) unit 4]],"&gt;"&amp;0),"")</f>
        <v>4.6117804551539496</v>
      </c>
    </row>
    <row r="127" spans="1:28" x14ac:dyDescent="0.25">
      <c r="A127" s="187"/>
      <c r="B127" s="187"/>
      <c r="C127" s="187">
        <f>YEAR(Inv_SY[[#This Row],[Date]])</f>
        <v>2025</v>
      </c>
      <c r="D127" s="187"/>
      <c r="E127" s="187"/>
      <c r="F127" s="188" t="str">
        <f>TEXT(Inv_SY[[#This Row],[Date]],"mmm-yy")</f>
        <v>Jul-25</v>
      </c>
      <c r="G127" s="187">
        <f>DAY(EOMONTH(Inv_SY[[#This Row],[Month Year]],0))</f>
        <v>31</v>
      </c>
      <c r="H127" s="189">
        <f t="shared" si="19"/>
        <v>45868</v>
      </c>
      <c r="I127" s="190">
        <f>'Modelling New'!$AR$1</f>
        <v>7.0991999999999997</v>
      </c>
      <c r="J127" s="1">
        <f>IFERROR('Raw Data'!K127/Inv_SY!J$2,"")</f>
        <v>3.3172839506172833</v>
      </c>
      <c r="K127" s="1">
        <f>IFERROR('Raw Data'!L127/Inv_SY!K$2,"")</f>
        <v>2.7473544973544968</v>
      </c>
      <c r="L127" s="1">
        <f>IFERROR('Raw Data'!M127/Inv_SY!L$2,"")</f>
        <v>3.2931705590941256</v>
      </c>
      <c r="M127" s="1">
        <f>IFERROR('Raw Data'!N127/Inv_SY!M$2,"")</f>
        <v>3.3860670194003522</v>
      </c>
      <c r="N127" s="1">
        <f>IFERROR('Raw Data'!O127/Inv_SY!N$2,"")</f>
        <v>2.8130227001194745</v>
      </c>
      <c r="O127" s="1">
        <f>IFERROR('Raw Data'!P127/Inv_SY!O$2,"")</f>
        <v>3.3005291005291002</v>
      </c>
      <c r="P127" s="1">
        <f>IFERROR('Raw Data'!Q127/Inv_SY!P$2,"")</f>
        <v>2.8895801400534968</v>
      </c>
      <c r="Q127" s="1">
        <f>IFERROR('Raw Data'!R127/Inv_SY!Q$2,"")</f>
        <v>4.2108433734939759</v>
      </c>
      <c r="R127" s="1">
        <f>IFERROR('Raw Data'!S127/Inv_SY!R$2,"")</f>
        <v>3.441586280814577</v>
      </c>
      <c r="S127" s="1">
        <f>IFERROR('Raw Data'!T127/Inv_SY!S$2,"")</f>
        <v>2.8528368794326244</v>
      </c>
      <c r="T127" s="1">
        <f>IFERROR('Raw Data'!U127/Inv_SY!T$2,"")</f>
        <v>4.2337164750957861</v>
      </c>
      <c r="U127" s="1">
        <f>IFERROR('Raw Data'!V127/Inv_SY!U$2,"")</f>
        <v>2.8325965222516949</v>
      </c>
      <c r="V127" s="1">
        <f>IFERROR('Raw Data'!W127/Inv_SY!V$2,"")</f>
        <v>3.164985711884349</v>
      </c>
      <c r="W127" s="1">
        <f>IFERROR('Raw Data'!X127/Inv_SY!W$2,"")</f>
        <v>3.2188779113800172</v>
      </c>
      <c r="X127" s="1">
        <f>IFERROR('Raw Data'!Y127/Inv_SY!X$2,"")</f>
        <v>3.2508209037115825</v>
      </c>
      <c r="Y127" s="1">
        <f t="shared" ref="Y127:Y137" si="22">IFERROR(AVERAGEIF(V127:X127,"&gt;"&amp;0,V127:X127),"")</f>
        <v>3.2115615089919829</v>
      </c>
      <c r="Z127" s="1">
        <f>IFERROR(_xlfn.MAXIFS(V127:X127,Inv_SY[[#This Row],[Inv1]:[Inv3]],"&gt;"&amp;0),"")</f>
        <v>3.2508209037115825</v>
      </c>
      <c r="AA127" s="1">
        <f t="shared" ref="AA127:AA137" si="23">IFERROR(AVERAGEIF(J127:U127,"&gt;"&amp;0,J127:U127),"")</f>
        <v>3.2765489581880822</v>
      </c>
      <c r="AB127" s="1">
        <f>IFERROR(_xlfn.MAXIFS(J127:U127,Inv_SY[[#This Row],[Inv 1 (630kw) unit 1]:[Inv 3 (630kw) unit 4]],"&gt;"&amp;0),"")</f>
        <v>4.2337164750957861</v>
      </c>
    </row>
    <row r="128" spans="1:28" x14ac:dyDescent="0.25">
      <c r="A128" s="187"/>
      <c r="B128" s="187"/>
      <c r="C128" s="187">
        <f>YEAR(Inv_SY[[#This Row],[Date]])</f>
        <v>2025</v>
      </c>
      <c r="D128" s="187"/>
      <c r="E128" s="187"/>
      <c r="F128" s="188" t="str">
        <f>TEXT(Inv_SY[[#This Row],[Date]],"mmm-yy")</f>
        <v>Jul-25</v>
      </c>
      <c r="G128" s="187">
        <f>DAY(EOMONTH(Inv_SY[[#This Row],[Month Year]],0))</f>
        <v>31</v>
      </c>
      <c r="H128" s="189">
        <f t="shared" si="19"/>
        <v>45869</v>
      </c>
      <c r="I128" s="190">
        <f>'Modelling New'!$AR$1</f>
        <v>7.0991999999999997</v>
      </c>
      <c r="J128" s="1">
        <f>IFERROR('Raw Data'!K128/Inv_SY!J$2,"")</f>
        <v>3.6641975308641968</v>
      </c>
      <c r="K128" s="1">
        <f>IFERROR('Raw Data'!L128/Inv_SY!K$2,"")</f>
        <v>2.9069664902998236</v>
      </c>
      <c r="L128" s="1">
        <f>IFERROR('Raw Data'!M128/Inv_SY!L$2,"")</f>
        <v>3.4872611464968148</v>
      </c>
      <c r="M128" s="1">
        <f>IFERROR('Raw Data'!N128/Inv_SY!M$2,"")</f>
        <v>3.4851851851851845</v>
      </c>
      <c r="N128" s="1">
        <f>IFERROR('Raw Data'!O128/Inv_SY!N$2,"")</f>
        <v>2.9708781362007173</v>
      </c>
      <c r="O128" s="1">
        <f>IFERROR('Raw Data'!P128/Inv_SY!O$2,"")</f>
        <v>3.4869488536155195</v>
      </c>
      <c r="P128" s="1">
        <f>IFERROR('Raw Data'!Q128/Inv_SY!P$2,"")</f>
        <v>2.9722297358218377</v>
      </c>
      <c r="Q128" s="1">
        <f>IFERROR('Raw Data'!R128/Inv_SY!Q$2,"")</f>
        <v>4.6367692994199015</v>
      </c>
      <c r="R128" s="1">
        <f>IFERROR('Raw Data'!S128/Inv_SY!R$2,"")</f>
        <v>3.5909253304751703</v>
      </c>
      <c r="S128" s="1">
        <f>IFERROR('Raw Data'!T128/Inv_SY!S$2,"")</f>
        <v>2.979018912529551</v>
      </c>
      <c r="T128" s="1">
        <f>IFERROR('Raw Data'!U128/Inv_SY!T$2,"")</f>
        <v>4.4189016602809703</v>
      </c>
      <c r="U128" s="1">
        <f>IFERROR('Raw Data'!V128/Inv_SY!U$2,"")</f>
        <v>2.9562334217506634</v>
      </c>
      <c r="V128" s="1">
        <f>IFERROR('Raw Data'!W128/Inv_SY!V$2,"")</f>
        <v>3.363002185241216</v>
      </c>
      <c r="W128" s="1">
        <f>IFERROR('Raw Data'!X128/Inv_SY!W$2,"")</f>
        <v>3.4134521287006541</v>
      </c>
      <c r="X128" s="1">
        <f>IFERROR('Raw Data'!Y128/Inv_SY!X$2,"")</f>
        <v>3.393054605924013</v>
      </c>
      <c r="Y128" s="1">
        <f t="shared" si="22"/>
        <v>3.389836306621961</v>
      </c>
      <c r="Z128" s="1">
        <f>IFERROR(_xlfn.MAXIFS(V128:X128,Inv_SY[[#This Row],[Inv1]:[Inv3]],"&gt;"&amp;0),"")</f>
        <v>3.4134521287006541</v>
      </c>
      <c r="AA128" s="1">
        <f t="shared" si="23"/>
        <v>3.4629596419116955</v>
      </c>
      <c r="AB128" s="1">
        <f>IFERROR(_xlfn.MAXIFS(J128:U128,Inv_SY[[#This Row],[Inv 1 (630kw) unit 1]:[Inv 3 (630kw) unit 4]],"&gt;"&amp;0),"")</f>
        <v>4.6367692994199015</v>
      </c>
    </row>
    <row r="129" spans="1:28" x14ac:dyDescent="0.25">
      <c r="A129" s="187"/>
      <c r="B129" s="187"/>
      <c r="C129" s="187">
        <f>YEAR(Inv_SY[[#This Row],[Date]])</f>
        <v>2025</v>
      </c>
      <c r="D129" s="187"/>
      <c r="E129" s="187"/>
      <c r="F129" s="188" t="str">
        <f>TEXT(Inv_SY[[#This Row],[Date]],"mmm-yy")</f>
        <v>Aug-25</v>
      </c>
      <c r="G129" s="187">
        <f>DAY(EOMONTH(Inv_SY[[#This Row],[Month Year]],0))</f>
        <v>31</v>
      </c>
      <c r="H129" s="189">
        <f t="shared" si="19"/>
        <v>45870</v>
      </c>
      <c r="I129" s="190">
        <f>'Modelling New'!$AR$1</f>
        <v>7.0991999999999997</v>
      </c>
      <c r="J129" s="1">
        <f>IFERROR('Raw Data'!K129/Inv_SY!J$2,"")</f>
        <v>3.0663139329805991</v>
      </c>
      <c r="K129" s="1">
        <f>IFERROR('Raw Data'!L129/Inv_SY!K$2,"")</f>
        <v>2.6760728982951201</v>
      </c>
      <c r="L129" s="1">
        <f>IFERROR('Raw Data'!M129/Inv_SY!L$2,"")</f>
        <v>3.0474168435951876</v>
      </c>
      <c r="M129" s="1">
        <f>IFERROR('Raw Data'!N129/Inv_SY!M$2,"")</f>
        <v>3.0440917107583769</v>
      </c>
      <c r="N129" s="1">
        <f>IFERROR('Raw Data'!O129/Inv_SY!N$2,"")</f>
        <v>2.7622461170848269</v>
      </c>
      <c r="O129" s="1">
        <f>IFERROR('Raw Data'!P129/Inv_SY!O$2,"")</f>
        <v>3.079717813051146</v>
      </c>
      <c r="P129" s="1">
        <f>IFERROR('Raw Data'!Q129/Inv_SY!P$2,"")</f>
        <v>2.6264538815255611</v>
      </c>
      <c r="Q129" s="1">
        <f>IFERROR('Raw Data'!R129/Inv_SY!Q$2,"")</f>
        <v>3.9265952699687641</v>
      </c>
      <c r="R129" s="1">
        <f>IFERROR('Raw Data'!S129/Inv_SY!R$2,"")</f>
        <v>3.2597356198642373</v>
      </c>
      <c r="S129" s="1">
        <f>IFERROR('Raw Data'!T129/Inv_SY!S$2,"")</f>
        <v>2.7050827423167849</v>
      </c>
      <c r="T129" s="1">
        <f>IFERROR('Raw Data'!U129/Inv_SY!T$2,"")</f>
        <v>4.0113180957414016</v>
      </c>
      <c r="U129" s="1">
        <f>IFERROR('Raw Data'!V129/Inv_SY!U$2,"")</f>
        <v>2.6833185971117008</v>
      </c>
      <c r="V129" s="1">
        <f>IFERROR('Raw Data'!W129/Inv_SY!V$2,"")</f>
        <v>2.9449487308791382</v>
      </c>
      <c r="W129" s="1">
        <f>IFERROR('Raw Data'!X129/Inv_SY!W$2,"")</f>
        <v>3.0224315607634895</v>
      </c>
      <c r="X129" s="1">
        <f>IFERROR('Raw Data'!Y129/Inv_SY!X$2,"")</f>
        <v>3.0802670785957273</v>
      </c>
      <c r="Y129" s="1">
        <f t="shared" si="22"/>
        <v>3.0158824567461182</v>
      </c>
      <c r="Z129" s="1">
        <f>IFERROR(_xlfn.MAXIFS(V129:X129,Inv_SY[[#This Row],[Inv1]:[Inv3]],"&gt;"&amp;0),"")</f>
        <v>3.0802670785957273</v>
      </c>
      <c r="AA129" s="1">
        <f t="shared" si="23"/>
        <v>3.074030293524475</v>
      </c>
      <c r="AB129" s="1">
        <f>IFERROR(_xlfn.MAXIFS(J129:U129,Inv_SY[[#This Row],[Inv 1 (630kw) unit 1]:[Inv 3 (630kw) unit 4]],"&gt;"&amp;0),"")</f>
        <v>4.0113180957414016</v>
      </c>
    </row>
    <row r="130" spans="1:28" x14ac:dyDescent="0.25">
      <c r="A130" s="187"/>
      <c r="B130" s="187"/>
      <c r="C130" s="187">
        <f>YEAR(Inv_SY[[#This Row],[Date]])</f>
        <v>2025</v>
      </c>
      <c r="D130" s="187"/>
      <c r="E130" s="187"/>
      <c r="F130" s="188" t="str">
        <f>TEXT(Inv_SY[[#This Row],[Date]],"mmm-yy")</f>
        <v>Aug-25</v>
      </c>
      <c r="G130" s="187">
        <f>DAY(EOMONTH(Inv_SY[[#This Row],[Month Year]],0))</f>
        <v>31</v>
      </c>
      <c r="H130" s="189">
        <f t="shared" si="19"/>
        <v>45871</v>
      </c>
      <c r="I130" s="190">
        <f>'Modelling New'!$AR$1</f>
        <v>7.0991999999999997</v>
      </c>
      <c r="J130" s="1">
        <f>IFERROR('Raw Data'!K130/Inv_SY!J$2,"")</f>
        <v>4.7735449735449729</v>
      </c>
      <c r="K130" s="1">
        <f>IFERROR('Raw Data'!L130/Inv_SY!K$2,"")</f>
        <v>3.9547325102880655</v>
      </c>
      <c r="L130" s="1">
        <f>IFERROR('Raw Data'!M130/Inv_SY!L$2,"")</f>
        <v>4.8807501769285206</v>
      </c>
      <c r="M130" s="1">
        <f>IFERROR('Raw Data'!N130/Inv_SY!M$2,"")</f>
        <v>4.7366843033509687</v>
      </c>
      <c r="N130" s="1">
        <f>IFERROR('Raw Data'!O130/Inv_SY!N$2,"")</f>
        <v>4.0477897252090811</v>
      </c>
      <c r="O130" s="1">
        <f>IFERROR('Raw Data'!P130/Inv_SY!O$2,"")</f>
        <v>4.8846560846560836</v>
      </c>
      <c r="P130" s="1">
        <f>IFERROR('Raw Data'!Q130/Inv_SY!P$2,"")</f>
        <v>4.0562918883178556</v>
      </c>
      <c r="Q130" s="1">
        <f>IFERROR('Raw Data'!R130/Inv_SY!Q$2,"")</f>
        <v>6.0562248995983943</v>
      </c>
      <c r="R130" s="1">
        <f>IFERROR('Raw Data'!S130/Inv_SY!R$2,"")</f>
        <v>4.9356913183279749</v>
      </c>
      <c r="S130" s="1">
        <f>IFERROR('Raw Data'!T130/Inv_SY!S$2,"")</f>
        <v>4.0997340425531918</v>
      </c>
      <c r="T130" s="1">
        <f>IFERROR('Raw Data'!U130/Inv_SY!T$2,"")</f>
        <v>6.074998899017924</v>
      </c>
      <c r="U130" s="1">
        <f>IFERROR('Raw Data'!V130/Inv_SY!U$2,"")</f>
        <v>4.0630710285882703</v>
      </c>
      <c r="V130" s="1">
        <f>IFERROR('Raw Data'!W130/Inv_SY!V$2,"")</f>
        <v>4.5561018658598069</v>
      </c>
      <c r="W130" s="1">
        <f>IFERROR('Raw Data'!X130/Inv_SY!W$2,"")</f>
        <v>4.6351042012373096</v>
      </c>
      <c r="X130" s="1">
        <f>IFERROR('Raw Data'!Y130/Inv_SY!X$2,"")</f>
        <v>4.6653498442604269</v>
      </c>
      <c r="Y130" s="1">
        <f t="shared" si="22"/>
        <v>4.6188519704525142</v>
      </c>
      <c r="Z130" s="1">
        <f>IFERROR(_xlfn.MAXIFS(V130:X130,Inv_SY[[#This Row],[Inv1]:[Inv3]],"&gt;"&amp;0),"")</f>
        <v>4.6653498442604269</v>
      </c>
      <c r="AA130" s="1">
        <f t="shared" si="23"/>
        <v>4.7136808208651084</v>
      </c>
      <c r="AB130" s="1">
        <f>IFERROR(_xlfn.MAXIFS(J130:U130,Inv_SY[[#This Row],[Inv 1 (630kw) unit 1]:[Inv 3 (630kw) unit 4]],"&gt;"&amp;0),"")</f>
        <v>6.074998899017924</v>
      </c>
    </row>
    <row r="131" spans="1:28" x14ac:dyDescent="0.25">
      <c r="A131" s="187"/>
      <c r="B131" s="187"/>
      <c r="C131" s="187">
        <f>YEAR(Inv_SY[[#This Row],[Date]])</f>
        <v>2025</v>
      </c>
      <c r="D131" s="187"/>
      <c r="E131" s="187"/>
      <c r="F131" s="188" t="str">
        <f>TEXT(Inv_SY[[#This Row],[Date]],"mmm-yy")</f>
        <v>Aug-25</v>
      </c>
      <c r="G131" s="187">
        <f>DAY(EOMONTH(Inv_SY[[#This Row],[Month Year]],0))</f>
        <v>31</v>
      </c>
      <c r="H131" s="189">
        <f t="shared" si="19"/>
        <v>45872</v>
      </c>
      <c r="I131" s="190">
        <f>'Modelling New'!$AR$1</f>
        <v>7.0991999999999997</v>
      </c>
      <c r="J131" s="1">
        <f>IFERROR('Raw Data'!K131/Inv_SY!J$2,"")</f>
        <v>4.6266313932980596</v>
      </c>
      <c r="K131" s="1">
        <f>IFERROR('Raw Data'!L131/Inv_SY!K$2,"")</f>
        <v>3.8331863609641381</v>
      </c>
      <c r="L131" s="1">
        <f>IFERROR('Raw Data'!M131/Inv_SY!L$2,"")</f>
        <v>4.6024416135881108</v>
      </c>
      <c r="M131" s="1">
        <f>IFERROR('Raw Data'!N131/Inv_SY!M$2,"")</f>
        <v>4.7158730158730151</v>
      </c>
      <c r="N131" s="1">
        <f>IFERROR('Raw Data'!O131/Inv_SY!N$2,"")</f>
        <v>3.971475507765831</v>
      </c>
      <c r="O131" s="1">
        <f>IFERROR('Raw Data'!P131/Inv_SY!O$2,"")</f>
        <v>4.6657848324514983</v>
      </c>
      <c r="P131" s="1">
        <f>IFERROR('Raw Data'!Q131/Inv_SY!P$2,"")</f>
        <v>4.0882998226790486</v>
      </c>
      <c r="Q131" s="1">
        <f>IFERROR('Raw Data'!R131/Inv_SY!Q$2,"")</f>
        <v>5.944890673806337</v>
      </c>
      <c r="R131" s="1">
        <f>IFERROR('Raw Data'!S131/Inv_SY!R$2,"")</f>
        <v>4.7949267595569847</v>
      </c>
      <c r="S131" s="1">
        <f>IFERROR('Raw Data'!T131/Inv_SY!S$2,"")</f>
        <v>3.9843380614657211</v>
      </c>
      <c r="T131" s="1">
        <f>IFERROR('Raw Data'!U131/Inv_SY!T$2,"")</f>
        <v>5.9043466772360951</v>
      </c>
      <c r="U131" s="1">
        <f>IFERROR('Raw Data'!V131/Inv_SY!U$2,"")</f>
        <v>3.9484232242852939</v>
      </c>
      <c r="V131" s="1">
        <f>IFERROR('Raw Data'!W131/Inv_SY!V$2,"")</f>
        <v>4.415279878971254</v>
      </c>
      <c r="W131" s="1">
        <f>IFERROR('Raw Data'!X131/Inv_SY!W$2,"")</f>
        <v>4.5483903908503738</v>
      </c>
      <c r="X131" s="1">
        <f>IFERROR('Raw Data'!Y131/Inv_SY!X$2,"")</f>
        <v>4.533583191943749</v>
      </c>
      <c r="Y131" s="1">
        <f t="shared" si="22"/>
        <v>4.499084487255125</v>
      </c>
      <c r="Z131" s="1">
        <f>IFERROR(_xlfn.MAXIFS(V131:X131,Inv_SY[[#This Row],[Inv1]:[Inv3]],"&gt;"&amp;0),"")</f>
        <v>4.5483903908503738</v>
      </c>
      <c r="AA131" s="1">
        <f t="shared" si="23"/>
        <v>4.5900514952475113</v>
      </c>
      <c r="AB131" s="1">
        <f>IFERROR(_xlfn.MAXIFS(J131:U131,Inv_SY[[#This Row],[Inv 1 (630kw) unit 1]:[Inv 3 (630kw) unit 4]],"&gt;"&amp;0),"")</f>
        <v>5.944890673806337</v>
      </c>
    </row>
    <row r="132" spans="1:28" x14ac:dyDescent="0.25">
      <c r="A132" s="187"/>
      <c r="B132" s="187"/>
      <c r="C132" s="187">
        <f>YEAR(Inv_SY[[#This Row],[Date]])</f>
        <v>2025</v>
      </c>
      <c r="D132" s="187"/>
      <c r="E132" s="187"/>
      <c r="F132" s="188" t="str">
        <f>TEXT(Inv_SY[[#This Row],[Date]],"mmm-yy")</f>
        <v>Aug-25</v>
      </c>
      <c r="G132" s="187">
        <f>DAY(EOMONTH(Inv_SY[[#This Row],[Month Year]],0))</f>
        <v>31</v>
      </c>
      <c r="H132" s="189">
        <f t="shared" si="19"/>
        <v>45873</v>
      </c>
      <c r="I132" s="190">
        <f>'Modelling New'!$AR$1</f>
        <v>7.0991999999999997</v>
      </c>
      <c r="J132" s="1">
        <f>IFERROR('Raw Data'!K132/Inv_SY!J$2,"")</f>
        <v>3.208465608465608</v>
      </c>
      <c r="K132" s="1">
        <f>IFERROR('Raw Data'!L132/Inv_SY!K$2,"")</f>
        <v>2.5042621987066429</v>
      </c>
      <c r="L132" s="1">
        <f>IFERROR('Raw Data'!M132/Inv_SY!L$2,"")</f>
        <v>3.0061924982307144</v>
      </c>
      <c r="M132" s="1">
        <f>IFERROR('Raw Data'!N132/Inv_SY!M$2,"")</f>
        <v>2.9987654320987649</v>
      </c>
      <c r="N132" s="1">
        <f>IFERROR('Raw Data'!O132/Inv_SY!N$2,"")</f>
        <v>2.5458482676224614</v>
      </c>
      <c r="O132" s="1">
        <f>IFERROR('Raw Data'!P132/Inv_SY!O$2,"")</f>
        <v>2.9895943562610223</v>
      </c>
      <c r="P132" s="1">
        <f>IFERROR('Raw Data'!Q132/Inv_SY!P$2,"")</f>
        <v>2.5502659814263815</v>
      </c>
      <c r="Q132" s="1">
        <f>IFERROR('Raw Data'!R132/Inv_SY!Q$2,"")</f>
        <v>4.039937527889335</v>
      </c>
      <c r="R132" s="1">
        <f>IFERROR('Raw Data'!S132/Inv_SY!R$2,"")</f>
        <v>3.0823508395855663</v>
      </c>
      <c r="S132" s="1">
        <f>IFERROR('Raw Data'!T132/Inv_SY!S$2,"")</f>
        <v>2.5589539007092204</v>
      </c>
      <c r="T132" s="1">
        <f>IFERROR('Raw Data'!U132/Inv_SY!T$2,"")</f>
        <v>3.791562073369446</v>
      </c>
      <c r="U132" s="1">
        <f>IFERROR('Raw Data'!V132/Inv_SY!U$2,"")</f>
        <v>2.5361037430002953</v>
      </c>
      <c r="V132" s="1">
        <f>IFERROR('Raw Data'!W132/Inv_SY!V$2,"")</f>
        <v>2.909102370146242</v>
      </c>
      <c r="W132" s="1">
        <f>IFERROR('Raw Data'!X132/Inv_SY!W$2,"")</f>
        <v>2.9390790806123577</v>
      </c>
      <c r="X132" s="1">
        <f>IFERROR('Raw Data'!Y132/Inv_SY!X$2,"")</f>
        <v>2.9123300159538106</v>
      </c>
      <c r="Y132" s="1">
        <f t="shared" si="22"/>
        <v>2.9201704889041369</v>
      </c>
      <c r="Z132" s="1">
        <f>IFERROR(_xlfn.MAXIFS(V132:X132,Inv_SY[[#This Row],[Inv1]:[Inv3]],"&gt;"&amp;0),"")</f>
        <v>2.9390790806123577</v>
      </c>
      <c r="AA132" s="1">
        <f t="shared" si="23"/>
        <v>2.9843585356137883</v>
      </c>
      <c r="AB132" s="1">
        <f>IFERROR(_xlfn.MAXIFS(J132:U132,Inv_SY[[#This Row],[Inv 1 (630kw) unit 1]:[Inv 3 (630kw) unit 4]],"&gt;"&amp;0),"")</f>
        <v>4.039937527889335</v>
      </c>
    </row>
    <row r="133" spans="1:28" x14ac:dyDescent="0.25">
      <c r="A133" s="187"/>
      <c r="B133" s="187"/>
      <c r="C133" s="187">
        <f>YEAR(Inv_SY[[#This Row],[Date]])</f>
        <v>2025</v>
      </c>
      <c r="D133" s="187"/>
      <c r="E133" s="187"/>
      <c r="F133" s="188" t="str">
        <f>TEXT(Inv_SY[[#This Row],[Date]],"mmm-yy")</f>
        <v>Aug-25</v>
      </c>
      <c r="G133" s="187">
        <f>DAY(EOMONTH(Inv_SY[[#This Row],[Month Year]],0))</f>
        <v>31</v>
      </c>
      <c r="H133" s="189">
        <f t="shared" si="19"/>
        <v>45874</v>
      </c>
      <c r="I133" s="190">
        <f>'Modelling New'!$AR$1</f>
        <v>7.0991999999999997</v>
      </c>
      <c r="J133" s="1">
        <f>IFERROR('Raw Data'!K133/Inv_SY!J$2,"")</f>
        <v>0</v>
      </c>
      <c r="K133" s="1">
        <f>IFERROR('Raw Data'!L133/Inv_SY!K$2,"")</f>
        <v>0</v>
      </c>
      <c r="L133" s="1">
        <f>IFERROR('Raw Data'!M133/Inv_SY!L$2,"")</f>
        <v>0</v>
      </c>
      <c r="M133" s="1">
        <f>IFERROR('Raw Data'!N133/Inv_SY!M$2,"")</f>
        <v>0</v>
      </c>
      <c r="N133" s="1">
        <f>IFERROR('Raw Data'!O133/Inv_SY!N$2,"")</f>
        <v>0</v>
      </c>
      <c r="O133" s="1">
        <f>IFERROR('Raw Data'!P133/Inv_SY!O$2,"")</f>
        <v>0</v>
      </c>
      <c r="P133" s="1">
        <f>IFERROR('Raw Data'!Q133/Inv_SY!P$2,"")</f>
        <v>0</v>
      </c>
      <c r="Q133" s="1">
        <f>IFERROR('Raw Data'!R133/Inv_SY!Q$2,"")</f>
        <v>0</v>
      </c>
      <c r="R133" s="1">
        <f>IFERROR('Raw Data'!S133/Inv_SY!R$2,"")</f>
        <v>0</v>
      </c>
      <c r="S133" s="1">
        <f>IFERROR('Raw Data'!T133/Inv_SY!S$2,"")</f>
        <v>0</v>
      </c>
      <c r="T133" s="1">
        <f>IFERROR('Raw Data'!U133/Inv_SY!T$2,"")</f>
        <v>0</v>
      </c>
      <c r="U133" s="1">
        <f>IFERROR('Raw Data'!V133/Inv_SY!U$2,"")</f>
        <v>0</v>
      </c>
      <c r="V133" s="1">
        <f>IFERROR('Raw Data'!W133/Inv_SY!V$2,"")</f>
        <v>0</v>
      </c>
      <c r="W133" s="1">
        <f>IFERROR('Raw Data'!X133/Inv_SY!W$2,"")</f>
        <v>0</v>
      </c>
      <c r="X133" s="1">
        <f>IFERROR('Raw Data'!Y133/Inv_SY!X$2,"")</f>
        <v>0</v>
      </c>
      <c r="Y133" s="1" t="str">
        <f t="shared" si="22"/>
        <v/>
      </c>
      <c r="Z133" s="1">
        <f>IFERROR(_xlfn.MAXIFS(V133:X133,Inv_SY[[#This Row],[Inv1]:[Inv3]],"&gt;"&amp;0),"")</f>
        <v>0</v>
      </c>
      <c r="AA133" s="1" t="str">
        <f t="shared" si="23"/>
        <v/>
      </c>
      <c r="AB133" s="1">
        <f>IFERROR(_xlfn.MAXIFS(J133:U133,Inv_SY[[#This Row],[Inv 1 (630kw) unit 1]:[Inv 3 (630kw) unit 4]],"&gt;"&amp;0),"")</f>
        <v>0</v>
      </c>
    </row>
    <row r="134" spans="1:28" x14ac:dyDescent="0.25">
      <c r="A134" s="187"/>
      <c r="B134" s="187"/>
      <c r="C134" s="187">
        <f>YEAR(Inv_SY[[#This Row],[Date]])</f>
        <v>2025</v>
      </c>
      <c r="D134" s="187"/>
      <c r="E134" s="187"/>
      <c r="F134" s="188" t="str">
        <f>TEXT(Inv_SY[[#This Row],[Date]],"mmm-yy")</f>
        <v>Aug-25</v>
      </c>
      <c r="G134" s="187">
        <f>DAY(EOMONTH(Inv_SY[[#This Row],[Month Year]],0))</f>
        <v>31</v>
      </c>
      <c r="H134" s="189">
        <f t="shared" si="19"/>
        <v>45875</v>
      </c>
      <c r="I134" s="190">
        <f>'Modelling New'!$AR$1</f>
        <v>7.0991999999999997</v>
      </c>
      <c r="J134" s="1">
        <f>IFERROR('Raw Data'!K134/Inv_SY!J$2,"")</f>
        <v>0</v>
      </c>
      <c r="K134" s="1">
        <f>IFERROR('Raw Data'!L134/Inv_SY!K$2,"")</f>
        <v>0</v>
      </c>
      <c r="L134" s="1">
        <f>IFERROR('Raw Data'!M134/Inv_SY!L$2,"")</f>
        <v>0</v>
      </c>
      <c r="M134" s="1">
        <f>IFERROR('Raw Data'!N134/Inv_SY!M$2,"")</f>
        <v>0</v>
      </c>
      <c r="N134" s="1">
        <f>IFERROR('Raw Data'!O134/Inv_SY!N$2,"")</f>
        <v>0</v>
      </c>
      <c r="O134" s="1">
        <f>IFERROR('Raw Data'!P134/Inv_SY!O$2,"")</f>
        <v>0</v>
      </c>
      <c r="P134" s="1">
        <f>IFERROR('Raw Data'!Q134/Inv_SY!P$2,"")</f>
        <v>0</v>
      </c>
      <c r="Q134" s="1">
        <f>IFERROR('Raw Data'!R134/Inv_SY!Q$2,"")</f>
        <v>0</v>
      </c>
      <c r="R134" s="1">
        <f>IFERROR('Raw Data'!S134/Inv_SY!R$2,"")</f>
        <v>0</v>
      </c>
      <c r="S134" s="1">
        <f>IFERROR('Raw Data'!T134/Inv_SY!S$2,"")</f>
        <v>0</v>
      </c>
      <c r="T134" s="1">
        <f>IFERROR('Raw Data'!U134/Inv_SY!T$2,"")</f>
        <v>0</v>
      </c>
      <c r="U134" s="1">
        <f>IFERROR('Raw Data'!V134/Inv_SY!U$2,"")</f>
        <v>0</v>
      </c>
      <c r="V134" s="1">
        <f>IFERROR('Raw Data'!W134/Inv_SY!V$2,"")</f>
        <v>0</v>
      </c>
      <c r="W134" s="1">
        <f>IFERROR('Raw Data'!X134/Inv_SY!W$2,"")</f>
        <v>0</v>
      </c>
      <c r="X134" s="1">
        <f>IFERROR('Raw Data'!Y134/Inv_SY!X$2,"")</f>
        <v>0</v>
      </c>
      <c r="Y134" s="1" t="str">
        <f t="shared" si="22"/>
        <v/>
      </c>
      <c r="Z134" s="1">
        <f>IFERROR(_xlfn.MAXIFS(V134:X134,Inv_SY[[#This Row],[Inv1]:[Inv3]],"&gt;"&amp;0),"")</f>
        <v>0</v>
      </c>
      <c r="AA134" s="1" t="str">
        <f t="shared" si="23"/>
        <v/>
      </c>
      <c r="AB134" s="1">
        <f>IFERROR(_xlfn.MAXIFS(J134:U134,Inv_SY[[#This Row],[Inv 1 (630kw) unit 1]:[Inv 3 (630kw) unit 4]],"&gt;"&amp;0),"")</f>
        <v>0</v>
      </c>
    </row>
    <row r="135" spans="1:28" x14ac:dyDescent="0.25">
      <c r="A135" s="187"/>
      <c r="B135" s="187"/>
      <c r="C135" s="187">
        <f>YEAR(Inv_SY[[#This Row],[Date]])</f>
        <v>2025</v>
      </c>
      <c r="D135" s="187"/>
      <c r="E135" s="187"/>
      <c r="F135" s="188" t="str">
        <f>TEXT(Inv_SY[[#This Row],[Date]],"mmm-yy")</f>
        <v>Aug-25</v>
      </c>
      <c r="G135" s="187">
        <f>DAY(EOMONTH(Inv_SY[[#This Row],[Month Year]],0))</f>
        <v>31</v>
      </c>
      <c r="H135" s="189">
        <f t="shared" si="19"/>
        <v>45876</v>
      </c>
      <c r="I135" s="190">
        <f>'Modelling New'!$AR$1</f>
        <v>7.0991999999999997</v>
      </c>
      <c r="J135" s="1">
        <f>IFERROR('Raw Data'!K135/Inv_SY!J$2,"")</f>
        <v>0</v>
      </c>
      <c r="K135" s="1">
        <f>IFERROR('Raw Data'!L135/Inv_SY!K$2,"")</f>
        <v>0</v>
      </c>
      <c r="L135" s="1">
        <f>IFERROR('Raw Data'!M135/Inv_SY!L$2,"")</f>
        <v>0</v>
      </c>
      <c r="M135" s="1">
        <f>IFERROR('Raw Data'!N135/Inv_SY!M$2,"")</f>
        <v>0</v>
      </c>
      <c r="N135" s="1">
        <f>IFERROR('Raw Data'!O135/Inv_SY!N$2,"")</f>
        <v>0</v>
      </c>
      <c r="O135" s="1">
        <f>IFERROR('Raw Data'!P135/Inv_SY!O$2,"")</f>
        <v>0</v>
      </c>
      <c r="P135" s="1">
        <f>IFERROR('Raw Data'!Q135/Inv_SY!P$2,"")</f>
        <v>0</v>
      </c>
      <c r="Q135" s="1">
        <f>IFERROR('Raw Data'!R135/Inv_SY!Q$2,"")</f>
        <v>0</v>
      </c>
      <c r="R135" s="1">
        <f>IFERROR('Raw Data'!S135/Inv_SY!R$2,"")</f>
        <v>0</v>
      </c>
      <c r="S135" s="1">
        <f>IFERROR('Raw Data'!T135/Inv_SY!S$2,"")</f>
        <v>0</v>
      </c>
      <c r="T135" s="1">
        <f>IFERROR('Raw Data'!U135/Inv_SY!T$2,"")</f>
        <v>0</v>
      </c>
      <c r="U135" s="1">
        <f>IFERROR('Raw Data'!V135/Inv_SY!U$2,"")</f>
        <v>0</v>
      </c>
      <c r="V135" s="1">
        <f>IFERROR('Raw Data'!W135/Inv_SY!V$2,"")</f>
        <v>0</v>
      </c>
      <c r="W135" s="1">
        <f>IFERROR('Raw Data'!X135/Inv_SY!W$2,"")</f>
        <v>0</v>
      </c>
      <c r="X135" s="1">
        <f>IFERROR('Raw Data'!Y135/Inv_SY!X$2,"")</f>
        <v>0</v>
      </c>
      <c r="Y135" s="1" t="str">
        <f t="shared" si="22"/>
        <v/>
      </c>
      <c r="Z135" s="1">
        <f>IFERROR(_xlfn.MAXIFS(V135:X135,Inv_SY[[#This Row],[Inv1]:[Inv3]],"&gt;"&amp;0),"")</f>
        <v>0</v>
      </c>
      <c r="AA135" s="1" t="str">
        <f t="shared" si="23"/>
        <v/>
      </c>
      <c r="AB135" s="1">
        <f>IFERROR(_xlfn.MAXIFS(J135:U135,Inv_SY[[#This Row],[Inv 1 (630kw) unit 1]:[Inv 3 (630kw) unit 4]],"&gt;"&amp;0),"")</f>
        <v>0</v>
      </c>
    </row>
    <row r="136" spans="1:28" x14ac:dyDescent="0.25">
      <c r="A136" s="187"/>
      <c r="B136" s="187"/>
      <c r="C136" s="187">
        <f>YEAR(Inv_SY[[#This Row],[Date]])</f>
        <v>2025</v>
      </c>
      <c r="D136" s="187"/>
      <c r="E136" s="187"/>
      <c r="F136" s="188" t="str">
        <f>TEXT(Inv_SY[[#This Row],[Date]],"mmm-yy")</f>
        <v>Aug-25</v>
      </c>
      <c r="G136" s="187">
        <f>DAY(EOMONTH(Inv_SY[[#This Row],[Month Year]],0))</f>
        <v>31</v>
      </c>
      <c r="H136" s="189">
        <f t="shared" si="19"/>
        <v>45877</v>
      </c>
      <c r="I136" s="190">
        <f>'Modelling New'!$AR$1</f>
        <v>7.0991999999999997</v>
      </c>
      <c r="J136" s="1">
        <f>IFERROR('Raw Data'!K136/Inv_SY!J$2,"")</f>
        <v>0</v>
      </c>
      <c r="K136" s="1">
        <f>IFERROR('Raw Data'!L136/Inv_SY!K$2,"")</f>
        <v>0</v>
      </c>
      <c r="L136" s="1">
        <f>IFERROR('Raw Data'!M136/Inv_SY!L$2,"")</f>
        <v>0</v>
      </c>
      <c r="M136" s="1">
        <f>IFERROR('Raw Data'!N136/Inv_SY!M$2,"")</f>
        <v>0</v>
      </c>
      <c r="N136" s="1">
        <f>IFERROR('Raw Data'!O136/Inv_SY!N$2,"")</f>
        <v>0</v>
      </c>
      <c r="O136" s="1">
        <f>IFERROR('Raw Data'!P136/Inv_SY!O$2,"")</f>
        <v>0</v>
      </c>
      <c r="P136" s="1">
        <f>IFERROR('Raw Data'!Q136/Inv_SY!P$2,"")</f>
        <v>0</v>
      </c>
      <c r="Q136" s="1">
        <f>IFERROR('Raw Data'!R136/Inv_SY!Q$2,"")</f>
        <v>0</v>
      </c>
      <c r="R136" s="1">
        <f>IFERROR('Raw Data'!S136/Inv_SY!R$2,"")</f>
        <v>0</v>
      </c>
      <c r="S136" s="1">
        <f>IFERROR('Raw Data'!T136/Inv_SY!S$2,"")</f>
        <v>0</v>
      </c>
      <c r="T136" s="1">
        <f>IFERROR('Raw Data'!U136/Inv_SY!T$2,"")</f>
        <v>0</v>
      </c>
      <c r="U136" s="1">
        <f>IFERROR('Raw Data'!V136/Inv_SY!U$2,"")</f>
        <v>0</v>
      </c>
      <c r="V136" s="1">
        <f>IFERROR('Raw Data'!W136/Inv_SY!V$2,"")</f>
        <v>0</v>
      </c>
      <c r="W136" s="1">
        <f>IFERROR('Raw Data'!X136/Inv_SY!W$2,"")</f>
        <v>0</v>
      </c>
      <c r="X136" s="1">
        <f>IFERROR('Raw Data'!Y136/Inv_SY!X$2,"")</f>
        <v>0</v>
      </c>
      <c r="Y136" s="1" t="str">
        <f t="shared" si="22"/>
        <v/>
      </c>
      <c r="Z136" s="1">
        <f>IFERROR(_xlfn.MAXIFS(V136:X136,Inv_SY[[#This Row],[Inv1]:[Inv3]],"&gt;"&amp;0),"")</f>
        <v>0</v>
      </c>
      <c r="AA136" s="1" t="str">
        <f t="shared" si="23"/>
        <v/>
      </c>
      <c r="AB136" s="1">
        <f>IFERROR(_xlfn.MAXIFS(J136:U136,Inv_SY[[#This Row],[Inv 1 (630kw) unit 1]:[Inv 3 (630kw) unit 4]],"&gt;"&amp;0),"")</f>
        <v>0</v>
      </c>
    </row>
    <row r="137" spans="1:28" x14ac:dyDescent="0.25">
      <c r="A137" s="187"/>
      <c r="B137" s="187"/>
      <c r="C137" s="187">
        <f>YEAR(Inv_SY[[#This Row],[Date]])</f>
        <v>2025</v>
      </c>
      <c r="D137" s="187"/>
      <c r="E137" s="187"/>
      <c r="F137" s="188" t="str">
        <f>TEXT(Inv_SY[[#This Row],[Date]],"mmm-yy")</f>
        <v>Aug-25</v>
      </c>
      <c r="G137" s="187">
        <f>DAY(EOMONTH(Inv_SY[[#This Row],[Month Year]],0))</f>
        <v>31</v>
      </c>
      <c r="H137" s="189">
        <f t="shared" si="19"/>
        <v>45878</v>
      </c>
      <c r="I137" s="190">
        <f>'Modelling New'!$AR$1</f>
        <v>7.0991999999999997</v>
      </c>
      <c r="J137" s="1">
        <f>IFERROR('Raw Data'!K137/Inv_SY!J$2,"")</f>
        <v>0</v>
      </c>
      <c r="K137" s="1">
        <f>IFERROR('Raw Data'!L137/Inv_SY!K$2,"")</f>
        <v>0</v>
      </c>
      <c r="L137" s="1">
        <f>IFERROR('Raw Data'!M137/Inv_SY!L$2,"")</f>
        <v>0</v>
      </c>
      <c r="M137" s="1">
        <f>IFERROR('Raw Data'!N137/Inv_SY!M$2,"")</f>
        <v>0</v>
      </c>
      <c r="N137" s="1">
        <f>IFERROR('Raw Data'!O137/Inv_SY!N$2,"")</f>
        <v>0</v>
      </c>
      <c r="O137" s="1">
        <f>IFERROR('Raw Data'!P137/Inv_SY!O$2,"")</f>
        <v>0</v>
      </c>
      <c r="P137" s="1">
        <f>IFERROR('Raw Data'!Q137/Inv_SY!P$2,"")</f>
        <v>0</v>
      </c>
      <c r="Q137" s="1">
        <f>IFERROR('Raw Data'!R137/Inv_SY!Q$2,"")</f>
        <v>0</v>
      </c>
      <c r="R137" s="1">
        <f>IFERROR('Raw Data'!S137/Inv_SY!R$2,"")</f>
        <v>0</v>
      </c>
      <c r="S137" s="1">
        <f>IFERROR('Raw Data'!T137/Inv_SY!S$2,"")</f>
        <v>0</v>
      </c>
      <c r="T137" s="1">
        <f>IFERROR('Raw Data'!U137/Inv_SY!T$2,"")</f>
        <v>0</v>
      </c>
      <c r="U137" s="1">
        <f>IFERROR('Raw Data'!V137/Inv_SY!U$2,"")</f>
        <v>0</v>
      </c>
      <c r="V137" s="1">
        <f>IFERROR('Raw Data'!W137/Inv_SY!V$2,"")</f>
        <v>0</v>
      </c>
      <c r="W137" s="1">
        <f>IFERROR('Raw Data'!X137/Inv_SY!W$2,"")</f>
        <v>0</v>
      </c>
      <c r="X137" s="1">
        <f>IFERROR('Raw Data'!Y137/Inv_SY!X$2,"")</f>
        <v>0</v>
      </c>
      <c r="Y137" s="1" t="str">
        <f t="shared" si="22"/>
        <v/>
      </c>
      <c r="Z137" s="1">
        <f>IFERROR(_xlfn.MAXIFS(V137:X137,Inv_SY[[#This Row],[Inv1]:[Inv3]],"&gt;"&amp;0),"")</f>
        <v>0</v>
      </c>
      <c r="AA137" s="1" t="str">
        <f t="shared" si="23"/>
        <v/>
      </c>
      <c r="AB137" s="1">
        <f>IFERROR(_xlfn.MAXIFS(J137:U137,Inv_SY[[#This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V369"/>
  <sheetViews>
    <sheetView zoomScale="80" zoomScaleNormal="80" workbookViewId="0">
      <pane xSplit="1" ySplit="1" topLeftCell="X117" activePane="bottomRight" state="frozen"/>
      <selection pane="topRight" activeCell="AB39" sqref="AB39"/>
      <selection pane="bottomLeft" activeCell="AB39" sqref="AB39"/>
      <selection pane="bottomRight" activeCell="AQ128" sqref="AQ128"/>
    </sheetView>
  </sheetViews>
  <sheetFormatPr defaultColWidth="8.7109375" defaultRowHeight="15" x14ac:dyDescent="0.25"/>
  <cols>
    <col min="1" max="1" width="10.140625" style="7" bestFit="1" customWidth="1"/>
    <col min="2" max="5" width="9" style="7" customWidth="1"/>
    <col min="6" max="9" width="10.28515625" style="7" customWidth="1"/>
    <col min="10" max="12" width="11.28515625" style="7" customWidth="1"/>
    <col min="13" max="13" width="15.140625" style="7" bestFit="1" customWidth="1"/>
    <col min="14" max="39" width="11.28515625" style="7" customWidth="1"/>
    <col min="40" max="40" width="11.28515625" style="172" customWidth="1"/>
    <col min="41" max="43" width="11.28515625" style="7" customWidth="1"/>
    <col min="44" max="44" width="8.7109375" style="86"/>
    <col min="45" max="47" width="8.7109375" style="7"/>
    <col min="48" max="48" width="11.7109375" style="7" customWidth="1"/>
    <col min="49" max="16384" width="8.7109375" style="7"/>
  </cols>
  <sheetData>
    <row r="1" spans="1:48" ht="60" x14ac:dyDescent="0.25">
      <c r="A1" s="98" t="s">
        <v>33</v>
      </c>
      <c r="B1" s="97" t="s">
        <v>109</v>
      </c>
      <c r="C1" s="97" t="s">
        <v>110</v>
      </c>
      <c r="D1" s="97" t="s">
        <v>86</v>
      </c>
      <c r="E1" s="97" t="s">
        <v>62</v>
      </c>
      <c r="F1" s="95" t="s">
        <v>111</v>
      </c>
      <c r="G1" s="95" t="s">
        <v>112</v>
      </c>
      <c r="H1" s="95" t="s">
        <v>113</v>
      </c>
      <c r="I1" s="95" t="s">
        <v>114</v>
      </c>
      <c r="J1" s="95" t="s">
        <v>115</v>
      </c>
      <c r="K1" s="95" t="s">
        <v>116</v>
      </c>
      <c r="L1" s="95" t="s">
        <v>117</v>
      </c>
      <c r="M1" s="95" t="s">
        <v>118</v>
      </c>
      <c r="N1" s="95" t="s">
        <v>119</v>
      </c>
      <c r="O1" s="95" t="s">
        <v>120</v>
      </c>
      <c r="P1" s="95" t="s">
        <v>121</v>
      </c>
      <c r="Q1" s="95" t="s">
        <v>122</v>
      </c>
      <c r="R1" s="95" t="s">
        <v>123</v>
      </c>
      <c r="S1" s="95" t="s">
        <v>124</v>
      </c>
      <c r="T1" s="95" t="s">
        <v>125</v>
      </c>
      <c r="U1" s="95" t="s">
        <v>126</v>
      </c>
      <c r="V1" s="95" t="s">
        <v>127</v>
      </c>
      <c r="W1" s="95" t="s">
        <v>128</v>
      </c>
      <c r="X1" s="95" t="s">
        <v>129</v>
      </c>
      <c r="Y1" s="95" t="s">
        <v>130</v>
      </c>
      <c r="Z1" s="95" t="s">
        <v>131</v>
      </c>
      <c r="AA1" s="95" t="s">
        <v>132</v>
      </c>
      <c r="AB1" s="95" t="s">
        <v>133</v>
      </c>
      <c r="AC1" s="95" t="s">
        <v>134</v>
      </c>
      <c r="AD1" s="95" t="s">
        <v>135</v>
      </c>
      <c r="AE1" s="95" t="s">
        <v>136</v>
      </c>
      <c r="AF1" s="95" t="s">
        <v>137</v>
      </c>
      <c r="AG1" s="95" t="s">
        <v>138</v>
      </c>
      <c r="AH1" s="95" t="s">
        <v>139</v>
      </c>
      <c r="AI1" s="95" t="s">
        <v>140</v>
      </c>
      <c r="AJ1" s="95" t="s">
        <v>141</v>
      </c>
      <c r="AK1" s="95" t="s">
        <v>142</v>
      </c>
      <c r="AL1" s="95" t="s">
        <v>143</v>
      </c>
      <c r="AM1" s="95" t="s">
        <v>144</v>
      </c>
      <c r="AN1" s="96" t="s">
        <v>145</v>
      </c>
      <c r="AO1" s="95" t="s">
        <v>146</v>
      </c>
      <c r="AP1" s="95" t="s">
        <v>147</v>
      </c>
      <c r="AQ1" s="95" t="s">
        <v>148</v>
      </c>
      <c r="AR1" s="95" t="s">
        <v>1063</v>
      </c>
      <c r="AS1" s="95" t="s">
        <v>1064</v>
      </c>
      <c r="AT1" s="95" t="s">
        <v>1109</v>
      </c>
      <c r="AU1" s="95" t="s">
        <v>1108</v>
      </c>
      <c r="AV1" s="95" t="s">
        <v>1110</v>
      </c>
    </row>
    <row r="2" spans="1:48" x14ac:dyDescent="0.25">
      <c r="A2" s="93">
        <v>45745</v>
      </c>
      <c r="B2" s="86">
        <f>YEAR(Table13[[#This Row],[Date]])+IF(MONTH(Table13[[#This Row],[Date]])&gt;=4,1,0)</f>
        <v>2025</v>
      </c>
      <c r="C2" s="7">
        <f>YEAR(Table13[[#This Row],[Date]])</f>
        <v>2025</v>
      </c>
      <c r="D2" s="92">
        <f>Table13[[#This Row],[Date]]-DAY(Table13[[#This Row],[Date]])+1</f>
        <v>45717</v>
      </c>
      <c r="E2" s="7">
        <f t="shared" ref="E2:E55" si="0">DAY(EOMONTH(A2,0))</f>
        <v>31</v>
      </c>
      <c r="F2" s="91">
        <f>IFERROR(_xlfn.XLOOKUP($A2,'Raw Data'!$G:$G,'Raw Data'!$AM:$AM),"")</f>
        <v>12.333333333333336</v>
      </c>
      <c r="G2" s="90">
        <f>IFERROR(_xlfn.XLOOKUP($A2,'Raw Data'!$G:$G,'Raw Data'!$AB:$AB),"")</f>
        <v>0</v>
      </c>
      <c r="H2" s="90"/>
      <c r="I2" s="90">
        <f>IFERROR(_xlfn.XLOOKUP($A2,'Raw Data'!$G:$G,'Raw Data'!$AC:$AC),"")</f>
        <v>5.5</v>
      </c>
      <c r="J2" s="90"/>
      <c r="K2" s="90">
        <f>IFERROR(_xlfn.XLOOKUP($A2,'Raw Data'!$G:$G,'Raw Data'!AD:AD),"")</f>
        <v>0</v>
      </c>
      <c r="L2" s="90">
        <f>IFERROR(_xlfn.XLOOKUP($A2,'Raw Data'!$G:$G,'Raw Data'!AE:AE),"")</f>
        <v>51.7</v>
      </c>
      <c r="M2" s="90">
        <f>IFERROR(_xlfn.XLOOKUP($A2,'Raw Data'!$G:$G,'Raw Data'!AF:AF),"")</f>
        <v>0</v>
      </c>
      <c r="N2" s="90">
        <f>IFERROR(_xlfn.XLOOKUP($A2,'Raw Data'!$G:$G,'Raw Data'!AG:AG),"")</f>
        <v>0</v>
      </c>
      <c r="O2" s="85" t="str">
        <f>IFERROR(1-SUMIF('Plant BD'!$B:$B,$A2,'Plant BD'!$AM:$AM)/($AA2+SUMIF('Plant BD'!$B:$B,$A2,'Plant BD'!$AM:$AM)),"")</f>
        <v/>
      </c>
      <c r="P2" s="85"/>
      <c r="Q2" s="89"/>
      <c r="R2" s="85" t="str">
        <f>IFERROR(1-SUMIF('Grid BD'!$B:$B,$A2,'Grid BD'!$AE:$AE)/($AA2+SUMIF('Grid BD'!$B:$B,$A2,'Grid BD'!$AE:$AE)),"")</f>
        <v/>
      </c>
      <c r="T2" s="89"/>
      <c r="U2" s="88" t="str">
        <f t="shared" ref="U2:U52" si="1">IFERROR(AA2/I2/AB2/1000,"")</f>
        <v/>
      </c>
      <c r="V2" s="88"/>
      <c r="W2" s="84" t="str">
        <f t="shared" ref="W2:W46" si="2">IFERROR(AA2/(24*AB2*1000),"")</f>
        <v/>
      </c>
      <c r="X2" s="86">
        <f>IFERROR(_xlfn.XLOOKUP($A2,'Raw Data'!$G:$G,'Raw Data'!AI:AI),"")</f>
        <v>29190.5</v>
      </c>
      <c r="Y2" s="86" t="str">
        <f>IFERROR(_xlfn.XLOOKUP($A2,'Raw Data'!$G:$G,'Raw Data'!AJ:AJ),"")</f>
        <v/>
      </c>
      <c r="Z2" s="86" t="str">
        <f>IFERROR(_xlfn.XLOOKUP($A2,'Raw Data'!$G:$G,'Raw Data'!AK:AK),"")</f>
        <v/>
      </c>
      <c r="AA2" s="86" t="str">
        <f>IFERROR(_xlfn.XLOOKUP($A2,'Raw Data'!$G:$G,'Raw Data'!$AL:$AL)*(1+(_xlfn.XLOOKUP(Table13[[#This Row],[Month Year]],JMR!$A:$A,JMR!$J:$J))),"")</f>
        <v/>
      </c>
      <c r="AB2" s="86">
        <f>IFERROR(_xlfn.XLOOKUP($A2,'Raw Data'!$G:$G,'Raw Data'!$H:$H),"")</f>
        <v>7.0991999999999997</v>
      </c>
      <c r="AC2" s="87">
        <f>IFERROR(_xlfn.XLOOKUP($D2,'Modelling New'!$D:$D,'Modelling New'!$P:$P),"")</f>
        <v>6.7870967741935484</v>
      </c>
      <c r="AD2" s="86">
        <f>IFERROR(_xlfn.XLOOKUP($D2,'Modelling New'!$D:$D,'Modelling New'!$T:$T)*1000,"")</f>
        <v>34381.032212835249</v>
      </c>
      <c r="AE2" s="94">
        <f>IFERROR(_xlfn.XLOOKUP($D2,'Modelling New'!$D:$D,'Modelling New'!$O:$O),"")</f>
        <v>0.7135517214853353</v>
      </c>
      <c r="AF2" s="94">
        <f>IFERROR(_xlfn.XLOOKUP($D2,'Modelling New'!$D:$D,'Modelling New'!$W:$W),"")</f>
        <v>0.20178935779639051</v>
      </c>
      <c r="AG2" s="94">
        <f>IFERROR(_xlfn.XLOOKUP($D2,'Modelling New'!$D:$D,'Modelling New'!$AE:$AE),"")</f>
        <v>0.98040000000000005</v>
      </c>
      <c r="AH2" s="94">
        <f>IFERROR(_xlfn.XLOOKUP($D2,'Modelling New'!$D:$D,'Modelling New'!$AF:$AF),"")</f>
        <v>0.98</v>
      </c>
      <c r="AN2" s="85"/>
      <c r="AO2" s="84"/>
      <c r="AP2" s="84"/>
      <c r="AQ2" s="84"/>
      <c r="AR2" s="86">
        <f>'Basic Data'!$J$2</f>
        <v>7.0991999999999997</v>
      </c>
      <c r="AT2" s="7" t="str">
        <f>IFERROR(_xlfn.XLOOKUP(Table13[[#This Row],[Date]],'Raw Data'!$E:$E,'Raw Data'!$AN:$AN),"")</f>
        <v/>
      </c>
      <c r="AU2" s="7">
        <f>IFERROR(_xlfn.XLOOKUP(Table13[[#This Row],[Month Year]],'Modelling New'!$D:$D,'Modelling New'!$AO:$AO),"")</f>
        <v>7</v>
      </c>
      <c r="AV2" s="7">
        <f>IFERROR(SUMIF('Curtailment Records'!$C:$C,Table13[[#This Row],[Date]],'Curtailment Records'!$R:$R)/1000,"")</f>
        <v>0</v>
      </c>
    </row>
    <row r="3" spans="1:48" x14ac:dyDescent="0.25">
      <c r="A3" s="93">
        <f t="shared" ref="A3:A53" si="3">A2+1</f>
        <v>45746</v>
      </c>
      <c r="B3" s="86">
        <f>YEAR(Table13[[#This Row],[Date]])+IF(MONTH(Table13[[#This Row],[Date]])&gt;=4,1,0)</f>
        <v>2025</v>
      </c>
      <c r="C3" s="7">
        <f>YEAR(Table13[[#This Row],[Date]])</f>
        <v>2025</v>
      </c>
      <c r="D3" s="92">
        <f>Table13[[#This Row],[Date]]-DAY(Table13[[#This Row],[Date]])+1</f>
        <v>45717</v>
      </c>
      <c r="E3" s="7">
        <f t="shared" si="0"/>
        <v>31</v>
      </c>
      <c r="F3" s="91">
        <f>IFERROR(_xlfn.XLOOKUP($A3,'Raw Data'!$G:$G,'Raw Data'!$AM:$AM),"")</f>
        <v>11.466666666666665</v>
      </c>
      <c r="G3" s="90">
        <f>IFERROR(_xlfn.XLOOKUP($A3,'Raw Data'!$G:$G,'Raw Data'!$AB:$AB),"")</f>
        <v>0</v>
      </c>
      <c r="H3" s="90"/>
      <c r="I3" s="90">
        <f>IFERROR(_xlfn.XLOOKUP($A3,'Raw Data'!$G:$G,'Raw Data'!$AC:$AC),"")</f>
        <v>5.5</v>
      </c>
      <c r="J3" s="90"/>
      <c r="K3" s="90">
        <f>IFERROR(_xlfn.XLOOKUP($A3,'Raw Data'!$G:$G,'Raw Data'!AD:AD),"")</f>
        <v>0</v>
      </c>
      <c r="L3" s="90">
        <f>IFERROR(_xlfn.XLOOKUP($A3,'Raw Data'!$G:$G,'Raw Data'!AE:AE),"")</f>
        <v>52.76</v>
      </c>
      <c r="M3" s="90">
        <f>IFERROR(_xlfn.XLOOKUP($A3,'Raw Data'!$G:$G,'Raw Data'!AF:AF),"")</f>
        <v>0</v>
      </c>
      <c r="N3" s="90">
        <f>IFERROR(_xlfn.XLOOKUP($A3,'Raw Data'!$G:$G,'Raw Data'!AG:AG),"")</f>
        <v>0</v>
      </c>
      <c r="O3" s="85" t="str">
        <f>IFERROR(1-SUMIF('Plant BD'!$B:$B,$A3,'Plant BD'!$AM:$AM)/($AA3+SUMIF('Plant BD'!$B:$B,$A3,'Plant BD'!$AM:$AM)),"")</f>
        <v/>
      </c>
      <c r="P3" s="85"/>
      <c r="Q3" s="89"/>
      <c r="R3" s="85" t="str">
        <f>IFERROR(1-SUMIF('Grid BD'!$B:$B,$A3,'Grid BD'!$AE:$AE)/($AA3+SUMIF('Grid BD'!$B:$B,$A3,'Grid BD'!$AE:$AE)),"")</f>
        <v/>
      </c>
      <c r="T3" s="89"/>
      <c r="U3" s="88" t="str">
        <f t="shared" si="1"/>
        <v/>
      </c>
      <c r="V3" s="88"/>
      <c r="W3" s="84" t="str">
        <f t="shared" si="2"/>
        <v/>
      </c>
      <c r="X3" s="86">
        <f>IFERROR(_xlfn.XLOOKUP($A3,'Raw Data'!$G:$G,'Raw Data'!AI:AI),"")</f>
        <v>29050.1</v>
      </c>
      <c r="Y3" s="86">
        <f>IFERROR(_xlfn.XLOOKUP($A3,'Raw Data'!$G:$G,'Raw Data'!AJ:AJ),"")</f>
        <v>28899.999999999862</v>
      </c>
      <c r="Z3" s="86">
        <f>IFERROR(_xlfn.XLOOKUP($A3,'Raw Data'!$G:$G,'Raw Data'!AK:AK),"")</f>
        <v>200.00000000000108</v>
      </c>
      <c r="AA3" s="86" t="str">
        <f>IFERROR(_xlfn.XLOOKUP($A3,'Raw Data'!$G:$G,'Raw Data'!$AL:$AL)*(1+(_xlfn.XLOOKUP(Table13[[#This Row],[Month Year]],JMR!$A:$A,JMR!$J:$J))),"")</f>
        <v/>
      </c>
      <c r="AB3" s="86">
        <f>IFERROR(_xlfn.XLOOKUP($A3,'Raw Data'!$G:$G,'Raw Data'!$H:$H),"")</f>
        <v>7.0991999999999997</v>
      </c>
      <c r="AC3" s="87">
        <f>IFERROR(_xlfn.XLOOKUP($D3,'Modelling New'!$D:$D,'Modelling New'!$P:$P),"")</f>
        <v>6.7870967741935484</v>
      </c>
      <c r="AD3" s="86">
        <f>IFERROR(_xlfn.XLOOKUP($D3,'Modelling New'!$D:$D,'Modelling New'!$T:$T)*1000,"")</f>
        <v>34381.032212835249</v>
      </c>
      <c r="AE3" s="94">
        <f>IFERROR(_xlfn.XLOOKUP($D3,'Modelling New'!$D:$D,'Modelling New'!$O:$O),"")</f>
        <v>0.7135517214853353</v>
      </c>
      <c r="AF3" s="94">
        <f>IFERROR(_xlfn.XLOOKUP($D3,'Modelling New'!$D:$D,'Modelling New'!$W:$W),"")</f>
        <v>0.20178935779639051</v>
      </c>
      <c r="AG3" s="94">
        <f>IFERROR(_xlfn.XLOOKUP($D3,'Modelling New'!$D:$D,'Modelling New'!$AE:$AE),"")</f>
        <v>0.98040000000000005</v>
      </c>
      <c r="AH3" s="94">
        <f>IFERROR(_xlfn.XLOOKUP($D3,'Modelling New'!$D:$D,'Modelling New'!$AF:$AF),"")</f>
        <v>0.98</v>
      </c>
      <c r="AN3" s="85"/>
      <c r="AO3" s="84"/>
      <c r="AP3" s="84"/>
      <c r="AQ3" s="84"/>
      <c r="AR3" s="86">
        <f>'Basic Data'!$J$2</f>
        <v>7.0991999999999997</v>
      </c>
      <c r="AT3" s="7" t="str">
        <f>IFERROR(_xlfn.XLOOKUP(Table13[[#This Row],[Date]],'Raw Data'!$E:$E,'Raw Data'!$AN:$AN),"")</f>
        <v/>
      </c>
      <c r="AU3" s="7">
        <f>IFERROR(_xlfn.XLOOKUP(Table13[[#This Row],[Month Year]],'Modelling New'!$D:$D,'Modelling New'!$AO:$AO),"")</f>
        <v>7</v>
      </c>
      <c r="AV3" s="7">
        <f>IFERROR(SUMIF('Curtailment Records'!$C:$C,Table13[[#This Row],[Date]],'Curtailment Records'!$R:$R)/1000,"")</f>
        <v>0</v>
      </c>
    </row>
    <row r="4" spans="1:48" x14ac:dyDescent="0.25">
      <c r="A4" s="93">
        <f t="shared" si="3"/>
        <v>45747</v>
      </c>
      <c r="B4" s="86">
        <f>YEAR(Table13[[#This Row],[Date]])+IF(MONTH(Table13[[#This Row],[Date]])&gt;=4,1,0)</f>
        <v>2025</v>
      </c>
      <c r="C4" s="7">
        <f>YEAR(Table13[[#This Row],[Date]])</f>
        <v>2025</v>
      </c>
      <c r="D4" s="92">
        <f>Table13[[#This Row],[Date]]-DAY(Table13[[#This Row],[Date]])+1</f>
        <v>45717</v>
      </c>
      <c r="E4" s="7">
        <f t="shared" si="0"/>
        <v>31</v>
      </c>
      <c r="F4" s="91">
        <f>IFERROR(_xlfn.XLOOKUP($A4,'Raw Data'!$G:$G,'Raw Data'!$AM:$AM),"")</f>
        <v>12.533333333333335</v>
      </c>
      <c r="G4" s="90">
        <f>IFERROR(_xlfn.XLOOKUP($A4,'Raw Data'!$G:$G,'Raw Data'!$AB:$AB),"")</f>
        <v>0</v>
      </c>
      <c r="H4" s="90"/>
      <c r="I4" s="90">
        <f>IFERROR(_xlfn.XLOOKUP($A4,'Raw Data'!$G:$G,'Raw Data'!$AC:$AC),"")</f>
        <v>5.28</v>
      </c>
      <c r="J4" s="90"/>
      <c r="K4" s="90">
        <f>IFERROR(_xlfn.XLOOKUP($A4,'Raw Data'!$G:$G,'Raw Data'!AD:AD),"")</f>
        <v>0</v>
      </c>
      <c r="L4" s="90">
        <f>IFERROR(_xlfn.XLOOKUP($A4,'Raw Data'!$G:$G,'Raw Data'!AE:AE),"")</f>
        <v>48.34</v>
      </c>
      <c r="M4" s="90">
        <f>IFERROR(_xlfn.XLOOKUP($A4,'Raw Data'!$G:$G,'Raw Data'!AF:AF),"")</f>
        <v>0</v>
      </c>
      <c r="N4" s="90">
        <f>IFERROR(_xlfn.XLOOKUP($A4,'Raw Data'!$G:$G,'Raw Data'!AG:AG),"")</f>
        <v>0</v>
      </c>
      <c r="O4" s="85" t="str">
        <f>IFERROR(1-SUMIF('Plant BD'!$B:$B,$A4,'Plant BD'!$AM:$AM)/($AA4+SUMIF('Plant BD'!$B:$B,$A4,'Plant BD'!$AM:$AM)),"")</f>
        <v/>
      </c>
      <c r="P4" s="85"/>
      <c r="Q4" s="89"/>
      <c r="R4" s="85" t="str">
        <f>IFERROR(1-SUMIF('Grid BD'!$B:$B,$A4,'Grid BD'!$AE:$AE)/($AA4+SUMIF('Grid BD'!$B:$B,$A4,'Grid BD'!$AE:$AE)),"")</f>
        <v/>
      </c>
      <c r="T4" s="89"/>
      <c r="U4" s="88" t="str">
        <f t="shared" si="1"/>
        <v/>
      </c>
      <c r="V4" s="88"/>
      <c r="W4" s="84" t="str">
        <f t="shared" si="2"/>
        <v/>
      </c>
      <c r="X4" s="86">
        <f>IFERROR(_xlfn.XLOOKUP($A4,'Raw Data'!$G:$G,'Raw Data'!AI:AI),"")</f>
        <v>27471.700000000004</v>
      </c>
      <c r="Y4" s="86">
        <f>IFERROR(_xlfn.XLOOKUP($A4,'Raw Data'!$G:$G,'Raw Data'!AJ:AJ),"")</f>
        <v>27300.000000000182</v>
      </c>
      <c r="Z4" s="86">
        <f>IFERROR(_xlfn.XLOOKUP($A4,'Raw Data'!$G:$G,'Raw Data'!AK:AK),"")</f>
        <v>199.99999999999929</v>
      </c>
      <c r="AA4" s="86" t="str">
        <f>IFERROR(_xlfn.XLOOKUP($A4,'Raw Data'!$G:$G,'Raw Data'!$AL:$AL)*(1+(_xlfn.XLOOKUP(Table13[[#This Row],[Month Year]],JMR!$A:$A,JMR!$J:$J))),"")</f>
        <v/>
      </c>
      <c r="AB4" s="86">
        <f>IFERROR(_xlfn.XLOOKUP($A4,'Raw Data'!$G:$G,'Raw Data'!$H:$H),"")</f>
        <v>7.0991999999999997</v>
      </c>
      <c r="AC4" s="87">
        <f>IFERROR(_xlfn.XLOOKUP($D4,'Modelling New'!$D:$D,'Modelling New'!$P:$P),"")</f>
        <v>6.7870967741935484</v>
      </c>
      <c r="AD4" s="86">
        <f>IFERROR(_xlfn.XLOOKUP($D4,'Modelling New'!$D:$D,'Modelling New'!$T:$T)*1000,"")</f>
        <v>34381.032212835249</v>
      </c>
      <c r="AE4" s="94">
        <f>IFERROR(_xlfn.XLOOKUP($D4,'Modelling New'!$D:$D,'Modelling New'!$O:$O),"")</f>
        <v>0.7135517214853353</v>
      </c>
      <c r="AF4" s="94">
        <f>IFERROR(_xlfn.XLOOKUP($D4,'Modelling New'!$D:$D,'Modelling New'!$W:$W),"")</f>
        <v>0.20178935779639051</v>
      </c>
      <c r="AG4" s="94">
        <f>IFERROR(_xlfn.XLOOKUP($D4,'Modelling New'!$D:$D,'Modelling New'!$AE:$AE),"")</f>
        <v>0.98040000000000005</v>
      </c>
      <c r="AH4" s="94">
        <f>IFERROR(_xlfn.XLOOKUP($D4,'Modelling New'!$D:$D,'Modelling New'!$AF:$AF),"")</f>
        <v>0.98</v>
      </c>
      <c r="AN4" s="85"/>
      <c r="AO4" s="84"/>
      <c r="AP4" s="84"/>
      <c r="AQ4" s="84"/>
      <c r="AR4" s="86">
        <f>'Basic Data'!$J$2</f>
        <v>7.0991999999999997</v>
      </c>
      <c r="AT4" s="7" t="str">
        <f>IFERROR(_xlfn.XLOOKUP(Table13[[#This Row],[Date]],'Raw Data'!$E:$E,'Raw Data'!$AN:$AN),"")</f>
        <v/>
      </c>
      <c r="AU4" s="7">
        <f>IFERROR(_xlfn.XLOOKUP(Table13[[#This Row],[Month Year]],'Modelling New'!$D:$D,'Modelling New'!$AO:$AO),"")</f>
        <v>7</v>
      </c>
      <c r="AV4" s="7">
        <f>IFERROR(SUMIF('Curtailment Records'!$C:$C,Table13[[#This Row],[Date]],'Curtailment Records'!$R:$R)/1000,"")</f>
        <v>0</v>
      </c>
    </row>
    <row r="5" spans="1:48" x14ac:dyDescent="0.25">
      <c r="A5" s="93">
        <f t="shared" si="3"/>
        <v>45748</v>
      </c>
      <c r="B5" s="86">
        <f>YEAR(Table13[[#This Row],[Date]])+IF(MONTH(Table13[[#This Row],[Date]])&gt;=4,1,0)</f>
        <v>2026</v>
      </c>
      <c r="C5" s="7">
        <f>YEAR(Table13[[#This Row],[Date]])</f>
        <v>2025</v>
      </c>
      <c r="D5" s="92">
        <f>Table13[[#This Row],[Date]]-DAY(Table13[[#This Row],[Date]])+1</f>
        <v>45748</v>
      </c>
      <c r="E5" s="7">
        <f t="shared" si="0"/>
        <v>30</v>
      </c>
      <c r="F5" s="91">
        <f>IFERROR(_xlfn.XLOOKUP($A5,'Raw Data'!$G:$G,'Raw Data'!$AM:$AM),"")</f>
        <v>12.55</v>
      </c>
      <c r="G5" s="90">
        <f>IFERROR(_xlfn.XLOOKUP($A5,'Raw Data'!$G:$G,'Raw Data'!$AB:$AB),"")</f>
        <v>0</v>
      </c>
      <c r="H5" s="90"/>
      <c r="I5" s="90">
        <f>IFERROR(_xlfn.XLOOKUP($A5,'Raw Data'!$G:$G,'Raw Data'!$AC:$AC),"")</f>
        <v>5.23</v>
      </c>
      <c r="J5" s="90"/>
      <c r="K5" s="90">
        <f>IFERROR(_xlfn.XLOOKUP($A5,'Raw Data'!$G:$G,'Raw Data'!AD:AD),"")</f>
        <v>0</v>
      </c>
      <c r="L5" s="90">
        <f>IFERROR(_xlfn.XLOOKUP($A5,'Raw Data'!$G:$G,'Raw Data'!AE:AE),"")</f>
        <v>48.81</v>
      </c>
      <c r="M5" s="90">
        <f>IFERROR(_xlfn.XLOOKUP($A5,'Raw Data'!$G:$G,'Raw Data'!AF:AF),"")</f>
        <v>0</v>
      </c>
      <c r="N5" s="90">
        <f>IFERROR(_xlfn.XLOOKUP($A5,'Raw Data'!$G:$G,'Raw Data'!AG:AG),"")</f>
        <v>0</v>
      </c>
      <c r="O5" s="85">
        <f>IFERROR(1-SUMIF('Plant BD'!$B:$B,$A5,'Plant BD'!$AM:$AM)/($AA5+SUMIF('Plant BD'!$B:$B,$A5,'Plant BD'!$AM:$AM)),"")</f>
        <v>0.92513651081525361</v>
      </c>
      <c r="P5" s="85"/>
      <c r="Q5" s="89"/>
      <c r="R5" s="85">
        <f>IFERROR(1-SUMIF('Grid BD'!$B:$B,$A5,'Grid BD'!$AE:$AE)/($AA5+SUMIF('Grid BD'!$B:$B,$A5,'Grid BD'!$AE:$AE)),"")</f>
        <v>1</v>
      </c>
      <c r="T5" s="89"/>
      <c r="U5" s="88">
        <f t="shared" si="1"/>
        <v>0.78914447473897364</v>
      </c>
      <c r="V5" s="88"/>
      <c r="W5" s="84">
        <f t="shared" si="2"/>
        <v>0.17196773345353469</v>
      </c>
      <c r="X5" s="86">
        <f>IFERROR(_xlfn.XLOOKUP($A5,'Raw Data'!$G:$G,'Raw Data'!AI:AI),"")</f>
        <v>29664.200000000004</v>
      </c>
      <c r="Y5" s="86">
        <f>IFERROR(_xlfn.XLOOKUP($A5,'Raw Data'!$G:$G,'Raw Data'!AJ:AJ),"")</f>
        <v>29500</v>
      </c>
      <c r="Z5" s="86">
        <f>IFERROR(_xlfn.XLOOKUP($A5,'Raw Data'!$G:$G,'Raw Data'!AK:AK),"")</f>
        <v>199.99999999999929</v>
      </c>
      <c r="AA5" s="86">
        <f>IFERROR(_xlfn.XLOOKUP($A5,'Raw Data'!$G:$G,'Raw Data'!$AL:$AL)*(1+(_xlfn.XLOOKUP(Table13[[#This Row],[Month Year]],JMR!$A:$A,JMR!$J:$J))),"")</f>
        <v>29300</v>
      </c>
      <c r="AB5" s="86">
        <f>IFERROR(_xlfn.XLOOKUP($A5,'Raw Data'!$G:$G,'Raw Data'!$H:$H),"")</f>
        <v>7.0991999999999997</v>
      </c>
      <c r="AC5" s="87">
        <f>IFERROR(_xlfn.XLOOKUP($D5,'Modelling New'!$D:$D,'Modelling New'!$P:$P),"")</f>
        <v>6.3733333333333331</v>
      </c>
      <c r="AD5" s="86">
        <f>IFERROR(_xlfn.XLOOKUP($D5,'Modelling New'!$D:$D,'Modelling New'!$T:$T)*1000,"")</f>
        <v>30633.087735595891</v>
      </c>
      <c r="AE5" s="94">
        <f>IFERROR(_xlfn.XLOOKUP($D5,'Modelling New'!$D:$D,'Modelling New'!$O:$O),"")</f>
        <v>0.67704062717470792</v>
      </c>
      <c r="AF5" s="94">
        <f>IFERROR(_xlfn.XLOOKUP($D5,'Modelling New'!$D:$D,'Modelling New'!$W:$W),"")</f>
        <v>0.1797918998830613</v>
      </c>
      <c r="AG5" s="94">
        <f>IFERROR(_xlfn.XLOOKUP($D5,'Modelling New'!$D:$D,'Modelling New'!$AE:$AE),"")</f>
        <v>0.98040000000000005</v>
      </c>
      <c r="AH5" s="94">
        <f>IFERROR(_xlfn.XLOOKUP($D5,'Modelling New'!$D:$D,'Modelling New'!$AF:$AF),"")</f>
        <v>0.98</v>
      </c>
      <c r="AN5" s="85"/>
      <c r="AO5" s="84"/>
      <c r="AP5" s="84"/>
      <c r="AQ5" s="84"/>
      <c r="AR5" s="86">
        <f>'Basic Data'!$J$2</f>
        <v>7.0991999999999997</v>
      </c>
      <c r="AT5" s="7" t="str">
        <f>IFERROR(_xlfn.XLOOKUP(Table13[[#This Row],[Date]],'Raw Data'!$E:$E,'Raw Data'!$AN:$AN),"")</f>
        <v/>
      </c>
      <c r="AU5" s="7">
        <f>IFERROR(_xlfn.XLOOKUP(Table13[[#This Row],[Month Year]],'Modelling New'!$D:$D,'Modelling New'!$AO:$AO),"")</f>
        <v>7</v>
      </c>
      <c r="AV5" s="7">
        <f>IFERROR(SUMIF('Curtailment Records'!$C:$C,Table13[[#This Row],[Date]],'Curtailment Records'!$R:$R)/1000,"")</f>
        <v>0</v>
      </c>
    </row>
    <row r="6" spans="1:48" x14ac:dyDescent="0.25">
      <c r="A6" s="93">
        <f t="shared" si="3"/>
        <v>45749</v>
      </c>
      <c r="B6" s="86">
        <f>YEAR(Table13[[#This Row],[Date]])+IF(MONTH(Table13[[#This Row],[Date]])&gt;=4,1,0)</f>
        <v>2026</v>
      </c>
      <c r="C6" s="7">
        <f>YEAR(Table13[[#This Row],[Date]])</f>
        <v>2025</v>
      </c>
      <c r="D6" s="92">
        <f>Table13[[#This Row],[Date]]-DAY(Table13[[#This Row],[Date]])+1</f>
        <v>45748</v>
      </c>
      <c r="E6" s="7">
        <f t="shared" si="0"/>
        <v>30</v>
      </c>
      <c r="F6" s="91">
        <f>IFERROR(_xlfn.XLOOKUP($A6,'Raw Data'!$G:$G,'Raw Data'!$AM:$AM),"")</f>
        <v>12.8</v>
      </c>
      <c r="G6" s="90">
        <f>IFERROR(_xlfn.XLOOKUP($A6,'Raw Data'!$G:$G,'Raw Data'!$AB:$AB),"")</f>
        <v>0</v>
      </c>
      <c r="H6" s="90"/>
      <c r="I6" s="90">
        <f>IFERROR(_xlfn.XLOOKUP($A6,'Raw Data'!$G:$G,'Raw Data'!$AC:$AC),"")</f>
        <v>5.53</v>
      </c>
      <c r="J6" s="90"/>
      <c r="K6" s="90">
        <f>IFERROR(_xlfn.XLOOKUP($A6,'Raw Data'!$G:$G,'Raw Data'!AD:AD),"")</f>
        <v>0</v>
      </c>
      <c r="L6" s="90">
        <f>IFERROR(_xlfn.XLOOKUP($A6,'Raw Data'!$G:$G,'Raw Data'!AE:AE),"")</f>
        <v>48.13</v>
      </c>
      <c r="M6" s="90">
        <f>IFERROR(_xlfn.XLOOKUP($A6,'Raw Data'!$G:$G,'Raw Data'!AF:AF),"")</f>
        <v>0</v>
      </c>
      <c r="N6" s="90">
        <f>IFERROR(_xlfn.XLOOKUP($A6,'Raw Data'!$G:$G,'Raw Data'!AG:AG),"")</f>
        <v>0</v>
      </c>
      <c r="O6" s="85">
        <f>IFERROR(1-SUMIF('Plant BD'!$B:$B,$A6,'Plant BD'!$AM:$AM)/($AA6+SUMIF('Plant BD'!$B:$B,$A6,'Plant BD'!$AM:$AM)),"")</f>
        <v>0.92191717770173831</v>
      </c>
      <c r="P6" s="85"/>
      <c r="Q6" s="89"/>
      <c r="R6" s="85">
        <f>IFERROR(1-SUMIF('Grid BD'!$B:$B,$A6,'Grid BD'!$AE:$AE)/($AA6+SUMIF('Grid BD'!$B:$B,$A6,'Grid BD'!$AE:$AE)),"")</f>
        <v>1</v>
      </c>
      <c r="T6" s="89"/>
      <c r="U6" s="88">
        <f t="shared" si="1"/>
        <v>0.75397538616785176</v>
      </c>
      <c r="V6" s="88"/>
      <c r="W6" s="84">
        <f t="shared" si="2"/>
        <v>0.17372849522950917</v>
      </c>
      <c r="X6" s="86">
        <f>IFERROR(_xlfn.XLOOKUP($A6,'Raw Data'!$G:$G,'Raw Data'!AI:AI),"")</f>
        <v>30031.5</v>
      </c>
      <c r="Y6" s="86">
        <f>IFERROR(_xlfn.XLOOKUP($A6,'Raw Data'!$G:$G,'Raw Data'!AJ:AJ),"")</f>
        <v>29799.999999999956</v>
      </c>
      <c r="Z6" s="86">
        <f>IFERROR(_xlfn.XLOOKUP($A6,'Raw Data'!$G:$G,'Raw Data'!AK:AK),"")</f>
        <v>200.00000000000108</v>
      </c>
      <c r="AA6" s="86">
        <f>IFERROR(_xlfn.XLOOKUP($A6,'Raw Data'!$G:$G,'Raw Data'!$AL:$AL)*(1+(_xlfn.XLOOKUP(Table13[[#This Row],[Month Year]],JMR!$A:$A,JMR!$J:$J))),"")</f>
        <v>29599.999999999956</v>
      </c>
      <c r="AB6" s="86">
        <f>IFERROR(_xlfn.XLOOKUP($A6,'Raw Data'!$G:$G,'Raw Data'!$H:$H),"")</f>
        <v>7.0991999999999997</v>
      </c>
      <c r="AC6" s="87">
        <f>IFERROR(_xlfn.XLOOKUP($D6,'Modelling New'!$D:$D,'Modelling New'!$P:$P),"")</f>
        <v>6.3733333333333331</v>
      </c>
      <c r="AD6" s="86">
        <f>IFERROR(_xlfn.XLOOKUP($D6,'Modelling New'!$D:$D,'Modelling New'!$T:$T)*1000,"")</f>
        <v>30633.087735595891</v>
      </c>
      <c r="AE6" s="94">
        <f>IFERROR(_xlfn.XLOOKUP($D6,'Modelling New'!$D:$D,'Modelling New'!$O:$O),"")</f>
        <v>0.67704062717470792</v>
      </c>
      <c r="AF6" s="94">
        <f>IFERROR(_xlfn.XLOOKUP($D6,'Modelling New'!$D:$D,'Modelling New'!$W:$W),"")</f>
        <v>0.1797918998830613</v>
      </c>
      <c r="AG6" s="94">
        <f>IFERROR(_xlfn.XLOOKUP($D6,'Modelling New'!$D:$D,'Modelling New'!$AE:$AE),"")</f>
        <v>0.98040000000000005</v>
      </c>
      <c r="AH6" s="94">
        <f>IFERROR(_xlfn.XLOOKUP($D6,'Modelling New'!$D:$D,'Modelling New'!$AF:$AF),"")</f>
        <v>0.98</v>
      </c>
      <c r="AN6" s="85"/>
      <c r="AO6" s="84"/>
      <c r="AP6" s="84"/>
      <c r="AQ6" s="84"/>
      <c r="AR6" s="86">
        <f>'Basic Data'!$J$2</f>
        <v>7.0991999999999997</v>
      </c>
      <c r="AT6" s="7" t="str">
        <f>IFERROR(_xlfn.XLOOKUP(Table13[[#This Row],[Date]],'Raw Data'!$E:$E,'Raw Data'!$AN:$AN),"")</f>
        <v/>
      </c>
      <c r="AU6" s="7">
        <f>IFERROR(_xlfn.XLOOKUP(Table13[[#This Row],[Month Year]],'Modelling New'!$D:$D,'Modelling New'!$AO:$AO),"")</f>
        <v>7</v>
      </c>
      <c r="AV6" s="7">
        <f>IFERROR(SUMIF('Curtailment Records'!$C:$C,Table13[[#This Row],[Date]],'Curtailment Records'!$R:$R)/1000,"")</f>
        <v>0</v>
      </c>
    </row>
    <row r="7" spans="1:48" x14ac:dyDescent="0.25">
      <c r="A7" s="93">
        <f t="shared" si="3"/>
        <v>45750</v>
      </c>
      <c r="B7" s="86">
        <f>YEAR(Table13[[#This Row],[Date]])+IF(MONTH(Table13[[#This Row],[Date]])&gt;=4,1,0)</f>
        <v>2026</v>
      </c>
      <c r="C7" s="7">
        <f>YEAR(Table13[[#This Row],[Date]])</f>
        <v>2025</v>
      </c>
      <c r="D7" s="92">
        <f>Table13[[#This Row],[Date]]-DAY(Table13[[#This Row],[Date]])+1</f>
        <v>45748</v>
      </c>
      <c r="E7" s="7">
        <f t="shared" si="0"/>
        <v>30</v>
      </c>
      <c r="F7" s="91">
        <f>IFERROR(_xlfn.XLOOKUP($A7,'Raw Data'!$G:$G,'Raw Data'!$AM:$AM),"")</f>
        <v>12.583333333333334</v>
      </c>
      <c r="G7" s="90">
        <f>IFERROR(_xlfn.XLOOKUP($A7,'Raw Data'!$G:$G,'Raw Data'!$AB:$AB),"")</f>
        <v>0</v>
      </c>
      <c r="H7" s="90"/>
      <c r="I7" s="90">
        <f>IFERROR(_xlfn.XLOOKUP($A7,'Raw Data'!$G:$G,'Raw Data'!$AC:$AC),"")</f>
        <v>3.27</v>
      </c>
      <c r="J7" s="90"/>
      <c r="K7" s="90">
        <f>IFERROR(_xlfn.XLOOKUP($A7,'Raw Data'!$G:$G,'Raw Data'!AD:AD),"")</f>
        <v>0</v>
      </c>
      <c r="L7" s="90">
        <f>IFERROR(_xlfn.XLOOKUP($A7,'Raw Data'!$G:$G,'Raw Data'!AE:AE),"")</f>
        <v>38.299999999999997</v>
      </c>
      <c r="M7" s="90">
        <f>IFERROR(_xlfn.XLOOKUP($A7,'Raw Data'!$G:$G,'Raw Data'!AF:AF),"")</f>
        <v>0</v>
      </c>
      <c r="N7" s="90">
        <f>IFERROR(_xlfn.XLOOKUP($A7,'Raw Data'!$G:$G,'Raw Data'!AG:AG),"")</f>
        <v>0</v>
      </c>
      <c r="O7" s="85">
        <f>IFERROR(1-SUMIF('Plant BD'!$B:$B,$A7,'Plant BD'!$AM:$AM)/($AA7+SUMIF('Plant BD'!$B:$B,$A7,'Plant BD'!$AM:$AM)),"")</f>
        <v>0.91979183911370876</v>
      </c>
      <c r="P7" s="85"/>
      <c r="Q7" s="89"/>
      <c r="R7" s="85">
        <f>IFERROR(1-SUMIF('Grid BD'!$B:$B,$A7,'Grid BD'!$AE:$AE)/($AA7+SUMIF('Grid BD'!$B:$B,$A7,'Grid BD'!$AE:$AE)),"")</f>
        <v>0.98059284036585315</v>
      </c>
      <c r="T7" s="89"/>
      <c r="U7" s="88">
        <f t="shared" si="1"/>
        <v>0.73230459184271457</v>
      </c>
      <c r="V7" s="88"/>
      <c r="W7" s="84">
        <f t="shared" si="2"/>
        <v>9.9776500638569868E-2</v>
      </c>
      <c r="X7" s="86">
        <f>IFERROR(_xlfn.XLOOKUP($A7,'Raw Data'!$G:$G,'Raw Data'!AI:AI),"")</f>
        <v>17386.2</v>
      </c>
      <c r="Y7" s="86">
        <f>IFERROR(_xlfn.XLOOKUP($A7,'Raw Data'!$G:$G,'Raw Data'!AJ:AJ),"")</f>
        <v>17200.000000000044</v>
      </c>
      <c r="Z7" s="86">
        <f>IFERROR(_xlfn.XLOOKUP($A7,'Raw Data'!$G:$G,'Raw Data'!AK:AK),"")</f>
        <v>199.99999999999929</v>
      </c>
      <c r="AA7" s="86">
        <f>IFERROR(_xlfn.XLOOKUP($A7,'Raw Data'!$G:$G,'Raw Data'!$AL:$AL)*(1+(_xlfn.XLOOKUP(Table13[[#This Row],[Month Year]],JMR!$A:$A,JMR!$J:$J))),"")</f>
        <v>17000.000000000044</v>
      </c>
      <c r="AB7" s="86">
        <f>IFERROR(_xlfn.XLOOKUP($A7,'Raw Data'!$G:$G,'Raw Data'!$H:$H),"")</f>
        <v>7.0991999999999997</v>
      </c>
      <c r="AC7" s="87">
        <f>IFERROR(_xlfn.XLOOKUP($D7,'Modelling New'!$D:$D,'Modelling New'!$P:$P),"")</f>
        <v>6.3733333333333331</v>
      </c>
      <c r="AD7" s="86">
        <f>IFERROR(_xlfn.XLOOKUP($D7,'Modelling New'!$D:$D,'Modelling New'!$T:$T)*1000,"")</f>
        <v>30633.087735595891</v>
      </c>
      <c r="AE7" s="94">
        <f>IFERROR(_xlfn.XLOOKUP($D7,'Modelling New'!$D:$D,'Modelling New'!$O:$O),"")</f>
        <v>0.67704062717470792</v>
      </c>
      <c r="AF7" s="94">
        <f>IFERROR(_xlfn.XLOOKUP($D7,'Modelling New'!$D:$D,'Modelling New'!$W:$W),"")</f>
        <v>0.1797918998830613</v>
      </c>
      <c r="AG7" s="94">
        <f>IFERROR(_xlfn.XLOOKUP($D7,'Modelling New'!$D:$D,'Modelling New'!$AE:$AE),"")</f>
        <v>0.98040000000000005</v>
      </c>
      <c r="AH7" s="94">
        <f>IFERROR(_xlfn.XLOOKUP($D7,'Modelling New'!$D:$D,'Modelling New'!$AF:$AF),"")</f>
        <v>0.98</v>
      </c>
      <c r="AN7" s="85"/>
      <c r="AO7" s="84"/>
      <c r="AP7" s="84"/>
      <c r="AQ7" s="84"/>
      <c r="AR7" s="86">
        <f>'Basic Data'!$J$2</f>
        <v>7.0991999999999997</v>
      </c>
      <c r="AT7" s="7" t="str">
        <f>IFERROR(_xlfn.XLOOKUP(Table13[[#This Row],[Date]],'Raw Data'!$E:$E,'Raw Data'!$AN:$AN),"")</f>
        <v/>
      </c>
      <c r="AU7" s="7">
        <f>IFERROR(_xlfn.XLOOKUP(Table13[[#This Row],[Month Year]],'Modelling New'!$D:$D,'Modelling New'!$AO:$AO),"")</f>
        <v>7</v>
      </c>
      <c r="AV7" s="7">
        <f>IFERROR(SUMIF('Curtailment Records'!$C:$C,Table13[[#This Row],[Date]],'Curtailment Records'!$R:$R)/1000,"")</f>
        <v>0</v>
      </c>
    </row>
    <row r="8" spans="1:48" x14ac:dyDescent="0.25">
      <c r="A8" s="93">
        <f t="shared" si="3"/>
        <v>45751</v>
      </c>
      <c r="B8" s="86">
        <f>YEAR(Table13[[#This Row],[Date]])+IF(MONTH(Table13[[#This Row],[Date]])&gt;=4,1,0)</f>
        <v>2026</v>
      </c>
      <c r="C8" s="7">
        <f>YEAR(Table13[[#This Row],[Date]])</f>
        <v>2025</v>
      </c>
      <c r="D8" s="92">
        <f>Table13[[#This Row],[Date]]-DAY(Table13[[#This Row],[Date]])+1</f>
        <v>45748</v>
      </c>
      <c r="E8" s="7">
        <f t="shared" si="0"/>
        <v>30</v>
      </c>
      <c r="F8" s="91">
        <f>IFERROR(_xlfn.XLOOKUP($A8,'Raw Data'!$G:$G,'Raw Data'!$AM:$AM),"")</f>
        <v>12.583333333333334</v>
      </c>
      <c r="G8" s="90">
        <f>IFERROR(_xlfn.XLOOKUP($A8,'Raw Data'!$G:$G,'Raw Data'!$AB:$AB),"")</f>
        <v>0</v>
      </c>
      <c r="H8" s="90"/>
      <c r="I8" s="90">
        <f>IFERROR(_xlfn.XLOOKUP($A8,'Raw Data'!$G:$G,'Raw Data'!$AC:$AC),"")</f>
        <v>6.44</v>
      </c>
      <c r="J8" s="90"/>
      <c r="K8" s="90">
        <f>IFERROR(_xlfn.XLOOKUP($A8,'Raw Data'!$G:$G,'Raw Data'!AD:AD),"")</f>
        <v>0</v>
      </c>
      <c r="L8" s="90">
        <f>IFERROR(_xlfn.XLOOKUP($A8,'Raw Data'!$G:$G,'Raw Data'!AE:AE),"")</f>
        <v>48.64</v>
      </c>
      <c r="M8" s="90">
        <f>IFERROR(_xlfn.XLOOKUP($A8,'Raw Data'!$G:$G,'Raw Data'!AF:AF),"")</f>
        <v>0</v>
      </c>
      <c r="N8" s="90">
        <f>IFERROR(_xlfn.XLOOKUP($A8,'Raw Data'!$G:$G,'Raw Data'!AG:AG),"")</f>
        <v>0</v>
      </c>
      <c r="O8" s="85">
        <f>IFERROR(1-SUMIF('Plant BD'!$B:$B,$A8,'Plant BD'!$AM:$AM)/($AA8+SUMIF('Plant BD'!$B:$B,$A8,'Plant BD'!$AM:$AM)),"")</f>
        <v>0.74989514379275257</v>
      </c>
      <c r="P8" s="85"/>
      <c r="Q8" s="89"/>
      <c r="R8" s="85">
        <f>IFERROR(1-SUMIF('Grid BD'!$B:$B,$A8,'Grid BD'!$AE:$AE)/($AA8+SUMIF('Grid BD'!$B:$B,$A8,'Grid BD'!$AE:$AE)),"")</f>
        <v>1</v>
      </c>
      <c r="T8" s="89"/>
      <c r="U8" s="88">
        <f t="shared" si="1"/>
        <v>0.71305383722704074</v>
      </c>
      <c r="V8" s="88"/>
      <c r="W8" s="84">
        <f t="shared" si="2"/>
        <v>0.19133611298925596</v>
      </c>
      <c r="X8" s="86">
        <f>IFERROR(_xlfn.XLOOKUP($A8,'Raw Data'!$G:$G,'Raw Data'!AI:AI),"")</f>
        <v>32956.699999999997</v>
      </c>
      <c r="Y8" s="86">
        <f>IFERROR(_xlfn.XLOOKUP($A8,'Raw Data'!$G:$G,'Raw Data'!AJ:AJ),"")</f>
        <v>32699.999999999818</v>
      </c>
      <c r="Z8" s="86">
        <f>IFERROR(_xlfn.XLOOKUP($A8,'Raw Data'!$G:$G,'Raw Data'!AK:AK),"")</f>
        <v>99.999999999999645</v>
      </c>
      <c r="AA8" s="86">
        <f>IFERROR(_xlfn.XLOOKUP($A8,'Raw Data'!$G:$G,'Raw Data'!$AL:$AL)*(1+(_xlfn.XLOOKUP(Table13[[#This Row],[Month Year]],JMR!$A:$A,JMR!$J:$J))),"")</f>
        <v>32599.999999999818</v>
      </c>
      <c r="AB8" s="86">
        <f>IFERROR(_xlfn.XLOOKUP($A8,'Raw Data'!$G:$G,'Raw Data'!$H:$H),"")</f>
        <v>7.0991999999999997</v>
      </c>
      <c r="AC8" s="87">
        <f>IFERROR(_xlfn.XLOOKUP($D8,'Modelling New'!$D:$D,'Modelling New'!$P:$P),"")</f>
        <v>6.3733333333333331</v>
      </c>
      <c r="AD8" s="86">
        <f>IFERROR(_xlfn.XLOOKUP($D8,'Modelling New'!$D:$D,'Modelling New'!$T:$T)*1000,"")</f>
        <v>30633.087735595891</v>
      </c>
      <c r="AE8" s="94">
        <f>IFERROR(_xlfn.XLOOKUP($D8,'Modelling New'!$D:$D,'Modelling New'!$O:$O),"")</f>
        <v>0.67704062717470792</v>
      </c>
      <c r="AF8" s="94">
        <f>IFERROR(_xlfn.XLOOKUP($D8,'Modelling New'!$D:$D,'Modelling New'!$W:$W),"")</f>
        <v>0.1797918998830613</v>
      </c>
      <c r="AG8" s="94">
        <f>IFERROR(_xlfn.XLOOKUP($D8,'Modelling New'!$D:$D,'Modelling New'!$AE:$AE),"")</f>
        <v>0.98040000000000005</v>
      </c>
      <c r="AH8" s="94">
        <f>IFERROR(_xlfn.XLOOKUP($D8,'Modelling New'!$D:$D,'Modelling New'!$AF:$AF),"")</f>
        <v>0.98</v>
      </c>
      <c r="AN8" s="85"/>
      <c r="AO8" s="84"/>
      <c r="AP8" s="84"/>
      <c r="AQ8" s="84"/>
      <c r="AR8" s="86">
        <f>'Basic Data'!$J$2</f>
        <v>7.0991999999999997</v>
      </c>
      <c r="AT8" s="7" t="str">
        <f>IFERROR(_xlfn.XLOOKUP(Table13[[#This Row],[Date]],'Raw Data'!$E:$E,'Raw Data'!$AN:$AN),"")</f>
        <v/>
      </c>
      <c r="AU8" s="7">
        <f>IFERROR(_xlfn.XLOOKUP(Table13[[#This Row],[Month Year]],'Modelling New'!$D:$D,'Modelling New'!$AO:$AO),"")</f>
        <v>7</v>
      </c>
      <c r="AV8" s="7">
        <f>IFERROR(SUMIF('Curtailment Records'!$C:$C,Table13[[#This Row],[Date]],'Curtailment Records'!$R:$R)/1000,"")</f>
        <v>0</v>
      </c>
    </row>
    <row r="9" spans="1:48" x14ac:dyDescent="0.25">
      <c r="A9" s="93">
        <f t="shared" si="3"/>
        <v>45752</v>
      </c>
      <c r="B9" s="86">
        <f>YEAR(Table13[[#This Row],[Date]])+IF(MONTH(Table13[[#This Row],[Date]])&gt;=4,1,0)</f>
        <v>2026</v>
      </c>
      <c r="C9" s="7">
        <f>YEAR(Table13[[#This Row],[Date]])</f>
        <v>2025</v>
      </c>
      <c r="D9" s="92">
        <f>Table13[[#This Row],[Date]]-DAY(Table13[[#This Row],[Date]])+1</f>
        <v>45748</v>
      </c>
      <c r="E9" s="7">
        <f t="shared" si="0"/>
        <v>30</v>
      </c>
      <c r="F9" s="91">
        <f>IFERROR(_xlfn.XLOOKUP($A9,'Raw Data'!$G:$G,'Raw Data'!$AM:$AM),"")</f>
        <v>12.583333333333334</v>
      </c>
      <c r="G9" s="90">
        <f>IFERROR(_xlfn.XLOOKUP($A9,'Raw Data'!$G:$G,'Raw Data'!$AB:$AB),"")</f>
        <v>0</v>
      </c>
      <c r="H9" s="90"/>
      <c r="I9" s="90">
        <f>IFERROR(_xlfn.XLOOKUP($A9,'Raw Data'!$G:$G,'Raw Data'!$AC:$AC),"")</f>
        <v>6.18</v>
      </c>
      <c r="J9" s="90"/>
      <c r="K9" s="90">
        <f>IFERROR(_xlfn.XLOOKUP($A9,'Raw Data'!$G:$G,'Raw Data'!AD:AD),"")</f>
        <v>0</v>
      </c>
      <c r="L9" s="90">
        <f>IFERROR(_xlfn.XLOOKUP($A9,'Raw Data'!$G:$G,'Raw Data'!AE:AE),"")</f>
        <v>49.73</v>
      </c>
      <c r="M9" s="90">
        <f>IFERROR(_xlfn.XLOOKUP($A9,'Raw Data'!$G:$G,'Raw Data'!AF:AF),"")</f>
        <v>0</v>
      </c>
      <c r="N9" s="90">
        <f>IFERROR(_xlfn.XLOOKUP($A9,'Raw Data'!$G:$G,'Raw Data'!AG:AG),"")</f>
        <v>0</v>
      </c>
      <c r="O9" s="85">
        <f>IFERROR(1-SUMIF('Plant BD'!$B:$B,$A9,'Plant BD'!$AM:$AM)/($AA9+SUMIF('Plant BD'!$B:$B,$A9,'Plant BD'!$AM:$AM)),"")</f>
        <v>0.92122791684642447</v>
      </c>
      <c r="P9" s="85"/>
      <c r="Q9" s="89"/>
      <c r="R9" s="85">
        <f>IFERROR(1-SUMIF('Grid BD'!$B:$B,$A9,'Grid BD'!$AE:$AE)/($AA9+SUMIF('Grid BD'!$B:$B,$A9,'Grid BD'!$AE:$AE)),"")</f>
        <v>0.99710421246426295</v>
      </c>
      <c r="T9" s="89"/>
      <c r="U9" s="88">
        <f t="shared" si="1"/>
        <v>0.75444938232705028</v>
      </c>
      <c r="V9" s="88"/>
      <c r="W9" s="84">
        <f t="shared" si="2"/>
        <v>0.19427071594921547</v>
      </c>
      <c r="X9" s="86">
        <f>IFERROR(_xlfn.XLOOKUP($A9,'Raw Data'!$G:$G,'Raw Data'!AI:AI),"")</f>
        <v>33613.599999999999</v>
      </c>
      <c r="Y9" s="86">
        <f>IFERROR(_xlfn.XLOOKUP($A9,'Raw Data'!$G:$G,'Raw Data'!AJ:AJ),"")</f>
        <v>33400.000000000087</v>
      </c>
      <c r="Z9" s="86">
        <f>IFERROR(_xlfn.XLOOKUP($A9,'Raw Data'!$G:$G,'Raw Data'!AK:AK),"")</f>
        <v>300.00000000000068</v>
      </c>
      <c r="AA9" s="86">
        <f>IFERROR(_xlfn.XLOOKUP($A9,'Raw Data'!$G:$G,'Raw Data'!$AL:$AL)*(1+(_xlfn.XLOOKUP(Table13[[#This Row],[Month Year]],JMR!$A:$A,JMR!$J:$J))),"")</f>
        <v>33100.000000000087</v>
      </c>
      <c r="AB9" s="86">
        <f>IFERROR(_xlfn.XLOOKUP($A9,'Raw Data'!$G:$G,'Raw Data'!$H:$H),"")</f>
        <v>7.0991999999999997</v>
      </c>
      <c r="AC9" s="87">
        <f>IFERROR(_xlfn.XLOOKUP($D9,'Modelling New'!$D:$D,'Modelling New'!$P:$P),"")</f>
        <v>6.3733333333333331</v>
      </c>
      <c r="AD9" s="86">
        <f>IFERROR(_xlfn.XLOOKUP($D9,'Modelling New'!$D:$D,'Modelling New'!$T:$T)*1000,"")</f>
        <v>30633.087735595891</v>
      </c>
      <c r="AE9" s="94">
        <f>IFERROR(_xlfn.XLOOKUP($D9,'Modelling New'!$D:$D,'Modelling New'!$O:$O),"")</f>
        <v>0.67704062717470792</v>
      </c>
      <c r="AF9" s="94">
        <f>IFERROR(_xlfn.XLOOKUP($D9,'Modelling New'!$D:$D,'Modelling New'!$W:$W),"")</f>
        <v>0.1797918998830613</v>
      </c>
      <c r="AG9" s="94">
        <f>IFERROR(_xlfn.XLOOKUP($D9,'Modelling New'!$D:$D,'Modelling New'!$AE:$AE),"")</f>
        <v>0.98040000000000005</v>
      </c>
      <c r="AH9" s="94">
        <f>IFERROR(_xlfn.XLOOKUP($D9,'Modelling New'!$D:$D,'Modelling New'!$AF:$AF),"")</f>
        <v>0.98</v>
      </c>
      <c r="AN9" s="85"/>
      <c r="AO9" s="84"/>
      <c r="AP9" s="84"/>
      <c r="AQ9" s="84"/>
      <c r="AR9" s="86">
        <f>'Basic Data'!$J$2</f>
        <v>7.0991999999999997</v>
      </c>
      <c r="AT9" s="7" t="str">
        <f>IFERROR(_xlfn.XLOOKUP(Table13[[#This Row],[Date]],'Raw Data'!$E:$E,'Raw Data'!$AN:$AN),"")</f>
        <v/>
      </c>
      <c r="AU9" s="7">
        <f>IFERROR(_xlfn.XLOOKUP(Table13[[#This Row],[Month Year]],'Modelling New'!$D:$D,'Modelling New'!$AO:$AO),"")</f>
        <v>7</v>
      </c>
      <c r="AV9" s="7">
        <f>IFERROR(SUMIF('Curtailment Records'!$C:$C,Table13[[#This Row],[Date]],'Curtailment Records'!$R:$R)/1000,"")</f>
        <v>0</v>
      </c>
    </row>
    <row r="10" spans="1:48" x14ac:dyDescent="0.25">
      <c r="A10" s="93">
        <f t="shared" si="3"/>
        <v>45753</v>
      </c>
      <c r="B10" s="86">
        <f>YEAR(Table13[[#This Row],[Date]])+IF(MONTH(Table13[[#This Row],[Date]])&gt;=4,1,0)</f>
        <v>2026</v>
      </c>
      <c r="C10" s="7">
        <f>YEAR(Table13[[#This Row],[Date]])</f>
        <v>2025</v>
      </c>
      <c r="D10" s="92">
        <f>Table13[[#This Row],[Date]]-DAY(Table13[[#This Row],[Date]])+1</f>
        <v>45748</v>
      </c>
      <c r="E10" s="7">
        <f t="shared" si="0"/>
        <v>30</v>
      </c>
      <c r="F10" s="91">
        <f>IFERROR(_xlfn.XLOOKUP($A10,'Raw Data'!$G:$G,'Raw Data'!$AM:$AM),"")</f>
        <v>12.566666666666666</v>
      </c>
      <c r="G10" s="90">
        <f>IFERROR(_xlfn.XLOOKUP($A10,'Raw Data'!$G:$G,'Raw Data'!$AB:$AB),"")</f>
        <v>0</v>
      </c>
      <c r="H10" s="90"/>
      <c r="I10" s="90">
        <f>IFERROR(_xlfn.XLOOKUP($A10,'Raw Data'!$G:$G,'Raw Data'!$AC:$AC),"")</f>
        <v>6.75</v>
      </c>
      <c r="J10" s="90"/>
      <c r="K10" s="90">
        <f>IFERROR(_xlfn.XLOOKUP($A10,'Raw Data'!$G:$G,'Raw Data'!AD:AD),"")</f>
        <v>0</v>
      </c>
      <c r="L10" s="90">
        <f>IFERROR(_xlfn.XLOOKUP($A10,'Raw Data'!$G:$G,'Raw Data'!AE:AE),"")</f>
        <v>51.48</v>
      </c>
      <c r="M10" s="90">
        <f>IFERROR(_xlfn.XLOOKUP($A10,'Raw Data'!$G:$G,'Raw Data'!AF:AF),"")</f>
        <v>0</v>
      </c>
      <c r="N10" s="90">
        <f>IFERROR(_xlfn.XLOOKUP($A10,'Raw Data'!$G:$G,'Raw Data'!AG:AG),"")</f>
        <v>0</v>
      </c>
      <c r="O10" s="85">
        <f>IFERROR(1-SUMIF('Plant BD'!$B:$B,$A10,'Plant BD'!$AM:$AM)/($AA10+SUMIF('Plant BD'!$B:$B,$A10,'Plant BD'!$AM:$AM)),"")</f>
        <v>0.89666610696522664</v>
      </c>
      <c r="P10" s="85"/>
      <c r="Q10" s="89"/>
      <c r="R10" s="85">
        <f>IFERROR(1-SUMIF('Grid BD'!$B:$B,$A10,'Grid BD'!$AE:$AE)/($AA10+SUMIF('Grid BD'!$B:$B,$A10,'Grid BD'!$AE:$AE)),"")</f>
        <v>1</v>
      </c>
      <c r="T10" s="89"/>
      <c r="U10" s="88">
        <f t="shared" si="1"/>
        <v>0.72412958371939851</v>
      </c>
      <c r="V10" s="88"/>
      <c r="W10" s="84">
        <f t="shared" si="2"/>
        <v>0.20366144542108083</v>
      </c>
      <c r="X10" s="86">
        <f>IFERROR(_xlfn.XLOOKUP($A10,'Raw Data'!$G:$G,'Raw Data'!AI:AI),"")</f>
        <v>35299.399999999994</v>
      </c>
      <c r="Y10" s="86">
        <f>IFERROR(_xlfn.XLOOKUP($A10,'Raw Data'!$G:$G,'Raw Data'!AJ:AJ),"")</f>
        <v>34900.000000000087</v>
      </c>
      <c r="Z10" s="86">
        <f>IFERROR(_xlfn.XLOOKUP($A10,'Raw Data'!$G:$G,'Raw Data'!AK:AK),"")</f>
        <v>199.99999999999929</v>
      </c>
      <c r="AA10" s="86">
        <f>IFERROR(_xlfn.XLOOKUP($A10,'Raw Data'!$G:$G,'Raw Data'!$AL:$AL)*(1+(_xlfn.XLOOKUP(Table13[[#This Row],[Month Year]],JMR!$A:$A,JMR!$J:$J))),"")</f>
        <v>34700.000000000087</v>
      </c>
      <c r="AB10" s="86">
        <f>IFERROR(_xlfn.XLOOKUP($A10,'Raw Data'!$G:$G,'Raw Data'!$H:$H),"")</f>
        <v>7.0991999999999997</v>
      </c>
      <c r="AC10" s="87">
        <f>IFERROR(_xlfn.XLOOKUP($D10,'Modelling New'!$D:$D,'Modelling New'!$P:$P),"")</f>
        <v>6.3733333333333331</v>
      </c>
      <c r="AD10" s="86">
        <f>IFERROR(_xlfn.XLOOKUP($D10,'Modelling New'!$D:$D,'Modelling New'!$T:$T)*1000,"")</f>
        <v>30633.087735595891</v>
      </c>
      <c r="AE10" s="94">
        <f>IFERROR(_xlfn.XLOOKUP($D10,'Modelling New'!$D:$D,'Modelling New'!$O:$O),"")</f>
        <v>0.67704062717470792</v>
      </c>
      <c r="AF10" s="94">
        <f>IFERROR(_xlfn.XLOOKUP($D10,'Modelling New'!$D:$D,'Modelling New'!$W:$W),"")</f>
        <v>0.1797918998830613</v>
      </c>
      <c r="AG10" s="94">
        <f>IFERROR(_xlfn.XLOOKUP($D10,'Modelling New'!$D:$D,'Modelling New'!$AE:$AE),"")</f>
        <v>0.98040000000000005</v>
      </c>
      <c r="AH10" s="94">
        <f>IFERROR(_xlfn.XLOOKUP($D10,'Modelling New'!$D:$D,'Modelling New'!$AF:$AF),"")</f>
        <v>0.98</v>
      </c>
      <c r="AN10" s="85"/>
      <c r="AO10" s="84"/>
      <c r="AP10" s="84"/>
      <c r="AQ10" s="84"/>
      <c r="AR10" s="86">
        <f>'Basic Data'!$J$2</f>
        <v>7.0991999999999997</v>
      </c>
      <c r="AT10" s="7" t="str">
        <f>IFERROR(_xlfn.XLOOKUP(Table13[[#This Row],[Date]],'Raw Data'!$E:$E,'Raw Data'!$AN:$AN),"")</f>
        <v/>
      </c>
      <c r="AU10" s="7">
        <f>IFERROR(_xlfn.XLOOKUP(Table13[[#This Row],[Month Year]],'Modelling New'!$D:$D,'Modelling New'!$AO:$AO),"")</f>
        <v>7</v>
      </c>
      <c r="AV10" s="7">
        <f>IFERROR(SUMIF('Curtailment Records'!$C:$C,Table13[[#This Row],[Date]],'Curtailment Records'!$R:$R)/1000,"")</f>
        <v>0</v>
      </c>
    </row>
    <row r="11" spans="1:48" x14ac:dyDescent="0.25">
      <c r="A11" s="93">
        <f t="shared" si="3"/>
        <v>45754</v>
      </c>
      <c r="B11" s="86">
        <f>YEAR(Table13[[#This Row],[Date]])+IF(MONTH(Table13[[#This Row],[Date]])&gt;=4,1,0)</f>
        <v>2026</v>
      </c>
      <c r="C11" s="7">
        <f>YEAR(Table13[[#This Row],[Date]])</f>
        <v>2025</v>
      </c>
      <c r="D11" s="92">
        <f>Table13[[#This Row],[Date]]-DAY(Table13[[#This Row],[Date]])+1</f>
        <v>45748</v>
      </c>
      <c r="E11" s="7">
        <f t="shared" si="0"/>
        <v>30</v>
      </c>
      <c r="F11" s="91">
        <f>IFERROR(_xlfn.XLOOKUP($A11,'Raw Data'!$G:$G,'Raw Data'!$AM:$AM),"")</f>
        <v>12.616666666666667</v>
      </c>
      <c r="G11" s="90">
        <f>IFERROR(_xlfn.XLOOKUP($A11,'Raw Data'!$G:$G,'Raw Data'!$AB:$AB),"")</f>
        <v>0</v>
      </c>
      <c r="H11" s="90"/>
      <c r="I11" s="90">
        <f>IFERROR(_xlfn.XLOOKUP($A11,'Raw Data'!$G:$G,'Raw Data'!$AC:$AC),"")</f>
        <v>6.57</v>
      </c>
      <c r="J11" s="90"/>
      <c r="K11" s="90">
        <f>IFERROR(_xlfn.XLOOKUP($A11,'Raw Data'!$G:$G,'Raw Data'!AD:AD),"")</f>
        <v>0</v>
      </c>
      <c r="L11" s="90">
        <f>IFERROR(_xlfn.XLOOKUP($A11,'Raw Data'!$G:$G,'Raw Data'!AE:AE),"")</f>
        <v>51.99</v>
      </c>
      <c r="M11" s="90">
        <f>IFERROR(_xlfn.XLOOKUP($A11,'Raw Data'!$G:$G,'Raw Data'!AF:AF),"")</f>
        <v>0</v>
      </c>
      <c r="N11" s="90">
        <f>IFERROR(_xlfn.XLOOKUP($A11,'Raw Data'!$G:$G,'Raw Data'!AG:AG),"")</f>
        <v>0</v>
      </c>
      <c r="O11" s="85">
        <f>IFERROR(1-SUMIF('Plant BD'!$B:$B,$A11,'Plant BD'!$AM:$AM)/($AA11+SUMIF('Plant BD'!$B:$B,$A11,'Plant BD'!$AM:$AM)),"")</f>
        <v>0.92279412199533439</v>
      </c>
      <c r="P11" s="85"/>
      <c r="Q11" s="89"/>
      <c r="R11" s="85">
        <f>IFERROR(1-SUMIF('Grid BD'!$B:$B,$A11,'Grid BD'!$AE:$AE)/($AA11+SUMIF('Grid BD'!$B:$B,$A11,'Grid BD'!$AE:$AE)),"")</f>
        <v>1</v>
      </c>
      <c r="T11" s="89"/>
      <c r="U11" s="88">
        <f t="shared" si="1"/>
        <v>0.76326476985937153</v>
      </c>
      <c r="V11" s="88"/>
      <c r="W11" s="84">
        <f t="shared" si="2"/>
        <v>0.20894373074900296</v>
      </c>
      <c r="X11" s="86">
        <f>IFERROR(_xlfn.XLOOKUP($A11,'Raw Data'!$G:$G,'Raw Data'!AI:AI),"")</f>
        <v>35163.599999999999</v>
      </c>
      <c r="Y11" s="86">
        <f>IFERROR(_xlfn.XLOOKUP($A11,'Raw Data'!$G:$G,'Raw Data'!AJ:AJ),"")</f>
        <v>35799.999999999724</v>
      </c>
      <c r="Z11" s="86">
        <f>IFERROR(_xlfn.XLOOKUP($A11,'Raw Data'!$G:$G,'Raw Data'!AK:AK),"")</f>
        <v>199.99999999999929</v>
      </c>
      <c r="AA11" s="86">
        <f>IFERROR(_xlfn.XLOOKUP($A11,'Raw Data'!$G:$G,'Raw Data'!$AL:$AL)*(1+(_xlfn.XLOOKUP(Table13[[#This Row],[Month Year]],JMR!$A:$A,JMR!$J:$J))),"")</f>
        <v>35599.999999999724</v>
      </c>
      <c r="AB11" s="86">
        <f>IFERROR(_xlfn.XLOOKUP($A11,'Raw Data'!$G:$G,'Raw Data'!$H:$H),"")</f>
        <v>7.0991999999999997</v>
      </c>
      <c r="AC11" s="87">
        <f>IFERROR(_xlfn.XLOOKUP($D11,'Modelling New'!$D:$D,'Modelling New'!$P:$P),"")</f>
        <v>6.3733333333333331</v>
      </c>
      <c r="AD11" s="86">
        <f>IFERROR(_xlfn.XLOOKUP($D11,'Modelling New'!$D:$D,'Modelling New'!$T:$T)*1000,"")</f>
        <v>30633.087735595891</v>
      </c>
      <c r="AE11" s="94">
        <f>IFERROR(_xlfn.XLOOKUP($D11,'Modelling New'!$D:$D,'Modelling New'!$O:$O),"")</f>
        <v>0.67704062717470792</v>
      </c>
      <c r="AF11" s="94">
        <f>IFERROR(_xlfn.XLOOKUP($D11,'Modelling New'!$D:$D,'Modelling New'!$W:$W),"")</f>
        <v>0.1797918998830613</v>
      </c>
      <c r="AG11" s="94">
        <f>IFERROR(_xlfn.XLOOKUP($D11,'Modelling New'!$D:$D,'Modelling New'!$AE:$AE),"")</f>
        <v>0.98040000000000005</v>
      </c>
      <c r="AH11" s="94">
        <f>IFERROR(_xlfn.XLOOKUP($D11,'Modelling New'!$D:$D,'Modelling New'!$AF:$AF),"")</f>
        <v>0.98</v>
      </c>
      <c r="AN11" s="85"/>
      <c r="AO11" s="84"/>
      <c r="AP11" s="84"/>
      <c r="AQ11" s="84"/>
      <c r="AR11" s="86">
        <f>'Basic Data'!$J$2</f>
        <v>7.0991999999999997</v>
      </c>
      <c r="AT11" s="7" t="str">
        <f>IFERROR(_xlfn.XLOOKUP(Table13[[#This Row],[Date]],'Raw Data'!$E:$E,'Raw Data'!$AN:$AN),"")</f>
        <v/>
      </c>
      <c r="AU11" s="7">
        <f>IFERROR(_xlfn.XLOOKUP(Table13[[#This Row],[Month Year]],'Modelling New'!$D:$D,'Modelling New'!$AO:$AO),"")</f>
        <v>7</v>
      </c>
      <c r="AV11" s="7">
        <f>IFERROR(SUMIF('Curtailment Records'!$C:$C,Table13[[#This Row],[Date]],'Curtailment Records'!$R:$R)/1000,"")</f>
        <v>0</v>
      </c>
    </row>
    <row r="12" spans="1:48" x14ac:dyDescent="0.25">
      <c r="A12" s="93">
        <f t="shared" si="3"/>
        <v>45755</v>
      </c>
      <c r="B12" s="86">
        <f>YEAR(Table13[[#This Row],[Date]])+IF(MONTH(Table13[[#This Row],[Date]])&gt;=4,1,0)</f>
        <v>2026</v>
      </c>
      <c r="C12" s="7">
        <f>YEAR(Table13[[#This Row],[Date]])</f>
        <v>2025</v>
      </c>
      <c r="D12" s="92">
        <f>Table13[[#This Row],[Date]]-DAY(Table13[[#This Row],[Date]])+1</f>
        <v>45748</v>
      </c>
      <c r="E12" s="7">
        <f t="shared" si="0"/>
        <v>30</v>
      </c>
      <c r="F12" s="91">
        <f>IFERROR(_xlfn.XLOOKUP($A12,'Raw Data'!$G:$G,'Raw Data'!$AM:$AM),"")</f>
        <v>13.133333333333335</v>
      </c>
      <c r="G12" s="90">
        <f>IFERROR(_xlfn.XLOOKUP($A12,'Raw Data'!$G:$G,'Raw Data'!$AB:$AB),"")</f>
        <v>0</v>
      </c>
      <c r="H12" s="90"/>
      <c r="I12" s="90">
        <f>IFERROR(_xlfn.XLOOKUP($A12,'Raw Data'!$G:$G,'Raw Data'!$AC:$AC),"")</f>
        <v>6.2</v>
      </c>
      <c r="J12" s="90"/>
      <c r="K12" s="90">
        <f>IFERROR(_xlfn.XLOOKUP($A12,'Raw Data'!$G:$G,'Raw Data'!AD:AD),"")</f>
        <v>0</v>
      </c>
      <c r="L12" s="90">
        <f>IFERROR(_xlfn.XLOOKUP($A12,'Raw Data'!$G:$G,'Raw Data'!AE:AE),"")</f>
        <v>49.88</v>
      </c>
      <c r="M12" s="90">
        <f>IFERROR(_xlfn.XLOOKUP($A12,'Raw Data'!$G:$G,'Raw Data'!AF:AF),"")</f>
        <v>0</v>
      </c>
      <c r="N12" s="90">
        <f>IFERROR(_xlfn.XLOOKUP($A12,'Raw Data'!$G:$G,'Raw Data'!AG:AG),"")</f>
        <v>0</v>
      </c>
      <c r="O12" s="85">
        <f>IFERROR(1-SUMIF('Plant BD'!$B:$B,$A12,'Plant BD'!$AM:$AM)/($AA12+SUMIF('Plant BD'!$B:$B,$A12,'Plant BD'!$AM:$AM)),"")</f>
        <v>0.9197175756356446</v>
      </c>
      <c r="P12" s="85"/>
      <c r="Q12" s="89"/>
      <c r="R12" s="85">
        <f>IFERROR(1-SUMIF('Grid BD'!$B:$B,$A12,'Grid BD'!$AE:$AE)/($AA12+SUMIF('Grid BD'!$B:$B,$A12,'Grid BD'!$AE:$AE)),"")</f>
        <v>1</v>
      </c>
      <c r="T12" s="89"/>
      <c r="U12" s="88">
        <f t="shared" si="1"/>
        <v>0.73156811853403259</v>
      </c>
      <c r="V12" s="88"/>
      <c r="W12" s="84">
        <f t="shared" si="2"/>
        <v>0.18898843062129175</v>
      </c>
      <c r="X12" s="86">
        <f>IFERROR(_xlfn.XLOOKUP($A12,'Raw Data'!$G:$G,'Raw Data'!AI:AI),"")</f>
        <v>33454</v>
      </c>
      <c r="Y12" s="86">
        <f>IFERROR(_xlfn.XLOOKUP($A12,'Raw Data'!$G:$G,'Raw Data'!AJ:AJ),"")</f>
        <v>32300.000000000182</v>
      </c>
      <c r="Z12" s="86">
        <f>IFERROR(_xlfn.XLOOKUP($A12,'Raw Data'!$G:$G,'Raw Data'!AK:AK),"")</f>
        <v>100.00000000000142</v>
      </c>
      <c r="AA12" s="86">
        <f>IFERROR(_xlfn.XLOOKUP($A12,'Raw Data'!$G:$G,'Raw Data'!$AL:$AL)*(1+(_xlfn.XLOOKUP(Table13[[#This Row],[Month Year]],JMR!$A:$A,JMR!$J:$J))),"")</f>
        <v>32200.000000000182</v>
      </c>
      <c r="AB12" s="86">
        <f>IFERROR(_xlfn.XLOOKUP($A12,'Raw Data'!$G:$G,'Raw Data'!$H:$H),"")</f>
        <v>7.0991999999999997</v>
      </c>
      <c r="AC12" s="87">
        <f>IFERROR(_xlfn.XLOOKUP($D12,'Modelling New'!$D:$D,'Modelling New'!$P:$P),"")</f>
        <v>6.3733333333333331</v>
      </c>
      <c r="AD12" s="86">
        <f>IFERROR(_xlfn.XLOOKUP($D12,'Modelling New'!$D:$D,'Modelling New'!$T:$T)*1000,"")</f>
        <v>30633.087735595891</v>
      </c>
      <c r="AE12" s="94">
        <f>IFERROR(_xlfn.XLOOKUP($D12,'Modelling New'!$D:$D,'Modelling New'!$O:$O),"")</f>
        <v>0.67704062717470792</v>
      </c>
      <c r="AF12" s="94">
        <f>IFERROR(_xlfn.XLOOKUP($D12,'Modelling New'!$D:$D,'Modelling New'!$W:$W),"")</f>
        <v>0.1797918998830613</v>
      </c>
      <c r="AG12" s="94">
        <f>IFERROR(_xlfn.XLOOKUP($D12,'Modelling New'!$D:$D,'Modelling New'!$AE:$AE),"")</f>
        <v>0.98040000000000005</v>
      </c>
      <c r="AH12" s="94">
        <f>IFERROR(_xlfn.XLOOKUP($D12,'Modelling New'!$D:$D,'Modelling New'!$AF:$AF),"")</f>
        <v>0.98</v>
      </c>
      <c r="AN12" s="85"/>
      <c r="AO12" s="84"/>
      <c r="AP12" s="84"/>
      <c r="AQ12" s="84"/>
      <c r="AR12" s="86">
        <f>'Basic Data'!$J$2</f>
        <v>7.0991999999999997</v>
      </c>
      <c r="AT12" s="7" t="str">
        <f>IFERROR(_xlfn.XLOOKUP(Table13[[#This Row],[Date]],'Raw Data'!$E:$E,'Raw Data'!$AN:$AN),"")</f>
        <v/>
      </c>
      <c r="AU12" s="7">
        <f>IFERROR(_xlfn.XLOOKUP(Table13[[#This Row],[Month Year]],'Modelling New'!$D:$D,'Modelling New'!$AO:$AO),"")</f>
        <v>7</v>
      </c>
      <c r="AV12" s="7">
        <f>IFERROR(SUMIF('Curtailment Records'!$C:$C,Table13[[#This Row],[Date]],'Curtailment Records'!$R:$R)/1000,"")</f>
        <v>0</v>
      </c>
    </row>
    <row r="13" spans="1:48" x14ac:dyDescent="0.25">
      <c r="A13" s="93">
        <f t="shared" si="3"/>
        <v>45756</v>
      </c>
      <c r="B13" s="86">
        <f>YEAR(Table13[[#This Row],[Date]])+IF(MONTH(Table13[[#This Row],[Date]])&gt;=4,1,0)</f>
        <v>2026</v>
      </c>
      <c r="C13" s="7">
        <f>YEAR(Table13[[#This Row],[Date]])</f>
        <v>2025</v>
      </c>
      <c r="D13" s="92">
        <f>Table13[[#This Row],[Date]]-DAY(Table13[[#This Row],[Date]])+1</f>
        <v>45748</v>
      </c>
      <c r="E13" s="7">
        <f t="shared" si="0"/>
        <v>30</v>
      </c>
      <c r="F13" s="91">
        <f>IFERROR(_xlfn.XLOOKUP($A13,'Raw Data'!$G:$G,'Raw Data'!$AM:$AM),"")</f>
        <v>12.716666666666667</v>
      </c>
      <c r="G13" s="90">
        <f>IFERROR(_xlfn.XLOOKUP($A13,'Raw Data'!$G:$G,'Raw Data'!$AB:$AB),"")</f>
        <v>0</v>
      </c>
      <c r="H13" s="90"/>
      <c r="I13" s="90">
        <f>IFERROR(_xlfn.XLOOKUP($A13,'Raw Data'!$G:$G,'Raw Data'!$AC:$AC),"")</f>
        <v>6.46</v>
      </c>
      <c r="J13" s="90"/>
      <c r="K13" s="90">
        <f>IFERROR(_xlfn.XLOOKUP($A13,'Raw Data'!$G:$G,'Raw Data'!AD:AD),"")</f>
        <v>0</v>
      </c>
      <c r="L13" s="90">
        <f>IFERROR(_xlfn.XLOOKUP($A13,'Raw Data'!$G:$G,'Raw Data'!AE:AE),"")</f>
        <v>51.17</v>
      </c>
      <c r="M13" s="90">
        <f>IFERROR(_xlfn.XLOOKUP($A13,'Raw Data'!$G:$G,'Raw Data'!AF:AF),"")</f>
        <v>0</v>
      </c>
      <c r="N13" s="90">
        <f>IFERROR(_xlfn.XLOOKUP($A13,'Raw Data'!$G:$G,'Raw Data'!AG:AG),"")</f>
        <v>0</v>
      </c>
      <c r="O13" s="85">
        <f>IFERROR(1-SUMIF('Plant BD'!$B:$B,$A13,'Plant BD'!$AM:$AM)/($AA13+SUMIF('Plant BD'!$B:$B,$A13,'Plant BD'!$AM:$AM)),"")</f>
        <v>0.9211223593688902</v>
      </c>
      <c r="P13" s="85"/>
      <c r="Q13" s="89"/>
      <c r="R13" s="85">
        <f>IFERROR(1-SUMIF('Grid BD'!$B:$B,$A13,'Grid BD'!$AE:$AE)/($AA13+SUMIF('Grid BD'!$B:$B,$A13,'Grid BD'!$AE:$AE)),"")</f>
        <v>1</v>
      </c>
      <c r="T13" s="89"/>
      <c r="U13" s="88">
        <f t="shared" si="1"/>
        <v>0.74573439923636797</v>
      </c>
      <c r="V13" s="88"/>
      <c r="W13" s="84">
        <f t="shared" si="2"/>
        <v>0.20072684246112241</v>
      </c>
      <c r="X13" s="86">
        <f>IFERROR(_xlfn.XLOOKUP($A13,'Raw Data'!$G:$G,'Raw Data'!AI:AI),"")</f>
        <v>34694.800000000003</v>
      </c>
      <c r="Y13" s="86">
        <f>IFERROR(_xlfn.XLOOKUP($A13,'Raw Data'!$G:$G,'Raw Data'!AJ:AJ),"")</f>
        <v>34500</v>
      </c>
      <c r="Z13" s="86">
        <f>IFERROR(_xlfn.XLOOKUP($A13,'Raw Data'!$G:$G,'Raw Data'!AK:AK),"")</f>
        <v>300.00000000000068</v>
      </c>
      <c r="AA13" s="86">
        <f>IFERROR(_xlfn.XLOOKUP($A13,'Raw Data'!$G:$G,'Raw Data'!$AL:$AL)*(1+(_xlfn.XLOOKUP(Table13[[#This Row],[Month Year]],JMR!$A:$A,JMR!$J:$J))),"")</f>
        <v>34200</v>
      </c>
      <c r="AB13" s="86">
        <f>IFERROR(_xlfn.XLOOKUP($A13,'Raw Data'!$G:$G,'Raw Data'!$H:$H),"")</f>
        <v>7.0991999999999997</v>
      </c>
      <c r="AC13" s="87">
        <f>IFERROR(_xlfn.XLOOKUP($D13,'Modelling New'!$D:$D,'Modelling New'!$P:$P),"")</f>
        <v>6.3733333333333331</v>
      </c>
      <c r="AD13" s="86">
        <f>IFERROR(_xlfn.XLOOKUP($D13,'Modelling New'!$D:$D,'Modelling New'!$T:$T)*1000,"")</f>
        <v>30633.087735595891</v>
      </c>
      <c r="AE13" s="94">
        <f>IFERROR(_xlfn.XLOOKUP($D13,'Modelling New'!$D:$D,'Modelling New'!$O:$O),"")</f>
        <v>0.67704062717470792</v>
      </c>
      <c r="AF13" s="94">
        <f>IFERROR(_xlfn.XLOOKUP($D13,'Modelling New'!$D:$D,'Modelling New'!$W:$W),"")</f>
        <v>0.1797918998830613</v>
      </c>
      <c r="AG13" s="94">
        <f>IFERROR(_xlfn.XLOOKUP($D13,'Modelling New'!$D:$D,'Modelling New'!$AE:$AE),"")</f>
        <v>0.98040000000000005</v>
      </c>
      <c r="AH13" s="94">
        <f>IFERROR(_xlfn.XLOOKUP($D13,'Modelling New'!$D:$D,'Modelling New'!$AF:$AF),"")</f>
        <v>0.98</v>
      </c>
      <c r="AN13" s="85"/>
      <c r="AO13" s="84"/>
      <c r="AP13" s="84"/>
      <c r="AQ13" s="84"/>
      <c r="AR13" s="86">
        <f>'Basic Data'!$J$2</f>
        <v>7.0991999999999997</v>
      </c>
      <c r="AT13" s="7" t="str">
        <f>IFERROR(_xlfn.XLOOKUP(Table13[[#This Row],[Date]],'Raw Data'!$E:$E,'Raw Data'!$AN:$AN),"")</f>
        <v/>
      </c>
      <c r="AU13" s="7">
        <f>IFERROR(_xlfn.XLOOKUP(Table13[[#This Row],[Month Year]],'Modelling New'!$D:$D,'Modelling New'!$AO:$AO),"")</f>
        <v>7</v>
      </c>
      <c r="AV13" s="7">
        <f>IFERROR(SUMIF('Curtailment Records'!$C:$C,Table13[[#This Row],[Date]],'Curtailment Records'!$R:$R)/1000,"")</f>
        <v>0</v>
      </c>
    </row>
    <row r="14" spans="1:48" x14ac:dyDescent="0.25">
      <c r="A14" s="93">
        <f t="shared" si="3"/>
        <v>45757</v>
      </c>
      <c r="B14" s="86">
        <f>YEAR(Table13[[#This Row],[Date]])+IF(MONTH(Table13[[#This Row],[Date]])&gt;=4,1,0)</f>
        <v>2026</v>
      </c>
      <c r="C14" s="7">
        <f>YEAR(Table13[[#This Row],[Date]])</f>
        <v>2025</v>
      </c>
      <c r="D14" s="92">
        <f>Table13[[#This Row],[Date]]-DAY(Table13[[#This Row],[Date]])+1</f>
        <v>45748</v>
      </c>
      <c r="E14" s="7">
        <f t="shared" si="0"/>
        <v>30</v>
      </c>
      <c r="F14" s="91">
        <f>IFERROR(_xlfn.XLOOKUP($A14,'Raw Data'!$G:$G,'Raw Data'!$AM:$AM),"")</f>
        <v>13.083333333333332</v>
      </c>
      <c r="G14" s="90">
        <f>IFERROR(_xlfn.XLOOKUP($A14,'Raw Data'!$G:$G,'Raw Data'!$AB:$AB),"")</f>
        <v>0</v>
      </c>
      <c r="H14" s="90"/>
      <c r="I14" s="90">
        <f>IFERROR(_xlfn.XLOOKUP($A14,'Raw Data'!$G:$G,'Raw Data'!$AC:$AC),"")</f>
        <v>4.8499999999999996</v>
      </c>
      <c r="J14" s="90"/>
      <c r="K14" s="90">
        <f>IFERROR(_xlfn.XLOOKUP($A14,'Raw Data'!$G:$G,'Raw Data'!AD:AD),"")</f>
        <v>0</v>
      </c>
      <c r="L14" s="90">
        <f>IFERROR(_xlfn.XLOOKUP($A14,'Raw Data'!$G:$G,'Raw Data'!AE:AE),"")</f>
        <v>43.6</v>
      </c>
      <c r="M14" s="90">
        <f>IFERROR(_xlfn.XLOOKUP($A14,'Raw Data'!$G:$G,'Raw Data'!AF:AF),"")</f>
        <v>0</v>
      </c>
      <c r="N14" s="90">
        <f>IFERROR(_xlfn.XLOOKUP($A14,'Raw Data'!$G:$G,'Raw Data'!AG:AG),"")</f>
        <v>0</v>
      </c>
      <c r="O14" s="85">
        <f>IFERROR(1-SUMIF('Plant BD'!$B:$B,$A14,'Plant BD'!$AM:$AM)/($AA14+SUMIF('Plant BD'!$B:$B,$A14,'Plant BD'!$AM:$AM)),"")</f>
        <v>0.89625358940828836</v>
      </c>
      <c r="P14" s="85"/>
      <c r="Q14" s="89"/>
      <c r="R14" s="85">
        <f>IFERROR(1-SUMIF('Grid BD'!$B:$B,$A14,'Grid BD'!$AE:$AE)/($AA14+SUMIF('Grid BD'!$B:$B,$A14,'Grid BD'!$AE:$AE)),"")</f>
        <v>0.9988614290103891</v>
      </c>
      <c r="T14" s="89"/>
      <c r="U14" s="88">
        <f t="shared" si="1"/>
        <v>0.73480037826245848</v>
      </c>
      <c r="V14" s="88"/>
      <c r="W14" s="84">
        <f t="shared" si="2"/>
        <v>0.1484909097738718</v>
      </c>
      <c r="X14" s="86">
        <f>IFERROR(_xlfn.XLOOKUP($A14,'Raw Data'!$G:$G,'Raw Data'!AI:AI),"")</f>
        <v>25566</v>
      </c>
      <c r="Y14" s="86">
        <f>IFERROR(_xlfn.XLOOKUP($A14,'Raw Data'!$G:$G,'Raw Data'!AJ:AJ),"")</f>
        <v>25400.000000000091</v>
      </c>
      <c r="Z14" s="86">
        <f>IFERROR(_xlfn.XLOOKUP($A14,'Raw Data'!$G:$G,'Raw Data'!AK:AK),"")</f>
        <v>99.999999999997868</v>
      </c>
      <c r="AA14" s="86">
        <f>IFERROR(_xlfn.XLOOKUP($A14,'Raw Data'!$G:$G,'Raw Data'!$AL:$AL)*(1+(_xlfn.XLOOKUP(Table13[[#This Row],[Month Year]],JMR!$A:$A,JMR!$J:$J))),"")</f>
        <v>25300.000000000095</v>
      </c>
      <c r="AB14" s="86">
        <f>IFERROR(_xlfn.XLOOKUP($A14,'Raw Data'!$G:$G,'Raw Data'!$H:$H),"")</f>
        <v>7.0991999999999997</v>
      </c>
      <c r="AC14" s="87">
        <f>IFERROR(_xlfn.XLOOKUP($D14,'Modelling New'!$D:$D,'Modelling New'!$P:$P),"")</f>
        <v>6.3733333333333331</v>
      </c>
      <c r="AD14" s="86">
        <f>IFERROR(_xlfn.XLOOKUP($D14,'Modelling New'!$D:$D,'Modelling New'!$T:$T)*1000,"")</f>
        <v>30633.087735595891</v>
      </c>
      <c r="AE14" s="94">
        <f>IFERROR(_xlfn.XLOOKUP($D14,'Modelling New'!$D:$D,'Modelling New'!$O:$O),"")</f>
        <v>0.67704062717470792</v>
      </c>
      <c r="AF14" s="94">
        <f>IFERROR(_xlfn.XLOOKUP($D14,'Modelling New'!$D:$D,'Modelling New'!$W:$W),"")</f>
        <v>0.1797918998830613</v>
      </c>
      <c r="AG14" s="94">
        <f>IFERROR(_xlfn.XLOOKUP($D14,'Modelling New'!$D:$D,'Modelling New'!$AE:$AE),"")</f>
        <v>0.98040000000000005</v>
      </c>
      <c r="AH14" s="94">
        <f>IFERROR(_xlfn.XLOOKUP($D14,'Modelling New'!$D:$D,'Modelling New'!$AF:$AF),"")</f>
        <v>0.98</v>
      </c>
      <c r="AN14" s="85"/>
      <c r="AO14" s="84"/>
      <c r="AP14" s="84"/>
      <c r="AQ14" s="84"/>
      <c r="AR14" s="86">
        <f>'Basic Data'!$J$2</f>
        <v>7.0991999999999997</v>
      </c>
      <c r="AT14" s="7" t="str">
        <f>IFERROR(_xlfn.XLOOKUP(Table13[[#This Row],[Date]],'Raw Data'!$E:$E,'Raw Data'!$AN:$AN),"")</f>
        <v/>
      </c>
      <c r="AU14" s="7">
        <f>IFERROR(_xlfn.XLOOKUP(Table13[[#This Row],[Month Year]],'Modelling New'!$D:$D,'Modelling New'!$AO:$AO),"")</f>
        <v>7</v>
      </c>
      <c r="AV14" s="7">
        <f>IFERROR(SUMIF('Curtailment Records'!$C:$C,Table13[[#This Row],[Date]],'Curtailment Records'!$R:$R)/1000,"")</f>
        <v>0</v>
      </c>
    </row>
    <row r="15" spans="1:48" x14ac:dyDescent="0.25">
      <c r="A15" s="93">
        <f t="shared" si="3"/>
        <v>45758</v>
      </c>
      <c r="B15" s="86">
        <f>YEAR(Table13[[#This Row],[Date]])+IF(MONTH(Table13[[#This Row],[Date]])&gt;=4,1,0)</f>
        <v>2026</v>
      </c>
      <c r="C15" s="7">
        <f>YEAR(Table13[[#This Row],[Date]])</f>
        <v>2025</v>
      </c>
      <c r="D15" s="92">
        <f>Table13[[#This Row],[Date]]-DAY(Table13[[#This Row],[Date]])+1</f>
        <v>45748</v>
      </c>
      <c r="E15" s="7">
        <f t="shared" si="0"/>
        <v>30</v>
      </c>
      <c r="F15" s="91">
        <f>IFERROR(_xlfn.XLOOKUP($A15,'Raw Data'!$G:$G,'Raw Data'!$AM:$AM),"")</f>
        <v>12.600000000000001</v>
      </c>
      <c r="G15" s="90">
        <f>IFERROR(_xlfn.XLOOKUP($A15,'Raw Data'!$G:$G,'Raw Data'!$AB:$AB),"")</f>
        <v>0</v>
      </c>
      <c r="H15" s="90"/>
      <c r="I15" s="90">
        <f>IFERROR(_xlfn.XLOOKUP($A15,'Raw Data'!$G:$G,'Raw Data'!$AC:$AC),"")</f>
        <v>6.33</v>
      </c>
      <c r="J15" s="90"/>
      <c r="K15" s="90">
        <f>IFERROR(_xlfn.XLOOKUP($A15,'Raw Data'!$G:$G,'Raw Data'!AD:AD),"")</f>
        <v>0</v>
      </c>
      <c r="L15" s="90">
        <f>IFERROR(_xlfn.XLOOKUP($A15,'Raw Data'!$G:$G,'Raw Data'!AE:AE),"")</f>
        <v>48.19</v>
      </c>
      <c r="M15" s="90">
        <f>IFERROR(_xlfn.XLOOKUP($A15,'Raw Data'!$G:$G,'Raw Data'!AF:AF),"")</f>
        <v>0</v>
      </c>
      <c r="N15" s="90">
        <f>IFERROR(_xlfn.XLOOKUP($A15,'Raw Data'!$G:$G,'Raw Data'!AG:AG),"")</f>
        <v>0</v>
      </c>
      <c r="O15" s="85">
        <f>IFERROR(1-SUMIF('Plant BD'!$B:$B,$A15,'Plant BD'!$AM:$AM)/($AA15+SUMIF('Plant BD'!$B:$B,$A15,'Plant BD'!$AM:$AM)),"")</f>
        <v>0.89300997691560813</v>
      </c>
      <c r="P15" s="85"/>
      <c r="Q15" s="89"/>
      <c r="R15" s="85">
        <f>IFERROR(1-SUMIF('Grid BD'!$B:$B,$A15,'Grid BD'!$AE:$AE)/($AA15+SUMIF('Grid BD'!$B:$B,$A15,'Grid BD'!$AE:$AE)),"")</f>
        <v>0.97688446411576524</v>
      </c>
      <c r="T15" s="89"/>
      <c r="U15" s="88">
        <f t="shared" si="1"/>
        <v>0.72321968681427451</v>
      </c>
      <c r="V15" s="88"/>
      <c r="W15" s="84">
        <f t="shared" si="2"/>
        <v>0.1907491923972649</v>
      </c>
      <c r="X15" s="86">
        <f>IFERROR(_xlfn.XLOOKUP($A15,'Raw Data'!$G:$G,'Raw Data'!AI:AI),"")</f>
        <v>32927.199999999997</v>
      </c>
      <c r="Y15" s="86">
        <f>IFERROR(_xlfn.XLOOKUP($A15,'Raw Data'!$G:$G,'Raw Data'!AJ:AJ),"")</f>
        <v>32599.999999999909</v>
      </c>
      <c r="Z15" s="86">
        <f>IFERROR(_xlfn.XLOOKUP($A15,'Raw Data'!$G:$G,'Raw Data'!AK:AK),"")</f>
        <v>100.00000000000142</v>
      </c>
      <c r="AA15" s="86">
        <f>IFERROR(_xlfn.XLOOKUP($A15,'Raw Data'!$G:$G,'Raw Data'!$AL:$AL)*(1+(_xlfn.XLOOKUP(Table13[[#This Row],[Month Year]],JMR!$A:$A,JMR!$J:$J))),"")</f>
        <v>32499.999999999909</v>
      </c>
      <c r="AB15" s="86">
        <f>IFERROR(_xlfn.XLOOKUP($A15,'Raw Data'!$G:$G,'Raw Data'!$H:$H),"")</f>
        <v>7.0991999999999997</v>
      </c>
      <c r="AC15" s="87">
        <f>IFERROR(_xlfn.XLOOKUP($D15,'Modelling New'!$D:$D,'Modelling New'!$P:$P),"")</f>
        <v>6.3733333333333331</v>
      </c>
      <c r="AD15" s="86">
        <f>IFERROR(_xlfn.XLOOKUP($D15,'Modelling New'!$D:$D,'Modelling New'!$T:$T)*1000,"")</f>
        <v>30633.087735595891</v>
      </c>
      <c r="AE15" s="94">
        <f>IFERROR(_xlfn.XLOOKUP($D15,'Modelling New'!$D:$D,'Modelling New'!$O:$O),"")</f>
        <v>0.67704062717470792</v>
      </c>
      <c r="AF15" s="94">
        <f>IFERROR(_xlfn.XLOOKUP($D15,'Modelling New'!$D:$D,'Modelling New'!$W:$W),"")</f>
        <v>0.1797918998830613</v>
      </c>
      <c r="AG15" s="94">
        <f>IFERROR(_xlfn.XLOOKUP($D15,'Modelling New'!$D:$D,'Modelling New'!$AE:$AE),"")</f>
        <v>0.98040000000000005</v>
      </c>
      <c r="AH15" s="94">
        <f>IFERROR(_xlfn.XLOOKUP($D15,'Modelling New'!$D:$D,'Modelling New'!$AF:$AF),"")</f>
        <v>0.98</v>
      </c>
      <c r="AN15" s="85"/>
      <c r="AO15" s="84"/>
      <c r="AP15" s="84"/>
      <c r="AQ15" s="84"/>
      <c r="AR15" s="86">
        <f>'Basic Data'!$J$2</f>
        <v>7.0991999999999997</v>
      </c>
      <c r="AT15" s="7" t="str">
        <f>IFERROR(_xlfn.XLOOKUP(Table13[[#This Row],[Date]],'Raw Data'!$E:$E,'Raw Data'!$AN:$AN),"")</f>
        <v/>
      </c>
      <c r="AU15" s="7">
        <f>IFERROR(_xlfn.XLOOKUP(Table13[[#This Row],[Month Year]],'Modelling New'!$D:$D,'Modelling New'!$AO:$AO),"")</f>
        <v>7</v>
      </c>
      <c r="AV15" s="7">
        <f>IFERROR(SUMIF('Curtailment Records'!$C:$C,Table13[[#This Row],[Date]],'Curtailment Records'!$R:$R)/1000,"")</f>
        <v>0</v>
      </c>
    </row>
    <row r="16" spans="1:48" x14ac:dyDescent="0.25">
      <c r="A16" s="93">
        <f t="shared" si="3"/>
        <v>45759</v>
      </c>
      <c r="B16" s="86">
        <f>YEAR(Table13[[#This Row],[Date]])+IF(MONTH(Table13[[#This Row],[Date]])&gt;=4,1,0)</f>
        <v>2026</v>
      </c>
      <c r="C16" s="7">
        <f>YEAR(Table13[[#This Row],[Date]])</f>
        <v>2025</v>
      </c>
      <c r="D16" s="92">
        <f>Table13[[#This Row],[Date]]-DAY(Table13[[#This Row],[Date]])+1</f>
        <v>45748</v>
      </c>
      <c r="E16" s="7">
        <f t="shared" si="0"/>
        <v>30</v>
      </c>
      <c r="F16" s="91">
        <f>IFERROR(_xlfn.XLOOKUP($A16,'Raw Data'!$G:$G,'Raw Data'!$AM:$AM),"")</f>
        <v>12.616666666666667</v>
      </c>
      <c r="G16" s="90">
        <f>IFERROR(_xlfn.XLOOKUP($A16,'Raw Data'!$G:$G,'Raw Data'!$AB:$AB),"")</f>
        <v>0</v>
      </c>
      <c r="H16" s="90"/>
      <c r="I16" s="90">
        <f>IFERROR(_xlfn.XLOOKUP($A16,'Raw Data'!$G:$G,'Raw Data'!$AC:$AC),"")</f>
        <v>6.54</v>
      </c>
      <c r="J16" s="90"/>
      <c r="K16" s="90">
        <f>IFERROR(_xlfn.XLOOKUP($A16,'Raw Data'!$G:$G,'Raw Data'!AD:AD),"")</f>
        <v>0</v>
      </c>
      <c r="L16" s="90">
        <f>IFERROR(_xlfn.XLOOKUP($A16,'Raw Data'!$G:$G,'Raw Data'!AE:AE),"")</f>
        <v>50.17</v>
      </c>
      <c r="M16" s="90">
        <f>IFERROR(_xlfn.XLOOKUP($A16,'Raw Data'!$G:$G,'Raw Data'!AF:AF),"")</f>
        <v>0</v>
      </c>
      <c r="N16" s="90">
        <f>IFERROR(_xlfn.XLOOKUP($A16,'Raw Data'!$G:$G,'Raw Data'!AG:AG),"")</f>
        <v>0</v>
      </c>
      <c r="O16" s="85">
        <f>IFERROR(1-SUMIF('Plant BD'!$B:$B,$A16,'Plant BD'!$AM:$AM)/($AA16+SUMIF('Plant BD'!$B:$B,$A16,'Plant BD'!$AM:$AM)),"")</f>
        <v>0.99954032079393473</v>
      </c>
      <c r="P16" s="85"/>
      <c r="Q16" s="89"/>
      <c r="R16" s="85">
        <f>IFERROR(1-SUMIF('Grid BD'!$B:$B,$A16,'Grid BD'!$AE:$AE)/($AA16+SUMIF('Grid BD'!$B:$B,$A16,'Grid BD'!$AE:$AE)),"")</f>
        <v>1</v>
      </c>
      <c r="T16" s="89"/>
      <c r="U16" s="88">
        <f t="shared" si="1"/>
        <v>0.74522761405170568</v>
      </c>
      <c r="V16" s="88"/>
      <c r="W16" s="84">
        <f t="shared" si="2"/>
        <v>0.2030745248290898</v>
      </c>
      <c r="X16" s="86">
        <f>IFERROR(_xlfn.XLOOKUP($A16,'Raw Data'!$G:$G,'Raw Data'!AI:AI),"")</f>
        <v>35087.4</v>
      </c>
      <c r="Y16" s="86">
        <f>IFERROR(_xlfn.XLOOKUP($A16,'Raw Data'!$G:$G,'Raw Data'!AJ:AJ),"")</f>
        <v>34800.000000000182</v>
      </c>
      <c r="Z16" s="86">
        <f>IFERROR(_xlfn.XLOOKUP($A16,'Raw Data'!$G:$G,'Raw Data'!AK:AK),"")</f>
        <v>199.99999999999929</v>
      </c>
      <c r="AA16" s="86">
        <f>IFERROR(_xlfn.XLOOKUP($A16,'Raw Data'!$G:$G,'Raw Data'!$AL:$AL)*(1+(_xlfn.XLOOKUP(Table13[[#This Row],[Month Year]],JMR!$A:$A,JMR!$J:$J))),"")</f>
        <v>34600.000000000182</v>
      </c>
      <c r="AB16" s="86">
        <f>IFERROR(_xlfn.XLOOKUP($A16,'Raw Data'!$G:$G,'Raw Data'!$H:$H),"")</f>
        <v>7.0991999999999997</v>
      </c>
      <c r="AC16" s="87">
        <f>IFERROR(_xlfn.XLOOKUP($D16,'Modelling New'!$D:$D,'Modelling New'!$P:$P),"")</f>
        <v>6.3733333333333331</v>
      </c>
      <c r="AD16" s="86">
        <f>IFERROR(_xlfn.XLOOKUP($D16,'Modelling New'!$D:$D,'Modelling New'!$T:$T)*1000,"")</f>
        <v>30633.087735595891</v>
      </c>
      <c r="AE16" s="94">
        <f>IFERROR(_xlfn.XLOOKUP($D16,'Modelling New'!$D:$D,'Modelling New'!$O:$O),"")</f>
        <v>0.67704062717470792</v>
      </c>
      <c r="AF16" s="94">
        <f>IFERROR(_xlfn.XLOOKUP($D16,'Modelling New'!$D:$D,'Modelling New'!$W:$W),"")</f>
        <v>0.1797918998830613</v>
      </c>
      <c r="AG16" s="94">
        <f>IFERROR(_xlfn.XLOOKUP($D16,'Modelling New'!$D:$D,'Modelling New'!$AE:$AE),"")</f>
        <v>0.98040000000000005</v>
      </c>
      <c r="AH16" s="94">
        <f>IFERROR(_xlfn.XLOOKUP($D16,'Modelling New'!$D:$D,'Modelling New'!$AF:$AF),"")</f>
        <v>0.98</v>
      </c>
      <c r="AN16" s="85"/>
      <c r="AO16" s="84"/>
      <c r="AP16" s="84"/>
      <c r="AQ16" s="84"/>
      <c r="AR16" s="86">
        <f>'Basic Data'!$J$2</f>
        <v>7.0991999999999997</v>
      </c>
      <c r="AT16" s="7" t="str">
        <f>IFERROR(_xlfn.XLOOKUP(Table13[[#This Row],[Date]],'Raw Data'!$E:$E,'Raw Data'!$AN:$AN),"")</f>
        <v/>
      </c>
      <c r="AU16" s="7">
        <f>IFERROR(_xlfn.XLOOKUP(Table13[[#This Row],[Month Year]],'Modelling New'!$D:$D,'Modelling New'!$AO:$AO),"")</f>
        <v>7</v>
      </c>
      <c r="AV16" s="7">
        <f>IFERROR(SUMIF('Curtailment Records'!$C:$C,Table13[[#This Row],[Date]],'Curtailment Records'!$R:$R)/1000,"")</f>
        <v>0</v>
      </c>
    </row>
    <row r="17" spans="1:48" x14ac:dyDescent="0.25">
      <c r="A17" s="93">
        <f t="shared" si="3"/>
        <v>45760</v>
      </c>
      <c r="B17" s="86">
        <f>YEAR(Table13[[#This Row],[Date]])+IF(MONTH(Table13[[#This Row],[Date]])&gt;=4,1,0)</f>
        <v>2026</v>
      </c>
      <c r="C17" s="7">
        <f>YEAR(Table13[[#This Row],[Date]])</f>
        <v>2025</v>
      </c>
      <c r="D17" s="92">
        <f>Table13[[#This Row],[Date]]-DAY(Table13[[#This Row],[Date]])+1</f>
        <v>45748</v>
      </c>
      <c r="E17" s="7">
        <f t="shared" si="0"/>
        <v>30</v>
      </c>
      <c r="F17" s="91">
        <f>IFERROR(_xlfn.XLOOKUP($A17,'Raw Data'!$G:$G,'Raw Data'!$AM:$AM),"")</f>
        <v>12.583333333333334</v>
      </c>
      <c r="G17" s="90">
        <f>IFERROR(_xlfn.XLOOKUP($A17,'Raw Data'!$G:$G,'Raw Data'!$AB:$AB),"")</f>
        <v>0</v>
      </c>
      <c r="H17" s="90"/>
      <c r="I17" s="90">
        <f>IFERROR(_xlfn.XLOOKUP($A17,'Raw Data'!$G:$G,'Raw Data'!$AC:$AC),"")</f>
        <v>6.35</v>
      </c>
      <c r="J17" s="90"/>
      <c r="K17" s="90">
        <f>IFERROR(_xlfn.XLOOKUP($A17,'Raw Data'!$G:$G,'Raw Data'!AD:AD),"")</f>
        <v>0</v>
      </c>
      <c r="L17" s="90">
        <f>IFERROR(_xlfn.XLOOKUP($A17,'Raw Data'!$G:$G,'Raw Data'!AE:AE),"")</f>
        <v>52.55</v>
      </c>
      <c r="M17" s="90">
        <f>IFERROR(_xlfn.XLOOKUP($A17,'Raw Data'!$G:$G,'Raw Data'!AF:AF),"")</f>
        <v>0</v>
      </c>
      <c r="N17" s="90">
        <f>IFERROR(_xlfn.XLOOKUP($A17,'Raw Data'!$G:$G,'Raw Data'!AG:AG),"")</f>
        <v>0</v>
      </c>
      <c r="O17" s="85">
        <f>IFERROR(1-SUMIF('Plant BD'!$B:$B,$A17,'Plant BD'!$AM:$AM)/($AA17+SUMIF('Plant BD'!$B:$B,$A17,'Plant BD'!$AM:$AM)),"")</f>
        <v>1</v>
      </c>
      <c r="P17" s="85"/>
      <c r="Q17" s="89"/>
      <c r="R17" s="85">
        <f>IFERROR(1-SUMIF('Grid BD'!$B:$B,$A17,'Grid BD'!$AE:$AE)/($AA17+SUMIF('Grid BD'!$B:$B,$A17,'Grid BD'!$AE:$AE)),"")</f>
        <v>1</v>
      </c>
      <c r="T17" s="89"/>
      <c r="U17" s="88">
        <f t="shared" si="1"/>
        <v>0.77196232823838207</v>
      </c>
      <c r="V17" s="88"/>
      <c r="W17" s="84">
        <f t="shared" si="2"/>
        <v>0.20424836601307192</v>
      </c>
      <c r="X17" s="86">
        <f>IFERROR(_xlfn.XLOOKUP($A17,'Raw Data'!$G:$G,'Raw Data'!AI:AI),"")</f>
        <v>35214.1</v>
      </c>
      <c r="Y17" s="86">
        <f>IFERROR(_xlfn.XLOOKUP($A17,'Raw Data'!$G:$G,'Raw Data'!AJ:AJ),"")</f>
        <v>35000</v>
      </c>
      <c r="Z17" s="86">
        <f>IFERROR(_xlfn.XLOOKUP($A17,'Raw Data'!$G:$G,'Raw Data'!AK:AK),"")</f>
        <v>199.99999999999929</v>
      </c>
      <c r="AA17" s="86">
        <f>IFERROR(_xlfn.XLOOKUP($A17,'Raw Data'!$G:$G,'Raw Data'!$AL:$AL)*(1+(_xlfn.XLOOKUP(Table13[[#This Row],[Month Year]],JMR!$A:$A,JMR!$J:$J))),"")</f>
        <v>34800</v>
      </c>
      <c r="AB17" s="86">
        <f>IFERROR(_xlfn.XLOOKUP($A17,'Raw Data'!$G:$G,'Raw Data'!$H:$H),"")</f>
        <v>7.0991999999999997</v>
      </c>
      <c r="AC17" s="87">
        <f>IFERROR(_xlfn.XLOOKUP($D17,'Modelling New'!$D:$D,'Modelling New'!$P:$P),"")</f>
        <v>6.3733333333333331</v>
      </c>
      <c r="AD17" s="86">
        <f>IFERROR(_xlfn.XLOOKUP($D17,'Modelling New'!$D:$D,'Modelling New'!$T:$T)*1000,"")</f>
        <v>30633.087735595891</v>
      </c>
      <c r="AE17" s="94">
        <f>IFERROR(_xlfn.XLOOKUP($D17,'Modelling New'!$D:$D,'Modelling New'!$O:$O),"")</f>
        <v>0.67704062717470792</v>
      </c>
      <c r="AF17" s="94">
        <f>IFERROR(_xlfn.XLOOKUP($D17,'Modelling New'!$D:$D,'Modelling New'!$W:$W),"")</f>
        <v>0.1797918998830613</v>
      </c>
      <c r="AG17" s="94">
        <f>IFERROR(_xlfn.XLOOKUP($D17,'Modelling New'!$D:$D,'Modelling New'!$AE:$AE),"")</f>
        <v>0.98040000000000005</v>
      </c>
      <c r="AH17" s="94">
        <f>IFERROR(_xlfn.XLOOKUP($D17,'Modelling New'!$D:$D,'Modelling New'!$AF:$AF),"")</f>
        <v>0.98</v>
      </c>
      <c r="AN17" s="85"/>
      <c r="AO17" s="84"/>
      <c r="AP17" s="84"/>
      <c r="AQ17" s="84"/>
      <c r="AR17" s="86">
        <f>'Basic Data'!$J$2</f>
        <v>7.0991999999999997</v>
      </c>
      <c r="AT17" s="7" t="str">
        <f>IFERROR(_xlfn.XLOOKUP(Table13[[#This Row],[Date]],'Raw Data'!$E:$E,'Raw Data'!$AN:$AN),"")</f>
        <v/>
      </c>
      <c r="AU17" s="7">
        <f>IFERROR(_xlfn.XLOOKUP(Table13[[#This Row],[Month Year]],'Modelling New'!$D:$D,'Modelling New'!$AO:$AO),"")</f>
        <v>7</v>
      </c>
      <c r="AV17" s="7">
        <f>IFERROR(SUMIF('Curtailment Records'!$C:$C,Table13[[#This Row],[Date]],'Curtailment Records'!$R:$R)/1000,"")</f>
        <v>0</v>
      </c>
    </row>
    <row r="18" spans="1:48" x14ac:dyDescent="0.25">
      <c r="A18" s="93">
        <f t="shared" si="3"/>
        <v>45761</v>
      </c>
      <c r="B18" s="86">
        <f>YEAR(Table13[[#This Row],[Date]])+IF(MONTH(Table13[[#This Row],[Date]])&gt;=4,1,0)</f>
        <v>2026</v>
      </c>
      <c r="C18" s="7">
        <f>YEAR(Table13[[#This Row],[Date]])</f>
        <v>2025</v>
      </c>
      <c r="D18" s="92">
        <f>Table13[[#This Row],[Date]]-DAY(Table13[[#This Row],[Date]])+1</f>
        <v>45748</v>
      </c>
      <c r="E18" s="7">
        <f t="shared" si="0"/>
        <v>30</v>
      </c>
      <c r="F18" s="91">
        <f>IFERROR(_xlfn.XLOOKUP($A18,'Raw Data'!$G:$G,'Raw Data'!$AM:$AM),"")</f>
        <v>13.033333333333335</v>
      </c>
      <c r="G18" s="90">
        <f>IFERROR(_xlfn.XLOOKUP($A18,'Raw Data'!$G:$G,'Raw Data'!$AB:$AB),"")</f>
        <v>0</v>
      </c>
      <c r="H18" s="90"/>
      <c r="I18" s="90">
        <f>IFERROR(_xlfn.XLOOKUP($A18,'Raw Data'!$G:$G,'Raw Data'!$AC:$AC),"")</f>
        <v>6.09</v>
      </c>
      <c r="J18" s="90"/>
      <c r="K18" s="90">
        <f>IFERROR(_xlfn.XLOOKUP($A18,'Raw Data'!$G:$G,'Raw Data'!AD:AD),"")</f>
        <v>0</v>
      </c>
      <c r="L18" s="90">
        <f>IFERROR(_xlfn.XLOOKUP($A18,'Raw Data'!$G:$G,'Raw Data'!AE:AE),"")</f>
        <v>49.67</v>
      </c>
      <c r="M18" s="90">
        <f>IFERROR(_xlfn.XLOOKUP($A18,'Raw Data'!$G:$G,'Raw Data'!AF:AF),"")</f>
        <v>0</v>
      </c>
      <c r="N18" s="90">
        <f>IFERROR(_xlfn.XLOOKUP($A18,'Raw Data'!$G:$G,'Raw Data'!AG:AG),"")</f>
        <v>0</v>
      </c>
      <c r="O18" s="85">
        <f>IFERROR(1-SUMIF('Plant BD'!$B:$B,$A18,'Plant BD'!$AM:$AM)/($AA18+SUMIF('Plant BD'!$B:$B,$A18,'Plant BD'!$AM:$AM)),"")</f>
        <v>1</v>
      </c>
      <c r="P18" s="85"/>
      <c r="Q18" s="89"/>
      <c r="R18" s="85">
        <f>IFERROR(1-SUMIF('Grid BD'!$B:$B,$A18,'Grid BD'!$AE:$AE)/($AA18+SUMIF('Grid BD'!$B:$B,$A18,'Grid BD'!$AE:$AE)),"")</f>
        <v>1</v>
      </c>
      <c r="T18" s="89"/>
      <c r="U18" s="88">
        <f t="shared" si="1"/>
        <v>0.73784302993227735</v>
      </c>
      <c r="V18" s="88"/>
      <c r="W18" s="84">
        <f t="shared" si="2"/>
        <v>0.18722766884531536</v>
      </c>
      <c r="X18" s="86">
        <f>IFERROR(_xlfn.XLOOKUP($A18,'Raw Data'!$G:$G,'Raw Data'!AI:AI),"")</f>
        <v>32364.3</v>
      </c>
      <c r="Y18" s="86">
        <f>IFERROR(_xlfn.XLOOKUP($A18,'Raw Data'!$G:$G,'Raw Data'!AJ:AJ),"")</f>
        <v>32099.999999999909</v>
      </c>
      <c r="Z18" s="86">
        <f>IFERROR(_xlfn.XLOOKUP($A18,'Raw Data'!$G:$G,'Raw Data'!AK:AK),"")</f>
        <v>200.00000000000284</v>
      </c>
      <c r="AA18" s="86">
        <f>IFERROR(_xlfn.XLOOKUP($A18,'Raw Data'!$G:$G,'Raw Data'!$AL:$AL)*(1+(_xlfn.XLOOKUP(Table13[[#This Row],[Month Year]],JMR!$A:$A,JMR!$J:$J))),"")</f>
        <v>31899.999999999905</v>
      </c>
      <c r="AB18" s="86">
        <f>IFERROR(_xlfn.XLOOKUP($A18,'Raw Data'!$G:$G,'Raw Data'!$H:$H),"")</f>
        <v>7.0991999999999997</v>
      </c>
      <c r="AC18" s="87">
        <f>IFERROR(_xlfn.XLOOKUP($D18,'Modelling New'!$D:$D,'Modelling New'!$P:$P),"")</f>
        <v>6.3733333333333331</v>
      </c>
      <c r="AD18" s="86">
        <f>IFERROR(_xlfn.XLOOKUP($D18,'Modelling New'!$D:$D,'Modelling New'!$T:$T)*1000,"")</f>
        <v>30633.087735595891</v>
      </c>
      <c r="AE18" s="94">
        <f>IFERROR(_xlfn.XLOOKUP($D18,'Modelling New'!$D:$D,'Modelling New'!$O:$O),"")</f>
        <v>0.67704062717470792</v>
      </c>
      <c r="AF18" s="94">
        <f>IFERROR(_xlfn.XLOOKUP($D18,'Modelling New'!$D:$D,'Modelling New'!$W:$W),"")</f>
        <v>0.1797918998830613</v>
      </c>
      <c r="AG18" s="94">
        <f>IFERROR(_xlfn.XLOOKUP($D18,'Modelling New'!$D:$D,'Modelling New'!$AE:$AE),"")</f>
        <v>0.98040000000000005</v>
      </c>
      <c r="AH18" s="94">
        <f>IFERROR(_xlfn.XLOOKUP($D18,'Modelling New'!$D:$D,'Modelling New'!$AF:$AF),"")</f>
        <v>0.98</v>
      </c>
      <c r="AN18" s="85"/>
      <c r="AO18" s="84"/>
      <c r="AP18" s="84"/>
      <c r="AQ18" s="84"/>
      <c r="AR18" s="86">
        <f>'Basic Data'!$J$2</f>
        <v>7.0991999999999997</v>
      </c>
      <c r="AT18" s="7" t="str">
        <f>IFERROR(_xlfn.XLOOKUP(Table13[[#This Row],[Date]],'Raw Data'!$E:$E,'Raw Data'!$AN:$AN),"")</f>
        <v/>
      </c>
      <c r="AU18" s="7">
        <f>IFERROR(_xlfn.XLOOKUP(Table13[[#This Row],[Month Year]],'Modelling New'!$D:$D,'Modelling New'!$AO:$AO),"")</f>
        <v>7</v>
      </c>
      <c r="AV18" s="7">
        <f>IFERROR(SUMIF('Curtailment Records'!$C:$C,Table13[[#This Row],[Date]],'Curtailment Records'!$R:$R)/1000,"")</f>
        <v>0</v>
      </c>
    </row>
    <row r="19" spans="1:48" x14ac:dyDescent="0.25">
      <c r="A19" s="93">
        <f t="shared" si="3"/>
        <v>45762</v>
      </c>
      <c r="B19" s="86">
        <f>YEAR(Table13[[#This Row],[Date]])+IF(MONTH(Table13[[#This Row],[Date]])&gt;=4,1,0)</f>
        <v>2026</v>
      </c>
      <c r="C19" s="7">
        <f>YEAR(Table13[[#This Row],[Date]])</f>
        <v>2025</v>
      </c>
      <c r="D19" s="92">
        <f>Table13[[#This Row],[Date]]-DAY(Table13[[#This Row],[Date]])+1</f>
        <v>45748</v>
      </c>
      <c r="E19" s="7">
        <f t="shared" si="0"/>
        <v>30</v>
      </c>
      <c r="F19" s="91">
        <f>IFERROR(_xlfn.XLOOKUP($A19,'Raw Data'!$G:$G,'Raw Data'!$AM:$AM),"")</f>
        <v>13.000000000000002</v>
      </c>
      <c r="G19" s="90">
        <f>IFERROR(_xlfn.XLOOKUP($A19,'Raw Data'!$G:$G,'Raw Data'!$AB:$AB),"")</f>
        <v>0</v>
      </c>
      <c r="H19" s="90"/>
      <c r="I19" s="90">
        <f>IFERROR(_xlfn.XLOOKUP($A19,'Raw Data'!$G:$G,'Raw Data'!$AC:$AC),"")</f>
        <v>5.28</v>
      </c>
      <c r="J19" s="90"/>
      <c r="K19" s="90">
        <f>IFERROR(_xlfn.XLOOKUP($A19,'Raw Data'!$G:$G,'Raw Data'!AD:AD),"")</f>
        <v>0</v>
      </c>
      <c r="L19" s="90">
        <f>IFERROR(_xlfn.XLOOKUP($A19,'Raw Data'!$G:$G,'Raw Data'!AE:AE),"")</f>
        <v>48.37</v>
      </c>
      <c r="M19" s="90">
        <f>IFERROR(_xlfn.XLOOKUP($A19,'Raw Data'!$G:$G,'Raw Data'!AF:AF),"")</f>
        <v>0</v>
      </c>
      <c r="N19" s="90">
        <f>IFERROR(_xlfn.XLOOKUP($A19,'Raw Data'!$G:$G,'Raw Data'!AG:AG),"")</f>
        <v>0</v>
      </c>
      <c r="O19" s="85">
        <f>IFERROR(1-SUMIF('Plant BD'!$B:$B,$A19,'Plant BD'!$AM:$AM)/($AA19+SUMIF('Plant BD'!$B:$B,$A19,'Plant BD'!$AM:$AM)),"")</f>
        <v>1</v>
      </c>
      <c r="P19" s="85"/>
      <c r="Q19" s="89"/>
      <c r="R19" s="85">
        <f>IFERROR(1-SUMIF('Grid BD'!$B:$B,$A19,'Grid BD'!$AE:$AE)/($AA19+SUMIF('Grid BD'!$B:$B,$A19,'Grid BD'!$AE:$AE)),"")</f>
        <v>1</v>
      </c>
      <c r="T19" s="89"/>
      <c r="U19" s="88">
        <f t="shared" si="1"/>
        <v>0.78433933657057153</v>
      </c>
      <c r="V19" s="88"/>
      <c r="W19" s="84">
        <f t="shared" si="2"/>
        <v>0.17255465404552572</v>
      </c>
      <c r="X19" s="86">
        <f>IFERROR(_xlfn.XLOOKUP($A19,'Raw Data'!$G:$G,'Raw Data'!AI:AI),"")</f>
        <v>29758.300000000003</v>
      </c>
      <c r="Y19" s="86">
        <f>IFERROR(_xlfn.XLOOKUP($A19,'Raw Data'!$G:$G,'Raw Data'!AJ:AJ),"")</f>
        <v>29599.999999999909</v>
      </c>
      <c r="Z19" s="86">
        <f>IFERROR(_xlfn.XLOOKUP($A19,'Raw Data'!$G:$G,'Raw Data'!AK:AK),"")</f>
        <v>199.99999999999929</v>
      </c>
      <c r="AA19" s="86">
        <f>IFERROR(_xlfn.XLOOKUP($A19,'Raw Data'!$G:$G,'Raw Data'!$AL:$AL)*(1+(_xlfn.XLOOKUP(Table13[[#This Row],[Month Year]],JMR!$A:$A,JMR!$J:$J))),"")</f>
        <v>29399.999999999909</v>
      </c>
      <c r="AB19" s="86">
        <f>IFERROR(_xlfn.XLOOKUP($A19,'Raw Data'!$G:$G,'Raw Data'!$H:$H),"")</f>
        <v>7.0991999999999997</v>
      </c>
      <c r="AC19" s="87">
        <f>IFERROR(_xlfn.XLOOKUP($D19,'Modelling New'!$D:$D,'Modelling New'!$P:$P),"")</f>
        <v>6.3733333333333331</v>
      </c>
      <c r="AD19" s="86">
        <f>IFERROR(_xlfn.XLOOKUP($D19,'Modelling New'!$D:$D,'Modelling New'!$T:$T)*1000,"")</f>
        <v>30633.087735595891</v>
      </c>
      <c r="AE19" s="94">
        <f>IFERROR(_xlfn.XLOOKUP($D19,'Modelling New'!$D:$D,'Modelling New'!$O:$O),"")</f>
        <v>0.67704062717470792</v>
      </c>
      <c r="AF19" s="94">
        <f>IFERROR(_xlfn.XLOOKUP($D19,'Modelling New'!$D:$D,'Modelling New'!$W:$W),"")</f>
        <v>0.1797918998830613</v>
      </c>
      <c r="AG19" s="94">
        <f>IFERROR(_xlfn.XLOOKUP($D19,'Modelling New'!$D:$D,'Modelling New'!$AE:$AE),"")</f>
        <v>0.98040000000000005</v>
      </c>
      <c r="AH19" s="94">
        <f>IFERROR(_xlfn.XLOOKUP($D19,'Modelling New'!$D:$D,'Modelling New'!$AF:$AF),"")</f>
        <v>0.98</v>
      </c>
      <c r="AN19" s="85"/>
      <c r="AO19" s="84"/>
      <c r="AP19" s="84"/>
      <c r="AQ19" s="84"/>
      <c r="AR19" s="86">
        <f>'Basic Data'!$J$2</f>
        <v>7.0991999999999997</v>
      </c>
      <c r="AT19" s="7" t="str">
        <f>IFERROR(_xlfn.XLOOKUP(Table13[[#This Row],[Date]],'Raw Data'!$E:$E,'Raw Data'!$AN:$AN),"")</f>
        <v/>
      </c>
      <c r="AU19" s="7">
        <f>IFERROR(_xlfn.XLOOKUP(Table13[[#This Row],[Month Year]],'Modelling New'!$D:$D,'Modelling New'!$AO:$AO),"")</f>
        <v>7</v>
      </c>
      <c r="AV19" s="7">
        <f>IFERROR(SUMIF('Curtailment Records'!$C:$C,Table13[[#This Row],[Date]],'Curtailment Records'!$R:$R)/1000,"")</f>
        <v>0</v>
      </c>
    </row>
    <row r="20" spans="1:48" x14ac:dyDescent="0.25">
      <c r="A20" s="93">
        <f t="shared" si="3"/>
        <v>45763</v>
      </c>
      <c r="B20" s="86">
        <f>YEAR(Table13[[#This Row],[Date]])+IF(MONTH(Table13[[#This Row],[Date]])&gt;=4,1,0)</f>
        <v>2026</v>
      </c>
      <c r="C20" s="7">
        <f>YEAR(Table13[[#This Row],[Date]])</f>
        <v>2025</v>
      </c>
      <c r="D20" s="92">
        <f>Table13[[#This Row],[Date]]-DAY(Table13[[#This Row],[Date]])+1</f>
        <v>45748</v>
      </c>
      <c r="E20" s="7">
        <f t="shared" si="0"/>
        <v>30</v>
      </c>
      <c r="F20" s="91">
        <f>IFERROR(_xlfn.XLOOKUP($A20,'Raw Data'!$G:$G,'Raw Data'!$AM:$AM),"")</f>
        <v>12.966666666666665</v>
      </c>
      <c r="G20" s="90">
        <f>IFERROR(_xlfn.XLOOKUP($A20,'Raw Data'!$G:$G,'Raw Data'!$AB:$AB),"")</f>
        <v>0</v>
      </c>
      <c r="H20" s="90"/>
      <c r="I20" s="90">
        <f>IFERROR(_xlfn.XLOOKUP($A20,'Raw Data'!$G:$G,'Raw Data'!$AC:$AC),"")</f>
        <v>5.92</v>
      </c>
      <c r="J20" s="90"/>
      <c r="K20" s="90">
        <f>IFERROR(_xlfn.XLOOKUP($A20,'Raw Data'!$G:$G,'Raw Data'!AD:AD),"")</f>
        <v>0</v>
      </c>
      <c r="L20" s="90">
        <f>IFERROR(_xlfn.XLOOKUP($A20,'Raw Data'!$G:$G,'Raw Data'!AE:AE),"")</f>
        <v>49.03</v>
      </c>
      <c r="M20" s="90">
        <f>IFERROR(_xlfn.XLOOKUP($A20,'Raw Data'!$G:$G,'Raw Data'!AF:AF),"")</f>
        <v>0</v>
      </c>
      <c r="N20" s="90">
        <f>IFERROR(_xlfn.XLOOKUP($A20,'Raw Data'!$G:$G,'Raw Data'!AG:AG),"")</f>
        <v>0</v>
      </c>
      <c r="O20" s="85">
        <f>IFERROR(1-SUMIF('Plant BD'!$B:$B,$A20,'Plant BD'!$AM:$AM)/($AA20+SUMIF('Plant BD'!$B:$B,$A20,'Plant BD'!$AM:$AM)),"")</f>
        <v>1</v>
      </c>
      <c r="P20" s="85"/>
      <c r="Q20" s="89"/>
      <c r="R20" s="85">
        <f>IFERROR(1-SUMIF('Grid BD'!$B:$B,$A20,'Grid BD'!$AE:$AE)/($AA20+SUMIF('Grid BD'!$B:$B,$A20,'Grid BD'!$AE:$AE)),"")</f>
        <v>1</v>
      </c>
      <c r="T20" s="89"/>
      <c r="U20" s="88">
        <f t="shared" si="1"/>
        <v>0.7637899055241899</v>
      </c>
      <c r="V20" s="88"/>
      <c r="W20" s="84">
        <f t="shared" si="2"/>
        <v>0.18840151002930017</v>
      </c>
      <c r="X20" s="86">
        <f>IFERROR(_xlfn.XLOOKUP($A20,'Raw Data'!$G:$G,'Raw Data'!AI:AI),"")</f>
        <v>32607.100000000002</v>
      </c>
      <c r="Y20" s="86">
        <f>IFERROR(_xlfn.XLOOKUP($A20,'Raw Data'!$G:$G,'Raw Data'!AJ:AJ),"")</f>
        <v>32300.000000000182</v>
      </c>
      <c r="Z20" s="86">
        <f>IFERROR(_xlfn.XLOOKUP($A20,'Raw Data'!$G:$G,'Raw Data'!AK:AK),"")</f>
        <v>199.99999999999929</v>
      </c>
      <c r="AA20" s="86">
        <f>IFERROR(_xlfn.XLOOKUP($A20,'Raw Data'!$G:$G,'Raw Data'!$AL:$AL)*(1+(_xlfn.XLOOKUP(Table13[[#This Row],[Month Year]],JMR!$A:$A,JMR!$J:$J))),"")</f>
        <v>32100.000000000182</v>
      </c>
      <c r="AB20" s="86">
        <f>IFERROR(_xlfn.XLOOKUP($A20,'Raw Data'!$G:$G,'Raw Data'!$H:$H),"")</f>
        <v>7.0991999999999997</v>
      </c>
      <c r="AC20" s="87">
        <f>IFERROR(_xlfn.XLOOKUP($D20,'Modelling New'!$D:$D,'Modelling New'!$P:$P),"")</f>
        <v>6.3733333333333331</v>
      </c>
      <c r="AD20" s="86">
        <f>IFERROR(_xlfn.XLOOKUP($D20,'Modelling New'!$D:$D,'Modelling New'!$T:$T)*1000,"")</f>
        <v>30633.087735595891</v>
      </c>
      <c r="AE20" s="94">
        <f>IFERROR(_xlfn.XLOOKUP($D20,'Modelling New'!$D:$D,'Modelling New'!$O:$O),"")</f>
        <v>0.67704062717470792</v>
      </c>
      <c r="AF20" s="94">
        <f>IFERROR(_xlfn.XLOOKUP($D20,'Modelling New'!$D:$D,'Modelling New'!$W:$W),"")</f>
        <v>0.1797918998830613</v>
      </c>
      <c r="AG20" s="94">
        <f>IFERROR(_xlfn.XLOOKUP($D20,'Modelling New'!$D:$D,'Modelling New'!$AE:$AE),"")</f>
        <v>0.98040000000000005</v>
      </c>
      <c r="AH20" s="94">
        <f>IFERROR(_xlfn.XLOOKUP($D20,'Modelling New'!$D:$D,'Modelling New'!$AF:$AF),"")</f>
        <v>0.98</v>
      </c>
      <c r="AN20" s="85"/>
      <c r="AO20" s="84"/>
      <c r="AP20" s="84"/>
      <c r="AQ20" s="84"/>
      <c r="AR20" s="86">
        <f>'Basic Data'!$J$2</f>
        <v>7.0991999999999997</v>
      </c>
      <c r="AT20" s="7" t="str">
        <f>IFERROR(_xlfn.XLOOKUP(Table13[[#This Row],[Date]],'Raw Data'!$E:$E,'Raw Data'!$AN:$AN),"")</f>
        <v/>
      </c>
      <c r="AU20" s="7">
        <f>IFERROR(_xlfn.XLOOKUP(Table13[[#This Row],[Month Year]],'Modelling New'!$D:$D,'Modelling New'!$AO:$AO),"")</f>
        <v>7</v>
      </c>
      <c r="AV20" s="7">
        <f>IFERROR(SUMIF('Curtailment Records'!$C:$C,Table13[[#This Row],[Date]],'Curtailment Records'!$R:$R)/1000,"")</f>
        <v>0</v>
      </c>
    </row>
    <row r="21" spans="1:48" x14ac:dyDescent="0.25">
      <c r="A21" s="93">
        <f t="shared" si="3"/>
        <v>45764</v>
      </c>
      <c r="B21" s="86">
        <f>YEAR(Table13[[#This Row],[Date]])+IF(MONTH(Table13[[#This Row],[Date]])&gt;=4,1,0)</f>
        <v>2026</v>
      </c>
      <c r="C21" s="7">
        <f>YEAR(Table13[[#This Row],[Date]])</f>
        <v>2025</v>
      </c>
      <c r="D21" s="92">
        <f>Table13[[#This Row],[Date]]-DAY(Table13[[#This Row],[Date]])+1</f>
        <v>45748</v>
      </c>
      <c r="E21" s="7">
        <f t="shared" si="0"/>
        <v>30</v>
      </c>
      <c r="F21" s="91">
        <f>IFERROR(_xlfn.XLOOKUP($A21,'Raw Data'!$G:$G,'Raw Data'!$AM:$AM),"")</f>
        <v>12.716666666666667</v>
      </c>
      <c r="G21" s="90">
        <f>IFERROR(_xlfn.XLOOKUP($A21,'Raw Data'!$G:$G,'Raw Data'!$AB:$AB),"")</f>
        <v>0</v>
      </c>
      <c r="H21" s="90"/>
      <c r="I21" s="90">
        <f>IFERROR(_xlfn.XLOOKUP($A21,'Raw Data'!$G:$G,'Raw Data'!$AC:$AC),"")</f>
        <v>5.66</v>
      </c>
      <c r="J21" s="90"/>
      <c r="K21" s="90">
        <f>IFERROR(_xlfn.XLOOKUP($A21,'Raw Data'!$G:$G,'Raw Data'!AD:AD),"")</f>
        <v>0</v>
      </c>
      <c r="L21" s="90">
        <f>IFERROR(_xlfn.XLOOKUP($A21,'Raw Data'!$G:$G,'Raw Data'!AE:AE),"")</f>
        <v>49.83</v>
      </c>
      <c r="M21" s="90">
        <f>IFERROR(_xlfn.XLOOKUP($A21,'Raw Data'!$G:$G,'Raw Data'!AF:AF),"")</f>
        <v>0</v>
      </c>
      <c r="N21" s="90">
        <f>IFERROR(_xlfn.XLOOKUP($A21,'Raw Data'!$G:$G,'Raw Data'!AG:AG),"")</f>
        <v>0</v>
      </c>
      <c r="O21" s="85">
        <f>IFERROR(1-SUMIF('Plant BD'!$B:$B,$A21,'Plant BD'!$AM:$AM)/($AA21+SUMIF('Plant BD'!$B:$B,$A21,'Plant BD'!$AM:$AM)),"")</f>
        <v>1</v>
      </c>
      <c r="P21" s="85"/>
      <c r="Q21" s="89"/>
      <c r="R21" s="85">
        <f>IFERROR(1-SUMIF('Grid BD'!$B:$B,$A21,'Grid BD'!$AE:$AE)/($AA21+SUMIF('Grid BD'!$B:$B,$A21,'Grid BD'!$AE:$AE)),"")</f>
        <v>1</v>
      </c>
      <c r="T21" s="89"/>
      <c r="U21" s="88">
        <f t="shared" si="1"/>
        <v>0.78145469633367126</v>
      </c>
      <c r="V21" s="88"/>
      <c r="W21" s="84">
        <f t="shared" si="2"/>
        <v>0.18429306588535746</v>
      </c>
      <c r="X21" s="86">
        <f>IFERROR(_xlfn.XLOOKUP($A21,'Raw Data'!$G:$G,'Raw Data'!AI:AI),"")</f>
        <v>31827.5</v>
      </c>
      <c r="Y21" s="86">
        <f>IFERROR(_xlfn.XLOOKUP($A21,'Raw Data'!$G:$G,'Raw Data'!AJ:AJ),"")</f>
        <v>31599.999999999909</v>
      </c>
      <c r="Z21" s="86">
        <f>IFERROR(_xlfn.XLOOKUP($A21,'Raw Data'!$G:$G,'Raw Data'!AK:AK),"")</f>
        <v>199.99999999999929</v>
      </c>
      <c r="AA21" s="86">
        <f>IFERROR(_xlfn.XLOOKUP($A21,'Raw Data'!$G:$G,'Raw Data'!$AL:$AL)*(1+(_xlfn.XLOOKUP(Table13[[#This Row],[Month Year]],JMR!$A:$A,JMR!$J:$J))),"")</f>
        <v>31399.999999999909</v>
      </c>
      <c r="AB21" s="86">
        <f>IFERROR(_xlfn.XLOOKUP($A21,'Raw Data'!$G:$G,'Raw Data'!$H:$H),"")</f>
        <v>7.0991999999999997</v>
      </c>
      <c r="AC21" s="87">
        <f>IFERROR(_xlfn.XLOOKUP($D21,'Modelling New'!$D:$D,'Modelling New'!$P:$P),"")</f>
        <v>6.3733333333333331</v>
      </c>
      <c r="AD21" s="86">
        <f>IFERROR(_xlfn.XLOOKUP($D21,'Modelling New'!$D:$D,'Modelling New'!$T:$T)*1000,"")</f>
        <v>30633.087735595891</v>
      </c>
      <c r="AE21" s="94">
        <f>IFERROR(_xlfn.XLOOKUP($D21,'Modelling New'!$D:$D,'Modelling New'!$O:$O),"")</f>
        <v>0.67704062717470792</v>
      </c>
      <c r="AF21" s="94">
        <f>IFERROR(_xlfn.XLOOKUP($D21,'Modelling New'!$D:$D,'Modelling New'!$W:$W),"")</f>
        <v>0.1797918998830613</v>
      </c>
      <c r="AG21" s="94">
        <f>IFERROR(_xlfn.XLOOKUP($D21,'Modelling New'!$D:$D,'Modelling New'!$AE:$AE),"")</f>
        <v>0.98040000000000005</v>
      </c>
      <c r="AH21" s="94">
        <f>IFERROR(_xlfn.XLOOKUP($D21,'Modelling New'!$D:$D,'Modelling New'!$AF:$AF),"")</f>
        <v>0.98</v>
      </c>
      <c r="AN21" s="85"/>
      <c r="AO21" s="84"/>
      <c r="AP21" s="84"/>
      <c r="AQ21" s="84"/>
      <c r="AR21" s="86">
        <f>'Basic Data'!$J$2</f>
        <v>7.0991999999999997</v>
      </c>
      <c r="AT21" s="7" t="str">
        <f>IFERROR(_xlfn.XLOOKUP(Table13[[#This Row],[Date]],'Raw Data'!$E:$E,'Raw Data'!$AN:$AN),"")</f>
        <v/>
      </c>
      <c r="AU21" s="7">
        <f>IFERROR(_xlfn.XLOOKUP(Table13[[#This Row],[Month Year]],'Modelling New'!$D:$D,'Modelling New'!$AO:$AO),"")</f>
        <v>7</v>
      </c>
      <c r="AV21" s="7">
        <f>IFERROR(SUMIF('Curtailment Records'!$C:$C,Table13[[#This Row],[Date]],'Curtailment Records'!$R:$R)/1000,"")</f>
        <v>0</v>
      </c>
    </row>
    <row r="22" spans="1:48" x14ac:dyDescent="0.25">
      <c r="A22" s="93">
        <f t="shared" si="3"/>
        <v>45765</v>
      </c>
      <c r="B22" s="86">
        <f>YEAR(Table13[[#This Row],[Date]])+IF(MONTH(Table13[[#This Row],[Date]])&gt;=4,1,0)</f>
        <v>2026</v>
      </c>
      <c r="C22" s="7">
        <f>YEAR(Table13[[#This Row],[Date]])</f>
        <v>2025</v>
      </c>
      <c r="D22" s="92">
        <f>Table13[[#This Row],[Date]]-DAY(Table13[[#This Row],[Date]])+1</f>
        <v>45748</v>
      </c>
      <c r="E22" s="7">
        <f t="shared" si="0"/>
        <v>30</v>
      </c>
      <c r="F22" s="91">
        <f>IFERROR(_xlfn.XLOOKUP($A22,'Raw Data'!$G:$G,'Raw Data'!$AM:$AM),"")</f>
        <v>12.866666666666667</v>
      </c>
      <c r="G22" s="90">
        <f>IFERROR(_xlfn.XLOOKUP($A22,'Raw Data'!$G:$G,'Raw Data'!$AB:$AB),"")</f>
        <v>0</v>
      </c>
      <c r="H22" s="90"/>
      <c r="I22" s="90">
        <f>IFERROR(_xlfn.XLOOKUP($A22,'Raw Data'!$G:$G,'Raw Data'!$AC:$AC),"")</f>
        <v>5.38</v>
      </c>
      <c r="J22" s="90"/>
      <c r="K22" s="90">
        <f>IFERROR(_xlfn.XLOOKUP($A22,'Raw Data'!$G:$G,'Raw Data'!AD:AD),"")</f>
        <v>0</v>
      </c>
      <c r="L22" s="90">
        <f>IFERROR(_xlfn.XLOOKUP($A22,'Raw Data'!$G:$G,'Raw Data'!AE:AE),"")</f>
        <v>49.26</v>
      </c>
      <c r="M22" s="90">
        <f>IFERROR(_xlfn.XLOOKUP($A22,'Raw Data'!$G:$G,'Raw Data'!AF:AF),"")</f>
        <v>0</v>
      </c>
      <c r="N22" s="90">
        <f>IFERROR(_xlfn.XLOOKUP($A22,'Raw Data'!$G:$G,'Raw Data'!AG:AG),"")</f>
        <v>0</v>
      </c>
      <c r="O22" s="85">
        <f>IFERROR(1-SUMIF('Plant BD'!$B:$B,$A22,'Plant BD'!$AM:$AM)/($AA22+SUMIF('Plant BD'!$B:$B,$A22,'Plant BD'!$AM:$AM)),"")</f>
        <v>1</v>
      </c>
      <c r="P22" s="85"/>
      <c r="Q22" s="89"/>
      <c r="R22" s="85">
        <f>IFERROR(1-SUMIF('Grid BD'!$B:$B,$A22,'Grid BD'!$AE:$AE)/($AA22+SUMIF('Grid BD'!$B:$B,$A22,'Grid BD'!$AE:$AE)),"")</f>
        <v>1</v>
      </c>
      <c r="T22" s="89"/>
      <c r="U22" s="88">
        <f t="shared" si="1"/>
        <v>0.76190583912066867</v>
      </c>
      <c r="V22" s="88"/>
      <c r="W22" s="84">
        <f t="shared" si="2"/>
        <v>0.17079389226954991</v>
      </c>
      <c r="X22" s="86">
        <f>IFERROR(_xlfn.XLOOKUP($A22,'Raw Data'!$G:$G,'Raw Data'!AI:AI),"")</f>
        <v>29551.7</v>
      </c>
      <c r="Y22" s="86">
        <f>IFERROR(_xlfn.XLOOKUP($A22,'Raw Data'!$G:$G,'Raw Data'!AJ:AJ),"")</f>
        <v>29299.999999999727</v>
      </c>
      <c r="Z22" s="86">
        <f>IFERROR(_xlfn.XLOOKUP($A22,'Raw Data'!$G:$G,'Raw Data'!AK:AK),"")</f>
        <v>199.99999999999929</v>
      </c>
      <c r="AA22" s="86">
        <f>IFERROR(_xlfn.XLOOKUP($A22,'Raw Data'!$G:$G,'Raw Data'!$AL:$AL)*(1+(_xlfn.XLOOKUP(Table13[[#This Row],[Month Year]],JMR!$A:$A,JMR!$J:$J))),"")</f>
        <v>29099.999999999727</v>
      </c>
      <c r="AB22" s="86">
        <f>IFERROR(_xlfn.XLOOKUP($A22,'Raw Data'!$G:$G,'Raw Data'!$H:$H),"")</f>
        <v>7.0991999999999997</v>
      </c>
      <c r="AC22" s="87">
        <f>IFERROR(_xlfn.XLOOKUP($D22,'Modelling New'!$D:$D,'Modelling New'!$P:$P),"")</f>
        <v>6.3733333333333331</v>
      </c>
      <c r="AD22" s="86">
        <f>IFERROR(_xlfn.XLOOKUP($D22,'Modelling New'!$D:$D,'Modelling New'!$T:$T)*1000,"")</f>
        <v>30633.087735595891</v>
      </c>
      <c r="AE22" s="94">
        <f>IFERROR(_xlfn.XLOOKUP($D22,'Modelling New'!$D:$D,'Modelling New'!$O:$O),"")</f>
        <v>0.67704062717470792</v>
      </c>
      <c r="AF22" s="94">
        <f>IFERROR(_xlfn.XLOOKUP($D22,'Modelling New'!$D:$D,'Modelling New'!$W:$W),"")</f>
        <v>0.1797918998830613</v>
      </c>
      <c r="AG22" s="94">
        <f>IFERROR(_xlfn.XLOOKUP($D22,'Modelling New'!$D:$D,'Modelling New'!$AE:$AE),"")</f>
        <v>0.98040000000000005</v>
      </c>
      <c r="AH22" s="94">
        <f>IFERROR(_xlfn.XLOOKUP($D22,'Modelling New'!$D:$D,'Modelling New'!$AF:$AF),"")</f>
        <v>0.98</v>
      </c>
      <c r="AN22" s="85"/>
      <c r="AO22" s="84"/>
      <c r="AP22" s="84"/>
      <c r="AQ22" s="84"/>
      <c r="AR22" s="86">
        <f>'Basic Data'!$J$2</f>
        <v>7.0991999999999997</v>
      </c>
      <c r="AT22" s="7" t="str">
        <f>IFERROR(_xlfn.XLOOKUP(Table13[[#This Row],[Date]],'Raw Data'!$E:$E,'Raw Data'!$AN:$AN),"")</f>
        <v/>
      </c>
      <c r="AU22" s="7">
        <f>IFERROR(_xlfn.XLOOKUP(Table13[[#This Row],[Month Year]],'Modelling New'!$D:$D,'Modelling New'!$AO:$AO),"")</f>
        <v>7</v>
      </c>
      <c r="AV22" s="7">
        <f>IFERROR(SUMIF('Curtailment Records'!$C:$C,Table13[[#This Row],[Date]],'Curtailment Records'!$R:$R)/1000,"")</f>
        <v>0</v>
      </c>
    </row>
    <row r="23" spans="1:48" x14ac:dyDescent="0.25">
      <c r="A23" s="93">
        <f t="shared" si="3"/>
        <v>45766</v>
      </c>
      <c r="B23" s="86">
        <f>YEAR(Table13[[#This Row],[Date]])+IF(MONTH(Table13[[#This Row],[Date]])&gt;=4,1,0)</f>
        <v>2026</v>
      </c>
      <c r="C23" s="7">
        <f>YEAR(Table13[[#This Row],[Date]])</f>
        <v>2025</v>
      </c>
      <c r="D23" s="92">
        <f>Table13[[#This Row],[Date]]-DAY(Table13[[#This Row],[Date]])+1</f>
        <v>45748</v>
      </c>
      <c r="E23" s="7">
        <f t="shared" si="0"/>
        <v>30</v>
      </c>
      <c r="F23" s="91">
        <f>IFERROR(_xlfn.XLOOKUP($A23,'Raw Data'!$G:$G,'Raw Data'!$AM:$AM),"")</f>
        <v>12.816666666666666</v>
      </c>
      <c r="G23" s="90">
        <f>IFERROR(_xlfn.XLOOKUP($A23,'Raw Data'!$G:$G,'Raw Data'!$AB:$AB),"")</f>
        <v>0</v>
      </c>
      <c r="H23" s="90"/>
      <c r="I23" s="90">
        <f>IFERROR(_xlfn.XLOOKUP($A23,'Raw Data'!$G:$G,'Raw Data'!$AC:$AC),"")</f>
        <v>5.54</v>
      </c>
      <c r="J23" s="90"/>
      <c r="K23" s="90">
        <f>IFERROR(_xlfn.XLOOKUP($A23,'Raw Data'!$G:$G,'Raw Data'!AD:AD),"")</f>
        <v>0</v>
      </c>
      <c r="L23" s="90">
        <f>IFERROR(_xlfn.XLOOKUP($A23,'Raw Data'!$G:$G,'Raw Data'!AE:AE),"")</f>
        <v>49.45</v>
      </c>
      <c r="M23" s="90">
        <f>IFERROR(_xlfn.XLOOKUP($A23,'Raw Data'!$G:$G,'Raw Data'!AF:AF),"")</f>
        <v>0</v>
      </c>
      <c r="N23" s="90">
        <f>IFERROR(_xlfn.XLOOKUP($A23,'Raw Data'!$G:$G,'Raw Data'!AG:AG),"")</f>
        <v>0</v>
      </c>
      <c r="O23" s="85">
        <f>IFERROR(1-SUMIF('Plant BD'!$B:$B,$A23,'Plant BD'!$AM:$AM)/($AA23+SUMIF('Plant BD'!$B:$B,$A23,'Plant BD'!$AM:$AM)),"")</f>
        <v>1</v>
      </c>
      <c r="P23" s="85"/>
      <c r="Q23" s="89"/>
      <c r="R23" s="85">
        <f>IFERROR(1-SUMIF('Grid BD'!$B:$B,$A23,'Grid BD'!$AE:$AE)/($AA23+SUMIF('Grid BD'!$B:$B,$A23,'Grid BD'!$AE:$AE)),"")</f>
        <v>1</v>
      </c>
      <c r="T23" s="89"/>
      <c r="U23" s="88">
        <f t="shared" si="1"/>
        <v>0.78058319887978656</v>
      </c>
      <c r="V23" s="88"/>
      <c r="W23" s="84">
        <f t="shared" si="2"/>
        <v>0.18018462174141739</v>
      </c>
      <c r="X23" s="86">
        <f>IFERROR(_xlfn.XLOOKUP($A23,'Raw Data'!$G:$G,'Raw Data'!AI:AI),"")</f>
        <v>31079.100000000002</v>
      </c>
      <c r="Y23" s="86">
        <f>IFERROR(_xlfn.XLOOKUP($A23,'Raw Data'!$G:$G,'Raw Data'!AJ:AJ),"")</f>
        <v>30900.000000000091</v>
      </c>
      <c r="Z23" s="86">
        <f>IFERROR(_xlfn.XLOOKUP($A23,'Raw Data'!$G:$G,'Raw Data'!AK:AK),"")</f>
        <v>200.00000000000284</v>
      </c>
      <c r="AA23" s="86">
        <f>IFERROR(_xlfn.XLOOKUP($A23,'Raw Data'!$G:$G,'Raw Data'!$AL:$AL)*(1+(_xlfn.XLOOKUP(Table13[[#This Row],[Month Year]],JMR!$A:$A,JMR!$J:$J))),"")</f>
        <v>30700.000000000087</v>
      </c>
      <c r="AB23" s="86">
        <f>IFERROR(_xlfn.XLOOKUP($A23,'Raw Data'!$G:$G,'Raw Data'!$H:$H),"")</f>
        <v>7.0991999999999997</v>
      </c>
      <c r="AC23" s="87">
        <f>IFERROR(_xlfn.XLOOKUP($D23,'Modelling New'!$D:$D,'Modelling New'!$P:$P),"")</f>
        <v>6.3733333333333331</v>
      </c>
      <c r="AD23" s="86">
        <f>IFERROR(_xlfn.XLOOKUP($D23,'Modelling New'!$D:$D,'Modelling New'!$T:$T)*1000,"")</f>
        <v>30633.087735595891</v>
      </c>
      <c r="AE23" s="94">
        <f>IFERROR(_xlfn.XLOOKUP($D23,'Modelling New'!$D:$D,'Modelling New'!$O:$O),"")</f>
        <v>0.67704062717470792</v>
      </c>
      <c r="AF23" s="94">
        <f>IFERROR(_xlfn.XLOOKUP($D23,'Modelling New'!$D:$D,'Modelling New'!$W:$W),"")</f>
        <v>0.1797918998830613</v>
      </c>
      <c r="AG23" s="94">
        <f>IFERROR(_xlfn.XLOOKUP($D23,'Modelling New'!$D:$D,'Modelling New'!$AE:$AE),"")</f>
        <v>0.98040000000000005</v>
      </c>
      <c r="AH23" s="94">
        <f>IFERROR(_xlfn.XLOOKUP($D23,'Modelling New'!$D:$D,'Modelling New'!$AF:$AF),"")</f>
        <v>0.98</v>
      </c>
      <c r="AN23" s="85"/>
      <c r="AO23" s="84"/>
      <c r="AP23" s="84"/>
      <c r="AQ23" s="84"/>
      <c r="AR23" s="86">
        <f>'Basic Data'!$J$2</f>
        <v>7.0991999999999997</v>
      </c>
      <c r="AT23" s="7" t="str">
        <f>IFERROR(_xlfn.XLOOKUP(Table13[[#This Row],[Date]],'Raw Data'!$E:$E,'Raw Data'!$AN:$AN),"")</f>
        <v/>
      </c>
      <c r="AU23" s="7">
        <f>IFERROR(_xlfn.XLOOKUP(Table13[[#This Row],[Month Year]],'Modelling New'!$D:$D,'Modelling New'!$AO:$AO),"")</f>
        <v>7</v>
      </c>
      <c r="AV23" s="7">
        <f>IFERROR(SUMIF('Curtailment Records'!$C:$C,Table13[[#This Row],[Date]],'Curtailment Records'!$R:$R)/1000,"")</f>
        <v>0</v>
      </c>
    </row>
    <row r="24" spans="1:48" x14ac:dyDescent="0.25">
      <c r="A24" s="93">
        <f t="shared" si="3"/>
        <v>45767</v>
      </c>
      <c r="B24" s="86">
        <f>YEAR(Table13[[#This Row],[Date]])+IF(MONTH(Table13[[#This Row],[Date]])&gt;=4,1,0)</f>
        <v>2026</v>
      </c>
      <c r="C24" s="7">
        <f>YEAR(Table13[[#This Row],[Date]])</f>
        <v>2025</v>
      </c>
      <c r="D24" s="92">
        <f>Table13[[#This Row],[Date]]-DAY(Table13[[#This Row],[Date]])+1</f>
        <v>45748</v>
      </c>
      <c r="E24" s="7">
        <f t="shared" si="0"/>
        <v>30</v>
      </c>
      <c r="F24" s="91">
        <f>IFERROR(_xlfn.XLOOKUP($A24,'Raw Data'!$G:$G,'Raw Data'!$AM:$AM),"")</f>
        <v>13.016666666666666</v>
      </c>
      <c r="G24" s="90">
        <f>IFERROR(_xlfn.XLOOKUP($A24,'Raw Data'!$G:$G,'Raw Data'!$AB:$AB),"")</f>
        <v>0</v>
      </c>
      <c r="H24" s="90"/>
      <c r="I24" s="90">
        <f>IFERROR(_xlfn.XLOOKUP($A24,'Raw Data'!$G:$G,'Raw Data'!$AC:$AC),"")</f>
        <v>5.12</v>
      </c>
      <c r="J24" s="90"/>
      <c r="K24" s="90">
        <f>IFERROR(_xlfn.XLOOKUP($A24,'Raw Data'!$G:$G,'Raw Data'!AD:AD),"")</f>
        <v>0</v>
      </c>
      <c r="L24" s="90">
        <f>IFERROR(_xlfn.XLOOKUP($A24,'Raw Data'!$G:$G,'Raw Data'!AE:AE),"")</f>
        <v>50.89</v>
      </c>
      <c r="M24" s="90">
        <f>IFERROR(_xlfn.XLOOKUP($A24,'Raw Data'!$G:$G,'Raw Data'!AF:AF),"")</f>
        <v>0</v>
      </c>
      <c r="N24" s="90">
        <f>IFERROR(_xlfn.XLOOKUP($A24,'Raw Data'!$G:$G,'Raw Data'!AG:AG),"")</f>
        <v>0</v>
      </c>
      <c r="O24" s="85">
        <f>IFERROR(1-SUMIF('Plant BD'!$B:$B,$A24,'Plant BD'!$AM:$AM)/($AA24+SUMIF('Plant BD'!$B:$B,$A24,'Plant BD'!$AM:$AM)),"")</f>
        <v>1</v>
      </c>
      <c r="P24" s="85"/>
      <c r="Q24" s="89"/>
      <c r="R24" s="85">
        <f>IFERROR(1-SUMIF('Grid BD'!$B:$B,$A24,'Grid BD'!$AE:$AE)/($AA24+SUMIF('Grid BD'!$B:$B,$A24,'Grid BD'!$AE:$AE)),"")</f>
        <v>0.99300683582603677</v>
      </c>
      <c r="T24" s="89"/>
      <c r="U24" s="88">
        <f t="shared" si="1"/>
        <v>0.75107494506423522</v>
      </c>
      <c r="V24" s="88"/>
      <c r="W24" s="84">
        <f t="shared" si="2"/>
        <v>0.16022932161370351</v>
      </c>
      <c r="X24" s="86">
        <f>IFERROR(_xlfn.XLOOKUP($A24,'Raw Data'!$G:$G,'Raw Data'!AI:AI),"")</f>
        <v>27620.9</v>
      </c>
      <c r="Y24" s="86">
        <f>IFERROR(_xlfn.XLOOKUP($A24,'Raw Data'!$G:$G,'Raw Data'!AJ:AJ),"")</f>
        <v>27400.000000000091</v>
      </c>
      <c r="Z24" s="86">
        <f>IFERROR(_xlfn.XLOOKUP($A24,'Raw Data'!$G:$G,'Raw Data'!AK:AK),"")</f>
        <v>99.999999999997868</v>
      </c>
      <c r="AA24" s="86">
        <f>IFERROR(_xlfn.XLOOKUP($A24,'Raw Data'!$G:$G,'Raw Data'!$AL:$AL)*(1+(_xlfn.XLOOKUP(Table13[[#This Row],[Month Year]],JMR!$A:$A,JMR!$J:$J))),"")</f>
        <v>27300.000000000095</v>
      </c>
      <c r="AB24" s="86">
        <f>IFERROR(_xlfn.XLOOKUP($A24,'Raw Data'!$G:$G,'Raw Data'!$H:$H),"")</f>
        <v>7.0991999999999997</v>
      </c>
      <c r="AC24" s="87">
        <f>IFERROR(_xlfn.XLOOKUP($D24,'Modelling New'!$D:$D,'Modelling New'!$P:$P),"")</f>
        <v>6.3733333333333331</v>
      </c>
      <c r="AD24" s="86">
        <f>IFERROR(_xlfn.XLOOKUP($D24,'Modelling New'!$D:$D,'Modelling New'!$T:$T)*1000,"")</f>
        <v>30633.087735595891</v>
      </c>
      <c r="AE24" s="94">
        <f>IFERROR(_xlfn.XLOOKUP($D24,'Modelling New'!$D:$D,'Modelling New'!$O:$O),"")</f>
        <v>0.67704062717470792</v>
      </c>
      <c r="AF24" s="94">
        <f>IFERROR(_xlfn.XLOOKUP($D24,'Modelling New'!$D:$D,'Modelling New'!$W:$W),"")</f>
        <v>0.1797918998830613</v>
      </c>
      <c r="AG24" s="94">
        <f>IFERROR(_xlfn.XLOOKUP($D24,'Modelling New'!$D:$D,'Modelling New'!$AE:$AE),"")</f>
        <v>0.98040000000000005</v>
      </c>
      <c r="AH24" s="94">
        <f>IFERROR(_xlfn.XLOOKUP($D24,'Modelling New'!$D:$D,'Modelling New'!$AF:$AF),"")</f>
        <v>0.98</v>
      </c>
      <c r="AN24" s="85"/>
      <c r="AO24" s="84"/>
      <c r="AP24" s="84"/>
      <c r="AQ24" s="84"/>
      <c r="AR24" s="86">
        <f>'Basic Data'!$J$2</f>
        <v>7.0991999999999997</v>
      </c>
      <c r="AT24" s="7" t="str">
        <f>IFERROR(_xlfn.XLOOKUP(Table13[[#This Row],[Date]],'Raw Data'!$E:$E,'Raw Data'!$AN:$AN),"")</f>
        <v/>
      </c>
      <c r="AU24" s="7">
        <f>IFERROR(_xlfn.XLOOKUP(Table13[[#This Row],[Month Year]],'Modelling New'!$D:$D,'Modelling New'!$AO:$AO),"")</f>
        <v>7</v>
      </c>
      <c r="AV24" s="7">
        <f>IFERROR(SUMIF('Curtailment Records'!$C:$C,Table13[[#This Row],[Date]],'Curtailment Records'!$R:$R)/1000,"")</f>
        <v>0</v>
      </c>
    </row>
    <row r="25" spans="1:48" x14ac:dyDescent="0.25">
      <c r="A25" s="93">
        <f t="shared" si="3"/>
        <v>45768</v>
      </c>
      <c r="B25" s="86">
        <f>YEAR(Table13[[#This Row],[Date]])+IF(MONTH(Table13[[#This Row],[Date]])&gt;=4,1,0)</f>
        <v>2026</v>
      </c>
      <c r="C25" s="7">
        <f>YEAR(Table13[[#This Row],[Date]])</f>
        <v>2025</v>
      </c>
      <c r="D25" s="92">
        <f>Table13[[#This Row],[Date]]-DAY(Table13[[#This Row],[Date]])+1</f>
        <v>45748</v>
      </c>
      <c r="E25" s="7">
        <f t="shared" si="0"/>
        <v>30</v>
      </c>
      <c r="F25" s="91">
        <f>IFERROR(_xlfn.XLOOKUP($A25,'Raw Data'!$G:$G,'Raw Data'!$AM:$AM),"")</f>
        <v>12.8</v>
      </c>
      <c r="G25" s="90">
        <f>IFERROR(_xlfn.XLOOKUP($A25,'Raw Data'!$G:$G,'Raw Data'!$AB:$AB),"")</f>
        <v>0</v>
      </c>
      <c r="H25" s="90"/>
      <c r="I25" s="90">
        <f>IFERROR(_xlfn.XLOOKUP($A25,'Raw Data'!$G:$G,'Raw Data'!$AC:$AC),"")</f>
        <v>5.26</v>
      </c>
      <c r="J25" s="90"/>
      <c r="K25" s="90">
        <f>IFERROR(_xlfn.XLOOKUP($A25,'Raw Data'!$G:$G,'Raw Data'!AD:AD),"")</f>
        <v>0</v>
      </c>
      <c r="L25" s="90">
        <f>IFERROR(_xlfn.XLOOKUP($A25,'Raw Data'!$G:$G,'Raw Data'!AE:AE),"")</f>
        <v>49.37</v>
      </c>
      <c r="M25" s="90">
        <f>IFERROR(_xlfn.XLOOKUP($A25,'Raw Data'!$G:$G,'Raw Data'!AF:AF),"")</f>
        <v>0</v>
      </c>
      <c r="N25" s="90">
        <f>IFERROR(_xlfn.XLOOKUP($A25,'Raw Data'!$G:$G,'Raw Data'!AG:AG),"")</f>
        <v>0</v>
      </c>
      <c r="O25" s="85">
        <f>IFERROR(1-SUMIF('Plant BD'!$B:$B,$A25,'Plant BD'!$AM:$AM)/($AA25+SUMIF('Plant BD'!$B:$B,$A25,'Plant BD'!$AM:$AM)),"")</f>
        <v>1</v>
      </c>
      <c r="P25" s="85"/>
      <c r="Q25" s="89"/>
      <c r="R25" s="85">
        <f>IFERROR(1-SUMIF('Grid BD'!$B:$B,$A25,'Grid BD'!$AE:$AE)/($AA25+SUMIF('Grid BD'!$B:$B,$A25,'Grid BD'!$AE:$AE)),"")</f>
        <v>0.96317484029474043</v>
      </c>
      <c r="T25" s="89"/>
      <c r="U25" s="88">
        <f t="shared" si="1"/>
        <v>0.70698267506819179</v>
      </c>
      <c r="V25" s="88"/>
      <c r="W25" s="84">
        <f t="shared" si="2"/>
        <v>0.15494703628577869</v>
      </c>
      <c r="X25" s="86">
        <f>IFERROR(_xlfn.XLOOKUP($A25,'Raw Data'!$G:$G,'Raw Data'!AI:AI),"")</f>
        <v>26749.5</v>
      </c>
      <c r="Y25" s="86">
        <f>IFERROR(_xlfn.XLOOKUP($A25,'Raw Data'!$G:$G,'Raw Data'!AJ:AJ),"")</f>
        <v>26500</v>
      </c>
      <c r="Z25" s="86">
        <f>IFERROR(_xlfn.XLOOKUP($A25,'Raw Data'!$G:$G,'Raw Data'!AK:AK),"")</f>
        <v>100.00000000000142</v>
      </c>
      <c r="AA25" s="86">
        <f>IFERROR(_xlfn.XLOOKUP($A25,'Raw Data'!$G:$G,'Raw Data'!$AL:$AL)*(1+(_xlfn.XLOOKUP(Table13[[#This Row],[Month Year]],JMR!$A:$A,JMR!$J:$J))),"")</f>
        <v>26400</v>
      </c>
      <c r="AB25" s="86">
        <f>IFERROR(_xlfn.XLOOKUP($A25,'Raw Data'!$G:$G,'Raw Data'!$H:$H),"")</f>
        <v>7.0991999999999997</v>
      </c>
      <c r="AC25" s="87">
        <f>IFERROR(_xlfn.XLOOKUP($D25,'Modelling New'!$D:$D,'Modelling New'!$P:$P),"")</f>
        <v>6.3733333333333331</v>
      </c>
      <c r="AD25" s="86">
        <f>IFERROR(_xlfn.XLOOKUP($D25,'Modelling New'!$D:$D,'Modelling New'!$T:$T)*1000,"")</f>
        <v>30633.087735595891</v>
      </c>
      <c r="AE25" s="94">
        <f>IFERROR(_xlfn.XLOOKUP($D25,'Modelling New'!$D:$D,'Modelling New'!$O:$O),"")</f>
        <v>0.67704062717470792</v>
      </c>
      <c r="AF25" s="94">
        <f>IFERROR(_xlfn.XLOOKUP($D25,'Modelling New'!$D:$D,'Modelling New'!$W:$W),"")</f>
        <v>0.1797918998830613</v>
      </c>
      <c r="AG25" s="94">
        <f>IFERROR(_xlfn.XLOOKUP($D25,'Modelling New'!$D:$D,'Modelling New'!$AE:$AE),"")</f>
        <v>0.98040000000000005</v>
      </c>
      <c r="AH25" s="94">
        <f>IFERROR(_xlfn.XLOOKUP($D25,'Modelling New'!$D:$D,'Modelling New'!$AF:$AF),"")</f>
        <v>0.98</v>
      </c>
      <c r="AN25" s="85"/>
      <c r="AO25" s="84"/>
      <c r="AP25" s="84"/>
      <c r="AQ25" s="84"/>
      <c r="AR25" s="86">
        <f>'Basic Data'!$J$2</f>
        <v>7.0991999999999997</v>
      </c>
      <c r="AT25" s="7" t="str">
        <f>IFERROR(_xlfn.XLOOKUP(Table13[[#This Row],[Date]],'Raw Data'!$E:$E,'Raw Data'!$AN:$AN),"")</f>
        <v/>
      </c>
      <c r="AU25" s="7">
        <f>IFERROR(_xlfn.XLOOKUP(Table13[[#This Row],[Month Year]],'Modelling New'!$D:$D,'Modelling New'!$AO:$AO),"")</f>
        <v>7</v>
      </c>
      <c r="AV25" s="7">
        <f>IFERROR(SUMIF('Curtailment Records'!$C:$C,Table13[[#This Row],[Date]],'Curtailment Records'!$R:$R)/1000,"")</f>
        <v>0</v>
      </c>
    </row>
    <row r="26" spans="1:48" x14ac:dyDescent="0.25">
      <c r="A26" s="93">
        <f t="shared" si="3"/>
        <v>45769</v>
      </c>
      <c r="B26" s="86">
        <f>YEAR(Table13[[#This Row],[Date]])+IF(MONTH(Table13[[#This Row],[Date]])&gt;=4,1,0)</f>
        <v>2026</v>
      </c>
      <c r="C26" s="7">
        <f>YEAR(Table13[[#This Row],[Date]])</f>
        <v>2025</v>
      </c>
      <c r="D26" s="92">
        <f>Table13[[#This Row],[Date]]-DAY(Table13[[#This Row],[Date]])+1</f>
        <v>45748</v>
      </c>
      <c r="E26" s="7">
        <f t="shared" si="0"/>
        <v>30</v>
      </c>
      <c r="F26" s="91">
        <f>IFERROR(_xlfn.XLOOKUP($A26,'Raw Data'!$G:$G,'Raw Data'!$AM:$AM),"")</f>
        <v>12.933333333333334</v>
      </c>
      <c r="G26" s="90">
        <f>IFERROR(_xlfn.XLOOKUP($A26,'Raw Data'!$G:$G,'Raw Data'!$AB:$AB),"")</f>
        <v>0</v>
      </c>
      <c r="H26" s="90"/>
      <c r="I26" s="90">
        <f>IFERROR(_xlfn.XLOOKUP($A26,'Raw Data'!$G:$G,'Raw Data'!$AC:$AC),"")</f>
        <v>5.79</v>
      </c>
      <c r="J26" s="90"/>
      <c r="K26" s="90">
        <f>IFERROR(_xlfn.XLOOKUP($A26,'Raw Data'!$G:$G,'Raw Data'!AD:AD),"")</f>
        <v>0</v>
      </c>
      <c r="L26" s="90">
        <f>IFERROR(_xlfn.XLOOKUP($A26,'Raw Data'!$G:$G,'Raw Data'!AE:AE),"")</f>
        <v>52.61</v>
      </c>
      <c r="M26" s="90">
        <f>IFERROR(_xlfn.XLOOKUP($A26,'Raw Data'!$G:$G,'Raw Data'!AF:AF),"")</f>
        <v>0</v>
      </c>
      <c r="N26" s="90">
        <f>IFERROR(_xlfn.XLOOKUP($A26,'Raw Data'!$G:$G,'Raw Data'!AG:AG),"")</f>
        <v>0</v>
      </c>
      <c r="O26" s="85">
        <f>IFERROR(1-SUMIF('Plant BD'!$B:$B,$A26,'Plant BD'!$AM:$AM)/($AA26+SUMIF('Plant BD'!$B:$B,$A26,'Plant BD'!$AM:$AM)),"")</f>
        <v>1</v>
      </c>
      <c r="P26" s="85"/>
      <c r="Q26" s="89"/>
      <c r="R26" s="85">
        <f>IFERROR(1-SUMIF('Grid BD'!$B:$B,$A26,'Grid BD'!$AE:$AE)/($AA26+SUMIF('Grid BD'!$B:$B,$A26,'Grid BD'!$AE:$AE)),"")</f>
        <v>0.99846184174852515</v>
      </c>
      <c r="T26" s="89"/>
      <c r="U26" s="88">
        <f t="shared" si="1"/>
        <v>0.75904341845129908</v>
      </c>
      <c r="V26" s="88"/>
      <c r="W26" s="84">
        <f t="shared" si="2"/>
        <v>0.1831192247013759</v>
      </c>
      <c r="X26" s="86">
        <f>IFERROR(_xlfn.XLOOKUP($A26,'Raw Data'!$G:$G,'Raw Data'!AI:AI),"")</f>
        <v>31603.699999999997</v>
      </c>
      <c r="Y26" s="86">
        <f>IFERROR(_xlfn.XLOOKUP($A26,'Raw Data'!$G:$G,'Raw Data'!AJ:AJ),"")</f>
        <v>31300.000000000182</v>
      </c>
      <c r="Z26" s="86">
        <f>IFERROR(_xlfn.XLOOKUP($A26,'Raw Data'!$G:$G,'Raw Data'!AK:AK),"")</f>
        <v>99.999999999997868</v>
      </c>
      <c r="AA26" s="86">
        <f>IFERROR(_xlfn.XLOOKUP($A26,'Raw Data'!$G:$G,'Raw Data'!$AL:$AL)*(1+(_xlfn.XLOOKUP(Table13[[#This Row],[Month Year]],JMR!$A:$A,JMR!$J:$J))),"")</f>
        <v>31200.000000000186</v>
      </c>
      <c r="AB26" s="86">
        <f>IFERROR(_xlfn.XLOOKUP($A26,'Raw Data'!$G:$G,'Raw Data'!$H:$H),"")</f>
        <v>7.0991999999999997</v>
      </c>
      <c r="AC26" s="87">
        <f>IFERROR(_xlfn.XLOOKUP($D26,'Modelling New'!$D:$D,'Modelling New'!$P:$P),"")</f>
        <v>6.3733333333333331</v>
      </c>
      <c r="AD26" s="86">
        <f>IFERROR(_xlfn.XLOOKUP($D26,'Modelling New'!$D:$D,'Modelling New'!$T:$T)*1000,"")</f>
        <v>30633.087735595891</v>
      </c>
      <c r="AE26" s="94">
        <f>IFERROR(_xlfn.XLOOKUP($D26,'Modelling New'!$D:$D,'Modelling New'!$O:$O),"")</f>
        <v>0.67704062717470792</v>
      </c>
      <c r="AF26" s="94">
        <f>IFERROR(_xlfn.XLOOKUP($D26,'Modelling New'!$D:$D,'Modelling New'!$W:$W),"")</f>
        <v>0.1797918998830613</v>
      </c>
      <c r="AG26" s="94">
        <f>IFERROR(_xlfn.XLOOKUP($D26,'Modelling New'!$D:$D,'Modelling New'!$AE:$AE),"")</f>
        <v>0.98040000000000005</v>
      </c>
      <c r="AH26" s="94">
        <f>IFERROR(_xlfn.XLOOKUP($D26,'Modelling New'!$D:$D,'Modelling New'!$AF:$AF),"")</f>
        <v>0.98</v>
      </c>
      <c r="AN26" s="85"/>
      <c r="AO26" s="84"/>
      <c r="AP26" s="84"/>
      <c r="AQ26" s="84"/>
      <c r="AR26" s="86">
        <f>'Basic Data'!$J$2</f>
        <v>7.0991999999999997</v>
      </c>
      <c r="AT26" s="7" t="str">
        <f>IFERROR(_xlfn.XLOOKUP(Table13[[#This Row],[Date]],'Raw Data'!$E:$E,'Raw Data'!$AN:$AN),"")</f>
        <v/>
      </c>
      <c r="AU26" s="7">
        <f>IFERROR(_xlfn.XLOOKUP(Table13[[#This Row],[Month Year]],'Modelling New'!$D:$D,'Modelling New'!$AO:$AO),"")</f>
        <v>7</v>
      </c>
      <c r="AV26" s="7">
        <f>IFERROR(SUMIF('Curtailment Records'!$C:$C,Table13[[#This Row],[Date]],'Curtailment Records'!$R:$R)/1000,"")</f>
        <v>0</v>
      </c>
    </row>
    <row r="27" spans="1:48" x14ac:dyDescent="0.25">
      <c r="A27" s="93">
        <f t="shared" si="3"/>
        <v>45770</v>
      </c>
      <c r="B27" s="86">
        <f>YEAR(Table13[[#This Row],[Date]])+IF(MONTH(Table13[[#This Row],[Date]])&gt;=4,1,0)</f>
        <v>2026</v>
      </c>
      <c r="C27" s="7">
        <f>YEAR(Table13[[#This Row],[Date]])</f>
        <v>2025</v>
      </c>
      <c r="D27" s="92">
        <f>Table13[[#This Row],[Date]]-DAY(Table13[[#This Row],[Date]])+1</f>
        <v>45748</v>
      </c>
      <c r="E27" s="7">
        <f t="shared" si="0"/>
        <v>30</v>
      </c>
      <c r="F27" s="91">
        <f>IFERROR(_xlfn.XLOOKUP($A27,'Raw Data'!$G:$G,'Raw Data'!$AM:$AM),"")</f>
        <v>12.85</v>
      </c>
      <c r="G27" s="90">
        <f>IFERROR(_xlfn.XLOOKUP($A27,'Raw Data'!$G:$G,'Raw Data'!$AB:$AB),"")</f>
        <v>0</v>
      </c>
      <c r="H27" s="90"/>
      <c r="I27" s="90">
        <f>IFERROR(_xlfn.XLOOKUP($A27,'Raw Data'!$G:$G,'Raw Data'!$AC:$AC),"")</f>
        <v>5.92</v>
      </c>
      <c r="J27" s="90"/>
      <c r="K27" s="90">
        <f>IFERROR(_xlfn.XLOOKUP($A27,'Raw Data'!$G:$G,'Raw Data'!AD:AD),"")</f>
        <v>0</v>
      </c>
      <c r="L27" s="90">
        <f>IFERROR(_xlfn.XLOOKUP($A27,'Raw Data'!$G:$G,'Raw Data'!AE:AE),"")</f>
        <v>53.78</v>
      </c>
      <c r="M27" s="90">
        <f>IFERROR(_xlfn.XLOOKUP($A27,'Raw Data'!$G:$G,'Raw Data'!AF:AF),"")</f>
        <v>0</v>
      </c>
      <c r="N27" s="90">
        <f>IFERROR(_xlfn.XLOOKUP($A27,'Raw Data'!$G:$G,'Raw Data'!AG:AG),"")</f>
        <v>0</v>
      </c>
      <c r="O27" s="85">
        <f>IFERROR(1-SUMIF('Plant BD'!$B:$B,$A27,'Plant BD'!$AM:$AM)/($AA27+SUMIF('Plant BD'!$B:$B,$A27,'Plant BD'!$AM:$AM)),"")</f>
        <v>1</v>
      </c>
      <c r="P27" s="85"/>
      <c r="Q27" s="89"/>
      <c r="R27" s="85">
        <f>IFERROR(1-SUMIF('Grid BD'!$B:$B,$A27,'Grid BD'!$AE:$AE)/($AA27+SUMIF('Grid BD'!$B:$B,$A27,'Grid BD'!$AE:$AE)),"")</f>
        <v>1</v>
      </c>
      <c r="T27" s="89"/>
      <c r="U27" s="88">
        <f t="shared" si="1"/>
        <v>0.7495134586919513</v>
      </c>
      <c r="V27" s="88"/>
      <c r="W27" s="84">
        <f t="shared" si="2"/>
        <v>0.18487998647734796</v>
      </c>
      <c r="X27" s="86">
        <f>IFERROR(_xlfn.XLOOKUP($A27,'Raw Data'!$G:$G,'Raw Data'!AI:AI),"")</f>
        <v>32076.899999999998</v>
      </c>
      <c r="Y27" s="86">
        <f>IFERROR(_xlfn.XLOOKUP($A27,'Raw Data'!$G:$G,'Raw Data'!AJ:AJ),"")</f>
        <v>31799.999999999727</v>
      </c>
      <c r="Z27" s="86">
        <f>IFERROR(_xlfn.XLOOKUP($A27,'Raw Data'!$G:$G,'Raw Data'!AK:AK),"")</f>
        <v>300.00000000000068</v>
      </c>
      <c r="AA27" s="86">
        <f>IFERROR(_xlfn.XLOOKUP($A27,'Raw Data'!$G:$G,'Raw Data'!$AL:$AL)*(1+(_xlfn.XLOOKUP(Table13[[#This Row],[Month Year]],JMR!$A:$A,JMR!$J:$J))),"")</f>
        <v>31499.999999999727</v>
      </c>
      <c r="AB27" s="86">
        <f>IFERROR(_xlfn.XLOOKUP($A27,'Raw Data'!$G:$G,'Raw Data'!$H:$H),"")</f>
        <v>7.0991999999999997</v>
      </c>
      <c r="AC27" s="87">
        <f>IFERROR(_xlfn.XLOOKUP($D27,'Modelling New'!$D:$D,'Modelling New'!$P:$P),"")</f>
        <v>6.3733333333333331</v>
      </c>
      <c r="AD27" s="86">
        <f>IFERROR(_xlfn.XLOOKUP($D27,'Modelling New'!$D:$D,'Modelling New'!$T:$T)*1000,"")</f>
        <v>30633.087735595891</v>
      </c>
      <c r="AE27" s="94">
        <f>IFERROR(_xlfn.XLOOKUP($D27,'Modelling New'!$D:$D,'Modelling New'!$O:$O),"")</f>
        <v>0.67704062717470792</v>
      </c>
      <c r="AF27" s="94">
        <f>IFERROR(_xlfn.XLOOKUP($D27,'Modelling New'!$D:$D,'Modelling New'!$W:$W),"")</f>
        <v>0.1797918998830613</v>
      </c>
      <c r="AG27" s="94">
        <f>IFERROR(_xlfn.XLOOKUP($D27,'Modelling New'!$D:$D,'Modelling New'!$AE:$AE),"")</f>
        <v>0.98040000000000005</v>
      </c>
      <c r="AH27" s="94">
        <f>IFERROR(_xlfn.XLOOKUP($D27,'Modelling New'!$D:$D,'Modelling New'!$AF:$AF),"")</f>
        <v>0.98</v>
      </c>
      <c r="AN27" s="85"/>
      <c r="AO27" s="84"/>
      <c r="AP27" s="84"/>
      <c r="AQ27" s="84"/>
      <c r="AR27" s="86">
        <f>'Basic Data'!$J$2</f>
        <v>7.0991999999999997</v>
      </c>
      <c r="AT27" s="7" t="str">
        <f>IFERROR(_xlfn.XLOOKUP(Table13[[#This Row],[Date]],'Raw Data'!$E:$E,'Raw Data'!$AN:$AN),"")</f>
        <v/>
      </c>
      <c r="AU27" s="7">
        <f>IFERROR(_xlfn.XLOOKUP(Table13[[#This Row],[Month Year]],'Modelling New'!$D:$D,'Modelling New'!$AO:$AO),"")</f>
        <v>7</v>
      </c>
      <c r="AV27" s="7">
        <f>IFERROR(SUMIF('Curtailment Records'!$C:$C,Table13[[#This Row],[Date]],'Curtailment Records'!$R:$R)/1000,"")</f>
        <v>0</v>
      </c>
    </row>
    <row r="28" spans="1:48" x14ac:dyDescent="0.25">
      <c r="A28" s="93">
        <f t="shared" si="3"/>
        <v>45771</v>
      </c>
      <c r="B28" s="86">
        <f>YEAR(Table13[[#This Row],[Date]])+IF(MONTH(Table13[[#This Row],[Date]])&gt;=4,1,0)</f>
        <v>2026</v>
      </c>
      <c r="C28" s="7">
        <f>YEAR(Table13[[#This Row],[Date]])</f>
        <v>2025</v>
      </c>
      <c r="D28" s="92">
        <f>Table13[[#This Row],[Date]]-DAY(Table13[[#This Row],[Date]])+1</f>
        <v>45748</v>
      </c>
      <c r="E28" s="7">
        <f t="shared" si="0"/>
        <v>30</v>
      </c>
      <c r="F28" s="91">
        <f>IFERROR(_xlfn.XLOOKUP($A28,'Raw Data'!$G:$G,'Raw Data'!$AM:$AM),"")</f>
        <v>12.733333333333336</v>
      </c>
      <c r="G28" s="90">
        <f>IFERROR(_xlfn.XLOOKUP($A28,'Raw Data'!$G:$G,'Raw Data'!$AB:$AB),"")</f>
        <v>0</v>
      </c>
      <c r="H28" s="90"/>
      <c r="I28" s="90">
        <f>IFERROR(_xlfn.XLOOKUP($A28,'Raw Data'!$G:$G,'Raw Data'!$AC:$AC),"")</f>
        <v>5.6</v>
      </c>
      <c r="J28" s="90"/>
      <c r="K28" s="90">
        <f>IFERROR(_xlfn.XLOOKUP($A28,'Raw Data'!$G:$G,'Raw Data'!AD:AD),"")</f>
        <v>0</v>
      </c>
      <c r="L28" s="90">
        <f>IFERROR(_xlfn.XLOOKUP($A28,'Raw Data'!$G:$G,'Raw Data'!AE:AE),"")</f>
        <v>52.71</v>
      </c>
      <c r="M28" s="90">
        <f>IFERROR(_xlfn.XLOOKUP($A28,'Raw Data'!$G:$G,'Raw Data'!AF:AF),"")</f>
        <v>0</v>
      </c>
      <c r="N28" s="90">
        <f>IFERROR(_xlfn.XLOOKUP($A28,'Raw Data'!$G:$G,'Raw Data'!AG:AG),"")</f>
        <v>0</v>
      </c>
      <c r="O28" s="85">
        <f>IFERROR(1-SUMIF('Plant BD'!$B:$B,$A28,'Plant BD'!$AM:$AM)/($AA28+SUMIF('Plant BD'!$B:$B,$A28,'Plant BD'!$AM:$AM)),"")</f>
        <v>1</v>
      </c>
      <c r="P28" s="85"/>
      <c r="Q28" s="89"/>
      <c r="R28" s="85">
        <f>IFERROR(1-SUMIF('Grid BD'!$B:$B,$A28,'Grid BD'!$AE:$AE)/($AA28+SUMIF('Grid BD'!$B:$B,$A28,'Grid BD'!$AE:$AE)),"")</f>
        <v>1</v>
      </c>
      <c r="T28" s="89"/>
      <c r="U28" s="88">
        <f t="shared" si="1"/>
        <v>0.79485817315432383</v>
      </c>
      <c r="V28" s="88"/>
      <c r="W28" s="84">
        <f t="shared" si="2"/>
        <v>0.18546690706934221</v>
      </c>
      <c r="X28" s="86">
        <f>IFERROR(_xlfn.XLOOKUP($A28,'Raw Data'!$G:$G,'Raw Data'!AI:AI),"")</f>
        <v>31924.600000000002</v>
      </c>
      <c r="Y28" s="86">
        <f>IFERROR(_xlfn.XLOOKUP($A28,'Raw Data'!$G:$G,'Raw Data'!AJ:AJ),"")</f>
        <v>31800.000000000182</v>
      </c>
      <c r="Z28" s="86">
        <f>IFERROR(_xlfn.XLOOKUP($A28,'Raw Data'!$G:$G,'Raw Data'!AK:AK),"")</f>
        <v>199.99999999999929</v>
      </c>
      <c r="AA28" s="86">
        <f>IFERROR(_xlfn.XLOOKUP($A28,'Raw Data'!$G:$G,'Raw Data'!$AL:$AL)*(1+(_xlfn.XLOOKUP(Table13[[#This Row],[Month Year]],JMR!$A:$A,JMR!$J:$J))),"")</f>
        <v>31600.000000000182</v>
      </c>
      <c r="AB28" s="86">
        <f>IFERROR(_xlfn.XLOOKUP($A28,'Raw Data'!$G:$G,'Raw Data'!$H:$H),"")</f>
        <v>7.0991999999999997</v>
      </c>
      <c r="AC28" s="87">
        <f>IFERROR(_xlfn.XLOOKUP($D28,'Modelling New'!$D:$D,'Modelling New'!$P:$P),"")</f>
        <v>6.3733333333333331</v>
      </c>
      <c r="AD28" s="86">
        <f>IFERROR(_xlfn.XLOOKUP($D28,'Modelling New'!$D:$D,'Modelling New'!$T:$T)*1000,"")</f>
        <v>30633.087735595891</v>
      </c>
      <c r="AE28" s="94">
        <f>IFERROR(_xlfn.XLOOKUP($D28,'Modelling New'!$D:$D,'Modelling New'!$O:$O),"")</f>
        <v>0.67704062717470792</v>
      </c>
      <c r="AF28" s="94">
        <f>IFERROR(_xlfn.XLOOKUP($D28,'Modelling New'!$D:$D,'Modelling New'!$W:$W),"")</f>
        <v>0.1797918998830613</v>
      </c>
      <c r="AG28" s="94">
        <f>IFERROR(_xlfn.XLOOKUP($D28,'Modelling New'!$D:$D,'Modelling New'!$AE:$AE),"")</f>
        <v>0.98040000000000005</v>
      </c>
      <c r="AH28" s="94">
        <f>IFERROR(_xlfn.XLOOKUP($D28,'Modelling New'!$D:$D,'Modelling New'!$AF:$AF),"")</f>
        <v>0.98</v>
      </c>
      <c r="AN28" s="85"/>
      <c r="AO28" s="84"/>
      <c r="AP28" s="84"/>
      <c r="AQ28" s="84"/>
      <c r="AR28" s="86">
        <f>'Basic Data'!$J$2</f>
        <v>7.0991999999999997</v>
      </c>
      <c r="AT28" s="7" t="str">
        <f>IFERROR(_xlfn.XLOOKUP(Table13[[#This Row],[Date]],'Raw Data'!$E:$E,'Raw Data'!$AN:$AN),"")</f>
        <v/>
      </c>
      <c r="AU28" s="7">
        <f>IFERROR(_xlfn.XLOOKUP(Table13[[#This Row],[Month Year]],'Modelling New'!$D:$D,'Modelling New'!$AO:$AO),"")</f>
        <v>7</v>
      </c>
      <c r="AV28" s="7">
        <f>IFERROR(SUMIF('Curtailment Records'!$C:$C,Table13[[#This Row],[Date]],'Curtailment Records'!$R:$R)/1000,"")</f>
        <v>0</v>
      </c>
    </row>
    <row r="29" spans="1:48" x14ac:dyDescent="0.25">
      <c r="A29" s="93">
        <f t="shared" si="3"/>
        <v>45772</v>
      </c>
      <c r="B29" s="86">
        <f>YEAR(Table13[[#This Row],[Date]])+IF(MONTH(Table13[[#This Row],[Date]])&gt;=4,1,0)</f>
        <v>2026</v>
      </c>
      <c r="C29" s="7">
        <f>YEAR(Table13[[#This Row],[Date]])</f>
        <v>2025</v>
      </c>
      <c r="D29" s="92">
        <f>Table13[[#This Row],[Date]]-DAY(Table13[[#This Row],[Date]])+1</f>
        <v>45748</v>
      </c>
      <c r="E29" s="7">
        <f t="shared" si="0"/>
        <v>30</v>
      </c>
      <c r="F29" s="91">
        <f>IFERROR(_xlfn.XLOOKUP($A29,'Raw Data'!$G:$G,'Raw Data'!$AM:$AM),"")</f>
        <v>12.633333333333331</v>
      </c>
      <c r="G29" s="90">
        <f>IFERROR(_xlfn.XLOOKUP($A29,'Raw Data'!$G:$G,'Raw Data'!$AB:$AB),"")</f>
        <v>0</v>
      </c>
      <c r="H29" s="90"/>
      <c r="I29" s="90">
        <f>IFERROR(_xlfn.XLOOKUP($A29,'Raw Data'!$G:$G,'Raw Data'!$AC:$AC),"")</f>
        <v>5.72</v>
      </c>
      <c r="J29" s="90"/>
      <c r="K29" s="90">
        <f>IFERROR(_xlfn.XLOOKUP($A29,'Raw Data'!$G:$G,'Raw Data'!AD:AD),"")</f>
        <v>0</v>
      </c>
      <c r="L29" s="90">
        <f>IFERROR(_xlfn.XLOOKUP($A29,'Raw Data'!$G:$G,'Raw Data'!AE:AE),"")</f>
        <v>52.83</v>
      </c>
      <c r="M29" s="90">
        <f>IFERROR(_xlfn.XLOOKUP($A29,'Raw Data'!$G:$G,'Raw Data'!AF:AF),"")</f>
        <v>0</v>
      </c>
      <c r="N29" s="90">
        <f>IFERROR(_xlfn.XLOOKUP($A29,'Raw Data'!$G:$G,'Raw Data'!AG:AG),"")</f>
        <v>0</v>
      </c>
      <c r="O29" s="85">
        <f>IFERROR(1-SUMIF('Plant BD'!$B:$B,$A29,'Plant BD'!$AM:$AM)/($AA29+SUMIF('Plant BD'!$B:$B,$A29,'Plant BD'!$AM:$AM)),"")</f>
        <v>1</v>
      </c>
      <c r="P29" s="85"/>
      <c r="Q29" s="89"/>
      <c r="R29" s="85">
        <f>IFERROR(1-SUMIF('Grid BD'!$B:$B,$A29,'Grid BD'!$AE:$AE)/($AA29+SUMIF('Grid BD'!$B:$B,$A29,'Grid BD'!$AE:$AE)),"")</f>
        <v>1</v>
      </c>
      <c r="T29" s="89"/>
      <c r="U29" s="88">
        <f t="shared" si="1"/>
        <v>0.75848199580451092</v>
      </c>
      <c r="V29" s="88"/>
      <c r="W29" s="84">
        <f t="shared" si="2"/>
        <v>0.18077154233340845</v>
      </c>
      <c r="X29" s="86">
        <f>IFERROR(_xlfn.XLOOKUP($A29,'Raw Data'!$G:$G,'Raw Data'!AI:AI),"")</f>
        <v>31224</v>
      </c>
      <c r="Y29" s="86">
        <f>IFERROR(_xlfn.XLOOKUP($A29,'Raw Data'!$G:$G,'Raw Data'!AJ:AJ),"")</f>
        <v>31000</v>
      </c>
      <c r="Z29" s="86">
        <f>IFERROR(_xlfn.XLOOKUP($A29,'Raw Data'!$G:$G,'Raw Data'!AK:AK),"")</f>
        <v>200.00000000000284</v>
      </c>
      <c r="AA29" s="86">
        <f>IFERROR(_xlfn.XLOOKUP($A29,'Raw Data'!$G:$G,'Raw Data'!$AL:$AL)*(1+(_xlfn.XLOOKUP(Table13[[#This Row],[Month Year]],JMR!$A:$A,JMR!$J:$J))),"")</f>
        <v>30799.999999999996</v>
      </c>
      <c r="AB29" s="86">
        <f>IFERROR(_xlfn.XLOOKUP($A29,'Raw Data'!$G:$G,'Raw Data'!$H:$H),"")</f>
        <v>7.0991999999999997</v>
      </c>
      <c r="AC29" s="87">
        <f>IFERROR(_xlfn.XLOOKUP($D29,'Modelling New'!$D:$D,'Modelling New'!$P:$P),"")</f>
        <v>6.3733333333333331</v>
      </c>
      <c r="AD29" s="86">
        <f>IFERROR(_xlfn.XLOOKUP($D29,'Modelling New'!$D:$D,'Modelling New'!$T:$T)*1000,"")</f>
        <v>30633.087735595891</v>
      </c>
      <c r="AE29" s="94">
        <f>IFERROR(_xlfn.XLOOKUP($D29,'Modelling New'!$D:$D,'Modelling New'!$O:$O),"")</f>
        <v>0.67704062717470792</v>
      </c>
      <c r="AF29" s="94">
        <f>IFERROR(_xlfn.XLOOKUP($D29,'Modelling New'!$D:$D,'Modelling New'!$W:$W),"")</f>
        <v>0.1797918998830613</v>
      </c>
      <c r="AG29" s="94">
        <f>IFERROR(_xlfn.XLOOKUP($D29,'Modelling New'!$D:$D,'Modelling New'!$AE:$AE),"")</f>
        <v>0.98040000000000005</v>
      </c>
      <c r="AH29" s="94">
        <f>IFERROR(_xlfn.XLOOKUP($D29,'Modelling New'!$D:$D,'Modelling New'!$AF:$AF),"")</f>
        <v>0.98</v>
      </c>
      <c r="AN29" s="85"/>
      <c r="AO29" s="84"/>
      <c r="AP29" s="84"/>
      <c r="AQ29" s="84"/>
      <c r="AR29" s="86">
        <f>'Basic Data'!$J$2</f>
        <v>7.0991999999999997</v>
      </c>
      <c r="AT29" s="7" t="str">
        <f>IFERROR(_xlfn.XLOOKUP(Table13[[#This Row],[Date]],'Raw Data'!$E:$E,'Raw Data'!$AN:$AN),"")</f>
        <v/>
      </c>
      <c r="AU29" s="7">
        <f>IFERROR(_xlfn.XLOOKUP(Table13[[#This Row],[Month Year]],'Modelling New'!$D:$D,'Modelling New'!$AO:$AO),"")</f>
        <v>7</v>
      </c>
      <c r="AV29" s="7">
        <f>IFERROR(SUMIF('Curtailment Records'!$C:$C,Table13[[#This Row],[Date]],'Curtailment Records'!$R:$R)/1000,"")</f>
        <v>0</v>
      </c>
    </row>
    <row r="30" spans="1:48" x14ac:dyDescent="0.25">
      <c r="A30" s="93">
        <f t="shared" si="3"/>
        <v>45773</v>
      </c>
      <c r="B30" s="86">
        <f>YEAR(Table13[[#This Row],[Date]])+IF(MONTH(Table13[[#This Row],[Date]])&gt;=4,1,0)</f>
        <v>2026</v>
      </c>
      <c r="C30" s="7">
        <f>YEAR(Table13[[#This Row],[Date]])</f>
        <v>2025</v>
      </c>
      <c r="D30" s="92">
        <f>Table13[[#This Row],[Date]]-DAY(Table13[[#This Row],[Date]])+1</f>
        <v>45748</v>
      </c>
      <c r="E30" s="7">
        <f t="shared" si="0"/>
        <v>30</v>
      </c>
      <c r="F30" s="91">
        <f>IFERROR(_xlfn.XLOOKUP($A30,'Raw Data'!$G:$G,'Raw Data'!$AM:$AM),"")</f>
        <v>12.366666666666665</v>
      </c>
      <c r="G30" s="90">
        <f>IFERROR(_xlfn.XLOOKUP($A30,'Raw Data'!$G:$G,'Raw Data'!$AB:$AB),"")</f>
        <v>0</v>
      </c>
      <c r="H30" s="90"/>
      <c r="I30" s="90">
        <f>IFERROR(_xlfn.XLOOKUP($A30,'Raw Data'!$G:$G,'Raw Data'!$AC:$AC),"")</f>
        <v>5.2</v>
      </c>
      <c r="J30" s="90"/>
      <c r="K30" s="90">
        <f>IFERROR(_xlfn.XLOOKUP($A30,'Raw Data'!$G:$G,'Raw Data'!AD:AD),"")</f>
        <v>0</v>
      </c>
      <c r="L30" s="90">
        <f>IFERROR(_xlfn.XLOOKUP($A30,'Raw Data'!$G:$G,'Raw Data'!AE:AE),"")</f>
        <v>51.88</v>
      </c>
      <c r="M30" s="90">
        <f>IFERROR(_xlfn.XLOOKUP($A30,'Raw Data'!$G:$G,'Raw Data'!AF:AF),"")</f>
        <v>0</v>
      </c>
      <c r="N30" s="90">
        <f>IFERROR(_xlfn.XLOOKUP($A30,'Raw Data'!$G:$G,'Raw Data'!AG:AG),"")</f>
        <v>0</v>
      </c>
      <c r="O30" s="85">
        <f>IFERROR(1-SUMIF('Plant BD'!$B:$B,$A30,'Plant BD'!$AM:$AM)/($AA30+SUMIF('Plant BD'!$B:$B,$A30,'Plant BD'!$AM:$AM)),"")</f>
        <v>1</v>
      </c>
      <c r="P30" s="85"/>
      <c r="Q30" s="89"/>
      <c r="R30" s="85">
        <f>IFERROR(1-SUMIF('Grid BD'!$B:$B,$A30,'Grid BD'!$AE:$AE)/($AA30+SUMIF('Grid BD'!$B:$B,$A30,'Grid BD'!$AE:$AE)),"")</f>
        <v>1</v>
      </c>
      <c r="T30" s="89"/>
      <c r="U30" s="88">
        <f t="shared" si="1"/>
        <v>0.79098836705326847</v>
      </c>
      <c r="V30" s="88"/>
      <c r="W30" s="84">
        <f t="shared" si="2"/>
        <v>0.17138081286154153</v>
      </c>
      <c r="X30" s="86">
        <f>IFERROR(_xlfn.XLOOKUP($A30,'Raw Data'!$G:$G,'Raw Data'!AI:AI),"")</f>
        <v>29508.799999999999</v>
      </c>
      <c r="Y30" s="86">
        <f>IFERROR(_xlfn.XLOOKUP($A30,'Raw Data'!$G:$G,'Raw Data'!AJ:AJ),"")</f>
        <v>29299.999999999727</v>
      </c>
      <c r="Z30" s="86">
        <f>IFERROR(_xlfn.XLOOKUP($A30,'Raw Data'!$G:$G,'Raw Data'!AK:AK),"")</f>
        <v>99.999999999997868</v>
      </c>
      <c r="AA30" s="86">
        <f>IFERROR(_xlfn.XLOOKUP($A30,'Raw Data'!$G:$G,'Raw Data'!$AL:$AL)*(1+(_xlfn.XLOOKUP(Table13[[#This Row],[Month Year]],JMR!$A:$A,JMR!$J:$J))),"")</f>
        <v>29199.999999999731</v>
      </c>
      <c r="AB30" s="86">
        <f>IFERROR(_xlfn.XLOOKUP($A30,'Raw Data'!$G:$G,'Raw Data'!$H:$H),"")</f>
        <v>7.0991999999999997</v>
      </c>
      <c r="AC30" s="87">
        <f>IFERROR(_xlfn.XLOOKUP($D30,'Modelling New'!$D:$D,'Modelling New'!$P:$P),"")</f>
        <v>6.3733333333333331</v>
      </c>
      <c r="AD30" s="86">
        <f>IFERROR(_xlfn.XLOOKUP($D30,'Modelling New'!$D:$D,'Modelling New'!$T:$T)*1000,"")</f>
        <v>30633.087735595891</v>
      </c>
      <c r="AE30" s="94">
        <f>IFERROR(_xlfn.XLOOKUP($D30,'Modelling New'!$D:$D,'Modelling New'!$O:$O),"")</f>
        <v>0.67704062717470792</v>
      </c>
      <c r="AF30" s="94">
        <f>IFERROR(_xlfn.XLOOKUP($D30,'Modelling New'!$D:$D,'Modelling New'!$W:$W),"")</f>
        <v>0.1797918998830613</v>
      </c>
      <c r="AG30" s="94">
        <f>IFERROR(_xlfn.XLOOKUP($D30,'Modelling New'!$D:$D,'Modelling New'!$AE:$AE),"")</f>
        <v>0.98040000000000005</v>
      </c>
      <c r="AH30" s="94">
        <f>IFERROR(_xlfn.XLOOKUP($D30,'Modelling New'!$D:$D,'Modelling New'!$AF:$AF),"")</f>
        <v>0.98</v>
      </c>
      <c r="AN30" s="85"/>
      <c r="AO30" s="84"/>
      <c r="AP30" s="84"/>
      <c r="AQ30" s="84"/>
      <c r="AR30" s="86">
        <f>'Basic Data'!$J$2</f>
        <v>7.0991999999999997</v>
      </c>
      <c r="AT30" s="7" t="str">
        <f>IFERROR(_xlfn.XLOOKUP(Table13[[#This Row],[Date]],'Raw Data'!$E:$E,'Raw Data'!$AN:$AN),"")</f>
        <v/>
      </c>
      <c r="AU30" s="7">
        <f>IFERROR(_xlfn.XLOOKUP(Table13[[#This Row],[Month Year]],'Modelling New'!$D:$D,'Modelling New'!$AO:$AO),"")</f>
        <v>7</v>
      </c>
      <c r="AV30" s="7">
        <f>IFERROR(SUMIF('Curtailment Records'!$C:$C,Table13[[#This Row],[Date]],'Curtailment Records'!$R:$R)/1000,"")</f>
        <v>0</v>
      </c>
    </row>
    <row r="31" spans="1:48" x14ac:dyDescent="0.25">
      <c r="A31" s="93">
        <f t="shared" si="3"/>
        <v>45774</v>
      </c>
      <c r="B31" s="86">
        <f>YEAR(Table13[[#This Row],[Date]])+IF(MONTH(Table13[[#This Row],[Date]])&gt;=4,1,0)</f>
        <v>2026</v>
      </c>
      <c r="C31" s="7">
        <f>YEAR(Table13[[#This Row],[Date]])</f>
        <v>2025</v>
      </c>
      <c r="D31" s="92">
        <f>Table13[[#This Row],[Date]]-DAY(Table13[[#This Row],[Date]])+1</f>
        <v>45748</v>
      </c>
      <c r="E31" s="7">
        <f t="shared" si="0"/>
        <v>30</v>
      </c>
      <c r="F31" s="91">
        <f>IFERROR(_xlfn.XLOOKUP($A31,'Raw Data'!$G:$G,'Raw Data'!$AM:$AM),"")</f>
        <v>13.033333333333335</v>
      </c>
      <c r="G31" s="90">
        <f>IFERROR(_xlfn.XLOOKUP($A31,'Raw Data'!$G:$G,'Raw Data'!$AB:$AB),"")</f>
        <v>0</v>
      </c>
      <c r="H31" s="90"/>
      <c r="I31" s="90">
        <f>IFERROR(_xlfn.XLOOKUP($A31,'Raw Data'!$G:$G,'Raw Data'!$AC:$AC),"")</f>
        <v>4.6900000000000004</v>
      </c>
      <c r="J31" s="90"/>
      <c r="K31" s="90">
        <f>IFERROR(_xlfn.XLOOKUP($A31,'Raw Data'!$G:$G,'Raw Data'!AD:AD),"")</f>
        <v>0</v>
      </c>
      <c r="L31" s="90">
        <f>IFERROR(_xlfn.XLOOKUP($A31,'Raw Data'!$G:$G,'Raw Data'!AE:AE),"")</f>
        <v>46.53</v>
      </c>
      <c r="M31" s="90">
        <f>IFERROR(_xlfn.XLOOKUP($A31,'Raw Data'!$G:$G,'Raw Data'!AF:AF),"")</f>
        <v>0</v>
      </c>
      <c r="N31" s="90">
        <f>IFERROR(_xlfn.XLOOKUP($A31,'Raw Data'!$G:$G,'Raw Data'!AG:AG),"")</f>
        <v>0</v>
      </c>
      <c r="O31" s="85">
        <f>IFERROR(1-SUMIF('Plant BD'!$B:$B,$A31,'Plant BD'!$AM:$AM)/($AA31+SUMIF('Plant BD'!$B:$B,$A31,'Plant BD'!$AM:$AM)),"")</f>
        <v>1</v>
      </c>
      <c r="P31" s="85"/>
      <c r="Q31" s="89"/>
      <c r="R31" s="85">
        <f>IFERROR(1-SUMIF('Grid BD'!$B:$B,$A31,'Grid BD'!$AE:$AE)/($AA31+SUMIF('Grid BD'!$B:$B,$A31,'Grid BD'!$AE:$AE)),"")</f>
        <v>1</v>
      </c>
      <c r="T31" s="89"/>
      <c r="U31" s="88">
        <f t="shared" si="1"/>
        <v>0.81092653221865996</v>
      </c>
      <c r="V31" s="88"/>
      <c r="W31" s="84">
        <f t="shared" si="2"/>
        <v>0.15846855983772981</v>
      </c>
      <c r="X31" s="86">
        <f>IFERROR(_xlfn.XLOOKUP($A31,'Raw Data'!$G:$G,'Raw Data'!AI:AI),"")</f>
        <v>27570.1</v>
      </c>
      <c r="Y31" s="86">
        <f>IFERROR(_xlfn.XLOOKUP($A31,'Raw Data'!$G:$G,'Raw Data'!AJ:AJ),"")</f>
        <v>27200.000000000273</v>
      </c>
      <c r="Z31" s="86">
        <f>IFERROR(_xlfn.XLOOKUP($A31,'Raw Data'!$G:$G,'Raw Data'!AK:AK),"")</f>
        <v>199.99999999999929</v>
      </c>
      <c r="AA31" s="86">
        <f>IFERROR(_xlfn.XLOOKUP($A31,'Raw Data'!$G:$G,'Raw Data'!$AL:$AL)*(1+(_xlfn.XLOOKUP(Table13[[#This Row],[Month Year]],JMR!$A:$A,JMR!$J:$J))),"")</f>
        <v>27000.000000000273</v>
      </c>
      <c r="AB31" s="86">
        <f>IFERROR(_xlfn.XLOOKUP($A31,'Raw Data'!$G:$G,'Raw Data'!$H:$H),"")</f>
        <v>7.0991999999999997</v>
      </c>
      <c r="AC31" s="87">
        <f>IFERROR(_xlfn.XLOOKUP($D31,'Modelling New'!$D:$D,'Modelling New'!$P:$P),"")</f>
        <v>6.3733333333333331</v>
      </c>
      <c r="AD31" s="86">
        <f>IFERROR(_xlfn.XLOOKUP($D31,'Modelling New'!$D:$D,'Modelling New'!$T:$T)*1000,"")</f>
        <v>30633.087735595891</v>
      </c>
      <c r="AE31" s="94">
        <f>IFERROR(_xlfn.XLOOKUP($D31,'Modelling New'!$D:$D,'Modelling New'!$O:$O),"")</f>
        <v>0.67704062717470792</v>
      </c>
      <c r="AF31" s="94">
        <f>IFERROR(_xlfn.XLOOKUP($D31,'Modelling New'!$D:$D,'Modelling New'!$W:$W),"")</f>
        <v>0.1797918998830613</v>
      </c>
      <c r="AG31" s="94">
        <f>IFERROR(_xlfn.XLOOKUP($D31,'Modelling New'!$D:$D,'Modelling New'!$AE:$AE),"")</f>
        <v>0.98040000000000005</v>
      </c>
      <c r="AH31" s="94">
        <f>IFERROR(_xlfn.XLOOKUP($D31,'Modelling New'!$D:$D,'Modelling New'!$AF:$AF),"")</f>
        <v>0.98</v>
      </c>
      <c r="AN31" s="85"/>
      <c r="AO31" s="84"/>
      <c r="AP31" s="84"/>
      <c r="AQ31" s="84"/>
      <c r="AR31" s="86">
        <f>'Basic Data'!$J$2</f>
        <v>7.0991999999999997</v>
      </c>
      <c r="AT31" s="7" t="str">
        <f>IFERROR(_xlfn.XLOOKUP(Table13[[#This Row],[Date]],'Raw Data'!$E:$E,'Raw Data'!$AN:$AN),"")</f>
        <v/>
      </c>
      <c r="AU31" s="7">
        <f>IFERROR(_xlfn.XLOOKUP(Table13[[#This Row],[Month Year]],'Modelling New'!$D:$D,'Modelling New'!$AO:$AO),"")</f>
        <v>7</v>
      </c>
      <c r="AV31" s="7">
        <f>IFERROR(SUMIF('Curtailment Records'!$C:$C,Table13[[#This Row],[Date]],'Curtailment Records'!$R:$R)/1000,"")</f>
        <v>0</v>
      </c>
    </row>
    <row r="32" spans="1:48" x14ac:dyDescent="0.25">
      <c r="A32" s="93">
        <f t="shared" si="3"/>
        <v>45775</v>
      </c>
      <c r="B32" s="86">
        <f>YEAR(Table13[[#This Row],[Date]])+IF(MONTH(Table13[[#This Row],[Date]])&gt;=4,1,0)</f>
        <v>2026</v>
      </c>
      <c r="C32" s="7">
        <f>YEAR(Table13[[#This Row],[Date]])</f>
        <v>2025</v>
      </c>
      <c r="D32" s="92">
        <f>Table13[[#This Row],[Date]]-DAY(Table13[[#This Row],[Date]])+1</f>
        <v>45748</v>
      </c>
      <c r="E32" s="7">
        <f t="shared" si="0"/>
        <v>30</v>
      </c>
      <c r="F32" s="91">
        <f>IFERROR(_xlfn.XLOOKUP($A32,'Raw Data'!$G:$G,'Raw Data'!$AM:$AM),"")</f>
        <v>12.899999999999999</v>
      </c>
      <c r="G32" s="90">
        <f>IFERROR(_xlfn.XLOOKUP($A32,'Raw Data'!$G:$G,'Raw Data'!$AB:$AB),"")</f>
        <v>0</v>
      </c>
      <c r="H32" s="90"/>
      <c r="I32" s="90">
        <f>IFERROR(_xlfn.XLOOKUP($A32,'Raw Data'!$G:$G,'Raw Data'!$AC:$AC),"")</f>
        <v>6.33</v>
      </c>
      <c r="J32" s="90"/>
      <c r="K32" s="90">
        <f>IFERROR(_xlfn.XLOOKUP($A32,'Raw Data'!$G:$G,'Raw Data'!AD:AD),"")</f>
        <v>0</v>
      </c>
      <c r="L32" s="90">
        <f>IFERROR(_xlfn.XLOOKUP($A32,'Raw Data'!$G:$G,'Raw Data'!AE:AE),"")</f>
        <v>52.13</v>
      </c>
      <c r="M32" s="90">
        <f>IFERROR(_xlfn.XLOOKUP($A32,'Raw Data'!$G:$G,'Raw Data'!AF:AF),"")</f>
        <v>0</v>
      </c>
      <c r="N32" s="90">
        <f>IFERROR(_xlfn.XLOOKUP($A32,'Raw Data'!$G:$G,'Raw Data'!AG:AG),"")</f>
        <v>0</v>
      </c>
      <c r="O32" s="85">
        <f>IFERROR(1-SUMIF('Plant BD'!$B:$B,$A32,'Plant BD'!$AM:$AM)/($AA32+SUMIF('Plant BD'!$B:$B,$A32,'Plant BD'!$AM:$AM)),"")</f>
        <v>1</v>
      </c>
      <c r="P32" s="85"/>
      <c r="Q32" s="89"/>
      <c r="R32" s="85">
        <f>IFERROR(1-SUMIF('Grid BD'!$B:$B,$A32,'Grid BD'!$AE:$AE)/($AA32+SUMIF('Grid BD'!$B:$B,$A32,'Grid BD'!$AE:$AE)),"")</f>
        <v>1</v>
      </c>
      <c r="T32" s="89"/>
      <c r="U32" s="88">
        <f t="shared" si="1"/>
        <v>0.74547260025470963</v>
      </c>
      <c r="V32" s="88"/>
      <c r="W32" s="84">
        <f t="shared" si="2"/>
        <v>0.19661839831717967</v>
      </c>
      <c r="X32" s="86">
        <f>IFERROR(_xlfn.XLOOKUP($A32,'Raw Data'!$G:$G,'Raw Data'!AI:AI),"")</f>
        <v>34009.9</v>
      </c>
      <c r="Y32" s="86">
        <f>IFERROR(_xlfn.XLOOKUP($A32,'Raw Data'!$G:$G,'Raw Data'!AJ:AJ),"")</f>
        <v>33799.999999999724</v>
      </c>
      <c r="Z32" s="86">
        <f>IFERROR(_xlfn.XLOOKUP($A32,'Raw Data'!$G:$G,'Raw Data'!AK:AK),"")</f>
        <v>300.00000000000068</v>
      </c>
      <c r="AA32" s="86">
        <f>IFERROR(_xlfn.XLOOKUP($A32,'Raw Data'!$G:$G,'Raw Data'!$AL:$AL)*(1+(_xlfn.XLOOKUP(Table13[[#This Row],[Month Year]],JMR!$A:$A,JMR!$J:$J))),"")</f>
        <v>33499.999999999724</v>
      </c>
      <c r="AB32" s="86">
        <f>IFERROR(_xlfn.XLOOKUP($A32,'Raw Data'!$G:$G,'Raw Data'!$H:$H),"")</f>
        <v>7.0991999999999997</v>
      </c>
      <c r="AC32" s="87">
        <f>IFERROR(_xlfn.XLOOKUP($D32,'Modelling New'!$D:$D,'Modelling New'!$P:$P),"")</f>
        <v>6.3733333333333331</v>
      </c>
      <c r="AD32" s="86">
        <f>IFERROR(_xlfn.XLOOKUP($D32,'Modelling New'!$D:$D,'Modelling New'!$T:$T)*1000,"")</f>
        <v>30633.087735595891</v>
      </c>
      <c r="AE32" s="94">
        <f>IFERROR(_xlfn.XLOOKUP($D32,'Modelling New'!$D:$D,'Modelling New'!$O:$O),"")</f>
        <v>0.67704062717470792</v>
      </c>
      <c r="AF32" s="94">
        <f>IFERROR(_xlfn.XLOOKUP($D32,'Modelling New'!$D:$D,'Modelling New'!$W:$W),"")</f>
        <v>0.1797918998830613</v>
      </c>
      <c r="AG32" s="94">
        <f>IFERROR(_xlfn.XLOOKUP($D32,'Modelling New'!$D:$D,'Modelling New'!$AE:$AE),"")</f>
        <v>0.98040000000000005</v>
      </c>
      <c r="AH32" s="94">
        <f>IFERROR(_xlfn.XLOOKUP($D32,'Modelling New'!$D:$D,'Modelling New'!$AF:$AF),"")</f>
        <v>0.98</v>
      </c>
      <c r="AN32" s="85"/>
      <c r="AO32" s="84"/>
      <c r="AP32" s="84"/>
      <c r="AQ32" s="84"/>
      <c r="AR32" s="86">
        <f>'Basic Data'!$J$2</f>
        <v>7.0991999999999997</v>
      </c>
      <c r="AT32" s="7" t="str">
        <f>IFERROR(_xlfn.XLOOKUP(Table13[[#This Row],[Date]],'Raw Data'!$E:$E,'Raw Data'!$AN:$AN),"")</f>
        <v/>
      </c>
      <c r="AU32" s="7">
        <f>IFERROR(_xlfn.XLOOKUP(Table13[[#This Row],[Month Year]],'Modelling New'!$D:$D,'Modelling New'!$AO:$AO),"")</f>
        <v>7</v>
      </c>
      <c r="AV32" s="7">
        <f>IFERROR(SUMIF('Curtailment Records'!$C:$C,Table13[[#This Row],[Date]],'Curtailment Records'!$R:$R)/1000,"")</f>
        <v>0</v>
      </c>
    </row>
    <row r="33" spans="1:48" x14ac:dyDescent="0.25">
      <c r="A33" s="93">
        <f t="shared" si="3"/>
        <v>45776</v>
      </c>
      <c r="B33" s="86">
        <f>YEAR(Table13[[#This Row],[Date]])+IF(MONTH(Table13[[#This Row],[Date]])&gt;=4,1,0)</f>
        <v>2026</v>
      </c>
      <c r="C33" s="7">
        <f>YEAR(Table13[[#This Row],[Date]])</f>
        <v>2025</v>
      </c>
      <c r="D33" s="92">
        <f>Table13[[#This Row],[Date]]-DAY(Table13[[#This Row],[Date]])+1</f>
        <v>45748</v>
      </c>
      <c r="E33" s="7">
        <f t="shared" si="0"/>
        <v>30</v>
      </c>
      <c r="F33" s="91">
        <f>IFERROR(_xlfn.XLOOKUP($A33,'Raw Data'!$G:$G,'Raw Data'!$AM:$AM),"")</f>
        <v>12.966666666666665</v>
      </c>
      <c r="G33" s="90">
        <f>IFERROR(_xlfn.XLOOKUP($A33,'Raw Data'!$G:$G,'Raw Data'!$AB:$AB),"")</f>
        <v>0</v>
      </c>
      <c r="H33" s="90"/>
      <c r="I33" s="90">
        <f>IFERROR(_xlfn.XLOOKUP($A33,'Raw Data'!$G:$G,'Raw Data'!$AC:$AC),"")</f>
        <v>5.62</v>
      </c>
      <c r="J33" s="90"/>
      <c r="K33" s="90">
        <f>IFERROR(_xlfn.XLOOKUP($A33,'Raw Data'!$G:$G,'Raw Data'!AD:AD),"")</f>
        <v>0</v>
      </c>
      <c r="L33" s="90">
        <f>IFERROR(_xlfn.XLOOKUP($A33,'Raw Data'!$G:$G,'Raw Data'!AE:AE),"")</f>
        <v>50.41</v>
      </c>
      <c r="M33" s="90">
        <f>IFERROR(_xlfn.XLOOKUP($A33,'Raw Data'!$G:$G,'Raw Data'!AF:AF),"")</f>
        <v>0</v>
      </c>
      <c r="N33" s="90">
        <f>IFERROR(_xlfn.XLOOKUP($A33,'Raw Data'!$G:$G,'Raw Data'!AG:AG),"")</f>
        <v>0</v>
      </c>
      <c r="O33" s="85">
        <f>IFERROR(1-SUMIF('Plant BD'!$B:$B,$A33,'Plant BD'!$AM:$AM)/($AA33+SUMIF('Plant BD'!$B:$B,$A33,'Plant BD'!$AM:$AM)),"")</f>
        <v>1</v>
      </c>
      <c r="P33" s="85"/>
      <c r="Q33" s="89"/>
      <c r="R33" s="85">
        <f>IFERROR(1-SUMIF('Grid BD'!$B:$B,$A33,'Grid BD'!$AE:$AE)/($AA33+SUMIF('Grid BD'!$B:$B,$A33,'Grid BD'!$AE:$AE)),"")</f>
        <v>1</v>
      </c>
      <c r="T33" s="89"/>
      <c r="U33" s="88">
        <f t="shared" si="1"/>
        <v>0.7769909616401135</v>
      </c>
      <c r="V33" s="88"/>
      <c r="W33" s="84">
        <f t="shared" si="2"/>
        <v>0.18194538351739326</v>
      </c>
      <c r="X33" s="86">
        <f>IFERROR(_xlfn.XLOOKUP($A33,'Raw Data'!$G:$G,'Raw Data'!AI:AI),"")</f>
        <v>31413.300000000003</v>
      </c>
      <c r="Y33" s="86">
        <f>IFERROR(_xlfn.XLOOKUP($A33,'Raw Data'!$G:$G,'Raw Data'!AJ:AJ),"")</f>
        <v>31200.000000000273</v>
      </c>
      <c r="Z33" s="86">
        <f>IFERROR(_xlfn.XLOOKUP($A33,'Raw Data'!$G:$G,'Raw Data'!AK:AK),"")</f>
        <v>199.99999999999929</v>
      </c>
      <c r="AA33" s="86">
        <f>IFERROR(_xlfn.XLOOKUP($A33,'Raw Data'!$G:$G,'Raw Data'!$AL:$AL)*(1+(_xlfn.XLOOKUP(Table13[[#This Row],[Month Year]],JMR!$A:$A,JMR!$J:$J))),"")</f>
        <v>31000.000000000273</v>
      </c>
      <c r="AB33" s="86">
        <f>IFERROR(_xlfn.XLOOKUP($A33,'Raw Data'!$G:$G,'Raw Data'!$H:$H),"")</f>
        <v>7.0991999999999997</v>
      </c>
      <c r="AC33" s="87">
        <f>IFERROR(_xlfn.XLOOKUP($D33,'Modelling New'!$D:$D,'Modelling New'!$P:$P),"")</f>
        <v>6.3733333333333331</v>
      </c>
      <c r="AD33" s="86">
        <f>IFERROR(_xlfn.XLOOKUP($D33,'Modelling New'!$D:$D,'Modelling New'!$T:$T)*1000,"")</f>
        <v>30633.087735595891</v>
      </c>
      <c r="AE33" s="94">
        <f>IFERROR(_xlfn.XLOOKUP($D33,'Modelling New'!$D:$D,'Modelling New'!$O:$O),"")</f>
        <v>0.67704062717470792</v>
      </c>
      <c r="AF33" s="94">
        <f>IFERROR(_xlfn.XLOOKUP($D33,'Modelling New'!$D:$D,'Modelling New'!$W:$W),"")</f>
        <v>0.1797918998830613</v>
      </c>
      <c r="AG33" s="94">
        <f>IFERROR(_xlfn.XLOOKUP($D33,'Modelling New'!$D:$D,'Modelling New'!$AE:$AE),"")</f>
        <v>0.98040000000000005</v>
      </c>
      <c r="AH33" s="94">
        <f>IFERROR(_xlfn.XLOOKUP($D33,'Modelling New'!$D:$D,'Modelling New'!$AF:$AF),"")</f>
        <v>0.98</v>
      </c>
      <c r="AN33" s="85"/>
      <c r="AO33" s="84"/>
      <c r="AP33" s="84"/>
      <c r="AQ33" s="84"/>
      <c r="AR33" s="86">
        <f>'Basic Data'!$J$2</f>
        <v>7.0991999999999997</v>
      </c>
      <c r="AT33" s="7" t="str">
        <f>IFERROR(_xlfn.XLOOKUP(Table13[[#This Row],[Date]],'Raw Data'!$E:$E,'Raw Data'!$AN:$AN),"")</f>
        <v/>
      </c>
      <c r="AU33" s="7">
        <f>IFERROR(_xlfn.XLOOKUP(Table13[[#This Row],[Month Year]],'Modelling New'!$D:$D,'Modelling New'!$AO:$AO),"")</f>
        <v>7</v>
      </c>
      <c r="AV33" s="7">
        <f>IFERROR(SUMIF('Curtailment Records'!$C:$C,Table13[[#This Row],[Date]],'Curtailment Records'!$R:$R)/1000,"")</f>
        <v>0</v>
      </c>
    </row>
    <row r="34" spans="1:48" x14ac:dyDescent="0.25">
      <c r="A34" s="93">
        <f t="shared" si="3"/>
        <v>45777</v>
      </c>
      <c r="B34" s="86">
        <f>YEAR(Table13[[#This Row],[Date]])+IF(MONTH(Table13[[#This Row],[Date]])&gt;=4,1,0)</f>
        <v>2026</v>
      </c>
      <c r="C34" s="7">
        <f>YEAR(Table13[[#This Row],[Date]])</f>
        <v>2025</v>
      </c>
      <c r="D34" s="92">
        <f>Table13[[#This Row],[Date]]-DAY(Table13[[#This Row],[Date]])+1</f>
        <v>45748</v>
      </c>
      <c r="E34" s="7">
        <f t="shared" si="0"/>
        <v>30</v>
      </c>
      <c r="F34" s="91">
        <f>IFERROR(_xlfn.XLOOKUP($A34,'Raw Data'!$G:$G,'Raw Data'!$AM:$AM),"")</f>
        <v>13.000000000000002</v>
      </c>
      <c r="G34" s="90">
        <f>IFERROR(_xlfn.XLOOKUP($A34,'Raw Data'!$G:$G,'Raw Data'!$AB:$AB),"")</f>
        <v>0</v>
      </c>
      <c r="H34" s="90"/>
      <c r="I34" s="90">
        <f>IFERROR(_xlfn.XLOOKUP($A34,'Raw Data'!$G:$G,'Raw Data'!$AC:$AC),"")</f>
        <v>5.77</v>
      </c>
      <c r="J34" s="90"/>
      <c r="K34" s="90">
        <f>IFERROR(_xlfn.XLOOKUP($A34,'Raw Data'!$G:$G,'Raw Data'!AD:AD),"")</f>
        <v>0</v>
      </c>
      <c r="L34" s="90">
        <f>IFERROR(_xlfn.XLOOKUP($A34,'Raw Data'!$G:$G,'Raw Data'!AE:AE),"")</f>
        <v>53.11</v>
      </c>
      <c r="M34" s="90">
        <f>IFERROR(_xlfn.XLOOKUP($A34,'Raw Data'!$G:$G,'Raw Data'!AF:AF),"")</f>
        <v>0</v>
      </c>
      <c r="N34" s="90">
        <f>IFERROR(_xlfn.XLOOKUP($A34,'Raw Data'!$G:$G,'Raw Data'!AG:AG),"")</f>
        <v>0</v>
      </c>
      <c r="O34" s="85">
        <f>IFERROR(1-SUMIF('Plant BD'!$B:$B,$A34,'Plant BD'!$AM:$AM)/($AA34+SUMIF('Plant BD'!$B:$B,$A34,'Plant BD'!$AM:$AM)),"")</f>
        <v>1</v>
      </c>
      <c r="P34" s="85"/>
      <c r="Q34" s="89"/>
      <c r="R34" s="85">
        <f>IFERROR(1-SUMIF('Grid BD'!$B:$B,$A34,'Grid BD'!$AE:$AE)/($AA34+SUMIF('Grid BD'!$B:$B,$A34,'Grid BD'!$AE:$AE)),"")</f>
        <v>1</v>
      </c>
      <c r="T34" s="89"/>
      <c r="U34" s="88">
        <f t="shared" si="1"/>
        <v>0.80317590890217516</v>
      </c>
      <c r="V34" s="88"/>
      <c r="W34" s="84">
        <f t="shared" si="2"/>
        <v>0.19309687476523127</v>
      </c>
      <c r="X34" s="86">
        <f>IFERROR(_xlfn.XLOOKUP($A34,'Raw Data'!$G:$G,'Raw Data'!AI:AI),"")</f>
        <v>33353.300000000003</v>
      </c>
      <c r="Y34" s="86">
        <f>IFERROR(_xlfn.XLOOKUP($A34,'Raw Data'!$G:$G,'Raw Data'!AJ:AJ),"")</f>
        <v>33099.999999999913</v>
      </c>
      <c r="Z34" s="86">
        <f>IFERROR(_xlfn.XLOOKUP($A34,'Raw Data'!$G:$G,'Raw Data'!AK:AK),"")</f>
        <v>200.00000000000284</v>
      </c>
      <c r="AA34" s="86">
        <f>IFERROR(_xlfn.XLOOKUP($A34,'Raw Data'!$G:$G,'Raw Data'!$AL:$AL)*(1+(_xlfn.XLOOKUP(Table13[[#This Row],[Month Year]],JMR!$A:$A,JMR!$J:$J))),"")</f>
        <v>32899.999999999913</v>
      </c>
      <c r="AB34" s="86">
        <f>IFERROR(_xlfn.XLOOKUP($A34,'Raw Data'!$G:$G,'Raw Data'!$H:$H),"")</f>
        <v>7.0991999999999997</v>
      </c>
      <c r="AC34" s="87">
        <f>IFERROR(_xlfn.XLOOKUP($D34,'Modelling New'!$D:$D,'Modelling New'!$P:$P),"")</f>
        <v>6.3733333333333331</v>
      </c>
      <c r="AD34" s="86">
        <f>IFERROR(_xlfn.XLOOKUP($D34,'Modelling New'!$D:$D,'Modelling New'!$T:$T)*1000,"")</f>
        <v>30633.087735595891</v>
      </c>
      <c r="AE34" s="94">
        <f>IFERROR(_xlfn.XLOOKUP($D34,'Modelling New'!$D:$D,'Modelling New'!$O:$O),"")</f>
        <v>0.67704062717470792</v>
      </c>
      <c r="AF34" s="94">
        <f>IFERROR(_xlfn.XLOOKUP($D34,'Modelling New'!$D:$D,'Modelling New'!$W:$W),"")</f>
        <v>0.1797918998830613</v>
      </c>
      <c r="AG34" s="94">
        <f>IFERROR(_xlfn.XLOOKUP($D34,'Modelling New'!$D:$D,'Modelling New'!$AE:$AE),"")</f>
        <v>0.98040000000000005</v>
      </c>
      <c r="AH34" s="94">
        <f>IFERROR(_xlfn.XLOOKUP($D34,'Modelling New'!$D:$D,'Modelling New'!$AF:$AF),"")</f>
        <v>0.98</v>
      </c>
      <c r="AN34" s="85"/>
      <c r="AO34" s="84"/>
      <c r="AP34" s="84"/>
      <c r="AQ34" s="84"/>
      <c r="AR34" s="86">
        <f>'Basic Data'!$J$2</f>
        <v>7.0991999999999997</v>
      </c>
      <c r="AT34" s="7" t="str">
        <f>IFERROR(_xlfn.XLOOKUP(Table13[[#This Row],[Date]],'Raw Data'!$E:$E,'Raw Data'!$AN:$AN),"")</f>
        <v/>
      </c>
      <c r="AU34" s="7">
        <f>IFERROR(_xlfn.XLOOKUP(Table13[[#This Row],[Month Year]],'Modelling New'!$D:$D,'Modelling New'!$AO:$AO),"")</f>
        <v>7</v>
      </c>
      <c r="AV34" s="7">
        <f>IFERROR(SUMIF('Curtailment Records'!$C:$C,Table13[[#This Row],[Date]],'Curtailment Records'!$R:$R)/1000,"")</f>
        <v>0</v>
      </c>
    </row>
    <row r="35" spans="1:48" x14ac:dyDescent="0.25">
      <c r="A35" s="93">
        <f t="shared" si="3"/>
        <v>45778</v>
      </c>
      <c r="B35" s="86">
        <f>YEAR(Table13[[#This Row],[Date]])+IF(MONTH(Table13[[#This Row],[Date]])&gt;=4,1,0)</f>
        <v>2026</v>
      </c>
      <c r="C35" s="7">
        <f>YEAR(Table13[[#This Row],[Date]])</f>
        <v>2025</v>
      </c>
      <c r="D35" s="92">
        <f>Table13[[#This Row],[Date]]-DAY(Table13[[#This Row],[Date]])+1</f>
        <v>45778</v>
      </c>
      <c r="E35" s="7">
        <f t="shared" si="0"/>
        <v>31</v>
      </c>
      <c r="F35" s="91">
        <f>IFERROR(_xlfn.XLOOKUP($A35,'Raw Data'!$G:$G,'Raw Data'!$AM:$AM),"")</f>
        <v>12.866666666666667</v>
      </c>
      <c r="G35" s="90">
        <f>IFERROR(_xlfn.XLOOKUP($A35,'Raw Data'!$G:$G,'Raw Data'!$AB:$AB),"")</f>
        <v>0</v>
      </c>
      <c r="H35" s="90"/>
      <c r="I35" s="90">
        <f>IFERROR(_xlfn.XLOOKUP($A35,'Raw Data'!$G:$G,'Raw Data'!$AC:$AC),"")</f>
        <v>5.52</v>
      </c>
      <c r="J35" s="90"/>
      <c r="K35" s="90">
        <f>IFERROR(_xlfn.XLOOKUP($A35,'Raw Data'!$G:$G,'Raw Data'!AD:AD),"")</f>
        <v>0</v>
      </c>
      <c r="L35" s="90">
        <f>IFERROR(_xlfn.XLOOKUP($A35,'Raw Data'!$G:$G,'Raw Data'!AE:AE),"")</f>
        <v>51.73</v>
      </c>
      <c r="M35" s="90">
        <f>IFERROR(_xlfn.XLOOKUP($A35,'Raw Data'!$G:$G,'Raw Data'!AF:AF),"")</f>
        <v>0</v>
      </c>
      <c r="N35" s="90">
        <f>IFERROR(_xlfn.XLOOKUP($A35,'Raw Data'!$G:$G,'Raw Data'!AG:AG),"")</f>
        <v>0</v>
      </c>
      <c r="O35" s="85">
        <f>IFERROR(1-SUMIF('Plant BD'!$B:$B,$A35,'Plant BD'!$AM:$AM)/($AA35+SUMIF('Plant BD'!$B:$B,$A35,'Plant BD'!$AM:$AM)),"")</f>
        <v>1</v>
      </c>
      <c r="P35" s="85"/>
      <c r="Q35" s="89"/>
      <c r="R35" s="85">
        <f>IFERROR(1-SUMIF('Grid BD'!$B:$B,$A35,'Grid BD'!$AE:$AE)/($AA35+SUMIF('Grid BD'!$B:$B,$A35,'Grid BD'!$AE:$AE)),"")</f>
        <v>1</v>
      </c>
      <c r="T35" s="89"/>
      <c r="U35" s="88">
        <f t="shared" si="1"/>
        <v>0.81148151414488845</v>
      </c>
      <c r="V35" s="88"/>
      <c r="W35" s="84">
        <f t="shared" si="2"/>
        <v>0.18664074825332433</v>
      </c>
      <c r="X35" s="86">
        <f>IFERROR(_xlfn.XLOOKUP($A35,'Raw Data'!$G:$G,'Raw Data'!AI:AI),"")</f>
        <v>32187.1</v>
      </c>
      <c r="Y35" s="86">
        <f>IFERROR(_xlfn.XLOOKUP($A35,'Raw Data'!$G:$G,'Raw Data'!AJ:AJ),"")</f>
        <v>32000</v>
      </c>
      <c r="Z35" s="86">
        <f>IFERROR(_xlfn.XLOOKUP($A35,'Raw Data'!$G:$G,'Raw Data'!AK:AK),"")</f>
        <v>199.99999999999929</v>
      </c>
      <c r="AA35" s="86">
        <f>IFERROR(_xlfn.XLOOKUP($A35,'Raw Data'!$G:$G,'Raw Data'!$AL:$AL)*(1+(_xlfn.XLOOKUP(Table13[[#This Row],[Month Year]],JMR!$A:$A,JMR!$J:$J))),"")</f>
        <v>31800</v>
      </c>
      <c r="AB35" s="86">
        <f>IFERROR(_xlfn.XLOOKUP($A35,'Raw Data'!$G:$G,'Raw Data'!$H:$H),"")</f>
        <v>7.0991999999999997</v>
      </c>
      <c r="AC35" s="87">
        <f>IFERROR(_xlfn.XLOOKUP($D35,'Modelling New'!$D:$D,'Modelling New'!$P:$P),"")</f>
        <v>6.0354838709677416</v>
      </c>
      <c r="AD35" s="86">
        <f>IFERROR(_xlfn.XLOOKUP($D35,'Modelling New'!$D:$D,'Modelling New'!$T:$T)*1000,"")</f>
        <v>29719.248980865192</v>
      </c>
      <c r="AE35" s="94">
        <f>IFERROR(_xlfn.XLOOKUP($D35,'Modelling New'!$D:$D,'Modelling New'!$O:$O),"")</f>
        <v>0.69361156434065652</v>
      </c>
      <c r="AF35" s="94">
        <f>IFERROR(_xlfn.XLOOKUP($D35,'Modelling New'!$D:$D,'Modelling New'!$W:$W),"")</f>
        <v>0.17442839205394736</v>
      </c>
      <c r="AG35" s="94">
        <f>IFERROR(_xlfn.XLOOKUP($D35,'Modelling New'!$D:$D,'Modelling New'!$AE:$AE),"")</f>
        <v>0.98040000000000005</v>
      </c>
      <c r="AH35" s="94">
        <f>IFERROR(_xlfn.XLOOKUP($D35,'Modelling New'!$D:$D,'Modelling New'!$AF:$AF),"")</f>
        <v>0.98</v>
      </c>
      <c r="AN35" s="85"/>
      <c r="AO35" s="84"/>
      <c r="AP35" s="84"/>
      <c r="AQ35" s="84"/>
      <c r="AR35" s="86">
        <f>'Basic Data'!$J$2</f>
        <v>7.0991999999999997</v>
      </c>
      <c r="AT35" s="7" t="str">
        <f>IFERROR(_xlfn.XLOOKUP(Table13[[#This Row],[Date]],'Raw Data'!$E:$E,'Raw Data'!$AN:$AN),"")</f>
        <v/>
      </c>
      <c r="AU35" s="7">
        <f>IFERROR(_xlfn.XLOOKUP(Table13[[#This Row],[Month Year]],'Modelling New'!$D:$D,'Modelling New'!$AO:$AO),"")</f>
        <v>7</v>
      </c>
      <c r="AV35" s="7">
        <f>IFERROR(SUMIF('Curtailment Records'!$C:$C,Table13[[#This Row],[Date]],'Curtailment Records'!$R:$R)/1000,"")</f>
        <v>0</v>
      </c>
    </row>
    <row r="36" spans="1:48" x14ac:dyDescent="0.25">
      <c r="A36" s="93">
        <f t="shared" si="3"/>
        <v>45779</v>
      </c>
      <c r="B36" s="86">
        <f>YEAR(Table13[[#This Row],[Date]])+IF(MONTH(Table13[[#This Row],[Date]])&gt;=4,1,0)</f>
        <v>2026</v>
      </c>
      <c r="C36" s="7">
        <f>YEAR(Table13[[#This Row],[Date]])</f>
        <v>2025</v>
      </c>
      <c r="D36" s="92">
        <f>Table13[[#This Row],[Date]]-DAY(Table13[[#This Row],[Date]])+1</f>
        <v>45778</v>
      </c>
      <c r="E36" s="7">
        <f t="shared" si="0"/>
        <v>31</v>
      </c>
      <c r="F36" s="91">
        <f>IFERROR(_xlfn.XLOOKUP($A36,'Raw Data'!$G:$G,'Raw Data'!$AM:$AM),"")</f>
        <v>12.7</v>
      </c>
      <c r="G36" s="90">
        <f>IFERROR(_xlfn.XLOOKUP($A36,'Raw Data'!$G:$G,'Raw Data'!$AB:$AB),"")</f>
        <v>0</v>
      </c>
      <c r="H36" s="90"/>
      <c r="I36" s="90">
        <f>IFERROR(_xlfn.XLOOKUP($A36,'Raw Data'!$G:$G,'Raw Data'!$AC:$AC),"")</f>
        <v>6.17</v>
      </c>
      <c r="J36" s="90"/>
      <c r="K36" s="90">
        <f>IFERROR(_xlfn.XLOOKUP($A36,'Raw Data'!$G:$G,'Raw Data'!AD:AD),"")</f>
        <v>0</v>
      </c>
      <c r="L36" s="90">
        <f>IFERROR(_xlfn.XLOOKUP($A36,'Raw Data'!$G:$G,'Raw Data'!AE:AE),"")</f>
        <v>52.45</v>
      </c>
      <c r="M36" s="90">
        <f>IFERROR(_xlfn.XLOOKUP($A36,'Raw Data'!$G:$G,'Raw Data'!AF:AF),"")</f>
        <v>0</v>
      </c>
      <c r="N36" s="90">
        <f>IFERROR(_xlfn.XLOOKUP($A36,'Raw Data'!$G:$G,'Raw Data'!AG:AG),"")</f>
        <v>0</v>
      </c>
      <c r="O36" s="85">
        <f>IFERROR(1-SUMIF('Plant BD'!$B:$B,$A36,'Plant BD'!$AM:$AM)/($AA36+SUMIF('Plant BD'!$B:$B,$A36,'Plant BD'!$AM:$AM)),"")</f>
        <v>1</v>
      </c>
      <c r="P36" s="85"/>
      <c r="Q36" s="89"/>
      <c r="R36" s="85">
        <f>IFERROR(1-SUMIF('Grid BD'!$B:$B,$A36,'Grid BD'!$AE:$AE)/($AA36+SUMIF('Grid BD'!$B:$B,$A36,'Grid BD'!$AE:$AE)),"")</f>
        <v>1</v>
      </c>
      <c r="T36" s="89"/>
      <c r="U36" s="88">
        <f t="shared" si="1"/>
        <v>0.75795515024132398</v>
      </c>
      <c r="V36" s="88"/>
      <c r="W36" s="84">
        <f t="shared" si="2"/>
        <v>0.19485763654120705</v>
      </c>
      <c r="X36" s="86">
        <f>IFERROR(_xlfn.XLOOKUP($A36,'Raw Data'!$G:$G,'Raw Data'!AI:AI),"")</f>
        <v>33768.199999999997</v>
      </c>
      <c r="Y36" s="86">
        <f>IFERROR(_xlfn.XLOOKUP($A36,'Raw Data'!$G:$G,'Raw Data'!AJ:AJ),"")</f>
        <v>33400.000000000087</v>
      </c>
      <c r="Z36" s="86">
        <f>IFERROR(_xlfn.XLOOKUP($A36,'Raw Data'!$G:$G,'Raw Data'!AK:AK),"")</f>
        <v>199.99999999999929</v>
      </c>
      <c r="AA36" s="86">
        <f>IFERROR(_xlfn.XLOOKUP($A36,'Raw Data'!$G:$G,'Raw Data'!$AL:$AL)*(1+(_xlfn.XLOOKUP(Table13[[#This Row],[Month Year]],JMR!$A:$A,JMR!$J:$J))),"")</f>
        <v>33200.000000000087</v>
      </c>
      <c r="AB36" s="86">
        <f>IFERROR(_xlfn.XLOOKUP($A36,'Raw Data'!$G:$G,'Raw Data'!$H:$H),"")</f>
        <v>7.0991999999999997</v>
      </c>
      <c r="AC36" s="87">
        <f>IFERROR(_xlfn.XLOOKUP($D36,'Modelling New'!$D:$D,'Modelling New'!$P:$P),"")</f>
        <v>6.0354838709677416</v>
      </c>
      <c r="AD36" s="86">
        <f>IFERROR(_xlfn.XLOOKUP($D36,'Modelling New'!$D:$D,'Modelling New'!$T:$T)*1000,"")</f>
        <v>29719.248980865192</v>
      </c>
      <c r="AE36" s="94">
        <f>IFERROR(_xlfn.XLOOKUP($D36,'Modelling New'!$D:$D,'Modelling New'!$O:$O),"")</f>
        <v>0.69361156434065652</v>
      </c>
      <c r="AF36" s="94">
        <f>IFERROR(_xlfn.XLOOKUP($D36,'Modelling New'!$D:$D,'Modelling New'!$W:$W),"")</f>
        <v>0.17442839205394736</v>
      </c>
      <c r="AG36" s="94">
        <f>IFERROR(_xlfn.XLOOKUP($D36,'Modelling New'!$D:$D,'Modelling New'!$AE:$AE),"")</f>
        <v>0.98040000000000005</v>
      </c>
      <c r="AH36" s="94">
        <f>IFERROR(_xlfn.XLOOKUP($D36,'Modelling New'!$D:$D,'Modelling New'!$AF:$AF),"")</f>
        <v>0.98</v>
      </c>
      <c r="AN36" s="85"/>
      <c r="AO36" s="84"/>
      <c r="AP36" s="84"/>
      <c r="AQ36" s="84"/>
      <c r="AR36" s="86">
        <f>'Basic Data'!$J$2</f>
        <v>7.0991999999999997</v>
      </c>
      <c r="AT36" s="7" t="str">
        <f>IFERROR(_xlfn.XLOOKUP(Table13[[#This Row],[Date]],'Raw Data'!$E:$E,'Raw Data'!$AN:$AN),"")</f>
        <v/>
      </c>
      <c r="AU36" s="7">
        <f>IFERROR(_xlfn.XLOOKUP(Table13[[#This Row],[Month Year]],'Modelling New'!$D:$D,'Modelling New'!$AO:$AO),"")</f>
        <v>7</v>
      </c>
      <c r="AV36" s="7">
        <f>IFERROR(SUMIF('Curtailment Records'!$C:$C,Table13[[#This Row],[Date]],'Curtailment Records'!$R:$R)/1000,"")</f>
        <v>0</v>
      </c>
    </row>
    <row r="37" spans="1:48" x14ac:dyDescent="0.25">
      <c r="A37" s="93">
        <f t="shared" si="3"/>
        <v>45780</v>
      </c>
      <c r="B37" s="86">
        <f>YEAR(Table13[[#This Row],[Date]])+IF(MONTH(Table13[[#This Row],[Date]])&gt;=4,1,0)</f>
        <v>2026</v>
      </c>
      <c r="C37" s="7">
        <f>YEAR(Table13[[#This Row],[Date]])</f>
        <v>2025</v>
      </c>
      <c r="D37" s="92">
        <f>Table13[[#This Row],[Date]]-DAY(Table13[[#This Row],[Date]])+1</f>
        <v>45778</v>
      </c>
      <c r="E37" s="7">
        <f t="shared" si="0"/>
        <v>31</v>
      </c>
      <c r="F37" s="91">
        <f>IFERROR(_xlfn.XLOOKUP($A37,'Raw Data'!$G:$G,'Raw Data'!$AM:$AM),"")</f>
        <v>12.8</v>
      </c>
      <c r="G37" s="90">
        <f>IFERROR(_xlfn.XLOOKUP($A37,'Raw Data'!$G:$G,'Raw Data'!$AB:$AB),"")</f>
        <v>0</v>
      </c>
      <c r="H37" s="90"/>
      <c r="I37" s="90">
        <f>IFERROR(_xlfn.XLOOKUP($A37,'Raw Data'!$G:$G,'Raw Data'!$AC:$AC),"")</f>
        <v>5.95</v>
      </c>
      <c r="J37" s="90"/>
      <c r="K37" s="90">
        <f>IFERROR(_xlfn.XLOOKUP($A37,'Raw Data'!$G:$G,'Raw Data'!AD:AD),"")</f>
        <v>0</v>
      </c>
      <c r="L37" s="90">
        <f>IFERROR(_xlfn.XLOOKUP($A37,'Raw Data'!$G:$G,'Raw Data'!AE:AE),"")</f>
        <v>51.94</v>
      </c>
      <c r="M37" s="90">
        <f>IFERROR(_xlfn.XLOOKUP($A37,'Raw Data'!$G:$G,'Raw Data'!AF:AF),"")</f>
        <v>0</v>
      </c>
      <c r="N37" s="90">
        <f>IFERROR(_xlfn.XLOOKUP($A37,'Raw Data'!$G:$G,'Raw Data'!AG:AG),"")</f>
        <v>0</v>
      </c>
      <c r="O37" s="85">
        <f>IFERROR(1-SUMIF('Plant BD'!$B:$B,$A37,'Plant BD'!$AM:$AM)/($AA37+SUMIF('Plant BD'!$B:$B,$A37,'Plant BD'!$AM:$AM)),"")</f>
        <v>1</v>
      </c>
      <c r="P37" s="85"/>
      <c r="Q37" s="89"/>
      <c r="R37" s="85">
        <f>IFERROR(1-SUMIF('Grid BD'!$B:$B,$A37,'Grid BD'!$AE:$AE)/($AA37+SUMIF('Grid BD'!$B:$B,$A37,'Grid BD'!$AE:$AE)),"")</f>
        <v>1</v>
      </c>
      <c r="T37" s="89"/>
      <c r="U37" s="88">
        <f t="shared" si="1"/>
        <v>0.80965449059948735</v>
      </c>
      <c r="V37" s="88"/>
      <c r="W37" s="84">
        <f t="shared" si="2"/>
        <v>0.20072684246112291</v>
      </c>
      <c r="X37" s="86">
        <f>IFERROR(_xlfn.XLOOKUP($A37,'Raw Data'!$G:$G,'Raw Data'!AI:AI),"")</f>
        <v>34648</v>
      </c>
      <c r="Y37" s="86">
        <f>IFERROR(_xlfn.XLOOKUP($A37,'Raw Data'!$G:$G,'Raw Data'!AJ:AJ),"")</f>
        <v>34400.000000000087</v>
      </c>
      <c r="Z37" s="86">
        <f>IFERROR(_xlfn.XLOOKUP($A37,'Raw Data'!$G:$G,'Raw Data'!AK:AK),"")</f>
        <v>199.99999999999929</v>
      </c>
      <c r="AA37" s="86">
        <f>IFERROR(_xlfn.XLOOKUP($A37,'Raw Data'!$G:$G,'Raw Data'!$AL:$AL)*(1+(_xlfn.XLOOKUP(Table13[[#This Row],[Month Year]],JMR!$A:$A,JMR!$J:$J))),"")</f>
        <v>34200.000000000087</v>
      </c>
      <c r="AB37" s="86">
        <f>IFERROR(_xlfn.XLOOKUP($A37,'Raw Data'!$G:$G,'Raw Data'!$H:$H),"")</f>
        <v>7.0991999999999997</v>
      </c>
      <c r="AC37" s="87">
        <f>IFERROR(_xlfn.XLOOKUP($D37,'Modelling New'!$D:$D,'Modelling New'!$P:$P),"")</f>
        <v>6.0354838709677416</v>
      </c>
      <c r="AD37" s="86">
        <f>IFERROR(_xlfn.XLOOKUP($D37,'Modelling New'!$D:$D,'Modelling New'!$T:$T)*1000,"")</f>
        <v>29719.248980865192</v>
      </c>
      <c r="AE37" s="94">
        <f>IFERROR(_xlfn.XLOOKUP($D37,'Modelling New'!$D:$D,'Modelling New'!$O:$O),"")</f>
        <v>0.69361156434065652</v>
      </c>
      <c r="AF37" s="94">
        <f>IFERROR(_xlfn.XLOOKUP($D37,'Modelling New'!$D:$D,'Modelling New'!$W:$W),"")</f>
        <v>0.17442839205394736</v>
      </c>
      <c r="AG37" s="94">
        <f>IFERROR(_xlfn.XLOOKUP($D37,'Modelling New'!$D:$D,'Modelling New'!$AE:$AE),"")</f>
        <v>0.98040000000000005</v>
      </c>
      <c r="AH37" s="94">
        <f>IFERROR(_xlfn.XLOOKUP($D37,'Modelling New'!$D:$D,'Modelling New'!$AF:$AF),"")</f>
        <v>0.98</v>
      </c>
      <c r="AN37" s="85"/>
      <c r="AO37" s="84"/>
      <c r="AP37" s="84"/>
      <c r="AQ37" s="84"/>
      <c r="AR37" s="86">
        <f>'Basic Data'!$J$2</f>
        <v>7.0991999999999997</v>
      </c>
      <c r="AT37" s="7" t="str">
        <f>IFERROR(_xlfn.XLOOKUP(Table13[[#This Row],[Date]],'Raw Data'!$E:$E,'Raw Data'!$AN:$AN),"")</f>
        <v/>
      </c>
      <c r="AU37" s="7">
        <f>IFERROR(_xlfn.XLOOKUP(Table13[[#This Row],[Month Year]],'Modelling New'!$D:$D,'Modelling New'!$AO:$AO),"")</f>
        <v>7</v>
      </c>
      <c r="AV37" s="7">
        <f>IFERROR(SUMIF('Curtailment Records'!$C:$C,Table13[[#This Row],[Date]],'Curtailment Records'!$R:$R)/1000,"")</f>
        <v>0</v>
      </c>
    </row>
    <row r="38" spans="1:48" x14ac:dyDescent="0.25">
      <c r="A38" s="93">
        <f t="shared" si="3"/>
        <v>45781</v>
      </c>
      <c r="B38" s="86">
        <f>YEAR(Table13[[#This Row],[Date]])+IF(MONTH(Table13[[#This Row],[Date]])&gt;=4,1,0)</f>
        <v>2026</v>
      </c>
      <c r="C38" s="7">
        <f>YEAR(Table13[[#This Row],[Date]])</f>
        <v>2025</v>
      </c>
      <c r="D38" s="92">
        <f>Table13[[#This Row],[Date]]-DAY(Table13[[#This Row],[Date]])+1</f>
        <v>45778</v>
      </c>
      <c r="E38" s="7">
        <f t="shared" si="0"/>
        <v>31</v>
      </c>
      <c r="F38" s="91">
        <f>IFERROR(_xlfn.XLOOKUP($A38,'Raw Data'!$G:$G,'Raw Data'!$AM:$AM),"")</f>
        <v>12.816666666666666</v>
      </c>
      <c r="G38" s="90">
        <f>IFERROR(_xlfn.XLOOKUP($A38,'Raw Data'!$G:$G,'Raw Data'!$AB:$AB),"")</f>
        <v>0</v>
      </c>
      <c r="H38" s="90"/>
      <c r="I38" s="90">
        <f>IFERROR(_xlfn.XLOOKUP($A38,'Raw Data'!$G:$G,'Raw Data'!$AC:$AC),"")</f>
        <v>5.27</v>
      </c>
      <c r="J38" s="90"/>
      <c r="K38" s="90">
        <f>IFERROR(_xlfn.XLOOKUP($A38,'Raw Data'!$G:$G,'Raw Data'!AD:AD),"")</f>
        <v>0</v>
      </c>
      <c r="L38" s="90">
        <f>IFERROR(_xlfn.XLOOKUP($A38,'Raw Data'!$G:$G,'Raw Data'!AE:AE),"")</f>
        <v>48.93</v>
      </c>
      <c r="M38" s="90">
        <f>IFERROR(_xlfn.XLOOKUP($A38,'Raw Data'!$G:$G,'Raw Data'!AF:AF),"")</f>
        <v>0</v>
      </c>
      <c r="N38" s="90">
        <f>IFERROR(_xlfn.XLOOKUP($A38,'Raw Data'!$G:$G,'Raw Data'!AG:AG),"")</f>
        <v>0</v>
      </c>
      <c r="O38" s="85">
        <f>IFERROR(1-SUMIF('Plant BD'!$B:$B,$A38,'Plant BD'!$AM:$AM)/($AA38+SUMIF('Plant BD'!$B:$B,$A38,'Plant BD'!$AM:$AM)),"")</f>
        <v>1</v>
      </c>
      <c r="P38" s="85"/>
      <c r="Q38" s="89"/>
      <c r="R38" s="85">
        <f>IFERROR(1-SUMIF('Grid BD'!$B:$B,$A38,'Grid BD'!$AE:$AE)/($AA38+SUMIF('Grid BD'!$B:$B,$A38,'Grid BD'!$AE:$AE)),"")</f>
        <v>0.98549044251848517</v>
      </c>
      <c r="T38" s="89"/>
      <c r="U38" s="88">
        <f t="shared" si="1"/>
        <v>0.8045378285668271</v>
      </c>
      <c r="V38" s="88"/>
      <c r="W38" s="84">
        <f t="shared" si="2"/>
        <v>0.17666309818946577</v>
      </c>
      <c r="X38" s="86">
        <f>IFERROR(_xlfn.XLOOKUP($A38,'Raw Data'!$G:$G,'Raw Data'!AI:AI),"")</f>
        <v>30426.2</v>
      </c>
      <c r="Y38" s="86">
        <f>IFERROR(_xlfn.XLOOKUP($A38,'Raw Data'!$G:$G,'Raw Data'!AJ:AJ),"")</f>
        <v>30299.999999999727</v>
      </c>
      <c r="Z38" s="86">
        <f>IFERROR(_xlfn.XLOOKUP($A38,'Raw Data'!$G:$G,'Raw Data'!AK:AK),"")</f>
        <v>199.99999999999929</v>
      </c>
      <c r="AA38" s="86">
        <f>IFERROR(_xlfn.XLOOKUP($A38,'Raw Data'!$G:$G,'Raw Data'!$AL:$AL)*(1+(_xlfn.XLOOKUP(Table13[[#This Row],[Month Year]],JMR!$A:$A,JMR!$J:$J))),"")</f>
        <v>30099.999999999727</v>
      </c>
      <c r="AB38" s="86">
        <f>IFERROR(_xlfn.XLOOKUP($A38,'Raw Data'!$G:$G,'Raw Data'!$H:$H),"")</f>
        <v>7.0991999999999997</v>
      </c>
      <c r="AC38" s="87">
        <f>IFERROR(_xlfn.XLOOKUP($D38,'Modelling New'!$D:$D,'Modelling New'!$P:$P),"")</f>
        <v>6.0354838709677416</v>
      </c>
      <c r="AD38" s="86">
        <f>IFERROR(_xlfn.XLOOKUP($D38,'Modelling New'!$D:$D,'Modelling New'!$T:$T)*1000,"")</f>
        <v>29719.248980865192</v>
      </c>
      <c r="AE38" s="94">
        <f>IFERROR(_xlfn.XLOOKUP($D38,'Modelling New'!$D:$D,'Modelling New'!$O:$O),"")</f>
        <v>0.69361156434065652</v>
      </c>
      <c r="AF38" s="94">
        <f>IFERROR(_xlfn.XLOOKUP($D38,'Modelling New'!$D:$D,'Modelling New'!$W:$W),"")</f>
        <v>0.17442839205394736</v>
      </c>
      <c r="AG38" s="94">
        <f>IFERROR(_xlfn.XLOOKUP($D38,'Modelling New'!$D:$D,'Modelling New'!$AE:$AE),"")</f>
        <v>0.98040000000000005</v>
      </c>
      <c r="AH38" s="94">
        <f>IFERROR(_xlfn.XLOOKUP($D38,'Modelling New'!$D:$D,'Modelling New'!$AF:$AF),"")</f>
        <v>0.98</v>
      </c>
      <c r="AN38" s="85"/>
      <c r="AO38" s="84"/>
      <c r="AP38" s="84"/>
      <c r="AQ38" s="84"/>
      <c r="AR38" s="86">
        <f>'Basic Data'!$J$2</f>
        <v>7.0991999999999997</v>
      </c>
      <c r="AT38" s="7" t="str">
        <f>IFERROR(_xlfn.XLOOKUP(Table13[[#This Row],[Date]],'Raw Data'!$E:$E,'Raw Data'!$AN:$AN),"")</f>
        <v/>
      </c>
      <c r="AU38" s="7">
        <f>IFERROR(_xlfn.XLOOKUP(Table13[[#This Row],[Month Year]],'Modelling New'!$D:$D,'Modelling New'!$AO:$AO),"")</f>
        <v>7</v>
      </c>
      <c r="AV38" s="7">
        <f>IFERROR(SUMIF('Curtailment Records'!$C:$C,Table13[[#This Row],[Date]],'Curtailment Records'!$R:$R)/1000,"")</f>
        <v>0</v>
      </c>
    </row>
    <row r="39" spans="1:48" x14ac:dyDescent="0.25">
      <c r="A39" s="93">
        <f t="shared" si="3"/>
        <v>45782</v>
      </c>
      <c r="B39" s="86">
        <f>YEAR(Table13[[#This Row],[Date]])+IF(MONTH(Table13[[#This Row],[Date]])&gt;=4,1,0)</f>
        <v>2026</v>
      </c>
      <c r="C39" s="7">
        <f>YEAR(Table13[[#This Row],[Date]])</f>
        <v>2025</v>
      </c>
      <c r="D39" s="92">
        <f>Table13[[#This Row],[Date]]-DAY(Table13[[#This Row],[Date]])+1</f>
        <v>45778</v>
      </c>
      <c r="E39" s="7">
        <f t="shared" si="0"/>
        <v>31</v>
      </c>
      <c r="F39" s="91">
        <f>IFERROR(_xlfn.XLOOKUP($A39,'Raw Data'!$G:$G,'Raw Data'!$AM:$AM),"")</f>
        <v>12.883333333333333</v>
      </c>
      <c r="G39" s="90">
        <f>IFERROR(_xlfn.XLOOKUP($A39,'Raw Data'!$G:$G,'Raw Data'!$AB:$AB),"")</f>
        <v>0</v>
      </c>
      <c r="H39" s="90"/>
      <c r="I39" s="90">
        <f>IFERROR(_xlfn.XLOOKUP($A39,'Raw Data'!$G:$G,'Raw Data'!$AC:$AC),"")</f>
        <v>6.52</v>
      </c>
      <c r="J39" s="90"/>
      <c r="K39" s="90">
        <f>IFERROR(_xlfn.XLOOKUP($A39,'Raw Data'!$G:$G,'Raw Data'!AD:AD),"")</f>
        <v>0</v>
      </c>
      <c r="L39" s="90">
        <f>IFERROR(_xlfn.XLOOKUP($A39,'Raw Data'!$G:$G,'Raw Data'!AE:AE),"")</f>
        <v>51.89</v>
      </c>
      <c r="M39" s="90">
        <f>IFERROR(_xlfn.XLOOKUP($A39,'Raw Data'!$G:$G,'Raw Data'!AF:AF),"")</f>
        <v>0</v>
      </c>
      <c r="N39" s="90">
        <f>IFERROR(_xlfn.XLOOKUP($A39,'Raw Data'!$G:$G,'Raw Data'!AG:AG),"")</f>
        <v>0</v>
      </c>
      <c r="O39" s="85">
        <f>IFERROR(1-SUMIF('Plant BD'!$B:$B,$A39,'Plant BD'!$AM:$AM)/($AA39+SUMIF('Plant BD'!$B:$B,$A39,'Plant BD'!$AM:$AM)),"")</f>
        <v>1</v>
      </c>
      <c r="P39" s="85"/>
      <c r="Q39" s="89"/>
      <c r="R39" s="85">
        <f>IFERROR(1-SUMIF('Grid BD'!$B:$B,$A39,'Grid BD'!$AE:$AE)/($AA39+SUMIF('Grid BD'!$B:$B,$A39,'Grid BD'!$AE:$AE)),"")</f>
        <v>1</v>
      </c>
      <c r="T39" s="89"/>
      <c r="U39" s="88">
        <f t="shared" si="1"/>
        <v>0.75615536391554616</v>
      </c>
      <c r="V39" s="88"/>
      <c r="W39" s="84">
        <f t="shared" si="2"/>
        <v>0.2054222071970567</v>
      </c>
      <c r="X39" s="86">
        <f>IFERROR(_xlfn.XLOOKUP($A39,'Raw Data'!$G:$G,'Raw Data'!AI:AI),"")</f>
        <v>35573.9</v>
      </c>
      <c r="Y39" s="86">
        <f>IFERROR(_xlfn.XLOOKUP($A39,'Raw Data'!$G:$G,'Raw Data'!AJ:AJ),"")</f>
        <v>35200.000000000276</v>
      </c>
      <c r="Z39" s="86">
        <f>IFERROR(_xlfn.XLOOKUP($A39,'Raw Data'!$G:$G,'Raw Data'!AK:AK),"")</f>
        <v>200.00000000000284</v>
      </c>
      <c r="AA39" s="86">
        <f>IFERROR(_xlfn.XLOOKUP($A39,'Raw Data'!$G:$G,'Raw Data'!$AL:$AL)*(1+(_xlfn.XLOOKUP(Table13[[#This Row],[Month Year]],JMR!$A:$A,JMR!$J:$J))),"")</f>
        <v>35000.000000000276</v>
      </c>
      <c r="AB39" s="86">
        <f>IFERROR(_xlfn.XLOOKUP($A39,'Raw Data'!$G:$G,'Raw Data'!$H:$H),"")</f>
        <v>7.0991999999999997</v>
      </c>
      <c r="AC39" s="87">
        <f>IFERROR(_xlfn.XLOOKUP($D39,'Modelling New'!$D:$D,'Modelling New'!$P:$P),"")</f>
        <v>6.0354838709677416</v>
      </c>
      <c r="AD39" s="86">
        <f>IFERROR(_xlfn.XLOOKUP($D39,'Modelling New'!$D:$D,'Modelling New'!$T:$T)*1000,"")</f>
        <v>29719.248980865192</v>
      </c>
      <c r="AE39" s="94">
        <f>IFERROR(_xlfn.XLOOKUP($D39,'Modelling New'!$D:$D,'Modelling New'!$O:$O),"")</f>
        <v>0.69361156434065652</v>
      </c>
      <c r="AF39" s="94">
        <f>IFERROR(_xlfn.XLOOKUP($D39,'Modelling New'!$D:$D,'Modelling New'!$W:$W),"")</f>
        <v>0.17442839205394736</v>
      </c>
      <c r="AG39" s="94">
        <f>IFERROR(_xlfn.XLOOKUP($D39,'Modelling New'!$D:$D,'Modelling New'!$AE:$AE),"")</f>
        <v>0.98040000000000005</v>
      </c>
      <c r="AH39" s="94">
        <f>IFERROR(_xlfn.XLOOKUP($D39,'Modelling New'!$D:$D,'Modelling New'!$AF:$AF),"")</f>
        <v>0.98</v>
      </c>
      <c r="AN39" s="85"/>
      <c r="AO39" s="84"/>
      <c r="AP39" s="84"/>
      <c r="AQ39" s="84"/>
      <c r="AR39" s="86">
        <f>'Basic Data'!$J$2</f>
        <v>7.0991999999999997</v>
      </c>
      <c r="AT39" s="7" t="str">
        <f>IFERROR(_xlfn.XLOOKUP(Table13[[#This Row],[Date]],'Raw Data'!$E:$E,'Raw Data'!$AN:$AN),"")</f>
        <v/>
      </c>
      <c r="AU39" s="7">
        <f>IFERROR(_xlfn.XLOOKUP(Table13[[#This Row],[Month Year]],'Modelling New'!$D:$D,'Modelling New'!$AO:$AO),"")</f>
        <v>7</v>
      </c>
      <c r="AV39" s="7">
        <f>IFERROR(SUMIF('Curtailment Records'!$C:$C,Table13[[#This Row],[Date]],'Curtailment Records'!$R:$R)/1000,"")</f>
        <v>0</v>
      </c>
    </row>
    <row r="40" spans="1:48" x14ac:dyDescent="0.25">
      <c r="A40" s="93">
        <f t="shared" si="3"/>
        <v>45783</v>
      </c>
      <c r="B40" s="86">
        <f>YEAR(Table13[[#This Row],[Date]])+IF(MONTH(Table13[[#This Row],[Date]])&gt;=4,1,0)</f>
        <v>2026</v>
      </c>
      <c r="C40" s="7">
        <f>YEAR(Table13[[#This Row],[Date]])</f>
        <v>2025</v>
      </c>
      <c r="D40" s="92">
        <f>Table13[[#This Row],[Date]]-DAY(Table13[[#This Row],[Date]])+1</f>
        <v>45778</v>
      </c>
      <c r="E40" s="7">
        <f t="shared" si="0"/>
        <v>31</v>
      </c>
      <c r="F40" s="91">
        <f>IFERROR(_xlfn.XLOOKUP($A40,'Raw Data'!$G:$G,'Raw Data'!$AM:$AM),"")</f>
        <v>12.983333333333333</v>
      </c>
      <c r="G40" s="90">
        <f>IFERROR(_xlfn.XLOOKUP($A40,'Raw Data'!$G:$G,'Raw Data'!$AB:$AB),"")</f>
        <v>0</v>
      </c>
      <c r="H40" s="90"/>
      <c r="I40" s="90">
        <f>IFERROR(_xlfn.XLOOKUP($A40,'Raw Data'!$G:$G,'Raw Data'!$AC:$AC),"")</f>
        <v>6.2</v>
      </c>
      <c r="J40" s="90"/>
      <c r="K40" s="90">
        <f>IFERROR(_xlfn.XLOOKUP($A40,'Raw Data'!$G:$G,'Raw Data'!AD:AD),"")</f>
        <v>0</v>
      </c>
      <c r="L40" s="90">
        <f>IFERROR(_xlfn.XLOOKUP($A40,'Raw Data'!$G:$G,'Raw Data'!AE:AE),"")</f>
        <v>51.72</v>
      </c>
      <c r="M40" s="90">
        <f>IFERROR(_xlfn.XLOOKUP($A40,'Raw Data'!$G:$G,'Raw Data'!AF:AF),"")</f>
        <v>0</v>
      </c>
      <c r="N40" s="90">
        <f>IFERROR(_xlfn.XLOOKUP($A40,'Raw Data'!$G:$G,'Raw Data'!AG:AG),"")</f>
        <v>0</v>
      </c>
      <c r="O40" s="85">
        <f>IFERROR(1-SUMIF('Plant BD'!$B:$B,$A40,'Plant BD'!$AM:$AM)/($AA40+SUMIF('Plant BD'!$B:$B,$A40,'Plant BD'!$AM:$AM)),"")</f>
        <v>1</v>
      </c>
      <c r="P40" s="85"/>
      <c r="Q40" s="89"/>
      <c r="R40" s="85">
        <f>IFERROR(1-SUMIF('Grid BD'!$B:$B,$A40,'Grid BD'!$AE:$AE)/($AA40+SUMIF('Grid BD'!$B:$B,$A40,'Grid BD'!$AE:$AE)),"")</f>
        <v>0.94252536119745756</v>
      </c>
      <c r="T40" s="89"/>
      <c r="U40" s="88">
        <f t="shared" si="1"/>
        <v>0.7338400692127055</v>
      </c>
      <c r="V40" s="88"/>
      <c r="W40" s="84">
        <f t="shared" si="2"/>
        <v>0.18957535121328226</v>
      </c>
      <c r="X40" s="86">
        <f>IFERROR(_xlfn.XLOOKUP($A40,'Raw Data'!$G:$G,'Raw Data'!AI:AI),"")</f>
        <v>32790.5</v>
      </c>
      <c r="Y40" s="86">
        <f>IFERROR(_xlfn.XLOOKUP($A40,'Raw Data'!$G:$G,'Raw Data'!AJ:AJ),"")</f>
        <v>32500</v>
      </c>
      <c r="Z40" s="86">
        <f>IFERROR(_xlfn.XLOOKUP($A40,'Raw Data'!$G:$G,'Raw Data'!AK:AK),"")</f>
        <v>199.99999999999929</v>
      </c>
      <c r="AA40" s="86">
        <f>IFERROR(_xlfn.XLOOKUP($A40,'Raw Data'!$G:$G,'Raw Data'!$AL:$AL)*(1+(_xlfn.XLOOKUP(Table13[[#This Row],[Month Year]],JMR!$A:$A,JMR!$J:$J))),"")</f>
        <v>32300</v>
      </c>
      <c r="AB40" s="86">
        <f>IFERROR(_xlfn.XLOOKUP($A40,'Raw Data'!$G:$G,'Raw Data'!$H:$H),"")</f>
        <v>7.0991999999999997</v>
      </c>
      <c r="AC40" s="87">
        <f>IFERROR(_xlfn.XLOOKUP($D40,'Modelling New'!$D:$D,'Modelling New'!$P:$P),"")</f>
        <v>6.0354838709677416</v>
      </c>
      <c r="AD40" s="86">
        <f>IFERROR(_xlfn.XLOOKUP($D40,'Modelling New'!$D:$D,'Modelling New'!$T:$T)*1000,"")</f>
        <v>29719.248980865192</v>
      </c>
      <c r="AE40" s="94">
        <f>IFERROR(_xlfn.XLOOKUP($D40,'Modelling New'!$D:$D,'Modelling New'!$O:$O),"")</f>
        <v>0.69361156434065652</v>
      </c>
      <c r="AF40" s="94">
        <f>IFERROR(_xlfn.XLOOKUP($D40,'Modelling New'!$D:$D,'Modelling New'!$W:$W),"")</f>
        <v>0.17442839205394736</v>
      </c>
      <c r="AG40" s="94">
        <f>IFERROR(_xlfn.XLOOKUP($D40,'Modelling New'!$D:$D,'Modelling New'!$AE:$AE),"")</f>
        <v>0.98040000000000005</v>
      </c>
      <c r="AH40" s="94">
        <f>IFERROR(_xlfn.XLOOKUP($D40,'Modelling New'!$D:$D,'Modelling New'!$AF:$AF),"")</f>
        <v>0.98</v>
      </c>
      <c r="AN40" s="85"/>
      <c r="AO40" s="84"/>
      <c r="AP40" s="84"/>
      <c r="AQ40" s="84"/>
      <c r="AR40" s="86">
        <f>'Basic Data'!$J$2</f>
        <v>7.0991999999999997</v>
      </c>
      <c r="AT40" s="7" t="str">
        <f>IFERROR(_xlfn.XLOOKUP(Table13[[#This Row],[Date]],'Raw Data'!$E:$E,'Raw Data'!$AN:$AN),"")</f>
        <v/>
      </c>
      <c r="AU40" s="7">
        <f>IFERROR(_xlfn.XLOOKUP(Table13[[#This Row],[Month Year]],'Modelling New'!$D:$D,'Modelling New'!$AO:$AO),"")</f>
        <v>7</v>
      </c>
      <c r="AV40" s="7">
        <f>IFERROR(SUMIF('Curtailment Records'!$C:$C,Table13[[#This Row],[Date]],'Curtailment Records'!$R:$R)/1000,"")</f>
        <v>0</v>
      </c>
    </row>
    <row r="41" spans="1:48" x14ac:dyDescent="0.25">
      <c r="A41" s="93">
        <f t="shared" si="3"/>
        <v>45784</v>
      </c>
      <c r="B41" s="86">
        <f>YEAR(Table13[[#This Row],[Date]])+IF(MONTH(Table13[[#This Row],[Date]])&gt;=4,1,0)</f>
        <v>2026</v>
      </c>
      <c r="C41" s="7">
        <f>YEAR(Table13[[#This Row],[Date]])</f>
        <v>2025</v>
      </c>
      <c r="D41" s="92">
        <f>Table13[[#This Row],[Date]]-DAY(Table13[[#This Row],[Date]])+1</f>
        <v>45778</v>
      </c>
      <c r="E41" s="7">
        <f t="shared" si="0"/>
        <v>31</v>
      </c>
      <c r="F41" s="91">
        <f>IFERROR(_xlfn.XLOOKUP($A41,'Raw Data'!$G:$G,'Raw Data'!$AM:$AM),"")</f>
        <v>12.8</v>
      </c>
      <c r="G41" s="90">
        <f>IFERROR(_xlfn.XLOOKUP($A41,'Raw Data'!$G:$G,'Raw Data'!$AB:$AB),"")</f>
        <v>0</v>
      </c>
      <c r="H41" s="90"/>
      <c r="I41" s="90">
        <f>IFERROR(_xlfn.XLOOKUP($A41,'Raw Data'!$G:$G,'Raw Data'!$AC:$AC),"")</f>
        <v>6.27</v>
      </c>
      <c r="J41" s="90"/>
      <c r="K41" s="90">
        <f>IFERROR(_xlfn.XLOOKUP($A41,'Raw Data'!$G:$G,'Raw Data'!AD:AD),"")</f>
        <v>0</v>
      </c>
      <c r="L41" s="90">
        <f>IFERROR(_xlfn.XLOOKUP($A41,'Raw Data'!$G:$G,'Raw Data'!AE:AE),"")</f>
        <v>51.48</v>
      </c>
      <c r="M41" s="90">
        <f>IFERROR(_xlfn.XLOOKUP($A41,'Raw Data'!$G:$G,'Raw Data'!AF:AF),"")</f>
        <v>0</v>
      </c>
      <c r="N41" s="90">
        <f>IFERROR(_xlfn.XLOOKUP($A41,'Raw Data'!$G:$G,'Raw Data'!AG:AG),"")</f>
        <v>0</v>
      </c>
      <c r="O41" s="85">
        <f>IFERROR(1-SUMIF('Plant BD'!$B:$B,$A41,'Plant BD'!$AM:$AM)/($AA41+SUMIF('Plant BD'!$B:$B,$A41,'Plant BD'!$AM:$AM)),"")</f>
        <v>1</v>
      </c>
      <c r="P41" s="85"/>
      <c r="Q41" s="89"/>
      <c r="R41" s="85">
        <f>IFERROR(1-SUMIF('Grid BD'!$B:$B,$A41,'Grid BD'!$AE:$AE)/($AA41+SUMIF('Grid BD'!$B:$B,$A41,'Grid BD'!$AE:$AE)),"")</f>
        <v>1</v>
      </c>
      <c r="T41" s="89"/>
      <c r="U41" s="88">
        <f t="shared" si="1"/>
        <v>0.77057899733249369</v>
      </c>
      <c r="V41" s="88"/>
      <c r="W41" s="84">
        <f t="shared" si="2"/>
        <v>0.20131376305311399</v>
      </c>
      <c r="X41" s="86">
        <f>IFERROR(_xlfn.XLOOKUP($A41,'Raw Data'!$G:$G,'Raw Data'!AI:AI),"")</f>
        <v>34831.9</v>
      </c>
      <c r="Y41" s="86">
        <f>IFERROR(_xlfn.XLOOKUP($A41,'Raw Data'!$G:$G,'Raw Data'!AJ:AJ),"")</f>
        <v>34500</v>
      </c>
      <c r="Z41" s="86">
        <f>IFERROR(_xlfn.XLOOKUP($A41,'Raw Data'!$G:$G,'Raw Data'!AK:AK),"")</f>
        <v>199.99999999999929</v>
      </c>
      <c r="AA41" s="86">
        <f>IFERROR(_xlfn.XLOOKUP($A41,'Raw Data'!$G:$G,'Raw Data'!$AL:$AL)*(1+(_xlfn.XLOOKUP(Table13[[#This Row],[Month Year]],JMR!$A:$A,JMR!$J:$J))),"")</f>
        <v>34300</v>
      </c>
      <c r="AB41" s="86">
        <f>IFERROR(_xlfn.XLOOKUP($A41,'Raw Data'!$G:$G,'Raw Data'!$H:$H),"")</f>
        <v>7.0991999999999997</v>
      </c>
      <c r="AC41" s="87">
        <f>IFERROR(_xlfn.XLOOKUP($D41,'Modelling New'!$D:$D,'Modelling New'!$P:$P),"")</f>
        <v>6.0354838709677416</v>
      </c>
      <c r="AD41" s="86">
        <f>IFERROR(_xlfn.XLOOKUP($D41,'Modelling New'!$D:$D,'Modelling New'!$T:$T)*1000,"")</f>
        <v>29719.248980865192</v>
      </c>
      <c r="AE41" s="94">
        <f>IFERROR(_xlfn.XLOOKUP($D41,'Modelling New'!$D:$D,'Modelling New'!$O:$O),"")</f>
        <v>0.69361156434065652</v>
      </c>
      <c r="AF41" s="94">
        <f>IFERROR(_xlfn.XLOOKUP($D41,'Modelling New'!$D:$D,'Modelling New'!$W:$W),"")</f>
        <v>0.17442839205394736</v>
      </c>
      <c r="AG41" s="94">
        <f>IFERROR(_xlfn.XLOOKUP($D41,'Modelling New'!$D:$D,'Modelling New'!$AE:$AE),"")</f>
        <v>0.98040000000000005</v>
      </c>
      <c r="AH41" s="94">
        <f>IFERROR(_xlfn.XLOOKUP($D41,'Modelling New'!$D:$D,'Modelling New'!$AF:$AF),"")</f>
        <v>0.98</v>
      </c>
      <c r="AN41" s="85"/>
      <c r="AO41" s="84"/>
      <c r="AP41" s="84"/>
      <c r="AQ41" s="84"/>
      <c r="AR41" s="86">
        <f>'Basic Data'!$J$2</f>
        <v>7.0991999999999997</v>
      </c>
      <c r="AT41" s="7" t="str">
        <f>IFERROR(_xlfn.XLOOKUP(Table13[[#This Row],[Date]],'Raw Data'!$E:$E,'Raw Data'!$AN:$AN),"")</f>
        <v/>
      </c>
      <c r="AU41" s="7">
        <f>IFERROR(_xlfn.XLOOKUP(Table13[[#This Row],[Month Year]],'Modelling New'!$D:$D,'Modelling New'!$AO:$AO),"")</f>
        <v>7</v>
      </c>
      <c r="AV41" s="7">
        <f>IFERROR(SUMIF('Curtailment Records'!$C:$C,Table13[[#This Row],[Date]],'Curtailment Records'!$R:$R)/1000,"")</f>
        <v>0</v>
      </c>
    </row>
    <row r="42" spans="1:48" x14ac:dyDescent="0.25">
      <c r="A42" s="93">
        <f t="shared" si="3"/>
        <v>45785</v>
      </c>
      <c r="B42" s="86">
        <f>YEAR(Table13[[#This Row],[Date]])+IF(MONTH(Table13[[#This Row],[Date]])&gt;=4,1,0)</f>
        <v>2026</v>
      </c>
      <c r="C42" s="7">
        <f>YEAR(Table13[[#This Row],[Date]])</f>
        <v>2025</v>
      </c>
      <c r="D42" s="92">
        <f>Table13[[#This Row],[Date]]-DAY(Table13[[#This Row],[Date]])+1</f>
        <v>45778</v>
      </c>
      <c r="E42" s="7">
        <f t="shared" si="0"/>
        <v>31</v>
      </c>
      <c r="F42" s="91">
        <f>IFERROR(_xlfn.XLOOKUP($A42,'Raw Data'!$G:$G,'Raw Data'!$AM:$AM),"")</f>
        <v>12.683333333333334</v>
      </c>
      <c r="G42" s="90">
        <f>IFERROR(_xlfn.XLOOKUP($A42,'Raw Data'!$G:$G,'Raw Data'!$AB:$AB),"")</f>
        <v>0</v>
      </c>
      <c r="H42" s="90"/>
      <c r="I42" s="90">
        <f>IFERROR(_xlfn.XLOOKUP($A42,'Raw Data'!$G:$G,'Raw Data'!$AC:$AC),"")</f>
        <v>5.2</v>
      </c>
      <c r="J42" s="90"/>
      <c r="K42" s="90">
        <f>IFERROR(_xlfn.XLOOKUP($A42,'Raw Data'!$G:$G,'Raw Data'!AD:AD),"")</f>
        <v>0</v>
      </c>
      <c r="L42" s="90">
        <f>IFERROR(_xlfn.XLOOKUP($A42,'Raw Data'!$G:$G,'Raw Data'!AE:AE),"")</f>
        <v>49.38</v>
      </c>
      <c r="M42" s="90">
        <f>IFERROR(_xlfn.XLOOKUP($A42,'Raw Data'!$G:$G,'Raw Data'!AF:AF),"")</f>
        <v>0</v>
      </c>
      <c r="N42" s="90">
        <f>IFERROR(_xlfn.XLOOKUP($A42,'Raw Data'!$G:$G,'Raw Data'!AG:AG),"")</f>
        <v>0</v>
      </c>
      <c r="O42" s="85">
        <f>IFERROR(1-SUMIF('Plant BD'!$B:$B,$A42,'Plant BD'!$AM:$AM)/($AA42+SUMIF('Plant BD'!$B:$B,$A42,'Plant BD'!$AM:$AM)),"")</f>
        <v>1</v>
      </c>
      <c r="P42" s="85"/>
      <c r="Q42" s="89"/>
      <c r="R42" s="85">
        <f>IFERROR(1-SUMIF('Grid BD'!$B:$B,$A42,'Grid BD'!$AE:$AE)/($AA42+SUMIF('Grid BD'!$B:$B,$A42,'Grid BD'!$AE:$AE)),"")</f>
        <v>0.9477464116809472</v>
      </c>
      <c r="T42" s="89"/>
      <c r="U42" s="88">
        <f t="shared" si="1"/>
        <v>0.70159584611917025</v>
      </c>
      <c r="V42" s="88"/>
      <c r="W42" s="84">
        <f t="shared" si="2"/>
        <v>0.15201243332582023</v>
      </c>
      <c r="X42" s="86">
        <f>IFERROR(_xlfn.XLOOKUP($A42,'Raw Data'!$G:$G,'Raw Data'!AI:AI),"")</f>
        <v>26282.9</v>
      </c>
      <c r="Y42" s="86">
        <f>IFERROR(_xlfn.XLOOKUP($A42,'Raw Data'!$G:$G,'Raw Data'!AJ:AJ),"")</f>
        <v>26099.999999999909</v>
      </c>
      <c r="Z42" s="86">
        <f>IFERROR(_xlfn.XLOOKUP($A42,'Raw Data'!$G:$G,'Raw Data'!AK:AK),"")</f>
        <v>199.99999999999929</v>
      </c>
      <c r="AA42" s="86">
        <f>IFERROR(_xlfn.XLOOKUP($A42,'Raw Data'!$G:$G,'Raw Data'!$AL:$AL)*(1+(_xlfn.XLOOKUP(Table13[[#This Row],[Month Year]],JMR!$A:$A,JMR!$J:$J))),"")</f>
        <v>25899.999999999909</v>
      </c>
      <c r="AB42" s="86">
        <f>IFERROR(_xlfn.XLOOKUP($A42,'Raw Data'!$G:$G,'Raw Data'!$H:$H),"")</f>
        <v>7.0991999999999997</v>
      </c>
      <c r="AC42" s="87">
        <f>IFERROR(_xlfn.XLOOKUP($D42,'Modelling New'!$D:$D,'Modelling New'!$P:$P),"")</f>
        <v>6.0354838709677416</v>
      </c>
      <c r="AD42" s="86">
        <f>IFERROR(_xlfn.XLOOKUP($D42,'Modelling New'!$D:$D,'Modelling New'!$T:$T)*1000,"")</f>
        <v>29719.248980865192</v>
      </c>
      <c r="AE42" s="94">
        <f>IFERROR(_xlfn.XLOOKUP($D42,'Modelling New'!$D:$D,'Modelling New'!$O:$O),"")</f>
        <v>0.69361156434065652</v>
      </c>
      <c r="AF42" s="94">
        <f>IFERROR(_xlfn.XLOOKUP($D42,'Modelling New'!$D:$D,'Modelling New'!$W:$W),"")</f>
        <v>0.17442839205394736</v>
      </c>
      <c r="AG42" s="94">
        <f>IFERROR(_xlfn.XLOOKUP($D42,'Modelling New'!$D:$D,'Modelling New'!$AE:$AE),"")</f>
        <v>0.98040000000000005</v>
      </c>
      <c r="AH42" s="94">
        <f>IFERROR(_xlfn.XLOOKUP($D42,'Modelling New'!$D:$D,'Modelling New'!$AF:$AF),"")</f>
        <v>0.98</v>
      </c>
      <c r="AN42" s="85"/>
      <c r="AO42" s="84"/>
      <c r="AP42" s="84"/>
      <c r="AQ42" s="84"/>
      <c r="AR42" s="86">
        <f>'Basic Data'!$J$2</f>
        <v>7.0991999999999997</v>
      </c>
      <c r="AT42" s="7" t="str">
        <f>IFERROR(_xlfn.XLOOKUP(Table13[[#This Row],[Date]],'Raw Data'!$E:$E,'Raw Data'!$AN:$AN),"")</f>
        <v/>
      </c>
      <c r="AU42" s="7">
        <f>IFERROR(_xlfn.XLOOKUP(Table13[[#This Row],[Month Year]],'Modelling New'!$D:$D,'Modelling New'!$AO:$AO),"")</f>
        <v>7</v>
      </c>
      <c r="AV42" s="7">
        <f>IFERROR(SUMIF('Curtailment Records'!$C:$C,Table13[[#This Row],[Date]],'Curtailment Records'!$R:$R)/1000,"")</f>
        <v>0</v>
      </c>
    </row>
    <row r="43" spans="1:48" x14ac:dyDescent="0.25">
      <c r="A43" s="93">
        <f t="shared" si="3"/>
        <v>45786</v>
      </c>
      <c r="B43" s="86">
        <f>YEAR(Table13[[#This Row],[Date]])+IF(MONTH(Table13[[#This Row],[Date]])&gt;=4,1,0)</f>
        <v>2026</v>
      </c>
      <c r="C43" s="7">
        <f>YEAR(Table13[[#This Row],[Date]])</f>
        <v>2025</v>
      </c>
      <c r="D43" s="92">
        <f>Table13[[#This Row],[Date]]-DAY(Table13[[#This Row],[Date]])+1</f>
        <v>45778</v>
      </c>
      <c r="E43" s="7">
        <f t="shared" si="0"/>
        <v>31</v>
      </c>
      <c r="F43" s="91">
        <f>IFERROR(_xlfn.XLOOKUP($A43,'Raw Data'!$G:$G,'Raw Data'!$AM:$AM),"")</f>
        <v>13.016666666666666</v>
      </c>
      <c r="G43" s="90">
        <f>IFERROR(_xlfn.XLOOKUP($A43,'Raw Data'!$G:$G,'Raw Data'!$AB:$AB),"")</f>
        <v>0</v>
      </c>
      <c r="H43" s="90"/>
      <c r="I43" s="90">
        <f>IFERROR(_xlfn.XLOOKUP($A43,'Raw Data'!$G:$G,'Raw Data'!$AC:$AC),"")</f>
        <v>5.66</v>
      </c>
      <c r="J43" s="90"/>
      <c r="K43" s="90">
        <f>IFERROR(_xlfn.XLOOKUP($A43,'Raw Data'!$G:$G,'Raw Data'!AD:AD),"")</f>
        <v>0</v>
      </c>
      <c r="L43" s="90">
        <f>IFERROR(_xlfn.XLOOKUP($A43,'Raw Data'!$G:$G,'Raw Data'!AE:AE),"")</f>
        <v>49.95</v>
      </c>
      <c r="M43" s="90">
        <f>IFERROR(_xlfn.XLOOKUP($A43,'Raw Data'!$G:$G,'Raw Data'!AF:AF),"")</f>
        <v>0</v>
      </c>
      <c r="N43" s="90">
        <f>IFERROR(_xlfn.XLOOKUP($A43,'Raw Data'!$G:$G,'Raw Data'!AG:AG),"")</f>
        <v>0</v>
      </c>
      <c r="O43" s="85">
        <f>IFERROR(1-SUMIF('Plant BD'!$B:$B,$A43,'Plant BD'!$AM:$AM)/($AA43+SUMIF('Plant BD'!$B:$B,$A43,'Plant BD'!$AM:$AM)),"")</f>
        <v>1</v>
      </c>
      <c r="P43" s="85"/>
      <c r="Q43" s="89"/>
      <c r="R43" s="85">
        <f>IFERROR(1-SUMIF('Grid BD'!$B:$B,$A43,'Grid BD'!$AE:$AE)/($AA43+SUMIF('Grid BD'!$B:$B,$A43,'Grid BD'!$AE:$AE)),"")</f>
        <v>1</v>
      </c>
      <c r="T43" s="89"/>
      <c r="U43" s="88">
        <f t="shared" si="1"/>
        <v>0.7914095332296438</v>
      </c>
      <c r="V43" s="88"/>
      <c r="W43" s="84">
        <f t="shared" si="2"/>
        <v>0.18664074825332433</v>
      </c>
      <c r="X43" s="86">
        <f>IFERROR(_xlfn.XLOOKUP($A43,'Raw Data'!$G:$G,'Raw Data'!AI:AI),"")</f>
        <v>32205.5</v>
      </c>
      <c r="Y43" s="86">
        <f>IFERROR(_xlfn.XLOOKUP($A43,'Raw Data'!$G:$G,'Raw Data'!AJ:AJ),"")</f>
        <v>32000</v>
      </c>
      <c r="Z43" s="86">
        <f>IFERROR(_xlfn.XLOOKUP($A43,'Raw Data'!$G:$G,'Raw Data'!AK:AK),"")</f>
        <v>199.99999999999929</v>
      </c>
      <c r="AA43" s="86">
        <f>IFERROR(_xlfn.XLOOKUP($A43,'Raw Data'!$G:$G,'Raw Data'!$AL:$AL)*(1+(_xlfn.XLOOKUP(Table13[[#This Row],[Month Year]],JMR!$A:$A,JMR!$J:$J))),"")</f>
        <v>31800</v>
      </c>
      <c r="AB43" s="86">
        <f>IFERROR(_xlfn.XLOOKUP($A43,'Raw Data'!$G:$G,'Raw Data'!$H:$H),"")</f>
        <v>7.0991999999999997</v>
      </c>
      <c r="AC43" s="87">
        <f>IFERROR(_xlfn.XLOOKUP($D43,'Modelling New'!$D:$D,'Modelling New'!$P:$P),"")</f>
        <v>6.0354838709677416</v>
      </c>
      <c r="AD43" s="86">
        <f>IFERROR(_xlfn.XLOOKUP($D43,'Modelling New'!$D:$D,'Modelling New'!$T:$T)*1000,"")</f>
        <v>29719.248980865192</v>
      </c>
      <c r="AE43" s="94">
        <f>IFERROR(_xlfn.XLOOKUP($D43,'Modelling New'!$D:$D,'Modelling New'!$O:$O),"")</f>
        <v>0.69361156434065652</v>
      </c>
      <c r="AF43" s="94">
        <f>IFERROR(_xlfn.XLOOKUP($D43,'Modelling New'!$D:$D,'Modelling New'!$W:$W),"")</f>
        <v>0.17442839205394736</v>
      </c>
      <c r="AG43" s="94">
        <f>IFERROR(_xlfn.XLOOKUP($D43,'Modelling New'!$D:$D,'Modelling New'!$AE:$AE),"")</f>
        <v>0.98040000000000005</v>
      </c>
      <c r="AH43" s="94">
        <f>IFERROR(_xlfn.XLOOKUP($D43,'Modelling New'!$D:$D,'Modelling New'!$AF:$AF),"")</f>
        <v>0.98</v>
      </c>
      <c r="AN43" s="85"/>
      <c r="AO43" s="84"/>
      <c r="AP43" s="84"/>
      <c r="AQ43" s="84"/>
      <c r="AR43" s="86">
        <f>'Basic Data'!$J$2</f>
        <v>7.0991999999999997</v>
      </c>
      <c r="AT43" s="7" t="str">
        <f>IFERROR(_xlfn.XLOOKUP(Table13[[#This Row],[Date]],'Raw Data'!$E:$E,'Raw Data'!$AN:$AN),"")</f>
        <v/>
      </c>
      <c r="AU43" s="7">
        <f>IFERROR(_xlfn.XLOOKUP(Table13[[#This Row],[Month Year]],'Modelling New'!$D:$D,'Modelling New'!$AO:$AO),"")</f>
        <v>7</v>
      </c>
      <c r="AV43" s="7">
        <f>IFERROR(SUMIF('Curtailment Records'!$C:$C,Table13[[#This Row],[Date]],'Curtailment Records'!$R:$R)/1000,"")</f>
        <v>0</v>
      </c>
    </row>
    <row r="44" spans="1:48" x14ac:dyDescent="0.25">
      <c r="A44" s="93">
        <f t="shared" si="3"/>
        <v>45787</v>
      </c>
      <c r="B44" s="86">
        <f>YEAR(Table13[[#This Row],[Date]])+IF(MONTH(Table13[[#This Row],[Date]])&gt;=4,1,0)</f>
        <v>2026</v>
      </c>
      <c r="C44" s="7">
        <f>YEAR(Table13[[#This Row],[Date]])</f>
        <v>2025</v>
      </c>
      <c r="D44" s="92">
        <f>Table13[[#This Row],[Date]]-DAY(Table13[[#This Row],[Date]])+1</f>
        <v>45778</v>
      </c>
      <c r="E44" s="7">
        <f t="shared" si="0"/>
        <v>31</v>
      </c>
      <c r="F44" s="91">
        <f>IFERROR(_xlfn.XLOOKUP($A44,'Raw Data'!$G:$G,'Raw Data'!$AM:$AM),"")</f>
        <v>12.916666666666666</v>
      </c>
      <c r="G44" s="90">
        <f>IFERROR(_xlfn.XLOOKUP($A44,'Raw Data'!$G:$G,'Raw Data'!$AB:$AB),"")</f>
        <v>0</v>
      </c>
      <c r="H44" s="90"/>
      <c r="I44" s="90">
        <f>IFERROR(_xlfn.XLOOKUP($A44,'Raw Data'!$G:$G,'Raw Data'!$AC:$AC),"")</f>
        <v>5.39</v>
      </c>
      <c r="J44" s="90"/>
      <c r="K44" s="90">
        <f>IFERROR(_xlfn.XLOOKUP($A44,'Raw Data'!$G:$G,'Raw Data'!AD:AD),"")</f>
        <v>0</v>
      </c>
      <c r="L44" s="90">
        <f>IFERROR(_xlfn.XLOOKUP($A44,'Raw Data'!$G:$G,'Raw Data'!AE:AE),"")</f>
        <v>50.6</v>
      </c>
      <c r="M44" s="90">
        <f>IFERROR(_xlfn.XLOOKUP($A44,'Raw Data'!$G:$G,'Raw Data'!AF:AF),"")</f>
        <v>0</v>
      </c>
      <c r="N44" s="90">
        <f>IFERROR(_xlfn.XLOOKUP($A44,'Raw Data'!$G:$G,'Raw Data'!AG:AG),"")</f>
        <v>0</v>
      </c>
      <c r="O44" s="85">
        <f>IFERROR(1-SUMIF('Plant BD'!$B:$B,$A44,'Plant BD'!$AM:$AM)/($AA44+SUMIF('Plant BD'!$B:$B,$A44,'Plant BD'!$AM:$AM)),"")</f>
        <v>1</v>
      </c>
      <c r="P44" s="85"/>
      <c r="Q44" s="89"/>
      <c r="R44" s="85">
        <f>IFERROR(1-SUMIF('Grid BD'!$B:$B,$A44,'Grid BD'!$AE:$AE)/($AA44+SUMIF('Grid BD'!$B:$B,$A44,'Grid BD'!$AE:$AE)),"")</f>
        <v>1</v>
      </c>
      <c r="T44" s="89"/>
      <c r="U44" s="88">
        <f t="shared" si="1"/>
        <v>0.76833241133443742</v>
      </c>
      <c r="V44" s="88"/>
      <c r="W44" s="84">
        <f t="shared" si="2"/>
        <v>0.17255465404552572</v>
      </c>
      <c r="X44" s="86">
        <f>IFERROR(_xlfn.XLOOKUP($A44,'Raw Data'!$G:$G,'Raw Data'!AI:AI),"")</f>
        <v>29904.2</v>
      </c>
      <c r="Y44" s="86">
        <f>IFERROR(_xlfn.XLOOKUP($A44,'Raw Data'!$G:$G,'Raw Data'!AJ:AJ),"")</f>
        <v>29599.999999999909</v>
      </c>
      <c r="Z44" s="86">
        <f>IFERROR(_xlfn.XLOOKUP($A44,'Raw Data'!$G:$G,'Raw Data'!AK:AK),"")</f>
        <v>200.00000000000284</v>
      </c>
      <c r="AA44" s="86">
        <f>IFERROR(_xlfn.XLOOKUP($A44,'Raw Data'!$G:$G,'Raw Data'!$AL:$AL)*(1+(_xlfn.XLOOKUP(Table13[[#This Row],[Month Year]],JMR!$A:$A,JMR!$J:$J))),"")</f>
        <v>29399.999999999905</v>
      </c>
      <c r="AB44" s="86">
        <f>IFERROR(_xlfn.XLOOKUP($A44,'Raw Data'!$G:$G,'Raw Data'!$H:$H),"")</f>
        <v>7.0991999999999997</v>
      </c>
      <c r="AC44" s="87">
        <f>IFERROR(_xlfn.XLOOKUP($D44,'Modelling New'!$D:$D,'Modelling New'!$P:$P),"")</f>
        <v>6.0354838709677416</v>
      </c>
      <c r="AD44" s="86">
        <f>IFERROR(_xlfn.XLOOKUP($D44,'Modelling New'!$D:$D,'Modelling New'!$T:$T)*1000,"")</f>
        <v>29719.248980865192</v>
      </c>
      <c r="AE44" s="94">
        <f>IFERROR(_xlfn.XLOOKUP($D44,'Modelling New'!$D:$D,'Modelling New'!$O:$O),"")</f>
        <v>0.69361156434065652</v>
      </c>
      <c r="AF44" s="94">
        <f>IFERROR(_xlfn.XLOOKUP($D44,'Modelling New'!$D:$D,'Modelling New'!$W:$W),"")</f>
        <v>0.17442839205394736</v>
      </c>
      <c r="AG44" s="94">
        <f>IFERROR(_xlfn.XLOOKUP($D44,'Modelling New'!$D:$D,'Modelling New'!$AE:$AE),"")</f>
        <v>0.98040000000000005</v>
      </c>
      <c r="AH44" s="94">
        <f>IFERROR(_xlfn.XLOOKUP($D44,'Modelling New'!$D:$D,'Modelling New'!$AF:$AF),"")</f>
        <v>0.98</v>
      </c>
      <c r="AN44" s="85"/>
      <c r="AO44" s="84"/>
      <c r="AP44" s="84"/>
      <c r="AQ44" s="84"/>
      <c r="AR44" s="86">
        <f>'Basic Data'!$J$2</f>
        <v>7.0991999999999997</v>
      </c>
      <c r="AT44" s="7" t="str">
        <f>IFERROR(_xlfn.XLOOKUP(Table13[[#This Row],[Date]],'Raw Data'!$E:$E,'Raw Data'!$AN:$AN),"")</f>
        <v/>
      </c>
      <c r="AU44" s="7">
        <f>IFERROR(_xlfn.XLOOKUP(Table13[[#This Row],[Month Year]],'Modelling New'!$D:$D,'Modelling New'!$AO:$AO),"")</f>
        <v>7</v>
      </c>
      <c r="AV44" s="7">
        <f>IFERROR(SUMIF('Curtailment Records'!$C:$C,Table13[[#This Row],[Date]],'Curtailment Records'!$R:$R)/1000,"")</f>
        <v>0</v>
      </c>
    </row>
    <row r="45" spans="1:48" x14ac:dyDescent="0.25">
      <c r="A45" s="93">
        <f t="shared" si="3"/>
        <v>45788</v>
      </c>
      <c r="B45" s="86">
        <f>YEAR(Table13[[#This Row],[Date]])+IF(MONTH(Table13[[#This Row],[Date]])&gt;=4,1,0)</f>
        <v>2026</v>
      </c>
      <c r="C45" s="7">
        <f>YEAR(Table13[[#This Row],[Date]])</f>
        <v>2025</v>
      </c>
      <c r="D45" s="92">
        <f>Table13[[#This Row],[Date]]-DAY(Table13[[#This Row],[Date]])+1</f>
        <v>45778</v>
      </c>
      <c r="E45" s="7">
        <f t="shared" si="0"/>
        <v>31</v>
      </c>
      <c r="F45" s="91">
        <f>IFERROR(_xlfn.XLOOKUP($A45,'Raw Data'!$G:$G,'Raw Data'!$AM:$AM),"")</f>
        <v>12.950000000000003</v>
      </c>
      <c r="G45" s="90">
        <f>IFERROR(_xlfn.XLOOKUP($A45,'Raw Data'!$G:$G,'Raw Data'!$AB:$AB),"")</f>
        <v>0</v>
      </c>
      <c r="H45" s="90"/>
      <c r="I45" s="90">
        <f>IFERROR(_xlfn.XLOOKUP($A45,'Raw Data'!$G:$G,'Raw Data'!$AC:$AC),"")</f>
        <v>5.52</v>
      </c>
      <c r="J45" s="90"/>
      <c r="K45" s="90">
        <f>IFERROR(_xlfn.XLOOKUP($A45,'Raw Data'!$G:$G,'Raw Data'!AD:AD),"")</f>
        <v>0</v>
      </c>
      <c r="L45" s="90">
        <f>IFERROR(_xlfn.XLOOKUP($A45,'Raw Data'!$G:$G,'Raw Data'!AE:AE),"")</f>
        <v>51.61</v>
      </c>
      <c r="M45" s="90">
        <f>IFERROR(_xlfn.XLOOKUP($A45,'Raw Data'!$G:$G,'Raw Data'!AF:AF),"")</f>
        <v>0</v>
      </c>
      <c r="N45" s="90">
        <f>IFERROR(_xlfn.XLOOKUP($A45,'Raw Data'!$G:$G,'Raw Data'!AG:AG),"")</f>
        <v>0</v>
      </c>
      <c r="O45" s="85">
        <f>IFERROR(1-SUMIF('Plant BD'!$B:$B,$A45,'Plant BD'!$AM:$AM)/($AA45+SUMIF('Plant BD'!$B:$B,$A45,'Plant BD'!$AM:$AM)),"")</f>
        <v>0.99697589935373598</v>
      </c>
      <c r="P45" s="85"/>
      <c r="Q45" s="89"/>
      <c r="R45" s="85">
        <f>IFERROR(1-SUMIF('Grid BD'!$B:$B,$A45,'Grid BD'!$AE:$AE)/($AA45+SUMIF('Grid BD'!$B:$B,$A45,'Grid BD'!$AE:$AE)),"")</f>
        <v>1</v>
      </c>
      <c r="T45" s="89"/>
      <c r="U45" s="88">
        <f t="shared" si="1"/>
        <v>0.81913700012738289</v>
      </c>
      <c r="V45" s="88"/>
      <c r="W45" s="84">
        <f t="shared" si="2"/>
        <v>0.18840151002929803</v>
      </c>
      <c r="X45" s="86">
        <f>IFERROR(_xlfn.XLOOKUP($A45,'Raw Data'!$G:$G,'Raw Data'!AI:AI),"")</f>
        <v>32367.4</v>
      </c>
      <c r="Y45" s="86">
        <f>IFERROR(_xlfn.XLOOKUP($A45,'Raw Data'!$G:$G,'Raw Data'!AJ:AJ),"")</f>
        <v>32199.999999999818</v>
      </c>
      <c r="Z45" s="86">
        <f>IFERROR(_xlfn.XLOOKUP($A45,'Raw Data'!$G:$G,'Raw Data'!AK:AK),"")</f>
        <v>99.999999999997868</v>
      </c>
      <c r="AA45" s="86">
        <f>IFERROR(_xlfn.XLOOKUP($A45,'Raw Data'!$G:$G,'Raw Data'!$AL:$AL)*(1+(_xlfn.XLOOKUP(Table13[[#This Row],[Month Year]],JMR!$A:$A,JMR!$J:$J))),"")</f>
        <v>32099.999999999822</v>
      </c>
      <c r="AB45" s="86">
        <f>IFERROR(_xlfn.XLOOKUP($A45,'Raw Data'!$G:$G,'Raw Data'!$H:$H),"")</f>
        <v>7.0991999999999997</v>
      </c>
      <c r="AC45" s="87">
        <f>IFERROR(_xlfn.XLOOKUP($D45,'Modelling New'!$D:$D,'Modelling New'!$P:$P),"")</f>
        <v>6.0354838709677416</v>
      </c>
      <c r="AD45" s="86">
        <f>IFERROR(_xlfn.XLOOKUP($D45,'Modelling New'!$D:$D,'Modelling New'!$T:$T)*1000,"")</f>
        <v>29719.248980865192</v>
      </c>
      <c r="AE45" s="94">
        <f>IFERROR(_xlfn.XLOOKUP($D45,'Modelling New'!$D:$D,'Modelling New'!$O:$O),"")</f>
        <v>0.69361156434065652</v>
      </c>
      <c r="AF45" s="94">
        <f>IFERROR(_xlfn.XLOOKUP($D45,'Modelling New'!$D:$D,'Modelling New'!$W:$W),"")</f>
        <v>0.17442839205394736</v>
      </c>
      <c r="AG45" s="94">
        <f>IFERROR(_xlfn.XLOOKUP($D45,'Modelling New'!$D:$D,'Modelling New'!$AE:$AE),"")</f>
        <v>0.98040000000000005</v>
      </c>
      <c r="AH45" s="94">
        <f>IFERROR(_xlfn.XLOOKUP($D45,'Modelling New'!$D:$D,'Modelling New'!$AF:$AF),"")</f>
        <v>0.98</v>
      </c>
      <c r="AN45" s="85"/>
      <c r="AO45" s="84"/>
      <c r="AP45" s="84"/>
      <c r="AQ45" s="84"/>
      <c r="AR45" s="86">
        <f>'Basic Data'!$J$2</f>
        <v>7.0991999999999997</v>
      </c>
      <c r="AT45" s="7" t="str">
        <f>IFERROR(_xlfn.XLOOKUP(Table13[[#This Row],[Date]],'Raw Data'!$E:$E,'Raw Data'!$AN:$AN),"")</f>
        <v/>
      </c>
      <c r="AU45" s="7">
        <f>IFERROR(_xlfn.XLOOKUP(Table13[[#This Row],[Month Year]],'Modelling New'!$D:$D,'Modelling New'!$AO:$AO),"")</f>
        <v>7</v>
      </c>
      <c r="AV45" s="7">
        <f>IFERROR(SUMIF('Curtailment Records'!$C:$C,Table13[[#This Row],[Date]],'Curtailment Records'!$R:$R)/1000,"")</f>
        <v>0</v>
      </c>
    </row>
    <row r="46" spans="1:48" x14ac:dyDescent="0.25">
      <c r="A46" s="93">
        <f t="shared" si="3"/>
        <v>45789</v>
      </c>
      <c r="B46" s="86">
        <f>YEAR(Table13[[#This Row],[Date]])+IF(MONTH(Table13[[#This Row],[Date]])&gt;=4,1,0)</f>
        <v>2026</v>
      </c>
      <c r="C46" s="7">
        <f>YEAR(Table13[[#This Row],[Date]])</f>
        <v>2025</v>
      </c>
      <c r="D46" s="92">
        <f>Table13[[#This Row],[Date]]-DAY(Table13[[#This Row],[Date]])+1</f>
        <v>45778</v>
      </c>
      <c r="E46" s="7">
        <f t="shared" si="0"/>
        <v>31</v>
      </c>
      <c r="F46" s="91">
        <f>IFERROR(_xlfn.XLOOKUP($A46,'Raw Data'!$G:$G,'Raw Data'!$AM:$AM),"")</f>
        <v>12.916666666666666</v>
      </c>
      <c r="G46" s="90">
        <f>IFERROR(_xlfn.XLOOKUP($A46,'Raw Data'!$G:$G,'Raw Data'!$AB:$AB),"")</f>
        <v>0</v>
      </c>
      <c r="H46" s="90"/>
      <c r="I46" s="90">
        <f>IFERROR(_xlfn.XLOOKUP($A46,'Raw Data'!$G:$G,'Raw Data'!$AC:$AC),"")</f>
        <v>6.3</v>
      </c>
      <c r="J46" s="90"/>
      <c r="K46" s="90">
        <f>IFERROR(_xlfn.XLOOKUP($A46,'Raw Data'!$G:$G,'Raw Data'!AD:AD),"")</f>
        <v>0</v>
      </c>
      <c r="L46" s="90">
        <f>IFERROR(_xlfn.XLOOKUP($A46,'Raw Data'!$G:$G,'Raw Data'!AE:AE),"")</f>
        <v>51.06</v>
      </c>
      <c r="M46" s="90">
        <f>IFERROR(_xlfn.XLOOKUP($A46,'Raw Data'!$G:$G,'Raw Data'!AF:AF),"")</f>
        <v>0</v>
      </c>
      <c r="N46" s="90">
        <f>IFERROR(_xlfn.XLOOKUP($A46,'Raw Data'!$G:$G,'Raw Data'!AG:AG),"")</f>
        <v>0</v>
      </c>
      <c r="O46" s="85">
        <f>IFERROR(1-SUMIF('Plant BD'!$B:$B,$A46,'Plant BD'!$AM:$AM)/($AA46+SUMIF('Plant BD'!$B:$B,$A46,'Plant BD'!$AM:$AM)),"")</f>
        <v>1</v>
      </c>
      <c r="P46" s="85"/>
      <c r="Q46" s="89"/>
      <c r="R46" s="85">
        <f>IFERROR(1-SUMIF('Grid BD'!$B:$B,$A46,'Grid BD'!$AE:$AE)/($AA46+SUMIF('Grid BD'!$B:$B,$A46,'Grid BD'!$AE:$AE)),"")</f>
        <v>1</v>
      </c>
      <c r="T46" s="89"/>
      <c r="U46" s="88">
        <f t="shared" si="1"/>
        <v>0.751258357749234</v>
      </c>
      <c r="V46" s="88"/>
      <c r="W46" s="84">
        <f t="shared" si="2"/>
        <v>0.19720531890917395</v>
      </c>
      <c r="X46" s="86">
        <f>IFERROR(_xlfn.XLOOKUP($A46,'Raw Data'!$G:$G,'Raw Data'!AI:AI),"")</f>
        <v>34070.6</v>
      </c>
      <c r="Y46" s="86">
        <f>IFERROR(_xlfn.XLOOKUP($A46,'Raw Data'!$G:$G,'Raw Data'!AJ:AJ),"")</f>
        <v>33800.000000000182</v>
      </c>
      <c r="Z46" s="86">
        <f>IFERROR(_xlfn.XLOOKUP($A46,'Raw Data'!$G:$G,'Raw Data'!AK:AK),"")</f>
        <v>199.99999999999929</v>
      </c>
      <c r="AA46" s="86">
        <f>IFERROR(_xlfn.XLOOKUP($A46,'Raw Data'!$G:$G,'Raw Data'!$AL:$AL)*(1+(_xlfn.XLOOKUP(Table13[[#This Row],[Month Year]],JMR!$A:$A,JMR!$J:$J))),"")</f>
        <v>33600.000000000182</v>
      </c>
      <c r="AB46" s="86">
        <f>IFERROR(_xlfn.XLOOKUP($A46,'Raw Data'!$G:$G,'Raw Data'!$H:$H),"")</f>
        <v>7.0991999999999997</v>
      </c>
      <c r="AC46" s="87">
        <f>IFERROR(_xlfn.XLOOKUP($D46,'Modelling New'!$D:$D,'Modelling New'!$P:$P),"")</f>
        <v>6.0354838709677416</v>
      </c>
      <c r="AD46" s="86">
        <f>IFERROR(_xlfn.XLOOKUP($D46,'Modelling New'!$D:$D,'Modelling New'!$T:$T)*1000,"")</f>
        <v>29719.248980865192</v>
      </c>
      <c r="AE46" s="94">
        <f>IFERROR(_xlfn.XLOOKUP($D46,'Modelling New'!$D:$D,'Modelling New'!$O:$O),"")</f>
        <v>0.69361156434065652</v>
      </c>
      <c r="AF46" s="94">
        <f>IFERROR(_xlfn.XLOOKUP($D46,'Modelling New'!$D:$D,'Modelling New'!$W:$W),"")</f>
        <v>0.17442839205394736</v>
      </c>
      <c r="AG46" s="94">
        <f>IFERROR(_xlfn.XLOOKUP($D46,'Modelling New'!$D:$D,'Modelling New'!$AE:$AE),"")</f>
        <v>0.98040000000000005</v>
      </c>
      <c r="AH46" s="94">
        <f>IFERROR(_xlfn.XLOOKUP($D46,'Modelling New'!$D:$D,'Modelling New'!$AF:$AF),"")</f>
        <v>0.98</v>
      </c>
      <c r="AN46" s="85"/>
      <c r="AO46" s="84"/>
      <c r="AP46" s="84"/>
      <c r="AQ46" s="84"/>
      <c r="AR46" s="86">
        <f>'Basic Data'!$J$2</f>
        <v>7.0991999999999997</v>
      </c>
      <c r="AT46" s="7" t="str">
        <f>IFERROR(_xlfn.XLOOKUP(Table13[[#This Row],[Date]],'Raw Data'!$E:$E,'Raw Data'!$AN:$AN),"")</f>
        <v/>
      </c>
      <c r="AU46" s="7">
        <f>IFERROR(_xlfn.XLOOKUP(Table13[[#This Row],[Month Year]],'Modelling New'!$D:$D,'Modelling New'!$AO:$AO),"")</f>
        <v>7</v>
      </c>
      <c r="AV46" s="7">
        <f>IFERROR(SUMIF('Curtailment Records'!$C:$C,Table13[[#This Row],[Date]],'Curtailment Records'!$R:$R)/1000,"")</f>
        <v>0</v>
      </c>
    </row>
    <row r="47" spans="1:48" x14ac:dyDescent="0.25">
      <c r="A47" s="93">
        <f t="shared" si="3"/>
        <v>45790</v>
      </c>
      <c r="B47" s="86">
        <f>YEAR(Table13[[#This Row],[Date]])+IF(MONTH(Table13[[#This Row],[Date]])&gt;=4,1,0)</f>
        <v>2026</v>
      </c>
      <c r="C47" s="7">
        <f>YEAR(Table13[[#This Row],[Date]])</f>
        <v>2025</v>
      </c>
      <c r="D47" s="92">
        <f>Table13[[#This Row],[Date]]-DAY(Table13[[#This Row],[Date]])+1</f>
        <v>45778</v>
      </c>
      <c r="E47" s="7">
        <f t="shared" si="0"/>
        <v>31</v>
      </c>
      <c r="F47" s="91">
        <f>IFERROR(_xlfn.XLOOKUP($A47,'Raw Data'!$G:$G,'Raw Data'!$AM:$AM),"")</f>
        <v>12.766666666666669</v>
      </c>
      <c r="G47" s="90">
        <f>IFERROR(_xlfn.XLOOKUP($A47,'Raw Data'!$G:$G,'Raw Data'!$AB:$AB),"")</f>
        <v>0</v>
      </c>
      <c r="H47" s="90"/>
      <c r="I47" s="90">
        <f>IFERROR(_xlfn.XLOOKUP($A47,'Raw Data'!$G:$G,'Raw Data'!$AC:$AC),"")</f>
        <v>5.91</v>
      </c>
      <c r="J47" s="90"/>
      <c r="K47" s="90">
        <f>IFERROR(_xlfn.XLOOKUP($A47,'Raw Data'!$G:$G,'Raw Data'!AD:AD),"")</f>
        <v>0</v>
      </c>
      <c r="L47" s="90">
        <f>IFERROR(_xlfn.XLOOKUP($A47,'Raw Data'!$G:$G,'Raw Data'!AE:AE),"")</f>
        <v>49.15</v>
      </c>
      <c r="M47" s="90">
        <f>IFERROR(_xlfn.XLOOKUP($A47,'Raw Data'!$G:$G,'Raw Data'!AF:AF),"")</f>
        <v>0</v>
      </c>
      <c r="N47" s="90">
        <f>IFERROR(_xlfn.XLOOKUP($A47,'Raw Data'!$G:$G,'Raw Data'!AG:AG),"")</f>
        <v>0</v>
      </c>
      <c r="O47" s="85">
        <f>IFERROR(1-SUMIF('Plant BD'!$B:$B,$A47,'Plant BD'!$AM:$AM)/($AA47+SUMIF('Plant BD'!$B:$B,$A47,'Plant BD'!$AM:$AM)),"")</f>
        <v>0.99796674774593153</v>
      </c>
      <c r="P47" s="85"/>
      <c r="Q47" s="89"/>
      <c r="R47" s="85">
        <f>IFERROR(1-SUMIF('Grid BD'!$B:$B,$A47,'Grid BD'!$AE:$AE)/($AA47+SUMIF('Grid BD'!$B:$B,$A47,'Grid BD'!$AE:$AE)),"")</f>
        <v>1</v>
      </c>
      <c r="T47" s="89"/>
      <c r="U47" s="88">
        <f t="shared" si="1"/>
        <v>0.75078167097400395</v>
      </c>
      <c r="V47" s="88"/>
      <c r="W47" s="84">
        <f t="shared" ref="W47:W110" si="4">IFERROR(AA47/(24*AB47*1000),"")</f>
        <v>0.18487998647734849</v>
      </c>
      <c r="X47" s="86">
        <f>IFERROR(_xlfn.XLOOKUP($A47,'Raw Data'!$G:$G,'Raw Data'!AI:AI),"")</f>
        <v>31933.599999999999</v>
      </c>
      <c r="Y47" s="86">
        <f>IFERROR(_xlfn.XLOOKUP($A47,'Raw Data'!$G:$G,'Raw Data'!AJ:AJ),"")</f>
        <v>31699.999999999818</v>
      </c>
      <c r="Z47" s="86">
        <f>IFERROR(_xlfn.XLOOKUP($A47,'Raw Data'!$G:$G,'Raw Data'!AK:AK),"")</f>
        <v>200.00000000000284</v>
      </c>
      <c r="AA47" s="86">
        <f>IFERROR(_xlfn.XLOOKUP($A47,'Raw Data'!$G:$G,'Raw Data'!$AL:$AL)*(1+(_xlfn.XLOOKUP(Table13[[#This Row],[Month Year]],JMR!$A:$A,JMR!$J:$J))),"")</f>
        <v>31499.999999999814</v>
      </c>
      <c r="AB47" s="86">
        <f>IFERROR(_xlfn.XLOOKUP($A47,'Raw Data'!$G:$G,'Raw Data'!$H:$H),"")</f>
        <v>7.0991999999999997</v>
      </c>
      <c r="AC47" s="87">
        <f>IFERROR(_xlfn.XLOOKUP($D47,'Modelling New'!$D:$D,'Modelling New'!$P:$P),"")</f>
        <v>6.0354838709677416</v>
      </c>
      <c r="AD47" s="86">
        <f>IFERROR(_xlfn.XLOOKUP($D47,'Modelling New'!$D:$D,'Modelling New'!$T:$T)*1000,"")</f>
        <v>29719.248980865192</v>
      </c>
      <c r="AE47" s="94">
        <f>IFERROR(_xlfn.XLOOKUP($D47,'Modelling New'!$D:$D,'Modelling New'!$O:$O),"")</f>
        <v>0.69361156434065652</v>
      </c>
      <c r="AF47" s="94">
        <f>IFERROR(_xlfn.XLOOKUP($D47,'Modelling New'!$D:$D,'Modelling New'!$W:$W),"")</f>
        <v>0.17442839205394736</v>
      </c>
      <c r="AG47" s="94">
        <f>IFERROR(_xlfn.XLOOKUP($D47,'Modelling New'!$D:$D,'Modelling New'!$AE:$AE),"")</f>
        <v>0.98040000000000005</v>
      </c>
      <c r="AH47" s="94">
        <f>IFERROR(_xlfn.XLOOKUP($D47,'Modelling New'!$D:$D,'Modelling New'!$AF:$AF),"")</f>
        <v>0.98</v>
      </c>
      <c r="AN47" s="85"/>
      <c r="AO47" s="84"/>
      <c r="AP47" s="84"/>
      <c r="AQ47" s="84"/>
      <c r="AR47" s="86">
        <f>'Basic Data'!$J$2</f>
        <v>7.0991999999999997</v>
      </c>
      <c r="AT47" s="7" t="str">
        <f>IFERROR(_xlfn.XLOOKUP(Table13[[#This Row],[Date]],'Raw Data'!$E:$E,'Raw Data'!$AN:$AN),"")</f>
        <v/>
      </c>
      <c r="AU47" s="7">
        <f>IFERROR(_xlfn.XLOOKUP(Table13[[#This Row],[Month Year]],'Modelling New'!$D:$D,'Modelling New'!$AO:$AO),"")</f>
        <v>7</v>
      </c>
      <c r="AV47" s="7">
        <f>IFERROR(SUMIF('Curtailment Records'!$C:$C,Table13[[#This Row],[Date]],'Curtailment Records'!$R:$R)/1000,"")</f>
        <v>0</v>
      </c>
    </row>
    <row r="48" spans="1:48" x14ac:dyDescent="0.25">
      <c r="A48" s="93">
        <f t="shared" si="3"/>
        <v>45791</v>
      </c>
      <c r="B48" s="86">
        <f>YEAR(Table13[[#This Row],[Date]])+IF(MONTH(Table13[[#This Row],[Date]])&gt;=4,1,0)</f>
        <v>2026</v>
      </c>
      <c r="C48" s="7">
        <f>YEAR(Table13[[#This Row],[Date]])</f>
        <v>2025</v>
      </c>
      <c r="D48" s="92">
        <f>Table13[[#This Row],[Date]]-DAY(Table13[[#This Row],[Date]])+1</f>
        <v>45778</v>
      </c>
      <c r="E48" s="7">
        <f t="shared" si="0"/>
        <v>31</v>
      </c>
      <c r="F48" s="91">
        <f>IFERROR(_xlfn.XLOOKUP($A48,'Raw Data'!$G:$G,'Raw Data'!$AM:$AM),"")</f>
        <v>12.483333333333331</v>
      </c>
      <c r="G48" s="90">
        <f>IFERROR(_xlfn.XLOOKUP($A48,'Raw Data'!$G:$G,'Raw Data'!$AB:$AB),"")</f>
        <v>0</v>
      </c>
      <c r="H48" s="90"/>
      <c r="I48" s="90">
        <f>IFERROR(_xlfn.XLOOKUP($A48,'Raw Data'!$G:$G,'Raw Data'!$AC:$AC),"")</f>
        <v>6.3</v>
      </c>
      <c r="J48" s="90"/>
      <c r="K48" s="90">
        <f>IFERROR(_xlfn.XLOOKUP($A48,'Raw Data'!$G:$G,'Raw Data'!AD:AD),"")</f>
        <v>0</v>
      </c>
      <c r="L48" s="90">
        <f>IFERROR(_xlfn.XLOOKUP($A48,'Raw Data'!$G:$G,'Raw Data'!AE:AE),"")</f>
        <v>51.6</v>
      </c>
      <c r="M48" s="90">
        <f>IFERROR(_xlfn.XLOOKUP($A48,'Raw Data'!$G:$G,'Raw Data'!AF:AF),"")</f>
        <v>0</v>
      </c>
      <c r="N48" s="90">
        <f>IFERROR(_xlfn.XLOOKUP($A48,'Raw Data'!$G:$G,'Raw Data'!AG:AG),"")</f>
        <v>0</v>
      </c>
      <c r="O48" s="85">
        <f>IFERROR(1-SUMIF('Plant BD'!$B:$B,$A48,'Plant BD'!$AM:$AM)/($AA48+SUMIF('Plant BD'!$B:$B,$A48,'Plant BD'!$AM:$AM)),"")</f>
        <v>1</v>
      </c>
      <c r="P48" s="85"/>
      <c r="Q48" s="89"/>
      <c r="R48" s="85">
        <f>IFERROR(1-SUMIF('Grid BD'!$B:$B,$A48,'Grid BD'!$AE:$AE)/($AA48+SUMIF('Grid BD'!$B:$B,$A48,'Grid BD'!$AE:$AE)),"")</f>
        <v>1</v>
      </c>
      <c r="T48" s="89"/>
      <c r="U48" s="88">
        <f t="shared" si="1"/>
        <v>0.76243779759669283</v>
      </c>
      <c r="V48" s="88"/>
      <c r="W48" s="84">
        <f t="shared" si="4"/>
        <v>0.20013992186913188</v>
      </c>
      <c r="X48" s="86">
        <f>IFERROR(_xlfn.XLOOKUP($A48,'Raw Data'!$G:$G,'Raw Data'!AI:AI),"")</f>
        <v>34500.299999999996</v>
      </c>
      <c r="Y48" s="86">
        <f>IFERROR(_xlfn.XLOOKUP($A48,'Raw Data'!$G:$G,'Raw Data'!AJ:AJ),"")</f>
        <v>34300.000000000182</v>
      </c>
      <c r="Z48" s="86">
        <f>IFERROR(_xlfn.XLOOKUP($A48,'Raw Data'!$G:$G,'Raw Data'!AK:AK),"")</f>
        <v>199.99999999999929</v>
      </c>
      <c r="AA48" s="86">
        <f>IFERROR(_xlfn.XLOOKUP($A48,'Raw Data'!$G:$G,'Raw Data'!$AL:$AL)*(1+(_xlfn.XLOOKUP(Table13[[#This Row],[Month Year]],JMR!$A:$A,JMR!$J:$J))),"")</f>
        <v>34100.000000000182</v>
      </c>
      <c r="AB48" s="86">
        <f>IFERROR(_xlfn.XLOOKUP($A48,'Raw Data'!$G:$G,'Raw Data'!$H:$H),"")</f>
        <v>7.0991999999999997</v>
      </c>
      <c r="AC48" s="87">
        <f>IFERROR(_xlfn.XLOOKUP($D48,'Modelling New'!$D:$D,'Modelling New'!$P:$P),"")</f>
        <v>6.0354838709677416</v>
      </c>
      <c r="AD48" s="86">
        <f>IFERROR(_xlfn.XLOOKUP($D48,'Modelling New'!$D:$D,'Modelling New'!$T:$T)*1000,"")</f>
        <v>29719.248980865192</v>
      </c>
      <c r="AE48" s="94">
        <f>IFERROR(_xlfn.XLOOKUP($D48,'Modelling New'!$D:$D,'Modelling New'!$O:$O),"")</f>
        <v>0.69361156434065652</v>
      </c>
      <c r="AF48" s="94">
        <f>IFERROR(_xlfn.XLOOKUP($D48,'Modelling New'!$D:$D,'Modelling New'!$W:$W),"")</f>
        <v>0.17442839205394736</v>
      </c>
      <c r="AG48" s="94">
        <f>IFERROR(_xlfn.XLOOKUP($D48,'Modelling New'!$D:$D,'Modelling New'!$AE:$AE),"")</f>
        <v>0.98040000000000005</v>
      </c>
      <c r="AH48" s="94">
        <f>IFERROR(_xlfn.XLOOKUP($D48,'Modelling New'!$D:$D,'Modelling New'!$AF:$AF),"")</f>
        <v>0.98</v>
      </c>
      <c r="AN48" s="85"/>
      <c r="AO48" s="84"/>
      <c r="AP48" s="84"/>
      <c r="AQ48" s="84"/>
      <c r="AR48" s="86">
        <f>'Basic Data'!$J$2</f>
        <v>7.0991999999999997</v>
      </c>
      <c r="AT48" s="7" t="str">
        <f>IFERROR(_xlfn.XLOOKUP(Table13[[#This Row],[Date]],'Raw Data'!$E:$E,'Raw Data'!$AN:$AN),"")</f>
        <v/>
      </c>
      <c r="AU48" s="7">
        <f>IFERROR(_xlfn.XLOOKUP(Table13[[#This Row],[Month Year]],'Modelling New'!$D:$D,'Modelling New'!$AO:$AO),"")</f>
        <v>7</v>
      </c>
      <c r="AV48" s="7">
        <f>IFERROR(SUMIF('Curtailment Records'!$C:$C,Table13[[#This Row],[Date]],'Curtailment Records'!$R:$R)/1000,"")</f>
        <v>0</v>
      </c>
    </row>
    <row r="49" spans="1:48" x14ac:dyDescent="0.25">
      <c r="A49" s="93">
        <f t="shared" si="3"/>
        <v>45792</v>
      </c>
      <c r="B49" s="86">
        <f>YEAR(Table13[[#This Row],[Date]])+IF(MONTH(Table13[[#This Row],[Date]])&gt;=4,1,0)</f>
        <v>2026</v>
      </c>
      <c r="C49" s="7">
        <f>YEAR(Table13[[#This Row],[Date]])</f>
        <v>2025</v>
      </c>
      <c r="D49" s="92">
        <f>Table13[[#This Row],[Date]]-DAY(Table13[[#This Row],[Date]])+1</f>
        <v>45778</v>
      </c>
      <c r="E49" s="7">
        <f t="shared" si="0"/>
        <v>31</v>
      </c>
      <c r="F49" s="91">
        <f>IFERROR(_xlfn.XLOOKUP($A49,'Raw Data'!$G:$G,'Raw Data'!$AM:$AM),"")</f>
        <v>12.816666666666666</v>
      </c>
      <c r="G49" s="90">
        <f>IFERROR(_xlfn.XLOOKUP($A49,'Raw Data'!$G:$G,'Raw Data'!$AB:$AB),"")</f>
        <v>0</v>
      </c>
      <c r="H49" s="90"/>
      <c r="I49" s="90">
        <f>IFERROR(_xlfn.XLOOKUP($A49,'Raw Data'!$G:$G,'Raw Data'!$AC:$AC),"")</f>
        <v>5.5</v>
      </c>
      <c r="J49" s="90"/>
      <c r="K49" s="90">
        <f>IFERROR(_xlfn.XLOOKUP($A49,'Raw Data'!$G:$G,'Raw Data'!AD:AD),"")</f>
        <v>0</v>
      </c>
      <c r="L49" s="90">
        <f>IFERROR(_xlfn.XLOOKUP($A49,'Raw Data'!$G:$G,'Raw Data'!AE:AE),"")</f>
        <v>44.88</v>
      </c>
      <c r="M49" s="90">
        <f>IFERROR(_xlfn.XLOOKUP($A49,'Raw Data'!$G:$G,'Raw Data'!AF:AF),"")</f>
        <v>0</v>
      </c>
      <c r="N49" s="90">
        <f>IFERROR(_xlfn.XLOOKUP($A49,'Raw Data'!$G:$G,'Raw Data'!AG:AG),"")</f>
        <v>0</v>
      </c>
      <c r="O49" s="85">
        <f>IFERROR(1-SUMIF('Plant BD'!$B:$B,$A49,'Plant BD'!$AM:$AM)/($AA49+SUMIF('Plant BD'!$B:$B,$A49,'Plant BD'!$AM:$AM)),"")</f>
        <v>1</v>
      </c>
      <c r="P49" s="85"/>
      <c r="Q49" s="89"/>
      <c r="R49" s="85">
        <f>IFERROR(1-SUMIF('Grid BD'!$B:$B,$A49,'Grid BD'!$AE:$AE)/($AA49+SUMIF('Grid BD'!$B:$B,$A49,'Grid BD'!$AE:$AE)),"")</f>
        <v>0.89449165061250846</v>
      </c>
      <c r="T49" s="89"/>
      <c r="U49" s="88">
        <f t="shared" si="1"/>
        <v>0.67357141393652553</v>
      </c>
      <c r="V49" s="88"/>
      <c r="W49" s="84">
        <f t="shared" si="4"/>
        <v>0.1543601156937871</v>
      </c>
      <c r="X49" s="86">
        <f>IFERROR(_xlfn.XLOOKUP($A49,'Raw Data'!$G:$G,'Raw Data'!AI:AI),"")</f>
        <v>26699.8</v>
      </c>
      <c r="Y49" s="86">
        <f>IFERROR(_xlfn.XLOOKUP($A49,'Raw Data'!$G:$G,'Raw Data'!AJ:AJ),"")</f>
        <v>26500</v>
      </c>
      <c r="Z49" s="86">
        <f>IFERROR(_xlfn.XLOOKUP($A49,'Raw Data'!$G:$G,'Raw Data'!AK:AK),"")</f>
        <v>199.99999999999929</v>
      </c>
      <c r="AA49" s="86">
        <f>IFERROR(_xlfn.XLOOKUP($A49,'Raw Data'!$G:$G,'Raw Data'!$AL:$AL)*(1+(_xlfn.XLOOKUP(Table13[[#This Row],[Month Year]],JMR!$A:$A,JMR!$J:$J))),"")</f>
        <v>26300</v>
      </c>
      <c r="AB49" s="86">
        <f>IFERROR(_xlfn.XLOOKUP($A49,'Raw Data'!$G:$G,'Raw Data'!$H:$H),"")</f>
        <v>7.0991999999999997</v>
      </c>
      <c r="AC49" s="87">
        <f>IFERROR(_xlfn.XLOOKUP($D49,'Modelling New'!$D:$D,'Modelling New'!$P:$P),"")</f>
        <v>6.0354838709677416</v>
      </c>
      <c r="AD49" s="86">
        <f>IFERROR(_xlfn.XLOOKUP($D49,'Modelling New'!$D:$D,'Modelling New'!$T:$T)*1000,"")</f>
        <v>29719.248980865192</v>
      </c>
      <c r="AE49" s="94">
        <f>IFERROR(_xlfn.XLOOKUP($D49,'Modelling New'!$D:$D,'Modelling New'!$O:$O),"")</f>
        <v>0.69361156434065652</v>
      </c>
      <c r="AF49" s="94">
        <f>IFERROR(_xlfn.XLOOKUP($D49,'Modelling New'!$D:$D,'Modelling New'!$W:$W),"")</f>
        <v>0.17442839205394736</v>
      </c>
      <c r="AG49" s="94">
        <f>IFERROR(_xlfn.XLOOKUP($D49,'Modelling New'!$D:$D,'Modelling New'!$AE:$AE),"")</f>
        <v>0.98040000000000005</v>
      </c>
      <c r="AH49" s="94">
        <f>IFERROR(_xlfn.XLOOKUP($D49,'Modelling New'!$D:$D,'Modelling New'!$AF:$AF),"")</f>
        <v>0.98</v>
      </c>
      <c r="AN49" s="85"/>
      <c r="AO49" s="84"/>
      <c r="AP49" s="84"/>
      <c r="AQ49" s="84"/>
      <c r="AR49" s="86">
        <f>'Basic Data'!$J$2</f>
        <v>7.0991999999999997</v>
      </c>
      <c r="AT49" s="7" t="str">
        <f>IFERROR(_xlfn.XLOOKUP(Table13[[#This Row],[Date]],'Raw Data'!$E:$E,'Raw Data'!$AN:$AN),"")</f>
        <v/>
      </c>
      <c r="AU49" s="7">
        <f>IFERROR(_xlfn.XLOOKUP(Table13[[#This Row],[Month Year]],'Modelling New'!$D:$D,'Modelling New'!$AO:$AO),"")</f>
        <v>7</v>
      </c>
      <c r="AV49" s="7">
        <f>IFERROR(SUMIF('Curtailment Records'!$C:$C,Table13[[#This Row],[Date]],'Curtailment Records'!$R:$R)/1000,"")</f>
        <v>0</v>
      </c>
    </row>
    <row r="50" spans="1:48" x14ac:dyDescent="0.25">
      <c r="A50" s="93">
        <f t="shared" si="3"/>
        <v>45793</v>
      </c>
      <c r="B50" s="86">
        <f>YEAR(Table13[[#This Row],[Date]])+IF(MONTH(Table13[[#This Row],[Date]])&gt;=4,1,0)</f>
        <v>2026</v>
      </c>
      <c r="C50" s="7">
        <f>YEAR(Table13[[#This Row],[Date]])</f>
        <v>2025</v>
      </c>
      <c r="D50" s="92">
        <f>Table13[[#This Row],[Date]]-DAY(Table13[[#This Row],[Date]])+1</f>
        <v>45778</v>
      </c>
      <c r="E50" s="7">
        <f t="shared" si="0"/>
        <v>31</v>
      </c>
      <c r="F50" s="91">
        <f>IFERROR(_xlfn.XLOOKUP($A50,'Raw Data'!$G:$G,'Raw Data'!$AM:$AM),"")</f>
        <v>13.266666666666667</v>
      </c>
      <c r="G50" s="90">
        <f>IFERROR(_xlfn.XLOOKUP($A50,'Raw Data'!$G:$G,'Raw Data'!$AB:$AB),"")</f>
        <v>0</v>
      </c>
      <c r="H50" s="90"/>
      <c r="I50" s="90">
        <f>IFERROR(_xlfn.XLOOKUP($A50,'Raw Data'!$G:$G,'Raw Data'!$AC:$AC),"")</f>
        <v>5.04</v>
      </c>
      <c r="J50" s="90"/>
      <c r="K50" s="90">
        <f>IFERROR(_xlfn.XLOOKUP($A50,'Raw Data'!$G:$G,'Raw Data'!AD:AD),"")</f>
        <v>0</v>
      </c>
      <c r="L50" s="90">
        <f>IFERROR(_xlfn.XLOOKUP($A50,'Raw Data'!$G:$G,'Raw Data'!AE:AE),"")</f>
        <v>45.79</v>
      </c>
      <c r="M50" s="90">
        <f>IFERROR(_xlfn.XLOOKUP($A50,'Raw Data'!$G:$G,'Raw Data'!AF:AF),"")</f>
        <v>0</v>
      </c>
      <c r="N50" s="90">
        <f>IFERROR(_xlfn.XLOOKUP($A50,'Raw Data'!$G:$G,'Raw Data'!AG:AG),"")</f>
        <v>0</v>
      </c>
      <c r="O50" s="85">
        <f>IFERROR(1-SUMIF('Plant BD'!$B:$B,$A50,'Plant BD'!$AM:$AM)/($AA50+SUMIF('Plant BD'!$B:$B,$A50,'Plant BD'!$AM:$AM)),"")</f>
        <v>1</v>
      </c>
      <c r="P50" s="85"/>
      <c r="Q50" s="89"/>
      <c r="R50" s="85">
        <f>IFERROR(1-SUMIF('Grid BD'!$B:$B,$A50,'Grid BD'!$AE:$AE)/($AA50+SUMIF('Grid BD'!$B:$B,$A50,'Grid BD'!$AE:$AE)),"")</f>
        <v>0.97858385662347869</v>
      </c>
      <c r="T50" s="89"/>
      <c r="U50" s="88">
        <f t="shared" si="1"/>
        <v>0.754612189703465</v>
      </c>
      <c r="V50" s="88"/>
      <c r="W50" s="84">
        <f t="shared" si="4"/>
        <v>0.15846855983772767</v>
      </c>
      <c r="X50" s="86">
        <f>IFERROR(_xlfn.XLOOKUP($A50,'Raw Data'!$G:$G,'Raw Data'!AI:AI),"")</f>
        <v>27409.5</v>
      </c>
      <c r="Y50" s="86">
        <f>IFERROR(_xlfn.XLOOKUP($A50,'Raw Data'!$G:$G,'Raw Data'!AJ:AJ),"")</f>
        <v>27099.999999999909</v>
      </c>
      <c r="Z50" s="86">
        <f>IFERROR(_xlfn.XLOOKUP($A50,'Raw Data'!$G:$G,'Raw Data'!AK:AK),"")</f>
        <v>100.00000000000142</v>
      </c>
      <c r="AA50" s="86">
        <f>IFERROR(_xlfn.XLOOKUP($A50,'Raw Data'!$G:$G,'Raw Data'!$AL:$AL)*(1+(_xlfn.XLOOKUP(Table13[[#This Row],[Month Year]],JMR!$A:$A,JMR!$J:$J))),"")</f>
        <v>26999.999999999909</v>
      </c>
      <c r="AB50" s="86">
        <f>IFERROR(_xlfn.XLOOKUP($A50,'Raw Data'!$G:$G,'Raw Data'!$H:$H),"")</f>
        <v>7.0991999999999997</v>
      </c>
      <c r="AC50" s="87">
        <f>IFERROR(_xlfn.XLOOKUP($D50,'Modelling New'!$D:$D,'Modelling New'!$P:$P),"")</f>
        <v>6.0354838709677416</v>
      </c>
      <c r="AD50" s="86">
        <f>IFERROR(_xlfn.XLOOKUP($D50,'Modelling New'!$D:$D,'Modelling New'!$T:$T)*1000,"")</f>
        <v>29719.248980865192</v>
      </c>
      <c r="AE50" s="94">
        <f>IFERROR(_xlfn.XLOOKUP($D50,'Modelling New'!$D:$D,'Modelling New'!$O:$O),"")</f>
        <v>0.69361156434065652</v>
      </c>
      <c r="AF50" s="94">
        <f>IFERROR(_xlfn.XLOOKUP($D50,'Modelling New'!$D:$D,'Modelling New'!$W:$W),"")</f>
        <v>0.17442839205394736</v>
      </c>
      <c r="AG50" s="94">
        <f>IFERROR(_xlfn.XLOOKUP($D50,'Modelling New'!$D:$D,'Modelling New'!$AE:$AE),"")</f>
        <v>0.98040000000000005</v>
      </c>
      <c r="AH50" s="94">
        <f>IFERROR(_xlfn.XLOOKUP($D50,'Modelling New'!$D:$D,'Modelling New'!$AF:$AF),"")</f>
        <v>0.98</v>
      </c>
      <c r="AN50" s="85"/>
      <c r="AO50" s="84"/>
      <c r="AP50" s="84"/>
      <c r="AQ50" s="84"/>
      <c r="AR50" s="86">
        <f>'Basic Data'!$J$2</f>
        <v>7.0991999999999997</v>
      </c>
      <c r="AT50" s="7" t="str">
        <f>IFERROR(_xlfn.XLOOKUP(Table13[[#This Row],[Date]],'Raw Data'!$E:$E,'Raw Data'!$AN:$AN),"")</f>
        <v/>
      </c>
      <c r="AU50" s="7">
        <f>IFERROR(_xlfn.XLOOKUP(Table13[[#This Row],[Month Year]],'Modelling New'!$D:$D,'Modelling New'!$AO:$AO),"")</f>
        <v>7</v>
      </c>
      <c r="AV50" s="7">
        <f>IFERROR(SUMIF('Curtailment Records'!$C:$C,Table13[[#This Row],[Date]],'Curtailment Records'!$R:$R)/1000,"")</f>
        <v>0</v>
      </c>
    </row>
    <row r="51" spans="1:48" x14ac:dyDescent="0.25">
      <c r="A51" s="93">
        <f t="shared" si="3"/>
        <v>45794</v>
      </c>
      <c r="B51" s="86">
        <f>YEAR(Table13[[#This Row],[Date]])+IF(MONTH(Table13[[#This Row],[Date]])&gt;=4,1,0)</f>
        <v>2026</v>
      </c>
      <c r="C51" s="7">
        <f>YEAR(Table13[[#This Row],[Date]])</f>
        <v>2025</v>
      </c>
      <c r="D51" s="92">
        <f>Table13[[#This Row],[Date]]-DAY(Table13[[#This Row],[Date]])+1</f>
        <v>45778</v>
      </c>
      <c r="E51" s="7">
        <f t="shared" si="0"/>
        <v>31</v>
      </c>
      <c r="F51" s="91">
        <f>IFERROR(_xlfn.XLOOKUP($A51,'Raw Data'!$G:$G,'Raw Data'!$AM:$AM),"")</f>
        <v>13.033333333333335</v>
      </c>
      <c r="G51" s="90">
        <f>IFERROR(_xlfn.XLOOKUP($A51,'Raw Data'!$G:$G,'Raw Data'!$AB:$AB),"")</f>
        <v>0</v>
      </c>
      <c r="H51" s="90"/>
      <c r="I51" s="90">
        <f>IFERROR(_xlfn.XLOOKUP($A51,'Raw Data'!$G:$G,'Raw Data'!$AC:$AC),"")</f>
        <v>5.16</v>
      </c>
      <c r="J51" s="90"/>
      <c r="K51" s="90">
        <f>IFERROR(_xlfn.XLOOKUP($A51,'Raw Data'!$G:$G,'Raw Data'!AD:AD),"")</f>
        <v>0</v>
      </c>
      <c r="L51" s="90">
        <f>IFERROR(_xlfn.XLOOKUP($A51,'Raw Data'!$G:$G,'Raw Data'!AE:AE),"")</f>
        <v>47.8</v>
      </c>
      <c r="M51" s="90">
        <f>IFERROR(_xlfn.XLOOKUP($A51,'Raw Data'!$G:$G,'Raw Data'!AF:AF),"")</f>
        <v>0</v>
      </c>
      <c r="N51" s="90">
        <f>IFERROR(_xlfn.XLOOKUP($A51,'Raw Data'!$G:$G,'Raw Data'!AG:AG),"")</f>
        <v>0</v>
      </c>
      <c r="O51" s="85">
        <f>IFERROR(1-SUMIF('Plant BD'!$B:$B,$A51,'Plant BD'!$AM:$AM)/($AA51+SUMIF('Plant BD'!$B:$B,$A51,'Plant BD'!$AM:$AM)),"")</f>
        <v>1</v>
      </c>
      <c r="P51" s="85"/>
      <c r="Q51" s="89"/>
      <c r="R51" s="85">
        <f>IFERROR(1-SUMIF('Grid BD'!$B:$B,$A51,'Grid BD'!$AE:$AE)/($AA51+SUMIF('Grid BD'!$B:$B,$A51,'Grid BD'!$AE:$AE)),"")</f>
        <v>0.99825072113314628</v>
      </c>
      <c r="T51" s="89"/>
      <c r="U51" s="88">
        <f t="shared" si="1"/>
        <v>0.76709156441691495</v>
      </c>
      <c r="V51" s="88"/>
      <c r="W51" s="84">
        <f t="shared" si="4"/>
        <v>0.16492468634963672</v>
      </c>
      <c r="X51" s="86">
        <f>IFERROR(_xlfn.XLOOKUP($A51,'Raw Data'!$G:$G,'Raw Data'!AI:AI),"")</f>
        <v>28471.399999999998</v>
      </c>
      <c r="Y51" s="86">
        <f>IFERROR(_xlfn.XLOOKUP($A51,'Raw Data'!$G:$G,'Raw Data'!AJ:AJ),"")</f>
        <v>28300.000000000182</v>
      </c>
      <c r="Z51" s="86">
        <f>IFERROR(_xlfn.XLOOKUP($A51,'Raw Data'!$G:$G,'Raw Data'!AK:AK),"")</f>
        <v>199.99999999999929</v>
      </c>
      <c r="AA51" s="86">
        <f>IFERROR(_xlfn.XLOOKUP($A51,'Raw Data'!$G:$G,'Raw Data'!$AL:$AL)*(1+(_xlfn.XLOOKUP(Table13[[#This Row],[Month Year]],JMR!$A:$A,JMR!$J:$J))),"")</f>
        <v>28100.000000000182</v>
      </c>
      <c r="AB51" s="86">
        <f>IFERROR(_xlfn.XLOOKUP($A51,'Raw Data'!$G:$G,'Raw Data'!$H:$H),"")</f>
        <v>7.0991999999999997</v>
      </c>
      <c r="AC51" s="87">
        <f>IFERROR(_xlfn.XLOOKUP($D51,'Modelling New'!$D:$D,'Modelling New'!$P:$P),"")</f>
        <v>6.0354838709677416</v>
      </c>
      <c r="AD51" s="86">
        <f>IFERROR(_xlfn.XLOOKUP($D51,'Modelling New'!$D:$D,'Modelling New'!$T:$T)*1000,"")</f>
        <v>29719.248980865192</v>
      </c>
      <c r="AE51" s="94">
        <f>IFERROR(_xlfn.XLOOKUP($D51,'Modelling New'!$D:$D,'Modelling New'!$O:$O),"")</f>
        <v>0.69361156434065652</v>
      </c>
      <c r="AF51" s="94">
        <f>IFERROR(_xlfn.XLOOKUP($D51,'Modelling New'!$D:$D,'Modelling New'!$W:$W),"")</f>
        <v>0.17442839205394736</v>
      </c>
      <c r="AG51" s="94">
        <f>IFERROR(_xlfn.XLOOKUP($D51,'Modelling New'!$D:$D,'Modelling New'!$AE:$AE),"")</f>
        <v>0.98040000000000005</v>
      </c>
      <c r="AH51" s="94">
        <f>IFERROR(_xlfn.XLOOKUP($D51,'Modelling New'!$D:$D,'Modelling New'!$AF:$AF),"")</f>
        <v>0.98</v>
      </c>
      <c r="AN51" s="85"/>
      <c r="AO51" s="84"/>
      <c r="AP51" s="84"/>
      <c r="AQ51" s="84"/>
      <c r="AR51" s="86">
        <f>'Basic Data'!$J$2</f>
        <v>7.0991999999999997</v>
      </c>
      <c r="AT51" s="7" t="str">
        <f>IFERROR(_xlfn.XLOOKUP(Table13[[#This Row],[Date]],'Raw Data'!$E:$E,'Raw Data'!$AN:$AN),"")</f>
        <v/>
      </c>
      <c r="AU51" s="7">
        <f>IFERROR(_xlfn.XLOOKUP(Table13[[#This Row],[Month Year]],'Modelling New'!$D:$D,'Modelling New'!$AO:$AO),"")</f>
        <v>7</v>
      </c>
      <c r="AV51" s="7">
        <f>IFERROR(SUMIF('Curtailment Records'!$C:$C,Table13[[#This Row],[Date]],'Curtailment Records'!$R:$R)/1000,"")</f>
        <v>0</v>
      </c>
    </row>
    <row r="52" spans="1:48" x14ac:dyDescent="0.25">
      <c r="A52" s="93">
        <f t="shared" si="3"/>
        <v>45795</v>
      </c>
      <c r="B52" s="86">
        <f>YEAR(Table13[[#This Row],[Date]])+IF(MONTH(Table13[[#This Row],[Date]])&gt;=4,1,0)</f>
        <v>2026</v>
      </c>
      <c r="C52" s="7">
        <f>YEAR(Table13[[#This Row],[Date]])</f>
        <v>2025</v>
      </c>
      <c r="D52" s="92">
        <f>Table13[[#This Row],[Date]]-DAY(Table13[[#This Row],[Date]])+1</f>
        <v>45778</v>
      </c>
      <c r="E52" s="7">
        <f t="shared" si="0"/>
        <v>31</v>
      </c>
      <c r="F52" s="91">
        <f>IFERROR(_xlfn.XLOOKUP($A52,'Raw Data'!$G:$G,'Raw Data'!$AM:$AM),"")</f>
        <v>13.100000000000001</v>
      </c>
      <c r="G52" s="90">
        <f>IFERROR(_xlfn.XLOOKUP($A52,'Raw Data'!$G:$G,'Raw Data'!$AB:$AB),"")</f>
        <v>0</v>
      </c>
      <c r="H52" s="90"/>
      <c r="I52" s="90">
        <f>IFERROR(_xlfn.XLOOKUP($A52,'Raw Data'!$G:$G,'Raw Data'!$AC:$AC),"")</f>
        <v>5.54</v>
      </c>
      <c r="J52" s="90"/>
      <c r="K52" s="90">
        <f>IFERROR(_xlfn.XLOOKUP($A52,'Raw Data'!$G:$G,'Raw Data'!AD:AD),"")</f>
        <v>0</v>
      </c>
      <c r="L52" s="90">
        <f>IFERROR(_xlfn.XLOOKUP($A52,'Raw Data'!$G:$G,'Raw Data'!AE:AE),"")</f>
        <v>48.68</v>
      </c>
      <c r="M52" s="90">
        <f>IFERROR(_xlfn.XLOOKUP($A52,'Raw Data'!$G:$G,'Raw Data'!AF:AF),"")</f>
        <v>0</v>
      </c>
      <c r="N52" s="90">
        <f>IFERROR(_xlfn.XLOOKUP($A52,'Raw Data'!$G:$G,'Raw Data'!AG:AG),"")</f>
        <v>0</v>
      </c>
      <c r="O52" s="85">
        <f>IFERROR(1-SUMIF('Plant BD'!$B:$B,$A52,'Plant BD'!$AM:$AM)/($AA52+SUMIF('Plant BD'!$B:$B,$A52,'Plant BD'!$AM:$AM)),"")</f>
        <v>1</v>
      </c>
      <c r="P52" s="85"/>
      <c r="Q52" s="89"/>
      <c r="R52" s="85">
        <f>IFERROR(1-SUMIF('Grid BD'!$B:$B,$A52,'Grid BD'!$AE:$AE)/($AA52+SUMIF('Grid BD'!$B:$B,$A52,'Grid BD'!$AE:$AE)),"")</f>
        <v>1</v>
      </c>
      <c r="T52" s="89"/>
      <c r="U52" s="88">
        <f t="shared" si="1"/>
        <v>0.75769965233281988</v>
      </c>
      <c r="V52" s="88"/>
      <c r="W52" s="84">
        <f t="shared" si="4"/>
        <v>0.17490233641349262</v>
      </c>
      <c r="X52" s="86">
        <f>IFERROR(_xlfn.XLOOKUP($A52,'Raw Data'!$G:$G,'Raw Data'!AI:AI),"")</f>
        <v>30139.5</v>
      </c>
      <c r="Y52" s="86">
        <f>IFERROR(_xlfn.XLOOKUP($A52,'Raw Data'!$G:$G,'Raw Data'!AJ:AJ),"")</f>
        <v>30000</v>
      </c>
      <c r="Z52" s="86">
        <f>IFERROR(_xlfn.XLOOKUP($A52,'Raw Data'!$G:$G,'Raw Data'!AK:AK),"")</f>
        <v>199.99999999999929</v>
      </c>
      <c r="AA52" s="86">
        <f>IFERROR(_xlfn.XLOOKUP($A52,'Raw Data'!$G:$G,'Raw Data'!$AL:$AL)*(1+(_xlfn.XLOOKUP(Table13[[#This Row],[Month Year]],JMR!$A:$A,JMR!$J:$J))),"")</f>
        <v>29800</v>
      </c>
      <c r="AB52" s="86">
        <f>IFERROR(_xlfn.XLOOKUP($A52,'Raw Data'!$G:$G,'Raw Data'!$H:$H),"")</f>
        <v>7.0991999999999997</v>
      </c>
      <c r="AC52" s="87">
        <f>IFERROR(_xlfn.XLOOKUP($D52,'Modelling New'!$D:$D,'Modelling New'!$P:$P),"")</f>
        <v>6.0354838709677416</v>
      </c>
      <c r="AD52" s="86">
        <f>IFERROR(_xlfn.XLOOKUP($D52,'Modelling New'!$D:$D,'Modelling New'!$T:$T)*1000,"")</f>
        <v>29719.248980865192</v>
      </c>
      <c r="AE52" s="94">
        <f>IFERROR(_xlfn.XLOOKUP($D52,'Modelling New'!$D:$D,'Modelling New'!$O:$O),"")</f>
        <v>0.69361156434065652</v>
      </c>
      <c r="AF52" s="94">
        <f>IFERROR(_xlfn.XLOOKUP($D52,'Modelling New'!$D:$D,'Modelling New'!$W:$W),"")</f>
        <v>0.17442839205394736</v>
      </c>
      <c r="AG52" s="94">
        <f>IFERROR(_xlfn.XLOOKUP($D52,'Modelling New'!$D:$D,'Modelling New'!$AE:$AE),"")</f>
        <v>0.98040000000000005</v>
      </c>
      <c r="AH52" s="94">
        <f>IFERROR(_xlfn.XLOOKUP($D52,'Modelling New'!$D:$D,'Modelling New'!$AF:$AF),"")</f>
        <v>0.98</v>
      </c>
      <c r="AN52" s="85"/>
      <c r="AO52" s="84"/>
      <c r="AP52" s="84"/>
      <c r="AQ52" s="84"/>
      <c r="AR52" s="86">
        <f>'Basic Data'!$J$2</f>
        <v>7.0991999999999997</v>
      </c>
      <c r="AT52" s="7" t="str">
        <f>IFERROR(_xlfn.XLOOKUP(Table13[[#This Row],[Date]],'Raw Data'!$E:$E,'Raw Data'!$AN:$AN),"")</f>
        <v/>
      </c>
      <c r="AU52" s="7">
        <f>IFERROR(_xlfn.XLOOKUP(Table13[[#This Row],[Month Year]],'Modelling New'!$D:$D,'Modelling New'!$AO:$AO),"")</f>
        <v>7</v>
      </c>
      <c r="AV52" s="7">
        <f>IFERROR(SUMIF('Curtailment Records'!$C:$C,Table13[[#This Row],[Date]],'Curtailment Records'!$R:$R)/1000,"")</f>
        <v>0</v>
      </c>
    </row>
    <row r="53" spans="1:48" x14ac:dyDescent="0.25">
      <c r="A53" s="93">
        <f t="shared" si="3"/>
        <v>45796</v>
      </c>
      <c r="B53" s="86">
        <f>YEAR(Table13[[#This Row],[Date]])+IF(MONTH(Table13[[#This Row],[Date]])&gt;=4,1,0)</f>
        <v>2026</v>
      </c>
      <c r="C53" s="7">
        <f>YEAR(Table13[[#This Row],[Date]])</f>
        <v>2025</v>
      </c>
      <c r="D53" s="92">
        <f>Table13[[#This Row],[Date]]-DAY(Table13[[#This Row],[Date]])+1</f>
        <v>45778</v>
      </c>
      <c r="E53" s="7">
        <f t="shared" si="0"/>
        <v>31</v>
      </c>
      <c r="F53" s="91">
        <f>IFERROR(_xlfn.XLOOKUP($A53,'Raw Data'!$G:$G,'Raw Data'!$AM:$AM),"")</f>
        <v>13.083333333333332</v>
      </c>
      <c r="G53" s="90">
        <f>IFERROR(_xlfn.XLOOKUP($A53,'Raw Data'!$G:$G,'Raw Data'!$AB:$AB),"")</f>
        <v>0</v>
      </c>
      <c r="H53" s="90"/>
      <c r="I53" s="90">
        <f>IFERROR(_xlfn.XLOOKUP($A53,'Raw Data'!$G:$G,'Raw Data'!$AC:$AC),"")</f>
        <v>5.33</v>
      </c>
      <c r="J53" s="90"/>
      <c r="K53" s="90">
        <f>IFERROR(_xlfn.XLOOKUP($A53,'Raw Data'!$G:$G,'Raw Data'!AD:AD),"")</f>
        <v>0</v>
      </c>
      <c r="L53" s="90">
        <f>IFERROR(_xlfn.XLOOKUP($A53,'Raw Data'!$G:$G,'Raw Data'!AE:AE),"")</f>
        <v>50.3</v>
      </c>
      <c r="M53" s="90">
        <f>IFERROR(_xlfn.XLOOKUP($A53,'Raw Data'!$G:$G,'Raw Data'!AF:AF),"")</f>
        <v>0</v>
      </c>
      <c r="N53" s="90">
        <f>IFERROR(_xlfn.XLOOKUP($A53,'Raw Data'!$G:$G,'Raw Data'!AG:AG),"")</f>
        <v>0</v>
      </c>
      <c r="O53" s="85">
        <f>IFERROR(1-SUMIF('Plant BD'!$B:$B,$A53,'Plant BD'!$AM:$AM)/($AA53+SUMIF('Plant BD'!$B:$B,$A53,'Plant BD'!$AM:$AM)),"")</f>
        <v>1</v>
      </c>
      <c r="P53" s="85"/>
      <c r="Q53" s="89"/>
      <c r="R53" s="85">
        <f>IFERROR(1-SUMIF('Grid BD'!$B:$B,$A53,'Grid BD'!$AE:$AE)/($AA53+SUMIF('Grid BD'!$B:$B,$A53,'Grid BD'!$AE:$AE)),"")</f>
        <v>0.74539892450832834</v>
      </c>
      <c r="T53" s="89"/>
      <c r="U53" s="88">
        <f t="shared" ref="U53:U116" si="5">IFERROR(AA53/I53/AB53/1000,"")</f>
        <v>0.54177285414607457</v>
      </c>
      <c r="V53" s="88"/>
      <c r="W53" s="84">
        <f t="shared" si="4"/>
        <v>0.12031872135827405</v>
      </c>
      <c r="X53" s="86">
        <f>IFERROR(_xlfn.XLOOKUP($A53,'Raw Data'!$G:$G,'Raw Data'!AI:AI),"")</f>
        <v>20882.199999999997</v>
      </c>
      <c r="Y53" s="86">
        <f>IFERROR(_xlfn.XLOOKUP($A53,'Raw Data'!$G:$G,'Raw Data'!AJ:AJ),"")</f>
        <v>20699.999999999818</v>
      </c>
      <c r="Z53" s="86">
        <f>IFERROR(_xlfn.XLOOKUP($A53,'Raw Data'!$G:$G,'Raw Data'!AK:AK),"")</f>
        <v>199.99999999999929</v>
      </c>
      <c r="AA53" s="86">
        <f>IFERROR(_xlfn.XLOOKUP($A53,'Raw Data'!$G:$G,'Raw Data'!$AL:$AL)*(1+(_xlfn.XLOOKUP(Table13[[#This Row],[Month Year]],JMR!$A:$A,JMR!$J:$J))),"")</f>
        <v>20499.999999999818</v>
      </c>
      <c r="AB53" s="86">
        <f>IFERROR(_xlfn.XLOOKUP($A53,'Raw Data'!$G:$G,'Raw Data'!$H:$H),"")</f>
        <v>7.0991999999999997</v>
      </c>
      <c r="AC53" s="87">
        <f>IFERROR(_xlfn.XLOOKUP($D53,'Modelling New'!$D:$D,'Modelling New'!$P:$P),"")</f>
        <v>6.0354838709677416</v>
      </c>
      <c r="AD53" s="86">
        <f>IFERROR(_xlfn.XLOOKUP($D53,'Modelling New'!$D:$D,'Modelling New'!$T:$T)*1000,"")</f>
        <v>29719.248980865192</v>
      </c>
      <c r="AE53" s="94">
        <f>IFERROR(_xlfn.XLOOKUP($D53,'Modelling New'!$D:$D,'Modelling New'!$O:$O),"")</f>
        <v>0.69361156434065652</v>
      </c>
      <c r="AF53" s="94">
        <f>IFERROR(_xlfn.XLOOKUP($D53,'Modelling New'!$D:$D,'Modelling New'!$W:$W),"")</f>
        <v>0.17442839205394736</v>
      </c>
      <c r="AG53" s="94">
        <f>IFERROR(_xlfn.XLOOKUP($D53,'Modelling New'!$D:$D,'Modelling New'!$AE:$AE),"")</f>
        <v>0.98040000000000005</v>
      </c>
      <c r="AH53" s="94">
        <f>IFERROR(_xlfn.XLOOKUP($D53,'Modelling New'!$D:$D,'Modelling New'!$AF:$AF),"")</f>
        <v>0.98</v>
      </c>
      <c r="AN53" s="85"/>
      <c r="AO53" s="84"/>
      <c r="AP53" s="84"/>
      <c r="AQ53" s="84"/>
      <c r="AR53" s="86">
        <f>'Basic Data'!$J$2</f>
        <v>7.0991999999999997</v>
      </c>
      <c r="AT53" s="7" t="str">
        <f>IFERROR(_xlfn.XLOOKUP(Table13[[#This Row],[Date]],'Raw Data'!$E:$E,'Raw Data'!$AN:$AN),"")</f>
        <v/>
      </c>
      <c r="AU53" s="7">
        <f>IFERROR(_xlfn.XLOOKUP(Table13[[#This Row],[Month Year]],'Modelling New'!$D:$D,'Modelling New'!$AO:$AO),"")</f>
        <v>7</v>
      </c>
      <c r="AV53" s="7">
        <f>IFERROR(SUMIF('Curtailment Records'!$C:$C,Table13[[#This Row],[Date]],'Curtailment Records'!$R:$R)/1000,"")</f>
        <v>0</v>
      </c>
    </row>
    <row r="54" spans="1:48" x14ac:dyDescent="0.25">
      <c r="A54" s="93">
        <f t="shared" ref="A54:A117" si="6">A53+1</f>
        <v>45797</v>
      </c>
      <c r="B54" s="86">
        <f>YEAR(Table13[[#This Row],[Date]])+IF(MONTH(Table13[[#This Row],[Date]])&gt;=4,1,0)</f>
        <v>2026</v>
      </c>
      <c r="C54" s="7">
        <f>YEAR(Table13[[#This Row],[Date]])</f>
        <v>2025</v>
      </c>
      <c r="D54" s="92">
        <f>Table13[[#This Row],[Date]]-DAY(Table13[[#This Row],[Date]])+1</f>
        <v>45778</v>
      </c>
      <c r="E54" s="7">
        <f t="shared" si="0"/>
        <v>31</v>
      </c>
      <c r="F54" s="91">
        <f>IFERROR(_xlfn.XLOOKUP($A54,'Raw Data'!$G:$G,'Raw Data'!$AM:$AM),"")</f>
        <v>13.366666666666667</v>
      </c>
      <c r="G54" s="90">
        <f>IFERROR(_xlfn.XLOOKUP($A54,'Raw Data'!$G:$G,'Raw Data'!$AB:$AB),"")</f>
        <v>0</v>
      </c>
      <c r="H54" s="90"/>
      <c r="I54" s="90">
        <f>IFERROR(_xlfn.XLOOKUP($A54,'Raw Data'!$G:$G,'Raw Data'!$AC:$AC),"")</f>
        <v>5.1100000000000003</v>
      </c>
      <c r="J54" s="90"/>
      <c r="K54" s="90">
        <f>IFERROR(_xlfn.XLOOKUP($A54,'Raw Data'!$G:$G,'Raw Data'!AD:AD),"")</f>
        <v>0</v>
      </c>
      <c r="L54" s="90">
        <f>IFERROR(_xlfn.XLOOKUP($A54,'Raw Data'!$G:$G,'Raw Data'!AE:AE),"")</f>
        <v>48.72</v>
      </c>
      <c r="M54" s="90">
        <f>IFERROR(_xlfn.XLOOKUP($A54,'Raw Data'!$G:$G,'Raw Data'!AF:AF),"")</f>
        <v>0</v>
      </c>
      <c r="N54" s="90">
        <f>IFERROR(_xlfn.XLOOKUP($A54,'Raw Data'!$G:$G,'Raw Data'!AG:AG),"")</f>
        <v>0</v>
      </c>
      <c r="O54" s="85">
        <f>IFERROR(1-SUMIF('Plant BD'!$B:$B,$A54,'Plant BD'!$AM:$AM)/($AA54+SUMIF('Plant BD'!$B:$B,$A54,'Plant BD'!$AM:$AM)),"")</f>
        <v>1</v>
      </c>
      <c r="P54" s="85"/>
      <c r="Q54" s="89"/>
      <c r="R54" s="85">
        <f>IFERROR(1-SUMIF('Grid BD'!$B:$B,$A54,'Grid BD'!$AE:$AE)/($AA54+SUMIF('Grid BD'!$B:$B,$A54,'Grid BD'!$AE:$AE)),"")</f>
        <v>1</v>
      </c>
      <c r="T54" s="89"/>
      <c r="U54" s="88">
        <f t="shared" si="5"/>
        <v>0.76357105588260066</v>
      </c>
      <c r="V54" s="88"/>
      <c r="W54" s="84">
        <f t="shared" si="4"/>
        <v>0.16257700398167038</v>
      </c>
      <c r="X54" s="86">
        <f>IFERROR(_xlfn.XLOOKUP($A54,'Raw Data'!$G:$G,'Raw Data'!AI:AI),"")</f>
        <v>27920.800000000003</v>
      </c>
      <c r="Y54" s="86">
        <f>IFERROR(_xlfn.XLOOKUP($A54,'Raw Data'!$G:$G,'Raw Data'!AJ:AJ),"")</f>
        <v>27800.000000000182</v>
      </c>
      <c r="Z54" s="86">
        <f>IFERROR(_xlfn.XLOOKUP($A54,'Raw Data'!$G:$G,'Raw Data'!AK:AK),"")</f>
        <v>100.00000000000142</v>
      </c>
      <c r="AA54" s="86">
        <f>IFERROR(_xlfn.XLOOKUP($A54,'Raw Data'!$G:$G,'Raw Data'!$AL:$AL)*(1+(_xlfn.XLOOKUP(Table13[[#This Row],[Month Year]],JMR!$A:$A,JMR!$J:$J))),"")</f>
        <v>27700.000000000182</v>
      </c>
      <c r="AB54" s="86">
        <f>IFERROR(_xlfn.XLOOKUP($A54,'Raw Data'!$G:$G,'Raw Data'!$H:$H),"")</f>
        <v>7.0991999999999997</v>
      </c>
      <c r="AC54" s="87">
        <f>IFERROR(_xlfn.XLOOKUP($D54,'Modelling New'!$D:$D,'Modelling New'!$P:$P),"")</f>
        <v>6.0354838709677416</v>
      </c>
      <c r="AD54" s="86">
        <f>IFERROR(_xlfn.XLOOKUP($D54,'Modelling New'!$D:$D,'Modelling New'!$T:$T)*1000,"")</f>
        <v>29719.248980865192</v>
      </c>
      <c r="AE54" s="94">
        <f>IFERROR(_xlfn.XLOOKUP($D54,'Modelling New'!$D:$D,'Modelling New'!$O:$O),"")</f>
        <v>0.69361156434065652</v>
      </c>
      <c r="AF54" s="94">
        <f>IFERROR(_xlfn.XLOOKUP($D54,'Modelling New'!$D:$D,'Modelling New'!$W:$W),"")</f>
        <v>0.17442839205394736</v>
      </c>
      <c r="AG54" s="94">
        <f>IFERROR(_xlfn.XLOOKUP($D54,'Modelling New'!$D:$D,'Modelling New'!$AE:$AE),"")</f>
        <v>0.98040000000000005</v>
      </c>
      <c r="AH54" s="94">
        <f>IFERROR(_xlfn.XLOOKUP($D54,'Modelling New'!$D:$D,'Modelling New'!$AF:$AF),"")</f>
        <v>0.98</v>
      </c>
      <c r="AN54" s="85"/>
      <c r="AO54" s="84"/>
      <c r="AP54" s="84"/>
      <c r="AQ54" s="84"/>
      <c r="AR54" s="86">
        <f>'Basic Data'!$J$2</f>
        <v>7.0991999999999997</v>
      </c>
      <c r="AT54" s="7" t="str">
        <f>IFERROR(_xlfn.XLOOKUP(Table13[[#This Row],[Date]],'Raw Data'!$E:$E,'Raw Data'!$AN:$AN),"")</f>
        <v/>
      </c>
      <c r="AU54" s="7">
        <f>IFERROR(_xlfn.XLOOKUP(Table13[[#This Row],[Month Year]],'Modelling New'!$D:$D,'Modelling New'!$AO:$AO),"")</f>
        <v>7</v>
      </c>
      <c r="AV54" s="7">
        <f>IFERROR(SUMIF('Curtailment Records'!$C:$C,Table13[[#This Row],[Date]],'Curtailment Records'!$R:$R)/1000,"")</f>
        <v>0</v>
      </c>
    </row>
    <row r="55" spans="1:48" x14ac:dyDescent="0.25">
      <c r="A55" s="93">
        <f t="shared" si="6"/>
        <v>45798</v>
      </c>
      <c r="B55" s="86">
        <f>YEAR(Table13[[#This Row],[Date]])+IF(MONTH(Table13[[#This Row],[Date]])&gt;=4,1,0)</f>
        <v>2026</v>
      </c>
      <c r="C55" s="7">
        <f>YEAR(Table13[[#This Row],[Date]])</f>
        <v>2025</v>
      </c>
      <c r="D55" s="92">
        <f>Table13[[#This Row],[Date]]-DAY(Table13[[#This Row],[Date]])+1</f>
        <v>45778</v>
      </c>
      <c r="E55" s="7">
        <f t="shared" si="0"/>
        <v>31</v>
      </c>
      <c r="F55" s="91">
        <f>IFERROR(_xlfn.XLOOKUP($A55,'Raw Data'!$G:$G,'Raw Data'!$AM:$AM),"")</f>
        <v>12.716666666666667</v>
      </c>
      <c r="G55" s="90">
        <f>IFERROR(_xlfn.XLOOKUP($A55,'Raw Data'!$G:$G,'Raw Data'!$AB:$AB),"")</f>
        <v>0</v>
      </c>
      <c r="H55" s="90"/>
      <c r="I55" s="90">
        <f>IFERROR(_xlfn.XLOOKUP($A55,'Raw Data'!$G:$G,'Raw Data'!$AC:$AC),"")</f>
        <v>3.54</v>
      </c>
      <c r="J55" s="90"/>
      <c r="K55" s="90">
        <f>IFERROR(_xlfn.XLOOKUP($A55,'Raw Data'!$G:$G,'Raw Data'!AD:AD),"")</f>
        <v>0</v>
      </c>
      <c r="L55" s="90">
        <f>IFERROR(_xlfn.XLOOKUP($A55,'Raw Data'!$G:$G,'Raw Data'!AE:AE),"")</f>
        <v>42.45</v>
      </c>
      <c r="M55" s="90">
        <f>IFERROR(_xlfn.XLOOKUP($A55,'Raw Data'!$G:$G,'Raw Data'!AF:AF),"")</f>
        <v>0</v>
      </c>
      <c r="N55" s="90">
        <f>IFERROR(_xlfn.XLOOKUP($A55,'Raw Data'!$G:$G,'Raw Data'!AG:AG),"")</f>
        <v>0</v>
      </c>
      <c r="O55" s="85">
        <f>IFERROR(1-SUMIF('Plant BD'!$B:$B,$A55,'Plant BD'!$AM:$AM)/($AA55+SUMIF('Plant BD'!$B:$B,$A55,'Plant BD'!$AM:$AM)),"")</f>
        <v>1</v>
      </c>
      <c r="P55" s="85"/>
      <c r="Q55" s="89"/>
      <c r="R55" s="85">
        <f>IFERROR(1-SUMIF('Grid BD'!$B:$B,$A55,'Grid BD'!$AE:$AE)/($AA55+SUMIF('Grid BD'!$B:$B,$A55,'Grid BD'!$AE:$AE)),"")</f>
        <v>1</v>
      </c>
      <c r="T55" s="89"/>
      <c r="U55" s="88">
        <f t="shared" si="5"/>
        <v>0.77194979556859078</v>
      </c>
      <c r="V55" s="88"/>
      <c r="W55" s="84">
        <f t="shared" si="4"/>
        <v>0.11386259484636714</v>
      </c>
      <c r="X55" s="86">
        <f>IFERROR(_xlfn.XLOOKUP($A55,'Raw Data'!$G:$G,'Raw Data'!AI:AI),"")</f>
        <v>19873.8</v>
      </c>
      <c r="Y55" s="86">
        <f>IFERROR(_xlfn.XLOOKUP($A55,'Raw Data'!$G:$G,'Raw Data'!AJ:AJ),"")</f>
        <v>19599.999999999909</v>
      </c>
      <c r="Z55" s="86">
        <f>IFERROR(_xlfn.XLOOKUP($A55,'Raw Data'!$G:$G,'Raw Data'!AK:AK),"")</f>
        <v>199.99999999999929</v>
      </c>
      <c r="AA55" s="86">
        <f>IFERROR(_xlfn.XLOOKUP($A55,'Raw Data'!$G:$G,'Raw Data'!$AL:$AL)*(1+(_xlfn.XLOOKUP(Table13[[#This Row],[Month Year]],JMR!$A:$A,JMR!$J:$J))),"")</f>
        <v>19399.999999999909</v>
      </c>
      <c r="AB55" s="86">
        <f>IFERROR(_xlfn.XLOOKUP($A55,'Raw Data'!$G:$G,'Raw Data'!$H:$H),"")</f>
        <v>7.0991999999999997</v>
      </c>
      <c r="AC55" s="87">
        <f>IFERROR(_xlfn.XLOOKUP($D55,'Modelling New'!$D:$D,'Modelling New'!$P:$P),"")</f>
        <v>6.0354838709677416</v>
      </c>
      <c r="AD55" s="86">
        <f>IFERROR(_xlfn.XLOOKUP($D55,'Modelling New'!$D:$D,'Modelling New'!$T:$T)*1000,"")</f>
        <v>29719.248980865192</v>
      </c>
      <c r="AE55" s="94">
        <f>IFERROR(_xlfn.XLOOKUP($D55,'Modelling New'!$D:$D,'Modelling New'!$O:$O),"")</f>
        <v>0.69361156434065652</v>
      </c>
      <c r="AF55" s="94">
        <f>IFERROR(_xlfn.XLOOKUP($D55,'Modelling New'!$D:$D,'Modelling New'!$W:$W),"")</f>
        <v>0.17442839205394736</v>
      </c>
      <c r="AG55" s="94">
        <f>IFERROR(_xlfn.XLOOKUP($D55,'Modelling New'!$D:$D,'Modelling New'!$AE:$AE),"")</f>
        <v>0.98040000000000005</v>
      </c>
      <c r="AH55" s="94">
        <f>IFERROR(_xlfn.XLOOKUP($D55,'Modelling New'!$D:$D,'Modelling New'!$AF:$AF),"")</f>
        <v>0.98</v>
      </c>
      <c r="AN55" s="85"/>
      <c r="AO55" s="84"/>
      <c r="AP55" s="84"/>
      <c r="AQ55" s="84"/>
      <c r="AR55" s="86">
        <f>'Basic Data'!$J$2</f>
        <v>7.0991999999999997</v>
      </c>
      <c r="AT55" s="7" t="str">
        <f>IFERROR(_xlfn.XLOOKUP(Table13[[#This Row],[Date]],'Raw Data'!$E:$E,'Raw Data'!$AN:$AN),"")</f>
        <v/>
      </c>
      <c r="AU55" s="7">
        <f>IFERROR(_xlfn.XLOOKUP(Table13[[#This Row],[Month Year]],'Modelling New'!$D:$D,'Modelling New'!$AO:$AO),"")</f>
        <v>7</v>
      </c>
      <c r="AV55" s="7">
        <f>IFERROR(SUMIF('Curtailment Records'!$C:$C,Table13[[#This Row],[Date]],'Curtailment Records'!$R:$R)/1000,"")</f>
        <v>0</v>
      </c>
    </row>
    <row r="56" spans="1:48" x14ac:dyDescent="0.25">
      <c r="A56" s="93">
        <f t="shared" si="6"/>
        <v>45799</v>
      </c>
      <c r="B56" s="86">
        <f>YEAR(Table13[[#This Row],[Date]])+IF(MONTH(Table13[[#This Row],[Date]])&gt;=4,1,0)</f>
        <v>2026</v>
      </c>
      <c r="C56" s="7">
        <f>YEAR(Table13[[#This Row],[Date]])</f>
        <v>2025</v>
      </c>
      <c r="D56" s="92">
        <f>Table13[[#This Row],[Date]]-DAY(Table13[[#This Row],[Date]])+1</f>
        <v>45778</v>
      </c>
      <c r="E56" s="7">
        <f t="shared" ref="E56:E119" si="7">DAY(EOMONTH(A56,0))</f>
        <v>31</v>
      </c>
      <c r="F56" s="91">
        <f>IFERROR(_xlfn.XLOOKUP($A56,'Raw Data'!$G:$G,'Raw Data'!$AM:$AM),"")</f>
        <v>13.166666666666668</v>
      </c>
      <c r="G56" s="90">
        <f>IFERROR(_xlfn.XLOOKUP($A56,'Raw Data'!$G:$G,'Raw Data'!$AB:$AB),"")</f>
        <v>0</v>
      </c>
      <c r="H56" s="90"/>
      <c r="I56" s="90">
        <f>IFERROR(_xlfn.XLOOKUP($A56,'Raw Data'!$G:$G,'Raw Data'!$AC:$AC),"")</f>
        <v>4.88</v>
      </c>
      <c r="J56" s="90"/>
      <c r="K56" s="90">
        <f>IFERROR(_xlfn.XLOOKUP($A56,'Raw Data'!$G:$G,'Raw Data'!AD:AD),"")</f>
        <v>0</v>
      </c>
      <c r="L56" s="90">
        <f>IFERROR(_xlfn.XLOOKUP($A56,'Raw Data'!$G:$G,'Raw Data'!AE:AE),"")</f>
        <v>42.14</v>
      </c>
      <c r="M56" s="90">
        <f>IFERROR(_xlfn.XLOOKUP($A56,'Raw Data'!$G:$G,'Raw Data'!AF:AF),"")</f>
        <v>0</v>
      </c>
      <c r="N56" s="90">
        <f>IFERROR(_xlfn.XLOOKUP($A56,'Raw Data'!$G:$G,'Raw Data'!AG:AG),"")</f>
        <v>0</v>
      </c>
      <c r="O56" s="85">
        <f>IFERROR(1-SUMIF('Plant BD'!$B:$B,$A56,'Plant BD'!$AM:$AM)/($AA56+SUMIF('Plant BD'!$B:$B,$A56,'Plant BD'!$AM:$AM)),"")</f>
        <v>1</v>
      </c>
      <c r="P56" s="85"/>
      <c r="Q56" s="89"/>
      <c r="R56" s="85">
        <f>IFERROR(1-SUMIF('Grid BD'!$B:$B,$A56,'Grid BD'!$AE:$AE)/($AA56+SUMIF('Grid BD'!$B:$B,$A56,'Grid BD'!$AE:$AE)),"")</f>
        <v>1</v>
      </c>
      <c r="T56" s="89"/>
      <c r="U56" s="88">
        <f t="shared" si="5"/>
        <v>0.74471563639587846</v>
      </c>
      <c r="V56" s="88"/>
      <c r="W56" s="84">
        <f t="shared" si="4"/>
        <v>0.15142551273382865</v>
      </c>
      <c r="X56" s="86">
        <f>IFERROR(_xlfn.XLOOKUP($A56,'Raw Data'!$G:$G,'Raw Data'!AI:AI),"")</f>
        <v>26303</v>
      </c>
      <c r="Y56" s="86">
        <f>IFERROR(_xlfn.XLOOKUP($A56,'Raw Data'!$G:$G,'Raw Data'!AJ:AJ),"")</f>
        <v>26099.999999999909</v>
      </c>
      <c r="Z56" s="86">
        <f>IFERROR(_xlfn.XLOOKUP($A56,'Raw Data'!$G:$G,'Raw Data'!AK:AK),"")</f>
        <v>300.00000000000068</v>
      </c>
      <c r="AA56" s="86">
        <f>IFERROR(_xlfn.XLOOKUP($A56,'Raw Data'!$G:$G,'Raw Data'!$AL:$AL)*(1+(_xlfn.XLOOKUP(Table13[[#This Row],[Month Year]],JMR!$A:$A,JMR!$J:$J))),"")</f>
        <v>25799.999999999909</v>
      </c>
      <c r="AB56" s="86">
        <f>IFERROR(_xlfn.XLOOKUP($A56,'Raw Data'!$G:$G,'Raw Data'!$H:$H),"")</f>
        <v>7.0991999999999997</v>
      </c>
      <c r="AC56" s="87">
        <f>IFERROR(_xlfn.XLOOKUP($D56,'Modelling New'!$D:$D,'Modelling New'!$P:$P),"")</f>
        <v>6.0354838709677416</v>
      </c>
      <c r="AD56" s="86">
        <f>IFERROR(_xlfn.XLOOKUP($D56,'Modelling New'!$D:$D,'Modelling New'!$T:$T)*1000,"")</f>
        <v>29719.248980865192</v>
      </c>
      <c r="AE56" s="94">
        <f>IFERROR(_xlfn.XLOOKUP($D56,'Modelling New'!$D:$D,'Modelling New'!$O:$O),"")</f>
        <v>0.69361156434065652</v>
      </c>
      <c r="AF56" s="94">
        <f>IFERROR(_xlfn.XLOOKUP($D56,'Modelling New'!$D:$D,'Modelling New'!$W:$W),"")</f>
        <v>0.17442839205394736</v>
      </c>
      <c r="AG56" s="94">
        <f>IFERROR(_xlfn.XLOOKUP($D56,'Modelling New'!$D:$D,'Modelling New'!$AE:$AE),"")</f>
        <v>0.98040000000000005</v>
      </c>
      <c r="AH56" s="94">
        <f>IFERROR(_xlfn.XLOOKUP($D56,'Modelling New'!$D:$D,'Modelling New'!$AF:$AF),"")</f>
        <v>0.98</v>
      </c>
      <c r="AN56" s="85"/>
      <c r="AO56" s="84"/>
      <c r="AP56" s="84"/>
      <c r="AQ56" s="84"/>
      <c r="AR56" s="86">
        <f>'Basic Data'!$J$2</f>
        <v>7.0991999999999997</v>
      </c>
      <c r="AT56" s="7" t="str">
        <f>IFERROR(_xlfn.XLOOKUP(Table13[[#This Row],[Date]],'Raw Data'!$E:$E,'Raw Data'!$AN:$AN),"")</f>
        <v/>
      </c>
      <c r="AU56" s="7">
        <f>IFERROR(_xlfn.XLOOKUP(Table13[[#This Row],[Month Year]],'Modelling New'!$D:$D,'Modelling New'!$AO:$AO),"")</f>
        <v>7</v>
      </c>
      <c r="AV56" s="7">
        <f>IFERROR(SUMIF('Curtailment Records'!$C:$C,Table13[[#This Row],[Date]],'Curtailment Records'!$R:$R)/1000,"")</f>
        <v>0</v>
      </c>
    </row>
    <row r="57" spans="1:48" x14ac:dyDescent="0.25">
      <c r="A57" s="93">
        <f t="shared" si="6"/>
        <v>45800</v>
      </c>
      <c r="B57" s="86">
        <f>YEAR(Table13[[#This Row],[Date]])+IF(MONTH(Table13[[#This Row],[Date]])&gt;=4,1,0)</f>
        <v>2026</v>
      </c>
      <c r="C57" s="7">
        <f>YEAR(Table13[[#This Row],[Date]])</f>
        <v>2025</v>
      </c>
      <c r="D57" s="92">
        <f>Table13[[#This Row],[Date]]-DAY(Table13[[#This Row],[Date]])+1</f>
        <v>45778</v>
      </c>
      <c r="E57" s="7">
        <f t="shared" si="7"/>
        <v>31</v>
      </c>
      <c r="F57" s="91">
        <f>IFERROR(_xlfn.XLOOKUP($A57,'Raw Data'!$G:$G,'Raw Data'!$AM:$AM),"")</f>
        <v>13.049999999999999</v>
      </c>
      <c r="G57" s="90">
        <f>IFERROR(_xlfn.XLOOKUP($A57,'Raw Data'!$G:$G,'Raw Data'!$AB:$AB),"")</f>
        <v>0</v>
      </c>
      <c r="H57" s="90"/>
      <c r="I57" s="90">
        <f>IFERROR(_xlfn.XLOOKUP($A57,'Raw Data'!$G:$G,'Raw Data'!$AC:$AC),"")</f>
        <v>5.12</v>
      </c>
      <c r="J57" s="90"/>
      <c r="K57" s="90">
        <f>IFERROR(_xlfn.XLOOKUP($A57,'Raw Data'!$G:$G,'Raw Data'!AD:AD),"")</f>
        <v>0</v>
      </c>
      <c r="L57" s="90">
        <f>IFERROR(_xlfn.XLOOKUP($A57,'Raw Data'!$G:$G,'Raw Data'!AE:AE),"")</f>
        <v>43.48</v>
      </c>
      <c r="M57" s="90">
        <f>IFERROR(_xlfn.XLOOKUP($A57,'Raw Data'!$G:$G,'Raw Data'!AF:AF),"")</f>
        <v>0</v>
      </c>
      <c r="N57" s="90">
        <f>IFERROR(_xlfn.XLOOKUP($A57,'Raw Data'!$G:$G,'Raw Data'!AG:AG),"")</f>
        <v>0</v>
      </c>
      <c r="O57" s="85">
        <f>IFERROR(1-SUMIF('Plant BD'!$B:$B,$A57,'Plant BD'!$AM:$AM)/($AA57+SUMIF('Plant BD'!$B:$B,$A57,'Plant BD'!$AM:$AM)),"")</f>
        <v>0.9931076386254214</v>
      </c>
      <c r="P57" s="85"/>
      <c r="Q57" s="89"/>
      <c r="R57" s="85">
        <f>IFERROR(1-SUMIF('Grid BD'!$B:$B,$A57,'Grid BD'!$AE:$AE)/($AA57+SUMIF('Grid BD'!$B:$B,$A57,'Grid BD'!$AE:$AE)),"")</f>
        <v>1</v>
      </c>
      <c r="T57" s="89"/>
      <c r="U57" s="88">
        <f t="shared" si="5"/>
        <v>0.79509398946359899</v>
      </c>
      <c r="V57" s="88"/>
      <c r="W57" s="84">
        <f t="shared" si="4"/>
        <v>0.1696200510855678</v>
      </c>
      <c r="X57" s="86">
        <f>IFERROR(_xlfn.XLOOKUP($A57,'Raw Data'!$G:$G,'Raw Data'!AI:AI),"")</f>
        <v>29325.599999999999</v>
      </c>
      <c r="Y57" s="86">
        <f>IFERROR(_xlfn.XLOOKUP($A57,'Raw Data'!$G:$G,'Raw Data'!AJ:AJ),"")</f>
        <v>29099.999999999909</v>
      </c>
      <c r="Z57" s="86">
        <f>IFERROR(_xlfn.XLOOKUP($A57,'Raw Data'!$G:$G,'Raw Data'!AK:AK),"")</f>
        <v>199.99999999999929</v>
      </c>
      <c r="AA57" s="86">
        <f>IFERROR(_xlfn.XLOOKUP($A57,'Raw Data'!$G:$G,'Raw Data'!$AL:$AL)*(1+(_xlfn.XLOOKUP(Table13[[#This Row],[Month Year]],JMR!$A:$A,JMR!$J:$J))),"")</f>
        <v>28899.999999999909</v>
      </c>
      <c r="AB57" s="86">
        <f>IFERROR(_xlfn.XLOOKUP($A57,'Raw Data'!$G:$G,'Raw Data'!$H:$H),"")</f>
        <v>7.0991999999999997</v>
      </c>
      <c r="AC57" s="87">
        <f>IFERROR(_xlfn.XLOOKUP($D57,'Modelling New'!$D:$D,'Modelling New'!$P:$P),"")</f>
        <v>6.0354838709677416</v>
      </c>
      <c r="AD57" s="86">
        <f>IFERROR(_xlfn.XLOOKUP($D57,'Modelling New'!$D:$D,'Modelling New'!$T:$T)*1000,"")</f>
        <v>29719.248980865192</v>
      </c>
      <c r="AE57" s="94">
        <f>IFERROR(_xlfn.XLOOKUP($D57,'Modelling New'!$D:$D,'Modelling New'!$O:$O),"")</f>
        <v>0.69361156434065652</v>
      </c>
      <c r="AF57" s="94">
        <f>IFERROR(_xlfn.XLOOKUP($D57,'Modelling New'!$D:$D,'Modelling New'!$W:$W),"")</f>
        <v>0.17442839205394736</v>
      </c>
      <c r="AG57" s="94">
        <f>IFERROR(_xlfn.XLOOKUP($D57,'Modelling New'!$D:$D,'Modelling New'!$AE:$AE),"")</f>
        <v>0.98040000000000005</v>
      </c>
      <c r="AH57" s="94">
        <f>IFERROR(_xlfn.XLOOKUP($D57,'Modelling New'!$D:$D,'Modelling New'!$AF:$AF),"")</f>
        <v>0.98</v>
      </c>
      <c r="AN57" s="85"/>
      <c r="AO57" s="84"/>
      <c r="AP57" s="84"/>
      <c r="AQ57" s="84"/>
      <c r="AR57" s="86">
        <f>'Basic Data'!$J$2</f>
        <v>7.0991999999999997</v>
      </c>
      <c r="AT57" s="7" t="str">
        <f>IFERROR(_xlfn.XLOOKUP(Table13[[#This Row],[Date]],'Raw Data'!$E:$E,'Raw Data'!$AN:$AN),"")</f>
        <v/>
      </c>
      <c r="AU57" s="7">
        <f>IFERROR(_xlfn.XLOOKUP(Table13[[#This Row],[Month Year]],'Modelling New'!$D:$D,'Modelling New'!$AO:$AO),"")</f>
        <v>7</v>
      </c>
      <c r="AV57" s="7">
        <f>IFERROR(SUMIF('Curtailment Records'!$C:$C,Table13[[#This Row],[Date]],'Curtailment Records'!$R:$R)/1000,"")</f>
        <v>0</v>
      </c>
    </row>
    <row r="58" spans="1:48" x14ac:dyDescent="0.25">
      <c r="A58" s="93">
        <f t="shared" si="6"/>
        <v>45801</v>
      </c>
      <c r="B58" s="86">
        <f>YEAR(Table13[[#This Row],[Date]])+IF(MONTH(Table13[[#This Row],[Date]])&gt;=4,1,0)</f>
        <v>2026</v>
      </c>
      <c r="C58" s="7">
        <f>YEAR(Table13[[#This Row],[Date]])</f>
        <v>2025</v>
      </c>
      <c r="D58" s="92">
        <f>Table13[[#This Row],[Date]]-DAY(Table13[[#This Row],[Date]])+1</f>
        <v>45778</v>
      </c>
      <c r="E58" s="7">
        <f t="shared" si="7"/>
        <v>31</v>
      </c>
      <c r="F58" s="91">
        <f>IFERROR(_xlfn.XLOOKUP($A58,'Raw Data'!$G:$G,'Raw Data'!$AM:$AM),"")</f>
        <v>12.299999999999999</v>
      </c>
      <c r="G58" s="90">
        <f>IFERROR(_xlfn.XLOOKUP($A58,'Raw Data'!$G:$G,'Raw Data'!$AB:$AB),"")</f>
        <v>0</v>
      </c>
      <c r="H58" s="90"/>
      <c r="I58" s="90">
        <f>IFERROR(_xlfn.XLOOKUP($A58,'Raw Data'!$G:$G,'Raw Data'!$AC:$AC),"")</f>
        <v>3.39</v>
      </c>
      <c r="J58" s="90"/>
      <c r="K58" s="90">
        <f>IFERROR(_xlfn.XLOOKUP($A58,'Raw Data'!$G:$G,'Raw Data'!AD:AD),"")</f>
        <v>0</v>
      </c>
      <c r="L58" s="90">
        <f>IFERROR(_xlfn.XLOOKUP($A58,'Raw Data'!$G:$G,'Raw Data'!AE:AE),"")</f>
        <v>35.119999999999997</v>
      </c>
      <c r="M58" s="90">
        <f>IFERROR(_xlfn.XLOOKUP($A58,'Raw Data'!$G:$G,'Raw Data'!AF:AF),"")</f>
        <v>0</v>
      </c>
      <c r="N58" s="90">
        <f>IFERROR(_xlfn.XLOOKUP($A58,'Raw Data'!$G:$G,'Raw Data'!AG:AG),"")</f>
        <v>0</v>
      </c>
      <c r="O58" s="85">
        <f>IFERROR(1-SUMIF('Plant BD'!$B:$B,$A58,'Plant BD'!$AM:$AM)/($AA58+SUMIF('Plant BD'!$B:$B,$A58,'Plant BD'!$AM:$AM)),"")</f>
        <v>1</v>
      </c>
      <c r="P58" s="85"/>
      <c r="Q58" s="89"/>
      <c r="R58" s="85">
        <f>IFERROR(1-SUMIF('Grid BD'!$B:$B,$A58,'Grid BD'!$AE:$AE)/($AA58+SUMIF('Grid BD'!$B:$B,$A58,'Grid BD'!$AE:$AE)),"")</f>
        <v>0.94370125619844836</v>
      </c>
      <c r="T58" s="89"/>
      <c r="U58" s="88">
        <f t="shared" si="5"/>
        <v>0.77702053594638665</v>
      </c>
      <c r="V58" s="88"/>
      <c r="W58" s="84">
        <f t="shared" si="4"/>
        <v>0.10975415070242711</v>
      </c>
      <c r="X58" s="86">
        <f>IFERROR(_xlfn.XLOOKUP($A58,'Raw Data'!$G:$G,'Raw Data'!AI:AI),"")</f>
        <v>19015.7</v>
      </c>
      <c r="Y58" s="86">
        <f>IFERROR(_xlfn.XLOOKUP($A58,'Raw Data'!$G:$G,'Raw Data'!AJ:AJ),"")</f>
        <v>18900.000000000091</v>
      </c>
      <c r="Z58" s="86">
        <f>IFERROR(_xlfn.XLOOKUP($A58,'Raw Data'!$G:$G,'Raw Data'!AK:AK),"")</f>
        <v>199.99999999999929</v>
      </c>
      <c r="AA58" s="86">
        <f>IFERROR(_xlfn.XLOOKUP($A58,'Raw Data'!$G:$G,'Raw Data'!$AL:$AL)*(1+(_xlfn.XLOOKUP(Table13[[#This Row],[Month Year]],JMR!$A:$A,JMR!$J:$J))),"")</f>
        <v>18700.000000000091</v>
      </c>
      <c r="AB58" s="86">
        <f>IFERROR(_xlfn.XLOOKUP($A58,'Raw Data'!$G:$G,'Raw Data'!$H:$H),"")</f>
        <v>7.0991999999999997</v>
      </c>
      <c r="AC58" s="87">
        <f>IFERROR(_xlfn.XLOOKUP($D58,'Modelling New'!$D:$D,'Modelling New'!$P:$P),"")</f>
        <v>6.0354838709677416</v>
      </c>
      <c r="AD58" s="86">
        <f>IFERROR(_xlfn.XLOOKUP($D58,'Modelling New'!$D:$D,'Modelling New'!$T:$T)*1000,"")</f>
        <v>29719.248980865192</v>
      </c>
      <c r="AE58" s="94">
        <f>IFERROR(_xlfn.XLOOKUP($D58,'Modelling New'!$D:$D,'Modelling New'!$O:$O),"")</f>
        <v>0.69361156434065652</v>
      </c>
      <c r="AF58" s="94">
        <f>IFERROR(_xlfn.XLOOKUP($D58,'Modelling New'!$D:$D,'Modelling New'!$W:$W),"")</f>
        <v>0.17442839205394736</v>
      </c>
      <c r="AG58" s="94">
        <f>IFERROR(_xlfn.XLOOKUP($D58,'Modelling New'!$D:$D,'Modelling New'!$AE:$AE),"")</f>
        <v>0.98040000000000005</v>
      </c>
      <c r="AH58" s="94">
        <f>IFERROR(_xlfn.XLOOKUP($D58,'Modelling New'!$D:$D,'Modelling New'!$AF:$AF),"")</f>
        <v>0.98</v>
      </c>
      <c r="AN58" s="85"/>
      <c r="AO58" s="84"/>
      <c r="AP58" s="84"/>
      <c r="AQ58" s="84"/>
      <c r="AR58" s="86">
        <f>'Basic Data'!$J$2</f>
        <v>7.0991999999999997</v>
      </c>
      <c r="AT58" s="7" t="str">
        <f>IFERROR(_xlfn.XLOOKUP(Table13[[#This Row],[Date]],'Raw Data'!$E:$E,'Raw Data'!$AN:$AN),"")</f>
        <v/>
      </c>
      <c r="AU58" s="7">
        <f>IFERROR(_xlfn.XLOOKUP(Table13[[#This Row],[Month Year]],'Modelling New'!$D:$D,'Modelling New'!$AO:$AO),"")</f>
        <v>7</v>
      </c>
      <c r="AV58" s="7">
        <f>IFERROR(SUMIF('Curtailment Records'!$C:$C,Table13[[#This Row],[Date]],'Curtailment Records'!$R:$R)/1000,"")</f>
        <v>0</v>
      </c>
    </row>
    <row r="59" spans="1:48" x14ac:dyDescent="0.25">
      <c r="A59" s="93">
        <f t="shared" si="6"/>
        <v>45802</v>
      </c>
      <c r="B59" s="86">
        <f>YEAR(Table13[[#This Row],[Date]])+IF(MONTH(Table13[[#This Row],[Date]])&gt;=4,1,0)</f>
        <v>2026</v>
      </c>
      <c r="C59" s="7">
        <f>YEAR(Table13[[#This Row],[Date]])</f>
        <v>2025</v>
      </c>
      <c r="D59" s="92">
        <f>Table13[[#This Row],[Date]]-DAY(Table13[[#This Row],[Date]])+1</f>
        <v>45778</v>
      </c>
      <c r="E59" s="7">
        <f t="shared" si="7"/>
        <v>31</v>
      </c>
      <c r="F59" s="91">
        <f>IFERROR(_xlfn.XLOOKUP($A59,'Raw Data'!$G:$G,'Raw Data'!$AM:$AM),"")</f>
        <v>13.049999999999999</v>
      </c>
      <c r="G59" s="90">
        <f>IFERROR(_xlfn.XLOOKUP($A59,'Raw Data'!$G:$G,'Raw Data'!$AB:$AB),"")</f>
        <v>0</v>
      </c>
      <c r="H59" s="90"/>
      <c r="I59" s="90">
        <f>IFERROR(_xlfn.XLOOKUP($A59,'Raw Data'!$G:$G,'Raw Data'!$AC:$AC),"")</f>
        <v>4.22</v>
      </c>
      <c r="J59" s="90"/>
      <c r="K59" s="90">
        <f>IFERROR(_xlfn.XLOOKUP($A59,'Raw Data'!$G:$G,'Raw Data'!AD:AD),"")</f>
        <v>0</v>
      </c>
      <c r="L59" s="90">
        <f>IFERROR(_xlfn.XLOOKUP($A59,'Raw Data'!$G:$G,'Raw Data'!AE:AE),"")</f>
        <v>41.49</v>
      </c>
      <c r="M59" s="90">
        <f>IFERROR(_xlfn.XLOOKUP($A59,'Raw Data'!$G:$G,'Raw Data'!AF:AF),"")</f>
        <v>0</v>
      </c>
      <c r="N59" s="90">
        <f>IFERROR(_xlfn.XLOOKUP($A59,'Raw Data'!$G:$G,'Raw Data'!AG:AG),"")</f>
        <v>0</v>
      </c>
      <c r="O59" s="85">
        <f>IFERROR(1-SUMIF('Plant BD'!$B:$B,$A59,'Plant BD'!$AM:$AM)/($AA59+SUMIF('Plant BD'!$B:$B,$A59,'Plant BD'!$AM:$AM)),"")</f>
        <v>1</v>
      </c>
      <c r="P59" s="85"/>
      <c r="Q59" s="89"/>
      <c r="R59" s="85">
        <f>IFERROR(1-SUMIF('Grid BD'!$B:$B,$A59,'Grid BD'!$AE:$AE)/($AA59+SUMIF('Grid BD'!$B:$B,$A59,'Grid BD'!$AE:$AE)),"")</f>
        <v>0.96380284457210896</v>
      </c>
      <c r="T59" s="89"/>
      <c r="U59" s="88">
        <f t="shared" si="5"/>
        <v>0.78775313579155659</v>
      </c>
      <c r="V59" s="88"/>
      <c r="W59" s="84">
        <f t="shared" si="4"/>
        <v>0.13851325971001535</v>
      </c>
      <c r="X59" s="86">
        <f>IFERROR(_xlfn.XLOOKUP($A59,'Raw Data'!$G:$G,'Raw Data'!AI:AI),"")</f>
        <v>23838.2</v>
      </c>
      <c r="Y59" s="86">
        <f>IFERROR(_xlfn.XLOOKUP($A59,'Raw Data'!$G:$G,'Raw Data'!AJ:AJ),"")</f>
        <v>23800.000000000182</v>
      </c>
      <c r="Z59" s="86">
        <f>IFERROR(_xlfn.XLOOKUP($A59,'Raw Data'!$G:$G,'Raw Data'!AK:AK),"")</f>
        <v>199.99999999999929</v>
      </c>
      <c r="AA59" s="86">
        <f>IFERROR(_xlfn.XLOOKUP($A59,'Raw Data'!$G:$G,'Raw Data'!$AL:$AL)*(1+(_xlfn.XLOOKUP(Table13[[#This Row],[Month Year]],JMR!$A:$A,JMR!$J:$J))),"")</f>
        <v>23600.000000000182</v>
      </c>
      <c r="AB59" s="86">
        <f>IFERROR(_xlfn.XLOOKUP($A59,'Raw Data'!$G:$G,'Raw Data'!$H:$H),"")</f>
        <v>7.0991999999999997</v>
      </c>
      <c r="AC59" s="87">
        <f>IFERROR(_xlfn.XLOOKUP($D59,'Modelling New'!$D:$D,'Modelling New'!$P:$P),"")</f>
        <v>6.0354838709677416</v>
      </c>
      <c r="AD59" s="86">
        <f>IFERROR(_xlfn.XLOOKUP($D59,'Modelling New'!$D:$D,'Modelling New'!$T:$T)*1000,"")</f>
        <v>29719.248980865192</v>
      </c>
      <c r="AE59" s="94">
        <f>IFERROR(_xlfn.XLOOKUP($D59,'Modelling New'!$D:$D,'Modelling New'!$O:$O),"")</f>
        <v>0.69361156434065652</v>
      </c>
      <c r="AF59" s="94">
        <f>IFERROR(_xlfn.XLOOKUP($D59,'Modelling New'!$D:$D,'Modelling New'!$W:$W),"")</f>
        <v>0.17442839205394736</v>
      </c>
      <c r="AG59" s="94">
        <f>IFERROR(_xlfn.XLOOKUP($D59,'Modelling New'!$D:$D,'Modelling New'!$AE:$AE),"")</f>
        <v>0.98040000000000005</v>
      </c>
      <c r="AH59" s="94">
        <f>IFERROR(_xlfn.XLOOKUP($D59,'Modelling New'!$D:$D,'Modelling New'!$AF:$AF),"")</f>
        <v>0.98</v>
      </c>
      <c r="AN59" s="85"/>
      <c r="AO59" s="84"/>
      <c r="AP59" s="84"/>
      <c r="AQ59" s="84"/>
      <c r="AR59" s="86">
        <f>'Basic Data'!$J$2</f>
        <v>7.0991999999999997</v>
      </c>
      <c r="AT59" s="7" t="str">
        <f>IFERROR(_xlfn.XLOOKUP(Table13[[#This Row],[Date]],'Raw Data'!$E:$E,'Raw Data'!$AN:$AN),"")</f>
        <v/>
      </c>
      <c r="AU59" s="7">
        <f>IFERROR(_xlfn.XLOOKUP(Table13[[#This Row],[Month Year]],'Modelling New'!$D:$D,'Modelling New'!$AO:$AO),"")</f>
        <v>7</v>
      </c>
      <c r="AV59" s="7">
        <f>IFERROR(SUMIF('Curtailment Records'!$C:$C,Table13[[#This Row],[Date]],'Curtailment Records'!$R:$R)/1000,"")</f>
        <v>0</v>
      </c>
    </row>
    <row r="60" spans="1:48" x14ac:dyDescent="0.25">
      <c r="A60" s="93">
        <f t="shared" si="6"/>
        <v>45803</v>
      </c>
      <c r="B60" s="86">
        <f>YEAR(Table13[[#This Row],[Date]])+IF(MONTH(Table13[[#This Row],[Date]])&gt;=4,1,0)</f>
        <v>2026</v>
      </c>
      <c r="C60" s="7">
        <f>YEAR(Table13[[#This Row],[Date]])</f>
        <v>2025</v>
      </c>
      <c r="D60" s="92">
        <f>Table13[[#This Row],[Date]]-DAY(Table13[[#This Row],[Date]])+1</f>
        <v>45778</v>
      </c>
      <c r="E60" s="7">
        <f t="shared" si="7"/>
        <v>31</v>
      </c>
      <c r="F60" s="91">
        <f>IFERROR(_xlfn.XLOOKUP($A60,'Raw Data'!$G:$G,'Raw Data'!$AM:$AM),"")</f>
        <v>12.916666666666666</v>
      </c>
      <c r="G60" s="90">
        <f>IFERROR(_xlfn.XLOOKUP($A60,'Raw Data'!$G:$G,'Raw Data'!$AB:$AB),"")</f>
        <v>0</v>
      </c>
      <c r="H60" s="90"/>
      <c r="I60" s="90">
        <f>IFERROR(_xlfn.XLOOKUP($A60,'Raw Data'!$G:$G,'Raw Data'!$AC:$AC),"")</f>
        <v>2.2799999999999998</v>
      </c>
      <c r="J60" s="90"/>
      <c r="K60" s="90">
        <f>IFERROR(_xlfn.XLOOKUP($A60,'Raw Data'!$G:$G,'Raw Data'!AD:AD),"")</f>
        <v>0</v>
      </c>
      <c r="L60" s="90">
        <f>IFERROR(_xlfn.XLOOKUP($A60,'Raw Data'!$G:$G,'Raw Data'!AE:AE),"")</f>
        <v>36.86</v>
      </c>
      <c r="M60" s="90">
        <f>IFERROR(_xlfn.XLOOKUP($A60,'Raw Data'!$G:$G,'Raw Data'!AF:AF),"")</f>
        <v>0</v>
      </c>
      <c r="N60" s="90">
        <f>IFERROR(_xlfn.XLOOKUP($A60,'Raw Data'!$G:$G,'Raw Data'!AG:AG),"")</f>
        <v>0</v>
      </c>
      <c r="O60" s="85">
        <f>IFERROR(1-SUMIF('Plant BD'!$B:$B,$A60,'Plant BD'!$AM:$AM)/($AA60+SUMIF('Plant BD'!$B:$B,$A60,'Plant BD'!$AM:$AM)),"")</f>
        <v>1</v>
      </c>
      <c r="P60" s="85"/>
      <c r="Q60" s="89"/>
      <c r="R60" s="85">
        <f>IFERROR(1-SUMIF('Grid BD'!$B:$B,$A60,'Grid BD'!$AE:$AE)/($AA60+SUMIF('Grid BD'!$B:$B,$A60,'Grid BD'!$AE:$AE)),"")</f>
        <v>1</v>
      </c>
      <c r="T60" s="89"/>
      <c r="U60" s="88">
        <f t="shared" si="5"/>
        <v>0.82168882878822014</v>
      </c>
      <c r="V60" s="88"/>
      <c r="W60" s="84">
        <f t="shared" si="4"/>
        <v>7.8060438734880916E-2</v>
      </c>
      <c r="X60" s="86">
        <f>IFERROR(_xlfn.XLOOKUP($A60,'Raw Data'!$G:$G,'Raw Data'!AI:AI),"")</f>
        <v>13717.1</v>
      </c>
      <c r="Y60" s="86">
        <f>IFERROR(_xlfn.XLOOKUP($A60,'Raw Data'!$G:$G,'Raw Data'!AJ:AJ),"")</f>
        <v>13500</v>
      </c>
      <c r="Z60" s="86">
        <f>IFERROR(_xlfn.XLOOKUP($A60,'Raw Data'!$G:$G,'Raw Data'!AK:AK),"")</f>
        <v>200.00000000000284</v>
      </c>
      <c r="AA60" s="86">
        <f>IFERROR(_xlfn.XLOOKUP($A60,'Raw Data'!$G:$G,'Raw Data'!$AL:$AL)*(1+(_xlfn.XLOOKUP(Table13[[#This Row],[Month Year]],JMR!$A:$A,JMR!$J:$J))),"")</f>
        <v>13299.999999999996</v>
      </c>
      <c r="AB60" s="86">
        <f>IFERROR(_xlfn.XLOOKUP($A60,'Raw Data'!$G:$G,'Raw Data'!$H:$H),"")</f>
        <v>7.0991999999999997</v>
      </c>
      <c r="AC60" s="87">
        <f>IFERROR(_xlfn.XLOOKUP($D60,'Modelling New'!$D:$D,'Modelling New'!$P:$P),"")</f>
        <v>6.0354838709677416</v>
      </c>
      <c r="AD60" s="86">
        <f>IFERROR(_xlfn.XLOOKUP($D60,'Modelling New'!$D:$D,'Modelling New'!$T:$T)*1000,"")</f>
        <v>29719.248980865192</v>
      </c>
      <c r="AE60" s="94">
        <f>IFERROR(_xlfn.XLOOKUP($D60,'Modelling New'!$D:$D,'Modelling New'!$O:$O),"")</f>
        <v>0.69361156434065652</v>
      </c>
      <c r="AF60" s="94">
        <f>IFERROR(_xlfn.XLOOKUP($D60,'Modelling New'!$D:$D,'Modelling New'!$W:$W),"")</f>
        <v>0.17442839205394736</v>
      </c>
      <c r="AG60" s="94">
        <f>IFERROR(_xlfn.XLOOKUP($D60,'Modelling New'!$D:$D,'Modelling New'!$AE:$AE),"")</f>
        <v>0.98040000000000005</v>
      </c>
      <c r="AH60" s="94">
        <f>IFERROR(_xlfn.XLOOKUP($D60,'Modelling New'!$D:$D,'Modelling New'!$AF:$AF),"")</f>
        <v>0.98</v>
      </c>
      <c r="AN60" s="85"/>
      <c r="AO60" s="84"/>
      <c r="AP60" s="84"/>
      <c r="AQ60" s="84"/>
      <c r="AR60" s="86">
        <f>'Basic Data'!$J$2</f>
        <v>7.0991999999999997</v>
      </c>
      <c r="AT60" s="7" t="str">
        <f>IFERROR(_xlfn.XLOOKUP(Table13[[#This Row],[Date]],'Raw Data'!$E:$E,'Raw Data'!$AN:$AN),"")</f>
        <v/>
      </c>
      <c r="AU60" s="7">
        <f>IFERROR(_xlfn.XLOOKUP(Table13[[#This Row],[Month Year]],'Modelling New'!$D:$D,'Modelling New'!$AO:$AO),"")</f>
        <v>7</v>
      </c>
      <c r="AV60" s="7">
        <f>IFERROR(SUMIF('Curtailment Records'!$C:$C,Table13[[#This Row],[Date]],'Curtailment Records'!$R:$R)/1000,"")</f>
        <v>0</v>
      </c>
    </row>
    <row r="61" spans="1:48" x14ac:dyDescent="0.25">
      <c r="A61" s="93">
        <f t="shared" si="6"/>
        <v>45804</v>
      </c>
      <c r="B61" s="86">
        <f>YEAR(Table13[[#This Row],[Date]])+IF(MONTH(Table13[[#This Row],[Date]])&gt;=4,1,0)</f>
        <v>2026</v>
      </c>
      <c r="C61" s="7">
        <f>YEAR(Table13[[#This Row],[Date]])</f>
        <v>2025</v>
      </c>
      <c r="D61" s="92">
        <f>Table13[[#This Row],[Date]]-DAY(Table13[[#This Row],[Date]])+1</f>
        <v>45778</v>
      </c>
      <c r="E61" s="7">
        <f t="shared" si="7"/>
        <v>31</v>
      </c>
      <c r="F61" s="91">
        <f>IFERROR(_xlfn.XLOOKUP($A61,'Raw Data'!$G:$G,'Raw Data'!$AM:$AM),"")</f>
        <v>13.049999999999999</v>
      </c>
      <c r="G61" s="90">
        <f>IFERROR(_xlfn.XLOOKUP($A61,'Raw Data'!$G:$G,'Raw Data'!$AB:$AB),"")</f>
        <v>0</v>
      </c>
      <c r="H61" s="90"/>
      <c r="I61" s="90">
        <f>IFERROR(_xlfn.XLOOKUP($A61,'Raw Data'!$G:$G,'Raw Data'!$AC:$AC),"")</f>
        <v>4.37</v>
      </c>
      <c r="J61" s="90"/>
      <c r="K61" s="90">
        <f>IFERROR(_xlfn.XLOOKUP($A61,'Raw Data'!$G:$G,'Raw Data'!AD:AD),"")</f>
        <v>0</v>
      </c>
      <c r="L61" s="90">
        <f>IFERROR(_xlfn.XLOOKUP($A61,'Raw Data'!$G:$G,'Raw Data'!AE:AE),"")</f>
        <v>41.68</v>
      </c>
      <c r="M61" s="90">
        <f>IFERROR(_xlfn.XLOOKUP($A61,'Raw Data'!$G:$G,'Raw Data'!AF:AF),"")</f>
        <v>0</v>
      </c>
      <c r="N61" s="90">
        <f>IFERROR(_xlfn.XLOOKUP($A61,'Raw Data'!$G:$G,'Raw Data'!AG:AG),"")</f>
        <v>0</v>
      </c>
      <c r="O61" s="85">
        <f>IFERROR(1-SUMIF('Plant BD'!$B:$B,$A61,'Plant BD'!$AM:$AM)/($AA61+SUMIF('Plant BD'!$B:$B,$A61,'Plant BD'!$AM:$AM)),"")</f>
        <v>1</v>
      </c>
      <c r="P61" s="85"/>
      <c r="Q61" s="89"/>
      <c r="R61" s="85">
        <f>IFERROR(1-SUMIF('Grid BD'!$B:$B,$A61,'Grid BD'!$AE:$AE)/($AA61+SUMIF('Grid BD'!$B:$B,$A61,'Grid BD'!$AE:$AE)),"")</f>
        <v>0.95483110228583878</v>
      </c>
      <c r="T61" s="89"/>
      <c r="U61" s="88">
        <f t="shared" si="5"/>
        <v>0.73815001683883996</v>
      </c>
      <c r="V61" s="88"/>
      <c r="W61" s="84">
        <f t="shared" si="4"/>
        <v>0.13440481556607214</v>
      </c>
      <c r="X61" s="86">
        <f>IFERROR(_xlfn.XLOOKUP($A61,'Raw Data'!$G:$G,'Raw Data'!AI:AI),"")</f>
        <v>23371.200000000001</v>
      </c>
      <c r="Y61" s="86">
        <f>IFERROR(_xlfn.XLOOKUP($A61,'Raw Data'!$G:$G,'Raw Data'!AJ:AJ),"")</f>
        <v>23199.999999999818</v>
      </c>
      <c r="Z61" s="86">
        <f>IFERROR(_xlfn.XLOOKUP($A61,'Raw Data'!$G:$G,'Raw Data'!AK:AK),"")</f>
        <v>299.99999999999716</v>
      </c>
      <c r="AA61" s="86">
        <f>IFERROR(_xlfn.XLOOKUP($A61,'Raw Data'!$G:$G,'Raw Data'!$AL:$AL)*(1+(_xlfn.XLOOKUP(Table13[[#This Row],[Month Year]],JMR!$A:$A,JMR!$J:$J))),"")</f>
        <v>22899.999999999822</v>
      </c>
      <c r="AB61" s="86">
        <f>IFERROR(_xlfn.XLOOKUP($A61,'Raw Data'!$G:$G,'Raw Data'!$H:$H),"")</f>
        <v>7.0991999999999997</v>
      </c>
      <c r="AC61" s="87">
        <f>IFERROR(_xlfn.XLOOKUP($D61,'Modelling New'!$D:$D,'Modelling New'!$P:$P),"")</f>
        <v>6.0354838709677416</v>
      </c>
      <c r="AD61" s="86">
        <f>IFERROR(_xlfn.XLOOKUP($D61,'Modelling New'!$D:$D,'Modelling New'!$T:$T)*1000,"")</f>
        <v>29719.248980865192</v>
      </c>
      <c r="AE61" s="94">
        <f>IFERROR(_xlfn.XLOOKUP($D61,'Modelling New'!$D:$D,'Modelling New'!$O:$O),"")</f>
        <v>0.69361156434065652</v>
      </c>
      <c r="AF61" s="94">
        <f>IFERROR(_xlfn.XLOOKUP($D61,'Modelling New'!$D:$D,'Modelling New'!$W:$W),"")</f>
        <v>0.17442839205394736</v>
      </c>
      <c r="AG61" s="94">
        <f>IFERROR(_xlfn.XLOOKUP($D61,'Modelling New'!$D:$D,'Modelling New'!$AE:$AE),"")</f>
        <v>0.98040000000000005</v>
      </c>
      <c r="AH61" s="94">
        <f>IFERROR(_xlfn.XLOOKUP($D61,'Modelling New'!$D:$D,'Modelling New'!$AF:$AF),"")</f>
        <v>0.98</v>
      </c>
      <c r="AN61" s="85"/>
      <c r="AO61" s="84"/>
      <c r="AP61" s="84"/>
      <c r="AQ61" s="84"/>
      <c r="AR61" s="86">
        <f>'Basic Data'!$J$2</f>
        <v>7.0991999999999997</v>
      </c>
      <c r="AT61" s="7" t="str">
        <f>IFERROR(_xlfn.XLOOKUP(Table13[[#This Row],[Date]],'Raw Data'!$E:$E,'Raw Data'!$AN:$AN),"")</f>
        <v/>
      </c>
      <c r="AU61" s="7">
        <f>IFERROR(_xlfn.XLOOKUP(Table13[[#This Row],[Month Year]],'Modelling New'!$D:$D,'Modelling New'!$AO:$AO),"")</f>
        <v>7</v>
      </c>
      <c r="AV61" s="7">
        <f>IFERROR(SUMIF('Curtailment Records'!$C:$C,Table13[[#This Row],[Date]],'Curtailment Records'!$R:$R)/1000,"")</f>
        <v>0</v>
      </c>
    </row>
    <row r="62" spans="1:48" x14ac:dyDescent="0.25">
      <c r="A62" s="93">
        <f t="shared" si="6"/>
        <v>45805</v>
      </c>
      <c r="B62" s="86">
        <f>YEAR(Table13[[#This Row],[Date]])+IF(MONTH(Table13[[#This Row],[Date]])&gt;=4,1,0)</f>
        <v>2026</v>
      </c>
      <c r="C62" s="7">
        <f>YEAR(Table13[[#This Row],[Date]])</f>
        <v>2025</v>
      </c>
      <c r="D62" s="92">
        <f>Table13[[#This Row],[Date]]-DAY(Table13[[#This Row],[Date]])+1</f>
        <v>45778</v>
      </c>
      <c r="E62" s="7">
        <f t="shared" si="7"/>
        <v>31</v>
      </c>
      <c r="F62" s="91">
        <f>IFERROR(_xlfn.XLOOKUP($A62,'Raw Data'!$G:$G,'Raw Data'!$AM:$AM),"")</f>
        <v>13.049999999999999</v>
      </c>
      <c r="G62" s="90">
        <f>IFERROR(_xlfn.XLOOKUP($A62,'Raw Data'!$G:$G,'Raw Data'!$AB:$AB),"")</f>
        <v>0</v>
      </c>
      <c r="H62" s="90"/>
      <c r="I62" s="90">
        <f>IFERROR(_xlfn.XLOOKUP($A62,'Raw Data'!$G:$G,'Raw Data'!$AC:$AC),"")</f>
        <v>3.63</v>
      </c>
      <c r="J62" s="90"/>
      <c r="K62" s="90">
        <f>IFERROR(_xlfn.XLOOKUP($A62,'Raw Data'!$G:$G,'Raw Data'!AD:AD),"")</f>
        <v>0</v>
      </c>
      <c r="L62" s="90">
        <f>IFERROR(_xlfn.XLOOKUP($A62,'Raw Data'!$G:$G,'Raw Data'!AE:AE),"")</f>
        <v>39.14</v>
      </c>
      <c r="M62" s="90">
        <f>IFERROR(_xlfn.XLOOKUP($A62,'Raw Data'!$G:$G,'Raw Data'!AF:AF),"")</f>
        <v>0</v>
      </c>
      <c r="N62" s="90">
        <f>IFERROR(_xlfn.XLOOKUP($A62,'Raw Data'!$G:$G,'Raw Data'!AG:AG),"")</f>
        <v>0</v>
      </c>
      <c r="O62" s="85">
        <f>IFERROR(1-SUMIF('Plant BD'!$B:$B,$A62,'Plant BD'!$AM:$AM)/($AA62+SUMIF('Plant BD'!$B:$B,$A62,'Plant BD'!$AM:$AM)),"")</f>
        <v>1</v>
      </c>
      <c r="P62" s="85"/>
      <c r="Q62" s="89"/>
      <c r="R62" s="85">
        <f>IFERROR(1-SUMIF('Grid BD'!$B:$B,$A62,'Grid BD'!$AE:$AE)/($AA62+SUMIF('Grid BD'!$B:$B,$A62,'Grid BD'!$AE:$AE)),"")</f>
        <v>1</v>
      </c>
      <c r="T62" s="89"/>
      <c r="U62" s="88">
        <f t="shared" si="5"/>
        <v>0.81877847874529364</v>
      </c>
      <c r="V62" s="88"/>
      <c r="W62" s="84">
        <f t="shared" si="4"/>
        <v>0.12384024491022567</v>
      </c>
      <c r="X62" s="86">
        <f>IFERROR(_xlfn.XLOOKUP($A62,'Raw Data'!$G:$G,'Raw Data'!AI:AI),"")</f>
        <v>21356.5</v>
      </c>
      <c r="Y62" s="86">
        <f>IFERROR(_xlfn.XLOOKUP($A62,'Raw Data'!$G:$G,'Raw Data'!AJ:AJ),"")</f>
        <v>21300.000000000182</v>
      </c>
      <c r="Z62" s="86">
        <f>IFERROR(_xlfn.XLOOKUP($A62,'Raw Data'!$G:$G,'Raw Data'!AK:AK),"")</f>
        <v>200.00000000000284</v>
      </c>
      <c r="AA62" s="86">
        <f>IFERROR(_xlfn.XLOOKUP($A62,'Raw Data'!$G:$G,'Raw Data'!$AL:$AL)*(1+(_xlfn.XLOOKUP(Table13[[#This Row],[Month Year]],JMR!$A:$A,JMR!$J:$J))),"")</f>
        <v>21100.000000000178</v>
      </c>
      <c r="AB62" s="86">
        <f>IFERROR(_xlfn.XLOOKUP($A62,'Raw Data'!$G:$G,'Raw Data'!$H:$H),"")</f>
        <v>7.0991999999999997</v>
      </c>
      <c r="AC62" s="87">
        <f>IFERROR(_xlfn.XLOOKUP($D62,'Modelling New'!$D:$D,'Modelling New'!$P:$P),"")</f>
        <v>6.0354838709677416</v>
      </c>
      <c r="AD62" s="86">
        <f>IFERROR(_xlfn.XLOOKUP($D62,'Modelling New'!$D:$D,'Modelling New'!$T:$T)*1000,"")</f>
        <v>29719.248980865192</v>
      </c>
      <c r="AE62" s="94">
        <f>IFERROR(_xlfn.XLOOKUP($D62,'Modelling New'!$D:$D,'Modelling New'!$O:$O),"")</f>
        <v>0.69361156434065652</v>
      </c>
      <c r="AF62" s="94">
        <f>IFERROR(_xlfn.XLOOKUP($D62,'Modelling New'!$D:$D,'Modelling New'!$W:$W),"")</f>
        <v>0.17442839205394736</v>
      </c>
      <c r="AG62" s="94">
        <f>IFERROR(_xlfn.XLOOKUP($D62,'Modelling New'!$D:$D,'Modelling New'!$AE:$AE),"")</f>
        <v>0.98040000000000005</v>
      </c>
      <c r="AH62" s="94">
        <f>IFERROR(_xlfn.XLOOKUP($D62,'Modelling New'!$D:$D,'Modelling New'!$AF:$AF),"")</f>
        <v>0.98</v>
      </c>
      <c r="AN62" s="85"/>
      <c r="AO62" s="84"/>
      <c r="AP62" s="84"/>
      <c r="AQ62" s="84"/>
      <c r="AR62" s="86">
        <f>'Basic Data'!$J$2</f>
        <v>7.0991999999999997</v>
      </c>
      <c r="AT62" s="7" t="str">
        <f>IFERROR(_xlfn.XLOOKUP(Table13[[#This Row],[Date]],'Raw Data'!$E:$E,'Raw Data'!$AN:$AN),"")</f>
        <v/>
      </c>
      <c r="AU62" s="7">
        <f>IFERROR(_xlfn.XLOOKUP(Table13[[#This Row],[Month Year]],'Modelling New'!$D:$D,'Modelling New'!$AO:$AO),"")</f>
        <v>7</v>
      </c>
      <c r="AV62" s="7">
        <f>IFERROR(SUMIF('Curtailment Records'!$C:$C,Table13[[#This Row],[Date]],'Curtailment Records'!$R:$R)/1000,"")</f>
        <v>0</v>
      </c>
    </row>
    <row r="63" spans="1:48" x14ac:dyDescent="0.25">
      <c r="A63" s="93">
        <f t="shared" si="6"/>
        <v>45806</v>
      </c>
      <c r="B63" s="86">
        <f>YEAR(Table13[[#This Row],[Date]])+IF(MONTH(Table13[[#This Row],[Date]])&gt;=4,1,0)</f>
        <v>2026</v>
      </c>
      <c r="C63" s="7">
        <f>YEAR(Table13[[#This Row],[Date]])</f>
        <v>2025</v>
      </c>
      <c r="D63" s="92">
        <f>Table13[[#This Row],[Date]]-DAY(Table13[[#This Row],[Date]])+1</f>
        <v>45778</v>
      </c>
      <c r="E63" s="7">
        <f t="shared" si="7"/>
        <v>31</v>
      </c>
      <c r="F63" s="91">
        <f>IFERROR(_xlfn.XLOOKUP($A63,'Raw Data'!$G:$G,'Raw Data'!$AM:$AM),"")</f>
        <v>12.833333333333336</v>
      </c>
      <c r="G63" s="90">
        <f>IFERROR(_xlfn.XLOOKUP($A63,'Raw Data'!$G:$G,'Raw Data'!$AB:$AB),"")</f>
        <v>0</v>
      </c>
      <c r="H63" s="90"/>
      <c r="I63" s="90">
        <f>IFERROR(_xlfn.XLOOKUP($A63,'Raw Data'!$G:$G,'Raw Data'!$AC:$AC),"")</f>
        <v>2.85</v>
      </c>
      <c r="J63" s="90"/>
      <c r="K63" s="90">
        <f>IFERROR(_xlfn.XLOOKUP($A63,'Raw Data'!$G:$G,'Raw Data'!AD:AD),"")</f>
        <v>0</v>
      </c>
      <c r="L63" s="90">
        <f>IFERROR(_xlfn.XLOOKUP($A63,'Raw Data'!$G:$G,'Raw Data'!AE:AE),"")</f>
        <v>37.99</v>
      </c>
      <c r="M63" s="90">
        <f>IFERROR(_xlfn.XLOOKUP($A63,'Raw Data'!$G:$G,'Raw Data'!AF:AF),"")</f>
        <v>0</v>
      </c>
      <c r="N63" s="90">
        <f>IFERROR(_xlfn.XLOOKUP($A63,'Raw Data'!$G:$G,'Raw Data'!AG:AG),"")</f>
        <v>0</v>
      </c>
      <c r="O63" s="85">
        <f>IFERROR(1-SUMIF('Plant BD'!$B:$B,$A63,'Plant BD'!$AM:$AM)/($AA63+SUMIF('Plant BD'!$B:$B,$A63,'Plant BD'!$AM:$AM)),"")</f>
        <v>1</v>
      </c>
      <c r="P63" s="85"/>
      <c r="Q63" s="89"/>
      <c r="R63" s="85">
        <f>IFERROR(1-SUMIF('Grid BD'!$B:$B,$A63,'Grid BD'!$AE:$AE)/($AA63+SUMIF('Grid BD'!$B:$B,$A63,'Grid BD'!$AE:$AE)),"")</f>
        <v>1</v>
      </c>
      <c r="T63" s="89"/>
      <c r="U63" s="88">
        <f t="shared" si="5"/>
        <v>0.8105682280978489</v>
      </c>
      <c r="V63" s="88"/>
      <c r="W63" s="84">
        <f t="shared" si="4"/>
        <v>9.6254977086619564E-2</v>
      </c>
      <c r="X63" s="86">
        <f>IFERROR(_xlfn.XLOOKUP($A63,'Raw Data'!$G:$G,'Raw Data'!AI:AI),"")</f>
        <v>16745</v>
      </c>
      <c r="Y63" s="86">
        <f>IFERROR(_xlfn.XLOOKUP($A63,'Raw Data'!$G:$G,'Raw Data'!AJ:AJ),"")</f>
        <v>16599.999999999909</v>
      </c>
      <c r="Z63" s="86">
        <f>IFERROR(_xlfn.XLOOKUP($A63,'Raw Data'!$G:$G,'Raw Data'!AK:AK),"")</f>
        <v>199.99999999999929</v>
      </c>
      <c r="AA63" s="86">
        <f>IFERROR(_xlfn.XLOOKUP($A63,'Raw Data'!$G:$G,'Raw Data'!$AL:$AL)*(1+(_xlfn.XLOOKUP(Table13[[#This Row],[Month Year]],JMR!$A:$A,JMR!$J:$J))),"")</f>
        <v>16399.999999999909</v>
      </c>
      <c r="AB63" s="86">
        <f>IFERROR(_xlfn.XLOOKUP($A63,'Raw Data'!$G:$G,'Raw Data'!$H:$H),"")</f>
        <v>7.0991999999999997</v>
      </c>
      <c r="AC63" s="87">
        <f>IFERROR(_xlfn.XLOOKUP($D63,'Modelling New'!$D:$D,'Modelling New'!$P:$P),"")</f>
        <v>6.0354838709677416</v>
      </c>
      <c r="AD63" s="86">
        <f>IFERROR(_xlfn.XLOOKUP($D63,'Modelling New'!$D:$D,'Modelling New'!$T:$T)*1000,"")</f>
        <v>29719.248980865192</v>
      </c>
      <c r="AE63" s="94">
        <f>IFERROR(_xlfn.XLOOKUP($D63,'Modelling New'!$D:$D,'Modelling New'!$O:$O),"")</f>
        <v>0.69361156434065652</v>
      </c>
      <c r="AF63" s="94">
        <f>IFERROR(_xlfn.XLOOKUP($D63,'Modelling New'!$D:$D,'Modelling New'!$W:$W),"")</f>
        <v>0.17442839205394736</v>
      </c>
      <c r="AG63" s="94">
        <f>IFERROR(_xlfn.XLOOKUP($D63,'Modelling New'!$D:$D,'Modelling New'!$AE:$AE),"")</f>
        <v>0.98040000000000005</v>
      </c>
      <c r="AH63" s="94">
        <f>IFERROR(_xlfn.XLOOKUP($D63,'Modelling New'!$D:$D,'Modelling New'!$AF:$AF),"")</f>
        <v>0.98</v>
      </c>
      <c r="AN63" s="85"/>
      <c r="AO63" s="84"/>
      <c r="AP63" s="84"/>
      <c r="AQ63" s="84"/>
      <c r="AR63" s="86">
        <f>'Basic Data'!$J$2</f>
        <v>7.0991999999999997</v>
      </c>
      <c r="AT63" s="7" t="str">
        <f>IFERROR(_xlfn.XLOOKUP(Table13[[#This Row],[Date]],'Raw Data'!$E:$E,'Raw Data'!$AN:$AN),"")</f>
        <v/>
      </c>
      <c r="AU63" s="7">
        <f>IFERROR(_xlfn.XLOOKUP(Table13[[#This Row],[Month Year]],'Modelling New'!$D:$D,'Modelling New'!$AO:$AO),"")</f>
        <v>7</v>
      </c>
      <c r="AV63" s="7">
        <f>IFERROR(SUMIF('Curtailment Records'!$C:$C,Table13[[#This Row],[Date]],'Curtailment Records'!$R:$R)/1000,"")</f>
        <v>0</v>
      </c>
    </row>
    <row r="64" spans="1:48" x14ac:dyDescent="0.25">
      <c r="A64" s="93">
        <f t="shared" si="6"/>
        <v>45807</v>
      </c>
      <c r="B64" s="86">
        <f>YEAR(Table13[[#This Row],[Date]])+IF(MONTH(Table13[[#This Row],[Date]])&gt;=4,1,0)</f>
        <v>2026</v>
      </c>
      <c r="C64" s="7">
        <f>YEAR(Table13[[#This Row],[Date]])</f>
        <v>2025</v>
      </c>
      <c r="D64" s="92">
        <f>Table13[[#This Row],[Date]]-DAY(Table13[[#This Row],[Date]])+1</f>
        <v>45778</v>
      </c>
      <c r="E64" s="7">
        <f t="shared" si="7"/>
        <v>31</v>
      </c>
      <c r="F64" s="91">
        <f>IFERROR(_xlfn.XLOOKUP($A64,'Raw Data'!$G:$G,'Raw Data'!$AM:$AM),"")</f>
        <v>13.4</v>
      </c>
      <c r="G64" s="90">
        <f>IFERROR(_xlfn.XLOOKUP($A64,'Raw Data'!$G:$G,'Raw Data'!$AB:$AB),"")</f>
        <v>0</v>
      </c>
      <c r="H64" s="90"/>
      <c r="I64" s="90">
        <f>IFERROR(_xlfn.XLOOKUP($A64,'Raw Data'!$G:$G,'Raw Data'!$AC:$AC),"")</f>
        <v>5.2</v>
      </c>
      <c r="J64" s="90"/>
      <c r="K64" s="90">
        <f>IFERROR(_xlfn.XLOOKUP($A64,'Raw Data'!$G:$G,'Raw Data'!AD:AD),"")</f>
        <v>0</v>
      </c>
      <c r="L64" s="90">
        <f>IFERROR(_xlfn.XLOOKUP($A64,'Raw Data'!$G:$G,'Raw Data'!AE:AE),"")</f>
        <v>43.55</v>
      </c>
      <c r="M64" s="90">
        <f>IFERROR(_xlfn.XLOOKUP($A64,'Raw Data'!$G:$G,'Raw Data'!AF:AF),"")</f>
        <v>0</v>
      </c>
      <c r="N64" s="90">
        <f>IFERROR(_xlfn.XLOOKUP($A64,'Raw Data'!$G:$G,'Raw Data'!AG:AG),"")</f>
        <v>0</v>
      </c>
      <c r="O64" s="85">
        <f>IFERROR(1-SUMIF('Plant BD'!$B:$B,$A64,'Plant BD'!$AM:$AM)/($AA64+SUMIF('Plant BD'!$B:$B,$A64,'Plant BD'!$AM:$AM)),"")</f>
        <v>1</v>
      </c>
      <c r="P64" s="85"/>
      <c r="Q64" s="89"/>
      <c r="R64" s="85">
        <f>IFERROR(1-SUMIF('Grid BD'!$B:$B,$A64,'Grid BD'!$AE:$AE)/($AA64+SUMIF('Grid BD'!$B:$B,$A64,'Grid BD'!$AE:$AE)),"")</f>
        <v>0.91725255149724927</v>
      </c>
      <c r="T64" s="89"/>
      <c r="U64" s="88">
        <f t="shared" si="5"/>
        <v>0.70972243893136622</v>
      </c>
      <c r="V64" s="88"/>
      <c r="W64" s="84">
        <f t="shared" si="4"/>
        <v>0.15377319510179605</v>
      </c>
      <c r="X64" s="86">
        <f>IFERROR(_xlfn.XLOOKUP($A64,'Raw Data'!$G:$G,'Raw Data'!AI:AI),"")</f>
        <v>26671.1</v>
      </c>
      <c r="Y64" s="86">
        <f>IFERROR(_xlfn.XLOOKUP($A64,'Raw Data'!$G:$G,'Raw Data'!AJ:AJ),"")</f>
        <v>26400.000000000091</v>
      </c>
      <c r="Z64" s="86">
        <f>IFERROR(_xlfn.XLOOKUP($A64,'Raw Data'!$G:$G,'Raw Data'!AK:AK),"")</f>
        <v>199.99999999999929</v>
      </c>
      <c r="AA64" s="86">
        <f>IFERROR(_xlfn.XLOOKUP($A64,'Raw Data'!$G:$G,'Raw Data'!$AL:$AL)*(1+(_xlfn.XLOOKUP(Table13[[#This Row],[Month Year]],JMR!$A:$A,JMR!$J:$J))),"")</f>
        <v>26200.000000000091</v>
      </c>
      <c r="AB64" s="86">
        <f>IFERROR(_xlfn.XLOOKUP($A64,'Raw Data'!$G:$G,'Raw Data'!$H:$H),"")</f>
        <v>7.0991999999999997</v>
      </c>
      <c r="AC64" s="87">
        <f>IFERROR(_xlfn.XLOOKUP($D64,'Modelling New'!$D:$D,'Modelling New'!$P:$P),"")</f>
        <v>6.0354838709677416</v>
      </c>
      <c r="AD64" s="86">
        <f>IFERROR(_xlfn.XLOOKUP($D64,'Modelling New'!$D:$D,'Modelling New'!$T:$T)*1000,"")</f>
        <v>29719.248980865192</v>
      </c>
      <c r="AE64" s="94">
        <f>IFERROR(_xlfn.XLOOKUP($D64,'Modelling New'!$D:$D,'Modelling New'!$O:$O),"")</f>
        <v>0.69361156434065652</v>
      </c>
      <c r="AF64" s="94">
        <f>IFERROR(_xlfn.XLOOKUP($D64,'Modelling New'!$D:$D,'Modelling New'!$W:$W),"")</f>
        <v>0.17442839205394736</v>
      </c>
      <c r="AG64" s="94">
        <f>IFERROR(_xlfn.XLOOKUP($D64,'Modelling New'!$D:$D,'Modelling New'!$AE:$AE),"")</f>
        <v>0.98040000000000005</v>
      </c>
      <c r="AH64" s="94">
        <f>IFERROR(_xlfn.XLOOKUP($D64,'Modelling New'!$D:$D,'Modelling New'!$AF:$AF),"")</f>
        <v>0.98</v>
      </c>
      <c r="AN64" s="85"/>
      <c r="AO64" s="84"/>
      <c r="AP64" s="84"/>
      <c r="AQ64" s="84"/>
      <c r="AR64" s="86">
        <f>'Basic Data'!$J$2</f>
        <v>7.0991999999999997</v>
      </c>
      <c r="AT64" s="7" t="str">
        <f>IFERROR(_xlfn.XLOOKUP(Table13[[#This Row],[Date]],'Raw Data'!$E:$E,'Raw Data'!$AN:$AN),"")</f>
        <v/>
      </c>
      <c r="AU64" s="7">
        <f>IFERROR(_xlfn.XLOOKUP(Table13[[#This Row],[Month Year]],'Modelling New'!$D:$D,'Modelling New'!$AO:$AO),"")</f>
        <v>7</v>
      </c>
      <c r="AV64" s="7">
        <f>IFERROR(SUMIF('Curtailment Records'!$C:$C,Table13[[#This Row],[Date]],'Curtailment Records'!$R:$R)/1000,"")</f>
        <v>0</v>
      </c>
    </row>
    <row r="65" spans="1:48" x14ac:dyDescent="0.25">
      <c r="A65" s="93">
        <f t="shared" si="6"/>
        <v>45808</v>
      </c>
      <c r="B65" s="86">
        <f>YEAR(Table13[[#This Row],[Date]])+IF(MONTH(Table13[[#This Row],[Date]])&gt;=4,1,0)</f>
        <v>2026</v>
      </c>
      <c r="C65" s="7">
        <f>YEAR(Table13[[#This Row],[Date]])</f>
        <v>2025</v>
      </c>
      <c r="D65" s="92">
        <f>Table13[[#This Row],[Date]]-DAY(Table13[[#This Row],[Date]])+1</f>
        <v>45778</v>
      </c>
      <c r="E65" s="7">
        <f t="shared" si="7"/>
        <v>31</v>
      </c>
      <c r="F65" s="91">
        <f>IFERROR(_xlfn.XLOOKUP($A65,'Raw Data'!$G:$G,'Raw Data'!$AM:$AM),"")</f>
        <v>13.333333333333334</v>
      </c>
      <c r="G65" s="90">
        <f>IFERROR(_xlfn.XLOOKUP($A65,'Raw Data'!$G:$G,'Raw Data'!$AB:$AB),"")</f>
        <v>0</v>
      </c>
      <c r="H65" s="90"/>
      <c r="I65" s="90">
        <f>IFERROR(_xlfn.XLOOKUP($A65,'Raw Data'!$G:$G,'Raw Data'!$AC:$AC),"")</f>
        <v>6.6</v>
      </c>
      <c r="J65" s="90"/>
      <c r="K65" s="90">
        <f>IFERROR(_xlfn.XLOOKUP($A65,'Raw Data'!$G:$G,'Raw Data'!AD:AD),"")</f>
        <v>0</v>
      </c>
      <c r="L65" s="90">
        <f>IFERROR(_xlfn.XLOOKUP($A65,'Raw Data'!$G:$G,'Raw Data'!AE:AE),"")</f>
        <v>46.55</v>
      </c>
      <c r="M65" s="90">
        <f>IFERROR(_xlfn.XLOOKUP($A65,'Raw Data'!$G:$G,'Raw Data'!AF:AF),"")</f>
        <v>0</v>
      </c>
      <c r="N65" s="90">
        <f>IFERROR(_xlfn.XLOOKUP($A65,'Raw Data'!$G:$G,'Raw Data'!AG:AG),"")</f>
        <v>0</v>
      </c>
      <c r="O65" s="85">
        <f>IFERROR(1-SUMIF('Plant BD'!$B:$B,$A65,'Plant BD'!$AM:$AM)/($AA65+SUMIF('Plant BD'!$B:$B,$A65,'Plant BD'!$AM:$AM)),"")</f>
        <v>1</v>
      </c>
      <c r="P65" s="85"/>
      <c r="Q65" s="89"/>
      <c r="R65" s="85">
        <f>IFERROR(1-SUMIF('Grid BD'!$B:$B,$A65,'Grid BD'!$AE:$AE)/($AA65+SUMIF('Grid BD'!$B:$B,$A65,'Grid BD'!$AE:$AE)),"")</f>
        <v>0.97637800640618666</v>
      </c>
      <c r="T65" s="89"/>
      <c r="U65" s="88">
        <f t="shared" si="5"/>
        <v>0.73845281756031678</v>
      </c>
      <c r="V65" s="88"/>
      <c r="W65" s="84">
        <f t="shared" si="4"/>
        <v>0.20307452482908711</v>
      </c>
      <c r="X65" s="86">
        <f>IFERROR(_xlfn.XLOOKUP($A65,'Raw Data'!$G:$G,'Raw Data'!AI:AI),"")</f>
        <v>34980</v>
      </c>
      <c r="Y65" s="86">
        <f>IFERROR(_xlfn.XLOOKUP($A65,'Raw Data'!$G:$G,'Raw Data'!AJ:AJ),"")</f>
        <v>34799.999999999724</v>
      </c>
      <c r="Z65" s="86">
        <f>IFERROR(_xlfn.XLOOKUP($A65,'Raw Data'!$G:$G,'Raw Data'!AK:AK),"")</f>
        <v>199.99999999999929</v>
      </c>
      <c r="AA65" s="86">
        <f>IFERROR(_xlfn.XLOOKUP($A65,'Raw Data'!$G:$G,'Raw Data'!$AL:$AL)*(1+(_xlfn.XLOOKUP(Table13[[#This Row],[Month Year]],JMR!$A:$A,JMR!$J:$J))),"")</f>
        <v>34599.999999999724</v>
      </c>
      <c r="AB65" s="86">
        <f>IFERROR(_xlfn.XLOOKUP($A65,'Raw Data'!$G:$G,'Raw Data'!$H:$H),"")</f>
        <v>7.0991999999999997</v>
      </c>
      <c r="AC65" s="87">
        <f>IFERROR(_xlfn.XLOOKUP($D65,'Modelling New'!$D:$D,'Modelling New'!$P:$P),"")</f>
        <v>6.0354838709677416</v>
      </c>
      <c r="AD65" s="86">
        <f>IFERROR(_xlfn.XLOOKUP($D65,'Modelling New'!$D:$D,'Modelling New'!$T:$T)*1000,"")</f>
        <v>29719.248980865192</v>
      </c>
      <c r="AE65" s="94">
        <f>IFERROR(_xlfn.XLOOKUP($D65,'Modelling New'!$D:$D,'Modelling New'!$O:$O),"")</f>
        <v>0.69361156434065652</v>
      </c>
      <c r="AF65" s="94">
        <f>IFERROR(_xlfn.XLOOKUP($D65,'Modelling New'!$D:$D,'Modelling New'!$W:$W),"")</f>
        <v>0.17442839205394736</v>
      </c>
      <c r="AG65" s="94">
        <f>IFERROR(_xlfn.XLOOKUP($D65,'Modelling New'!$D:$D,'Modelling New'!$AE:$AE),"")</f>
        <v>0.98040000000000005</v>
      </c>
      <c r="AH65" s="94">
        <f>IFERROR(_xlfn.XLOOKUP($D65,'Modelling New'!$D:$D,'Modelling New'!$AF:$AF),"")</f>
        <v>0.98</v>
      </c>
      <c r="AN65" s="85"/>
      <c r="AO65" s="84"/>
      <c r="AP65" s="84"/>
      <c r="AQ65" s="84"/>
      <c r="AR65" s="86">
        <f>'Basic Data'!$J$2</f>
        <v>7.0991999999999997</v>
      </c>
      <c r="AT65" s="7" t="str">
        <f>IFERROR(_xlfn.XLOOKUP(Table13[[#This Row],[Date]],'Raw Data'!$E:$E,'Raw Data'!$AN:$AN),"")</f>
        <v/>
      </c>
      <c r="AU65" s="7">
        <f>IFERROR(_xlfn.XLOOKUP(Table13[[#This Row],[Month Year]],'Modelling New'!$D:$D,'Modelling New'!$AO:$AO),"")</f>
        <v>7</v>
      </c>
      <c r="AV65" s="7">
        <f>IFERROR(SUMIF('Curtailment Records'!$C:$C,Table13[[#This Row],[Date]],'Curtailment Records'!$R:$R)/1000,"")</f>
        <v>0</v>
      </c>
    </row>
    <row r="66" spans="1:48" x14ac:dyDescent="0.25">
      <c r="A66" s="93">
        <f t="shared" si="6"/>
        <v>45809</v>
      </c>
      <c r="B66" s="86">
        <f>YEAR(Table13[[#This Row],[Date]])+IF(MONTH(Table13[[#This Row],[Date]])&gt;=4,1,0)</f>
        <v>2026</v>
      </c>
      <c r="C66" s="7">
        <f>YEAR(Table13[[#This Row],[Date]])</f>
        <v>2025</v>
      </c>
      <c r="D66" s="92">
        <f>Table13[[#This Row],[Date]]-DAY(Table13[[#This Row],[Date]])+1</f>
        <v>45809</v>
      </c>
      <c r="E66" s="7">
        <f t="shared" si="7"/>
        <v>30</v>
      </c>
      <c r="F66" s="91">
        <f>IFERROR(_xlfn.XLOOKUP($A66,'Raw Data'!$G:$G,'Raw Data'!$AM:$AM),"")</f>
        <v>13.25</v>
      </c>
      <c r="G66" s="90">
        <f>IFERROR(_xlfn.XLOOKUP($A66,'Raw Data'!$G:$G,'Raw Data'!$AB:$AB),"")</f>
        <v>0</v>
      </c>
      <c r="H66" s="90"/>
      <c r="I66" s="90">
        <f>IFERROR(_xlfn.XLOOKUP($A66,'Raw Data'!$G:$G,'Raw Data'!$AC:$AC),"")</f>
        <v>6.69</v>
      </c>
      <c r="J66" s="90"/>
      <c r="K66" s="90">
        <f>IFERROR(_xlfn.XLOOKUP($A66,'Raw Data'!$G:$G,'Raw Data'!AD:AD),"")</f>
        <v>0</v>
      </c>
      <c r="L66" s="90">
        <f>IFERROR(_xlfn.XLOOKUP($A66,'Raw Data'!$G:$G,'Raw Data'!AE:AE),"")</f>
        <v>46.2</v>
      </c>
      <c r="M66" s="90">
        <f>IFERROR(_xlfn.XLOOKUP($A66,'Raw Data'!$G:$G,'Raw Data'!AF:AF),"")</f>
        <v>0</v>
      </c>
      <c r="N66" s="90">
        <f>IFERROR(_xlfn.XLOOKUP($A66,'Raw Data'!$G:$G,'Raw Data'!AG:AG),"")</f>
        <v>0</v>
      </c>
      <c r="O66" s="85">
        <f>IFERROR(1-SUMIF('Plant BD'!$B:$B,$A66,'Plant BD'!$AM:$AM)/($AA66+SUMIF('Plant BD'!$B:$B,$A66,'Plant BD'!$AM:$AM)),"")</f>
        <v>1</v>
      </c>
      <c r="P66" s="85"/>
      <c r="Q66" s="89"/>
      <c r="R66" s="85">
        <f>IFERROR(1-SUMIF('Grid BD'!$B:$B,$A66,'Grid BD'!$AE:$AE)/($AA66+SUMIF('Grid BD'!$B:$B,$A66,'Grid BD'!$AE:$AE)),"")</f>
        <v>1</v>
      </c>
      <c r="T66" s="89"/>
      <c r="U66" s="88">
        <f t="shared" si="5"/>
        <v>0.76641827976659871</v>
      </c>
      <c r="V66" s="88"/>
      <c r="W66" s="84">
        <f t="shared" si="4"/>
        <v>0.21363909548493942</v>
      </c>
      <c r="X66" s="86">
        <f>IFERROR(_xlfn.XLOOKUP($A66,'Raw Data'!$G:$G,'Raw Data'!AI:AI),"")</f>
        <v>36847.300000000003</v>
      </c>
      <c r="Y66" s="86">
        <f>IFERROR(_xlfn.XLOOKUP($A66,'Raw Data'!$G:$G,'Raw Data'!AJ:AJ),"")</f>
        <v>36600.000000000364</v>
      </c>
      <c r="Z66" s="86">
        <f>IFERROR(_xlfn.XLOOKUP($A66,'Raw Data'!$G:$G,'Raw Data'!AK:AK),"")</f>
        <v>199.99999999999929</v>
      </c>
      <c r="AA66" s="86">
        <f>IFERROR(_xlfn.XLOOKUP($A66,'Raw Data'!$G:$G,'Raw Data'!$AL:$AL)*(1+(_xlfn.XLOOKUP(Table13[[#This Row],[Month Year]],JMR!$A:$A,JMR!$J:$J))),"")</f>
        <v>36400.000000000364</v>
      </c>
      <c r="AB66" s="86">
        <f>IFERROR(_xlfn.XLOOKUP($A66,'Raw Data'!$G:$G,'Raw Data'!$H:$H),"")</f>
        <v>7.0991999999999997</v>
      </c>
      <c r="AC66" s="87">
        <f>IFERROR(_xlfn.XLOOKUP($D66,'Modelling New'!$D:$D,'Modelling New'!$P:$P),"")</f>
        <v>4.6100000000000003</v>
      </c>
      <c r="AD66" s="86">
        <f>IFERROR(_xlfn.XLOOKUP($D66,'Modelling New'!$D:$D,'Modelling New'!$T:$T)*1000,"")</f>
        <v>22941.250634165393</v>
      </c>
      <c r="AE66" s="94">
        <f>IFERROR(_xlfn.XLOOKUP($D66,'Modelling New'!$D:$D,'Modelling New'!$O:$O),"")</f>
        <v>0.70098181708798424</v>
      </c>
      <c r="AF66" s="94">
        <f>IFERROR(_xlfn.XLOOKUP($D66,'Modelling New'!$D:$D,'Modelling New'!$W:$W),"")</f>
        <v>0.13464692403231698</v>
      </c>
      <c r="AG66" s="94">
        <f>IFERROR(_xlfn.XLOOKUP($D66,'Modelling New'!$D:$D,'Modelling New'!$AE:$AE),"")</f>
        <v>0.98040000000000005</v>
      </c>
      <c r="AH66" s="94">
        <f>IFERROR(_xlfn.XLOOKUP($D66,'Modelling New'!$D:$D,'Modelling New'!$AF:$AF),"")</f>
        <v>0.98</v>
      </c>
      <c r="AN66" s="85"/>
      <c r="AO66" s="84"/>
      <c r="AP66" s="84"/>
      <c r="AQ66" s="84"/>
      <c r="AR66" s="86">
        <f>'Basic Data'!$J$2</f>
        <v>7.0991999999999997</v>
      </c>
      <c r="AT66" s="7" t="str">
        <f>IFERROR(_xlfn.XLOOKUP(Table13[[#This Row],[Date]],'Raw Data'!$E:$E,'Raw Data'!$AN:$AN),"")</f>
        <v/>
      </c>
      <c r="AU66" s="7">
        <f>IFERROR(_xlfn.XLOOKUP(Table13[[#This Row],[Month Year]],'Modelling New'!$D:$D,'Modelling New'!$AO:$AO),"")</f>
        <v>7</v>
      </c>
      <c r="AV66" s="7">
        <f>IFERROR(SUMIF('Curtailment Records'!$C:$C,Table13[[#This Row],[Date]],'Curtailment Records'!$R:$R)/1000,"")</f>
        <v>0</v>
      </c>
    </row>
    <row r="67" spans="1:48" x14ac:dyDescent="0.25">
      <c r="A67" s="93">
        <f t="shared" si="6"/>
        <v>45810</v>
      </c>
      <c r="B67" s="86">
        <f>YEAR(Table13[[#This Row],[Date]])+IF(MONTH(Table13[[#This Row],[Date]])&gt;=4,1,0)</f>
        <v>2026</v>
      </c>
      <c r="C67" s="7">
        <f>YEAR(Table13[[#This Row],[Date]])</f>
        <v>2025</v>
      </c>
      <c r="D67" s="92">
        <f>Table13[[#This Row],[Date]]-DAY(Table13[[#This Row],[Date]])+1</f>
        <v>45809</v>
      </c>
      <c r="E67" s="7">
        <f t="shared" si="7"/>
        <v>30</v>
      </c>
      <c r="F67" s="91">
        <f>IFERROR(_xlfn.XLOOKUP($A67,'Raw Data'!$G:$G,'Raw Data'!$AM:$AM),"")</f>
        <v>13.433333333333334</v>
      </c>
      <c r="G67" s="90">
        <f>IFERROR(_xlfn.XLOOKUP($A67,'Raw Data'!$G:$G,'Raw Data'!$AB:$AB),"")</f>
        <v>0</v>
      </c>
      <c r="H67" s="90"/>
      <c r="I67" s="90">
        <f>IFERROR(_xlfn.XLOOKUP($A67,'Raw Data'!$G:$G,'Raw Data'!$AC:$AC),"")</f>
        <v>5.36</v>
      </c>
      <c r="J67" s="90"/>
      <c r="K67" s="90">
        <f>IFERROR(_xlfn.XLOOKUP($A67,'Raw Data'!$G:$G,'Raw Data'!AD:AD),"")</f>
        <v>0</v>
      </c>
      <c r="L67" s="90">
        <f>IFERROR(_xlfn.XLOOKUP($A67,'Raw Data'!$G:$G,'Raw Data'!AE:AE),"")</f>
        <v>42.2</v>
      </c>
      <c r="M67" s="90">
        <f>IFERROR(_xlfn.XLOOKUP($A67,'Raw Data'!$G:$G,'Raw Data'!AF:AF),"")</f>
        <v>0</v>
      </c>
      <c r="N67" s="90">
        <f>IFERROR(_xlfn.XLOOKUP($A67,'Raw Data'!$G:$G,'Raw Data'!AG:AG),"")</f>
        <v>0</v>
      </c>
      <c r="O67" s="85">
        <f>IFERROR(1-SUMIF('Plant BD'!$B:$B,$A67,'Plant BD'!$AM:$AM)/($AA67+SUMIF('Plant BD'!$B:$B,$A67,'Plant BD'!$AM:$AM)),"")</f>
        <v>1</v>
      </c>
      <c r="P67" s="85"/>
      <c r="Q67" s="89"/>
      <c r="R67" s="85">
        <f>IFERROR(1-SUMIF('Grid BD'!$B:$B,$A67,'Grid BD'!$AE:$AE)/($AA67+SUMIF('Grid BD'!$B:$B,$A67,'Grid BD'!$AE:$AE)),"")</f>
        <v>1</v>
      </c>
      <c r="T67" s="89"/>
      <c r="U67" s="88">
        <f t="shared" si="5"/>
        <v>0.77526078195903025</v>
      </c>
      <c r="V67" s="88"/>
      <c r="W67" s="84">
        <f t="shared" si="4"/>
        <v>0.17314157463751675</v>
      </c>
      <c r="X67" s="86">
        <f>IFERROR(_xlfn.XLOOKUP($A67,'Raw Data'!$G:$G,'Raw Data'!AI:AI),"")</f>
        <v>29840.2</v>
      </c>
      <c r="Y67" s="86">
        <f>IFERROR(_xlfn.XLOOKUP($A67,'Raw Data'!$G:$G,'Raw Data'!AJ:AJ),"")</f>
        <v>29699.999999999818</v>
      </c>
      <c r="Z67" s="86">
        <f>IFERROR(_xlfn.XLOOKUP($A67,'Raw Data'!$G:$G,'Raw Data'!AK:AK),"")</f>
        <v>200.00000000000284</v>
      </c>
      <c r="AA67" s="86">
        <f>IFERROR(_xlfn.XLOOKUP($A67,'Raw Data'!$G:$G,'Raw Data'!$AL:$AL)*(1+(_xlfn.XLOOKUP(Table13[[#This Row],[Month Year]],JMR!$A:$A,JMR!$J:$J))),"")</f>
        <v>29499.999999999814</v>
      </c>
      <c r="AB67" s="86">
        <f>IFERROR(_xlfn.XLOOKUP($A67,'Raw Data'!$G:$G,'Raw Data'!$H:$H),"")</f>
        <v>7.0991999999999997</v>
      </c>
      <c r="AC67" s="87">
        <f>IFERROR(_xlfn.XLOOKUP($D67,'Modelling New'!$D:$D,'Modelling New'!$P:$P),"")</f>
        <v>4.6100000000000003</v>
      </c>
      <c r="AD67" s="86">
        <f>IFERROR(_xlfn.XLOOKUP($D67,'Modelling New'!$D:$D,'Modelling New'!$T:$T)*1000,"")</f>
        <v>22941.250634165393</v>
      </c>
      <c r="AE67" s="94">
        <f>IFERROR(_xlfn.XLOOKUP($D67,'Modelling New'!$D:$D,'Modelling New'!$O:$O),"")</f>
        <v>0.70098181708798424</v>
      </c>
      <c r="AF67" s="94">
        <f>IFERROR(_xlfn.XLOOKUP($D67,'Modelling New'!$D:$D,'Modelling New'!$W:$W),"")</f>
        <v>0.13464692403231698</v>
      </c>
      <c r="AG67" s="94">
        <f>IFERROR(_xlfn.XLOOKUP($D67,'Modelling New'!$D:$D,'Modelling New'!$AE:$AE),"")</f>
        <v>0.98040000000000005</v>
      </c>
      <c r="AH67" s="94">
        <f>IFERROR(_xlfn.XLOOKUP($D67,'Modelling New'!$D:$D,'Modelling New'!$AF:$AF),"")</f>
        <v>0.98</v>
      </c>
      <c r="AN67" s="85"/>
      <c r="AO67" s="84"/>
      <c r="AP67" s="84"/>
      <c r="AQ67" s="84"/>
      <c r="AR67" s="86">
        <f>'Basic Data'!$J$2</f>
        <v>7.0991999999999997</v>
      </c>
      <c r="AT67" s="7" t="str">
        <f>IFERROR(_xlfn.XLOOKUP(Table13[[#This Row],[Date]],'Raw Data'!$E:$E,'Raw Data'!$AN:$AN),"")</f>
        <v/>
      </c>
      <c r="AU67" s="7">
        <f>IFERROR(_xlfn.XLOOKUP(Table13[[#This Row],[Month Year]],'Modelling New'!$D:$D,'Modelling New'!$AO:$AO),"")</f>
        <v>7</v>
      </c>
      <c r="AV67" s="7">
        <f>IFERROR(SUMIF('Curtailment Records'!$C:$C,Table13[[#This Row],[Date]],'Curtailment Records'!$R:$R)/1000,"")</f>
        <v>0</v>
      </c>
    </row>
    <row r="68" spans="1:48" x14ac:dyDescent="0.25">
      <c r="A68" s="93">
        <f t="shared" si="6"/>
        <v>45811</v>
      </c>
      <c r="B68" s="86">
        <f>YEAR(Table13[[#This Row],[Date]])+IF(MONTH(Table13[[#This Row],[Date]])&gt;=4,1,0)</f>
        <v>2026</v>
      </c>
      <c r="C68" s="7">
        <f>YEAR(Table13[[#This Row],[Date]])</f>
        <v>2025</v>
      </c>
      <c r="D68" s="92">
        <f>Table13[[#This Row],[Date]]-DAY(Table13[[#This Row],[Date]])+1</f>
        <v>45809</v>
      </c>
      <c r="E68" s="7">
        <f t="shared" si="7"/>
        <v>30</v>
      </c>
      <c r="F68" s="91">
        <f>IFERROR(_xlfn.XLOOKUP($A68,'Raw Data'!$G:$G,'Raw Data'!$AM:$AM),"")</f>
        <v>13.333333333333334</v>
      </c>
      <c r="G68" s="90">
        <f>IFERROR(_xlfn.XLOOKUP($A68,'Raw Data'!$G:$G,'Raw Data'!$AB:$AB),"")</f>
        <v>0</v>
      </c>
      <c r="H68" s="90"/>
      <c r="I68" s="90">
        <f>IFERROR(_xlfn.XLOOKUP($A68,'Raw Data'!$G:$G,'Raw Data'!$AC:$AC),"")</f>
        <v>6.29</v>
      </c>
      <c r="J68" s="90"/>
      <c r="K68" s="90">
        <f>IFERROR(_xlfn.XLOOKUP($A68,'Raw Data'!$G:$G,'Raw Data'!AD:AD),"")</f>
        <v>0</v>
      </c>
      <c r="L68" s="90">
        <f>IFERROR(_xlfn.XLOOKUP($A68,'Raw Data'!$G:$G,'Raw Data'!AE:AE),"")</f>
        <v>45.79</v>
      </c>
      <c r="M68" s="90">
        <f>IFERROR(_xlfn.XLOOKUP($A68,'Raw Data'!$G:$G,'Raw Data'!AF:AF),"")</f>
        <v>0</v>
      </c>
      <c r="N68" s="90">
        <f>IFERROR(_xlfn.XLOOKUP($A68,'Raw Data'!$G:$G,'Raw Data'!AG:AG),"")</f>
        <v>0</v>
      </c>
      <c r="O68" s="85">
        <f>IFERROR(1-SUMIF('Plant BD'!$B:$B,$A68,'Plant BD'!$AM:$AM)/($AA68+SUMIF('Plant BD'!$B:$B,$A68,'Plant BD'!$AM:$AM)),"")</f>
        <v>1</v>
      </c>
      <c r="P68" s="85"/>
      <c r="Q68" s="89"/>
      <c r="R68" s="85">
        <f>IFERROR(1-SUMIF('Grid BD'!$B:$B,$A68,'Grid BD'!$AE:$AE)/($AA68+SUMIF('Grid BD'!$B:$B,$A68,'Grid BD'!$AE:$AE)),"")</f>
        <v>1</v>
      </c>
      <c r="T68" s="89"/>
      <c r="U68" s="88">
        <f t="shared" si="5"/>
        <v>0.75693161243811524</v>
      </c>
      <c r="V68" s="88"/>
      <c r="W68" s="84">
        <f t="shared" si="4"/>
        <v>0.19837916009315604</v>
      </c>
      <c r="X68" s="86">
        <f>IFERROR(_xlfn.XLOOKUP($A68,'Raw Data'!$G:$G,'Raw Data'!AI:AI),"")</f>
        <v>34353.1</v>
      </c>
      <c r="Y68" s="86">
        <f>IFERROR(_xlfn.XLOOKUP($A68,'Raw Data'!$G:$G,'Raw Data'!AJ:AJ),"")</f>
        <v>34000</v>
      </c>
      <c r="Z68" s="86">
        <f>IFERROR(_xlfn.XLOOKUP($A68,'Raw Data'!$G:$G,'Raw Data'!AK:AK),"")</f>
        <v>199.99999999999929</v>
      </c>
      <c r="AA68" s="86">
        <f>IFERROR(_xlfn.XLOOKUP($A68,'Raw Data'!$G:$G,'Raw Data'!$AL:$AL)*(1+(_xlfn.XLOOKUP(Table13[[#This Row],[Month Year]],JMR!$A:$A,JMR!$J:$J))),"")</f>
        <v>33800</v>
      </c>
      <c r="AB68" s="86">
        <f>IFERROR(_xlfn.XLOOKUP($A68,'Raw Data'!$G:$G,'Raw Data'!$H:$H),"")</f>
        <v>7.0991999999999997</v>
      </c>
      <c r="AC68" s="87">
        <f>IFERROR(_xlfn.XLOOKUP($D68,'Modelling New'!$D:$D,'Modelling New'!$P:$P),"")</f>
        <v>4.6100000000000003</v>
      </c>
      <c r="AD68" s="86">
        <f>IFERROR(_xlfn.XLOOKUP($D68,'Modelling New'!$D:$D,'Modelling New'!$T:$T)*1000,"")</f>
        <v>22941.250634165393</v>
      </c>
      <c r="AE68" s="94">
        <f>IFERROR(_xlfn.XLOOKUP($D68,'Modelling New'!$D:$D,'Modelling New'!$O:$O),"")</f>
        <v>0.70098181708798424</v>
      </c>
      <c r="AF68" s="94">
        <f>IFERROR(_xlfn.XLOOKUP($D68,'Modelling New'!$D:$D,'Modelling New'!$W:$W),"")</f>
        <v>0.13464692403231698</v>
      </c>
      <c r="AG68" s="94">
        <f>IFERROR(_xlfn.XLOOKUP($D68,'Modelling New'!$D:$D,'Modelling New'!$AE:$AE),"")</f>
        <v>0.98040000000000005</v>
      </c>
      <c r="AH68" s="94">
        <f>IFERROR(_xlfn.XLOOKUP($D68,'Modelling New'!$D:$D,'Modelling New'!$AF:$AF),"")</f>
        <v>0.98</v>
      </c>
      <c r="AN68" s="85"/>
      <c r="AO68" s="84"/>
      <c r="AP68" s="84"/>
      <c r="AQ68" s="84"/>
      <c r="AR68" s="86">
        <f>'Basic Data'!$J$2</f>
        <v>7.0991999999999997</v>
      </c>
      <c r="AT68" s="7" t="str">
        <f>IFERROR(_xlfn.XLOOKUP(Table13[[#This Row],[Date]],'Raw Data'!$E:$E,'Raw Data'!$AN:$AN),"")</f>
        <v/>
      </c>
      <c r="AU68" s="7">
        <f>IFERROR(_xlfn.XLOOKUP(Table13[[#This Row],[Month Year]],'Modelling New'!$D:$D,'Modelling New'!$AO:$AO),"")</f>
        <v>7</v>
      </c>
      <c r="AV68" s="7">
        <f>IFERROR(SUMIF('Curtailment Records'!$C:$C,Table13[[#This Row],[Date]],'Curtailment Records'!$R:$R)/1000,"")</f>
        <v>0</v>
      </c>
    </row>
    <row r="69" spans="1:48" x14ac:dyDescent="0.25">
      <c r="A69" s="93">
        <f t="shared" si="6"/>
        <v>45812</v>
      </c>
      <c r="B69" s="86">
        <f>YEAR(Table13[[#This Row],[Date]])+IF(MONTH(Table13[[#This Row],[Date]])&gt;=4,1,0)</f>
        <v>2026</v>
      </c>
      <c r="C69" s="7">
        <f>YEAR(Table13[[#This Row],[Date]])</f>
        <v>2025</v>
      </c>
      <c r="D69" s="92">
        <f>Table13[[#This Row],[Date]]-DAY(Table13[[#This Row],[Date]])+1</f>
        <v>45809</v>
      </c>
      <c r="E69" s="7">
        <f t="shared" si="7"/>
        <v>30</v>
      </c>
      <c r="F69" s="91">
        <f>IFERROR(_xlfn.XLOOKUP($A69,'Raw Data'!$G:$G,'Raw Data'!$AM:$AM),"")</f>
        <v>13.6</v>
      </c>
      <c r="G69" s="90">
        <f>IFERROR(_xlfn.XLOOKUP($A69,'Raw Data'!$G:$G,'Raw Data'!$AB:$AB),"")</f>
        <v>0</v>
      </c>
      <c r="H69" s="90"/>
      <c r="I69" s="90">
        <f>IFERROR(_xlfn.XLOOKUP($A69,'Raw Data'!$G:$G,'Raw Data'!$AC:$AC),"")</f>
        <v>6.26</v>
      </c>
      <c r="J69" s="90"/>
      <c r="K69" s="90">
        <f>IFERROR(_xlfn.XLOOKUP($A69,'Raw Data'!$G:$G,'Raw Data'!AD:AD),"")</f>
        <v>0</v>
      </c>
      <c r="L69" s="90">
        <f>IFERROR(_xlfn.XLOOKUP($A69,'Raw Data'!$G:$G,'Raw Data'!AE:AE),"")</f>
        <v>46.95</v>
      </c>
      <c r="M69" s="90">
        <f>IFERROR(_xlfn.XLOOKUP($A69,'Raw Data'!$G:$G,'Raw Data'!AF:AF),"")</f>
        <v>0</v>
      </c>
      <c r="N69" s="90">
        <f>IFERROR(_xlfn.XLOOKUP($A69,'Raw Data'!$G:$G,'Raw Data'!AG:AG),"")</f>
        <v>0</v>
      </c>
      <c r="O69" s="85">
        <f>IFERROR(1-SUMIF('Plant BD'!$B:$B,$A69,'Plant BD'!$AM:$AM)/($AA69+SUMIF('Plant BD'!$B:$B,$A69,'Plant BD'!$AM:$AM)),"")</f>
        <v>1</v>
      </c>
      <c r="P69" s="85"/>
      <c r="Q69" s="89"/>
      <c r="R69" s="85">
        <f>IFERROR(1-SUMIF('Grid BD'!$B:$B,$A69,'Grid BD'!$AE:$AE)/($AA69+SUMIF('Grid BD'!$B:$B,$A69,'Grid BD'!$AE:$AE)),"")</f>
        <v>1</v>
      </c>
      <c r="T69" s="89"/>
      <c r="U69" s="88">
        <f t="shared" si="5"/>
        <v>0.75605873064220042</v>
      </c>
      <c r="V69" s="88"/>
      <c r="W69" s="84">
        <f t="shared" si="4"/>
        <v>0.19720531890917395</v>
      </c>
      <c r="X69" s="86">
        <f>IFERROR(_xlfn.XLOOKUP($A69,'Raw Data'!$G:$G,'Raw Data'!AI:AI),"")</f>
        <v>33978.200000000004</v>
      </c>
      <c r="Y69" s="86">
        <f>IFERROR(_xlfn.XLOOKUP($A69,'Raw Data'!$G:$G,'Raw Data'!AJ:AJ),"")</f>
        <v>33800.000000000182</v>
      </c>
      <c r="Z69" s="86">
        <f>IFERROR(_xlfn.XLOOKUP($A69,'Raw Data'!$G:$G,'Raw Data'!AK:AK),"")</f>
        <v>199.99999999999929</v>
      </c>
      <c r="AA69" s="86">
        <f>IFERROR(_xlfn.XLOOKUP($A69,'Raw Data'!$G:$G,'Raw Data'!$AL:$AL)*(1+(_xlfn.XLOOKUP(Table13[[#This Row],[Month Year]],JMR!$A:$A,JMR!$J:$J))),"")</f>
        <v>33600.000000000182</v>
      </c>
      <c r="AB69" s="86">
        <f>IFERROR(_xlfn.XLOOKUP($A69,'Raw Data'!$G:$G,'Raw Data'!$H:$H),"")</f>
        <v>7.0991999999999997</v>
      </c>
      <c r="AC69" s="87">
        <f>IFERROR(_xlfn.XLOOKUP($D69,'Modelling New'!$D:$D,'Modelling New'!$P:$P),"")</f>
        <v>4.6100000000000003</v>
      </c>
      <c r="AD69" s="86">
        <f>IFERROR(_xlfn.XLOOKUP($D69,'Modelling New'!$D:$D,'Modelling New'!$T:$T)*1000,"")</f>
        <v>22941.250634165393</v>
      </c>
      <c r="AE69" s="94">
        <f>IFERROR(_xlfn.XLOOKUP($D69,'Modelling New'!$D:$D,'Modelling New'!$O:$O),"")</f>
        <v>0.70098181708798424</v>
      </c>
      <c r="AF69" s="94">
        <f>IFERROR(_xlfn.XLOOKUP($D69,'Modelling New'!$D:$D,'Modelling New'!$W:$W),"")</f>
        <v>0.13464692403231698</v>
      </c>
      <c r="AG69" s="94">
        <f>IFERROR(_xlfn.XLOOKUP($D69,'Modelling New'!$D:$D,'Modelling New'!$AE:$AE),"")</f>
        <v>0.98040000000000005</v>
      </c>
      <c r="AH69" s="94">
        <f>IFERROR(_xlfn.XLOOKUP($D69,'Modelling New'!$D:$D,'Modelling New'!$AF:$AF),"")</f>
        <v>0.98</v>
      </c>
      <c r="AN69" s="85"/>
      <c r="AO69" s="84"/>
      <c r="AP69" s="84"/>
      <c r="AQ69" s="84"/>
      <c r="AR69" s="86">
        <f>'Basic Data'!$J$2</f>
        <v>7.0991999999999997</v>
      </c>
      <c r="AT69" s="7" t="str">
        <f>IFERROR(_xlfn.XLOOKUP(Table13[[#This Row],[Date]],'Raw Data'!$E:$E,'Raw Data'!$AN:$AN),"")</f>
        <v/>
      </c>
      <c r="AU69" s="7">
        <f>IFERROR(_xlfn.XLOOKUP(Table13[[#This Row],[Month Year]],'Modelling New'!$D:$D,'Modelling New'!$AO:$AO),"")</f>
        <v>7</v>
      </c>
      <c r="AV69" s="7">
        <f>IFERROR(SUMIF('Curtailment Records'!$C:$C,Table13[[#This Row],[Date]],'Curtailment Records'!$R:$R)/1000,"")</f>
        <v>0</v>
      </c>
    </row>
    <row r="70" spans="1:48" x14ac:dyDescent="0.25">
      <c r="A70" s="93">
        <f t="shared" si="6"/>
        <v>45813</v>
      </c>
      <c r="B70" s="86">
        <f>YEAR(Table13[[#This Row],[Date]])+IF(MONTH(Table13[[#This Row],[Date]])&gt;=4,1,0)</f>
        <v>2026</v>
      </c>
      <c r="C70" s="7">
        <f>YEAR(Table13[[#This Row],[Date]])</f>
        <v>2025</v>
      </c>
      <c r="D70" s="92">
        <f>Table13[[#This Row],[Date]]-DAY(Table13[[#This Row],[Date]])+1</f>
        <v>45809</v>
      </c>
      <c r="E70" s="7">
        <f t="shared" si="7"/>
        <v>30</v>
      </c>
      <c r="F70" s="91">
        <f>IFERROR(_xlfn.XLOOKUP($A70,'Raw Data'!$G:$G,'Raw Data'!$AM:$AM),"")</f>
        <v>13.216666666666665</v>
      </c>
      <c r="G70" s="90">
        <f>IFERROR(_xlfn.XLOOKUP($A70,'Raw Data'!$G:$G,'Raw Data'!$AB:$AB),"")</f>
        <v>0</v>
      </c>
      <c r="H70" s="90"/>
      <c r="I70" s="90">
        <f>IFERROR(_xlfn.XLOOKUP($A70,'Raw Data'!$G:$G,'Raw Data'!$AC:$AC),"")</f>
        <v>5.32</v>
      </c>
      <c r="J70" s="90"/>
      <c r="K70" s="90">
        <f>IFERROR(_xlfn.XLOOKUP($A70,'Raw Data'!$G:$G,'Raw Data'!AD:AD),"")</f>
        <v>0</v>
      </c>
      <c r="L70" s="90">
        <f>IFERROR(_xlfn.XLOOKUP($A70,'Raw Data'!$G:$G,'Raw Data'!AE:AE),"")</f>
        <v>47.14</v>
      </c>
      <c r="M70" s="90">
        <f>IFERROR(_xlfn.XLOOKUP($A70,'Raw Data'!$G:$G,'Raw Data'!AF:AF),"")</f>
        <v>0</v>
      </c>
      <c r="N70" s="90">
        <f>IFERROR(_xlfn.XLOOKUP($A70,'Raw Data'!$G:$G,'Raw Data'!AG:AG),"")</f>
        <v>0</v>
      </c>
      <c r="O70" s="85">
        <f>IFERROR(1-SUMIF('Plant BD'!$B:$B,$A70,'Plant BD'!$AM:$AM)/($AA70+SUMIF('Plant BD'!$B:$B,$A70,'Plant BD'!$AM:$AM)),"")</f>
        <v>1</v>
      </c>
      <c r="P70" s="85"/>
      <c r="Q70" s="89"/>
      <c r="R70" s="85">
        <f>IFERROR(1-SUMIF('Grid BD'!$B:$B,$A70,'Grid BD'!$AE:$AE)/($AA70+SUMIF('Grid BD'!$B:$B,$A70,'Grid BD'!$AE:$AE)),"")</f>
        <v>1</v>
      </c>
      <c r="T70" s="89"/>
      <c r="U70" s="88">
        <f t="shared" si="5"/>
        <v>0.77049876211827018</v>
      </c>
      <c r="V70" s="88"/>
      <c r="W70" s="84">
        <f t="shared" si="4"/>
        <v>0.17079389226954991</v>
      </c>
      <c r="X70" s="86">
        <f>IFERROR(_xlfn.XLOOKUP($A70,'Raw Data'!$G:$G,'Raw Data'!AI:AI),"")</f>
        <v>29479.600000000002</v>
      </c>
      <c r="Y70" s="86">
        <f>IFERROR(_xlfn.XLOOKUP($A70,'Raw Data'!$G:$G,'Raw Data'!AJ:AJ),"")</f>
        <v>29299.999999999727</v>
      </c>
      <c r="Z70" s="86">
        <f>IFERROR(_xlfn.XLOOKUP($A70,'Raw Data'!$G:$G,'Raw Data'!AK:AK),"")</f>
        <v>199.99999999999929</v>
      </c>
      <c r="AA70" s="86">
        <f>IFERROR(_xlfn.XLOOKUP($A70,'Raw Data'!$G:$G,'Raw Data'!$AL:$AL)*(1+(_xlfn.XLOOKUP(Table13[[#This Row],[Month Year]],JMR!$A:$A,JMR!$J:$J))),"")</f>
        <v>29099.999999999727</v>
      </c>
      <c r="AB70" s="86">
        <f>IFERROR(_xlfn.XLOOKUP($A70,'Raw Data'!$G:$G,'Raw Data'!$H:$H),"")</f>
        <v>7.0991999999999997</v>
      </c>
      <c r="AC70" s="87">
        <f>IFERROR(_xlfn.XLOOKUP($D70,'Modelling New'!$D:$D,'Modelling New'!$P:$P),"")</f>
        <v>4.6100000000000003</v>
      </c>
      <c r="AD70" s="86">
        <f>IFERROR(_xlfn.XLOOKUP($D70,'Modelling New'!$D:$D,'Modelling New'!$T:$T)*1000,"")</f>
        <v>22941.250634165393</v>
      </c>
      <c r="AE70" s="94">
        <f>IFERROR(_xlfn.XLOOKUP($D70,'Modelling New'!$D:$D,'Modelling New'!$O:$O),"")</f>
        <v>0.70098181708798424</v>
      </c>
      <c r="AF70" s="94">
        <f>IFERROR(_xlfn.XLOOKUP($D70,'Modelling New'!$D:$D,'Modelling New'!$W:$W),"")</f>
        <v>0.13464692403231698</v>
      </c>
      <c r="AG70" s="94">
        <f>IFERROR(_xlfn.XLOOKUP($D70,'Modelling New'!$D:$D,'Modelling New'!$AE:$AE),"")</f>
        <v>0.98040000000000005</v>
      </c>
      <c r="AH70" s="94">
        <f>IFERROR(_xlfn.XLOOKUP($D70,'Modelling New'!$D:$D,'Modelling New'!$AF:$AF),"")</f>
        <v>0.98</v>
      </c>
      <c r="AN70" s="85"/>
      <c r="AO70" s="84"/>
      <c r="AP70" s="84"/>
      <c r="AQ70" s="84"/>
      <c r="AR70" s="86">
        <f>'Basic Data'!$J$2</f>
        <v>7.0991999999999997</v>
      </c>
      <c r="AT70" s="7" t="str">
        <f>IFERROR(_xlfn.XLOOKUP(Table13[[#This Row],[Date]],'Raw Data'!$E:$E,'Raw Data'!$AN:$AN),"")</f>
        <v/>
      </c>
      <c r="AU70" s="7">
        <f>IFERROR(_xlfn.XLOOKUP(Table13[[#This Row],[Month Year]],'Modelling New'!$D:$D,'Modelling New'!$AO:$AO),"")</f>
        <v>7</v>
      </c>
      <c r="AV70" s="7">
        <f>IFERROR(SUMIF('Curtailment Records'!$C:$C,Table13[[#This Row],[Date]],'Curtailment Records'!$R:$R)/1000,"")</f>
        <v>0</v>
      </c>
    </row>
    <row r="71" spans="1:48" x14ac:dyDescent="0.25">
      <c r="A71" s="93">
        <f t="shared" si="6"/>
        <v>45814</v>
      </c>
      <c r="B71" s="86">
        <f>YEAR(Table13[[#This Row],[Date]])+IF(MONTH(Table13[[#This Row],[Date]])&gt;=4,1,0)</f>
        <v>2026</v>
      </c>
      <c r="C71" s="7">
        <f>YEAR(Table13[[#This Row],[Date]])</f>
        <v>2025</v>
      </c>
      <c r="D71" s="92">
        <f>Table13[[#This Row],[Date]]-DAY(Table13[[#This Row],[Date]])+1</f>
        <v>45809</v>
      </c>
      <c r="E71" s="7">
        <f t="shared" si="7"/>
        <v>30</v>
      </c>
      <c r="F71" s="91">
        <f>IFERROR(_xlfn.XLOOKUP($A71,'Raw Data'!$G:$G,'Raw Data'!$AM:$AM),"")</f>
        <v>13.533333333333333</v>
      </c>
      <c r="G71" s="90">
        <f>IFERROR(_xlfn.XLOOKUP($A71,'Raw Data'!$G:$G,'Raw Data'!$AB:$AB),"")</f>
        <v>0</v>
      </c>
      <c r="H71" s="90"/>
      <c r="I71" s="90">
        <f>IFERROR(_xlfn.XLOOKUP($A71,'Raw Data'!$G:$G,'Raw Data'!$AC:$AC),"")</f>
        <v>6.47</v>
      </c>
      <c r="J71" s="90"/>
      <c r="K71" s="90">
        <f>IFERROR(_xlfn.XLOOKUP($A71,'Raw Data'!$G:$G,'Raw Data'!AD:AD),"")</f>
        <v>0</v>
      </c>
      <c r="L71" s="90">
        <f>IFERROR(_xlfn.XLOOKUP($A71,'Raw Data'!$G:$G,'Raw Data'!AE:AE),"")</f>
        <v>50.87</v>
      </c>
      <c r="M71" s="90">
        <f>IFERROR(_xlfn.XLOOKUP($A71,'Raw Data'!$G:$G,'Raw Data'!AF:AF),"")</f>
        <v>0</v>
      </c>
      <c r="N71" s="90">
        <f>IFERROR(_xlfn.XLOOKUP($A71,'Raw Data'!$G:$G,'Raw Data'!AG:AG),"")</f>
        <v>0</v>
      </c>
      <c r="O71" s="85">
        <f>IFERROR(1-SUMIF('Plant BD'!$B:$B,$A71,'Plant BD'!$AM:$AM)/($AA71+SUMIF('Plant BD'!$B:$B,$A71,'Plant BD'!$AM:$AM)),"")</f>
        <v>1</v>
      </c>
      <c r="P71" s="85"/>
      <c r="Q71" s="89"/>
      <c r="R71" s="85">
        <f>IFERROR(1-SUMIF('Grid BD'!$B:$B,$A71,'Grid BD'!$AE:$AE)/($AA71+SUMIF('Grid BD'!$B:$B,$A71,'Grid BD'!$AE:$AE)),"")</f>
        <v>0.98288774627408504</v>
      </c>
      <c r="T71" s="89"/>
      <c r="U71" s="88">
        <f t="shared" si="5"/>
        <v>0.74675893559114936</v>
      </c>
      <c r="V71" s="88"/>
      <c r="W71" s="84">
        <f t="shared" si="4"/>
        <v>0.20131376305311399</v>
      </c>
      <c r="X71" s="86">
        <f>IFERROR(_xlfn.XLOOKUP($A71,'Raw Data'!$G:$G,'Raw Data'!AI:AI),"")</f>
        <v>34741.199999999997</v>
      </c>
      <c r="Y71" s="86">
        <f>IFERROR(_xlfn.XLOOKUP($A71,'Raw Data'!$G:$G,'Raw Data'!AJ:AJ),"")</f>
        <v>34500</v>
      </c>
      <c r="Z71" s="86">
        <f>IFERROR(_xlfn.XLOOKUP($A71,'Raw Data'!$G:$G,'Raw Data'!AK:AK),"")</f>
        <v>199.99999999999929</v>
      </c>
      <c r="AA71" s="86">
        <f>IFERROR(_xlfn.XLOOKUP($A71,'Raw Data'!$G:$G,'Raw Data'!$AL:$AL)*(1+(_xlfn.XLOOKUP(Table13[[#This Row],[Month Year]],JMR!$A:$A,JMR!$J:$J))),"")</f>
        <v>34300</v>
      </c>
      <c r="AB71" s="86">
        <f>IFERROR(_xlfn.XLOOKUP($A71,'Raw Data'!$G:$G,'Raw Data'!$H:$H),"")</f>
        <v>7.0991999999999997</v>
      </c>
      <c r="AC71" s="87">
        <f>IFERROR(_xlfn.XLOOKUP($D71,'Modelling New'!$D:$D,'Modelling New'!$P:$P),"")</f>
        <v>4.6100000000000003</v>
      </c>
      <c r="AD71" s="86">
        <f>IFERROR(_xlfn.XLOOKUP($D71,'Modelling New'!$D:$D,'Modelling New'!$T:$T)*1000,"")</f>
        <v>22941.250634165393</v>
      </c>
      <c r="AE71" s="94">
        <f>IFERROR(_xlfn.XLOOKUP($D71,'Modelling New'!$D:$D,'Modelling New'!$O:$O),"")</f>
        <v>0.70098181708798424</v>
      </c>
      <c r="AF71" s="94">
        <f>IFERROR(_xlfn.XLOOKUP($D71,'Modelling New'!$D:$D,'Modelling New'!$W:$W),"")</f>
        <v>0.13464692403231698</v>
      </c>
      <c r="AG71" s="94">
        <f>IFERROR(_xlfn.XLOOKUP($D71,'Modelling New'!$D:$D,'Modelling New'!$AE:$AE),"")</f>
        <v>0.98040000000000005</v>
      </c>
      <c r="AH71" s="94">
        <f>IFERROR(_xlfn.XLOOKUP($D71,'Modelling New'!$D:$D,'Modelling New'!$AF:$AF),"")</f>
        <v>0.98</v>
      </c>
      <c r="AN71" s="85"/>
      <c r="AO71" s="84"/>
      <c r="AP71" s="84"/>
      <c r="AQ71" s="84"/>
      <c r="AR71" s="86">
        <f>'Basic Data'!$J$2</f>
        <v>7.0991999999999997</v>
      </c>
      <c r="AT71" s="7" t="str">
        <f>IFERROR(_xlfn.XLOOKUP(Table13[[#This Row],[Date]],'Raw Data'!$E:$E,'Raw Data'!$AN:$AN),"")</f>
        <v/>
      </c>
      <c r="AU71" s="7">
        <f>IFERROR(_xlfn.XLOOKUP(Table13[[#This Row],[Month Year]],'Modelling New'!$D:$D,'Modelling New'!$AO:$AO),"")</f>
        <v>7</v>
      </c>
      <c r="AV71" s="7">
        <f>IFERROR(SUMIF('Curtailment Records'!$C:$C,Table13[[#This Row],[Date]],'Curtailment Records'!$R:$R)/1000,"")</f>
        <v>0</v>
      </c>
    </row>
    <row r="72" spans="1:48" x14ac:dyDescent="0.25">
      <c r="A72" s="93">
        <f t="shared" si="6"/>
        <v>45815</v>
      </c>
      <c r="B72" s="86">
        <f>YEAR(Table13[[#This Row],[Date]])+IF(MONTH(Table13[[#This Row],[Date]])&gt;=4,1,0)</f>
        <v>2026</v>
      </c>
      <c r="C72" s="7">
        <f>YEAR(Table13[[#This Row],[Date]])</f>
        <v>2025</v>
      </c>
      <c r="D72" s="92">
        <f>Table13[[#This Row],[Date]]-DAY(Table13[[#This Row],[Date]])+1</f>
        <v>45809</v>
      </c>
      <c r="E72" s="7">
        <f t="shared" si="7"/>
        <v>30</v>
      </c>
      <c r="F72" s="91">
        <f>IFERROR(_xlfn.XLOOKUP($A72,'Raw Data'!$G:$G,'Raw Data'!$AM:$AM),"")</f>
        <v>13.4</v>
      </c>
      <c r="G72" s="90">
        <f>IFERROR(_xlfn.XLOOKUP($A72,'Raw Data'!$G:$G,'Raw Data'!$AB:$AB),"")</f>
        <v>0</v>
      </c>
      <c r="H72" s="90"/>
      <c r="I72" s="90">
        <f>IFERROR(_xlfn.XLOOKUP($A72,'Raw Data'!$G:$G,'Raw Data'!$AC:$AC),"")</f>
        <v>5.68</v>
      </c>
      <c r="J72" s="90"/>
      <c r="K72" s="90">
        <f>IFERROR(_xlfn.XLOOKUP($A72,'Raw Data'!$G:$G,'Raw Data'!AD:AD),"")</f>
        <v>0</v>
      </c>
      <c r="L72" s="90">
        <f>IFERROR(_xlfn.XLOOKUP($A72,'Raw Data'!$G:$G,'Raw Data'!AE:AE),"")</f>
        <v>47.78</v>
      </c>
      <c r="M72" s="90">
        <f>IFERROR(_xlfn.XLOOKUP($A72,'Raw Data'!$G:$G,'Raw Data'!AF:AF),"")</f>
        <v>0</v>
      </c>
      <c r="N72" s="90">
        <f>IFERROR(_xlfn.XLOOKUP($A72,'Raw Data'!$G:$G,'Raw Data'!AG:AG),"")</f>
        <v>0</v>
      </c>
      <c r="O72" s="85">
        <f>IFERROR(1-SUMIF('Plant BD'!$B:$B,$A72,'Plant BD'!$AM:$AM)/($AA72+SUMIF('Plant BD'!$B:$B,$A72,'Plant BD'!$AM:$AM)),"")</f>
        <v>1</v>
      </c>
      <c r="P72" s="85"/>
      <c r="Q72" s="89"/>
      <c r="R72" s="85">
        <f>IFERROR(1-SUMIF('Grid BD'!$B:$B,$A72,'Grid BD'!$AE:$AE)/($AA72+SUMIF('Grid BD'!$B:$B,$A72,'Grid BD'!$AE:$AE)),"")</f>
        <v>1</v>
      </c>
      <c r="T72" s="89"/>
      <c r="U72" s="88">
        <f t="shared" si="5"/>
        <v>0.76134347214683407</v>
      </c>
      <c r="V72" s="88"/>
      <c r="W72" s="84">
        <f t="shared" si="4"/>
        <v>0.18018462174141739</v>
      </c>
      <c r="X72" s="86">
        <f>IFERROR(_xlfn.XLOOKUP($A72,'Raw Data'!$G:$G,'Raw Data'!AI:AI),"")</f>
        <v>31184.9</v>
      </c>
      <c r="Y72" s="86">
        <f>IFERROR(_xlfn.XLOOKUP($A72,'Raw Data'!$G:$G,'Raw Data'!AJ:AJ),"")</f>
        <v>30900.000000000091</v>
      </c>
      <c r="Z72" s="86">
        <f>IFERROR(_xlfn.XLOOKUP($A72,'Raw Data'!$G:$G,'Raw Data'!AK:AK),"")</f>
        <v>200.00000000000284</v>
      </c>
      <c r="AA72" s="86">
        <f>IFERROR(_xlfn.XLOOKUP($A72,'Raw Data'!$G:$G,'Raw Data'!$AL:$AL)*(1+(_xlfn.XLOOKUP(Table13[[#This Row],[Month Year]],JMR!$A:$A,JMR!$J:$J))),"")</f>
        <v>30700.000000000087</v>
      </c>
      <c r="AB72" s="86">
        <f>IFERROR(_xlfn.XLOOKUP($A72,'Raw Data'!$G:$G,'Raw Data'!$H:$H),"")</f>
        <v>7.0991999999999997</v>
      </c>
      <c r="AC72" s="87">
        <f>IFERROR(_xlfn.XLOOKUP($D72,'Modelling New'!$D:$D,'Modelling New'!$P:$P),"")</f>
        <v>4.6100000000000003</v>
      </c>
      <c r="AD72" s="86">
        <f>IFERROR(_xlfn.XLOOKUP($D72,'Modelling New'!$D:$D,'Modelling New'!$T:$T)*1000,"")</f>
        <v>22941.250634165393</v>
      </c>
      <c r="AE72" s="94">
        <f>IFERROR(_xlfn.XLOOKUP($D72,'Modelling New'!$D:$D,'Modelling New'!$O:$O),"")</f>
        <v>0.70098181708798424</v>
      </c>
      <c r="AF72" s="94">
        <f>IFERROR(_xlfn.XLOOKUP($D72,'Modelling New'!$D:$D,'Modelling New'!$W:$W),"")</f>
        <v>0.13464692403231698</v>
      </c>
      <c r="AG72" s="94">
        <f>IFERROR(_xlfn.XLOOKUP($D72,'Modelling New'!$D:$D,'Modelling New'!$AE:$AE),"")</f>
        <v>0.98040000000000005</v>
      </c>
      <c r="AH72" s="94">
        <f>IFERROR(_xlfn.XLOOKUP($D72,'Modelling New'!$D:$D,'Modelling New'!$AF:$AF),"")</f>
        <v>0.98</v>
      </c>
      <c r="AN72" s="85"/>
      <c r="AO72" s="84"/>
      <c r="AP72" s="84"/>
      <c r="AQ72" s="84"/>
      <c r="AR72" s="86">
        <f>'Basic Data'!$J$2</f>
        <v>7.0991999999999997</v>
      </c>
      <c r="AT72" s="7" t="str">
        <f>IFERROR(_xlfn.XLOOKUP(Table13[[#This Row],[Date]],'Raw Data'!$E:$E,'Raw Data'!$AN:$AN),"")</f>
        <v/>
      </c>
      <c r="AU72" s="7">
        <f>IFERROR(_xlfn.XLOOKUP(Table13[[#This Row],[Month Year]],'Modelling New'!$D:$D,'Modelling New'!$AO:$AO),"")</f>
        <v>7</v>
      </c>
      <c r="AV72" s="7">
        <f>IFERROR(SUMIF('Curtailment Records'!$C:$C,Table13[[#This Row],[Date]],'Curtailment Records'!$R:$R)/1000,"")</f>
        <v>0</v>
      </c>
    </row>
    <row r="73" spans="1:48" x14ac:dyDescent="0.25">
      <c r="A73" s="93">
        <f t="shared" si="6"/>
        <v>45816</v>
      </c>
      <c r="B73" s="86">
        <f>YEAR(Table13[[#This Row],[Date]])+IF(MONTH(Table13[[#This Row],[Date]])&gt;=4,1,0)</f>
        <v>2026</v>
      </c>
      <c r="C73" s="7">
        <f>YEAR(Table13[[#This Row],[Date]])</f>
        <v>2025</v>
      </c>
      <c r="D73" s="92">
        <f>Table13[[#This Row],[Date]]-DAY(Table13[[#This Row],[Date]])+1</f>
        <v>45809</v>
      </c>
      <c r="E73" s="7">
        <f t="shared" si="7"/>
        <v>30</v>
      </c>
      <c r="F73" s="91">
        <f>IFERROR(_xlfn.XLOOKUP($A73,'Raw Data'!$G:$G,'Raw Data'!$AM:$AM),"")</f>
        <v>13.466666666666667</v>
      </c>
      <c r="G73" s="90">
        <f>IFERROR(_xlfn.XLOOKUP($A73,'Raw Data'!$G:$G,'Raw Data'!$AB:$AB),"")</f>
        <v>0</v>
      </c>
      <c r="H73" s="90"/>
      <c r="I73" s="90">
        <f>IFERROR(_xlfn.XLOOKUP($A73,'Raw Data'!$G:$G,'Raw Data'!$AC:$AC),"")</f>
        <v>5.74</v>
      </c>
      <c r="J73" s="90"/>
      <c r="K73" s="90">
        <f>IFERROR(_xlfn.XLOOKUP($A73,'Raw Data'!$G:$G,'Raw Data'!AD:AD),"")</f>
        <v>0</v>
      </c>
      <c r="L73" s="90">
        <f>IFERROR(_xlfn.XLOOKUP($A73,'Raw Data'!$G:$G,'Raw Data'!AE:AE),"")</f>
        <v>47.05</v>
      </c>
      <c r="M73" s="90">
        <f>IFERROR(_xlfn.XLOOKUP($A73,'Raw Data'!$G:$G,'Raw Data'!AF:AF),"")</f>
        <v>0</v>
      </c>
      <c r="N73" s="90">
        <f>IFERROR(_xlfn.XLOOKUP($A73,'Raw Data'!$G:$G,'Raw Data'!AG:AG),"")</f>
        <v>0</v>
      </c>
      <c r="O73" s="85">
        <f>IFERROR(1-SUMIF('Plant BD'!$B:$B,$A73,'Plant BD'!$AM:$AM)/($AA73+SUMIF('Plant BD'!$B:$B,$A73,'Plant BD'!$AM:$AM)),"")</f>
        <v>1</v>
      </c>
      <c r="P73" s="85"/>
      <c r="Q73" s="89"/>
      <c r="R73" s="85">
        <f>IFERROR(1-SUMIF('Grid BD'!$B:$B,$A73,'Grid BD'!$AE:$AE)/($AA73+SUMIF('Grid BD'!$B:$B,$A73,'Grid BD'!$AE:$AE)),"")</f>
        <v>1</v>
      </c>
      <c r="T73" s="89"/>
      <c r="U73" s="88">
        <f t="shared" si="5"/>
        <v>0.76320127153749528</v>
      </c>
      <c r="V73" s="88"/>
      <c r="W73" s="84">
        <f t="shared" si="4"/>
        <v>0.18253230410938429</v>
      </c>
      <c r="X73" s="86">
        <f>IFERROR(_xlfn.XLOOKUP($A73,'Raw Data'!$G:$G,'Raw Data'!AI:AI),"")</f>
        <v>31625.300000000003</v>
      </c>
      <c r="Y73" s="86">
        <f>IFERROR(_xlfn.XLOOKUP($A73,'Raw Data'!$G:$G,'Raw Data'!AJ:AJ),"")</f>
        <v>31300.000000000182</v>
      </c>
      <c r="Z73" s="86">
        <f>IFERROR(_xlfn.XLOOKUP($A73,'Raw Data'!$G:$G,'Raw Data'!AK:AK),"")</f>
        <v>199.99999999999929</v>
      </c>
      <c r="AA73" s="86">
        <f>IFERROR(_xlfn.XLOOKUP($A73,'Raw Data'!$G:$G,'Raw Data'!$AL:$AL)*(1+(_xlfn.XLOOKUP(Table13[[#This Row],[Month Year]],JMR!$A:$A,JMR!$J:$J))),"")</f>
        <v>31100.000000000182</v>
      </c>
      <c r="AB73" s="86">
        <f>IFERROR(_xlfn.XLOOKUP($A73,'Raw Data'!$G:$G,'Raw Data'!$H:$H),"")</f>
        <v>7.0991999999999997</v>
      </c>
      <c r="AC73" s="87">
        <f>IFERROR(_xlfn.XLOOKUP($D73,'Modelling New'!$D:$D,'Modelling New'!$P:$P),"")</f>
        <v>4.6100000000000003</v>
      </c>
      <c r="AD73" s="86">
        <f>IFERROR(_xlfn.XLOOKUP($D73,'Modelling New'!$D:$D,'Modelling New'!$T:$T)*1000,"")</f>
        <v>22941.250634165393</v>
      </c>
      <c r="AE73" s="94">
        <f>IFERROR(_xlfn.XLOOKUP($D73,'Modelling New'!$D:$D,'Modelling New'!$O:$O),"")</f>
        <v>0.70098181708798424</v>
      </c>
      <c r="AF73" s="94">
        <f>IFERROR(_xlfn.XLOOKUP($D73,'Modelling New'!$D:$D,'Modelling New'!$W:$W),"")</f>
        <v>0.13464692403231698</v>
      </c>
      <c r="AG73" s="94">
        <f>IFERROR(_xlfn.XLOOKUP($D73,'Modelling New'!$D:$D,'Modelling New'!$AE:$AE),"")</f>
        <v>0.98040000000000005</v>
      </c>
      <c r="AH73" s="94">
        <f>IFERROR(_xlfn.XLOOKUP($D73,'Modelling New'!$D:$D,'Modelling New'!$AF:$AF),"")</f>
        <v>0.98</v>
      </c>
      <c r="AN73" s="85"/>
      <c r="AO73" s="84"/>
      <c r="AP73" s="84"/>
      <c r="AQ73" s="84"/>
      <c r="AR73" s="86">
        <f>'Basic Data'!$J$2</f>
        <v>7.0991999999999997</v>
      </c>
      <c r="AT73" s="7" t="str">
        <f>IFERROR(_xlfn.XLOOKUP(Table13[[#This Row],[Date]],'Raw Data'!$E:$E,'Raw Data'!$AN:$AN),"")</f>
        <v/>
      </c>
      <c r="AU73" s="7">
        <f>IFERROR(_xlfn.XLOOKUP(Table13[[#This Row],[Month Year]],'Modelling New'!$D:$D,'Modelling New'!$AO:$AO),"")</f>
        <v>7</v>
      </c>
      <c r="AV73" s="7">
        <f>IFERROR(SUMIF('Curtailment Records'!$C:$C,Table13[[#This Row],[Date]],'Curtailment Records'!$R:$R)/1000,"")</f>
        <v>0</v>
      </c>
    </row>
    <row r="74" spans="1:48" x14ac:dyDescent="0.25">
      <c r="A74" s="93">
        <f t="shared" si="6"/>
        <v>45817</v>
      </c>
      <c r="B74" s="86">
        <f>YEAR(Table13[[#This Row],[Date]])+IF(MONTH(Table13[[#This Row],[Date]])&gt;=4,1,0)</f>
        <v>2026</v>
      </c>
      <c r="C74" s="7">
        <f>YEAR(Table13[[#This Row],[Date]])</f>
        <v>2025</v>
      </c>
      <c r="D74" s="92">
        <f>Table13[[#This Row],[Date]]-DAY(Table13[[#This Row],[Date]])+1</f>
        <v>45809</v>
      </c>
      <c r="E74" s="7">
        <f t="shared" si="7"/>
        <v>30</v>
      </c>
      <c r="F74" s="91">
        <f>IFERROR(_xlfn.XLOOKUP($A74,'Raw Data'!$G:$G,'Raw Data'!$AM:$AM),"")</f>
        <v>13.449999999999998</v>
      </c>
      <c r="G74" s="90">
        <f>IFERROR(_xlfn.XLOOKUP($A74,'Raw Data'!$G:$G,'Raw Data'!$AB:$AB),"")</f>
        <v>0</v>
      </c>
      <c r="H74" s="90"/>
      <c r="I74" s="90">
        <f>IFERROR(_xlfn.XLOOKUP($A74,'Raw Data'!$G:$G,'Raw Data'!$AC:$AC),"")</f>
        <v>1.97</v>
      </c>
      <c r="J74" s="90"/>
      <c r="K74" s="90">
        <f>IFERROR(_xlfn.XLOOKUP($A74,'Raw Data'!$G:$G,'Raw Data'!AD:AD),"")</f>
        <v>0</v>
      </c>
      <c r="L74" s="90">
        <f>IFERROR(_xlfn.XLOOKUP($A74,'Raw Data'!$G:$G,'Raw Data'!AE:AE),"")</f>
        <v>34.79</v>
      </c>
      <c r="M74" s="90">
        <f>IFERROR(_xlfn.XLOOKUP($A74,'Raw Data'!$G:$G,'Raw Data'!AF:AF),"")</f>
        <v>0</v>
      </c>
      <c r="N74" s="90">
        <f>IFERROR(_xlfn.XLOOKUP($A74,'Raw Data'!$G:$G,'Raw Data'!AG:AG),"")</f>
        <v>0</v>
      </c>
      <c r="O74" s="85">
        <f>IFERROR(1-SUMIF('Plant BD'!$B:$B,$A74,'Plant BD'!$AM:$AM)/($AA74+SUMIF('Plant BD'!$B:$B,$A74,'Plant BD'!$AM:$AM)),"")</f>
        <v>1</v>
      </c>
      <c r="P74" s="85"/>
      <c r="Q74" s="89"/>
      <c r="R74" s="85">
        <f>IFERROR(1-SUMIF('Grid BD'!$B:$B,$A74,'Grid BD'!$AE:$AE)/($AA74+SUMIF('Grid BD'!$B:$B,$A74,'Grid BD'!$AE:$AE)),"")</f>
        <v>1</v>
      </c>
      <c r="T74" s="89"/>
      <c r="U74" s="88">
        <f t="shared" si="5"/>
        <v>0.82228468725723425</v>
      </c>
      <c r="V74" s="88"/>
      <c r="W74" s="84">
        <f t="shared" si="4"/>
        <v>6.749586807903131E-2</v>
      </c>
      <c r="X74" s="86">
        <f>IFERROR(_xlfn.XLOOKUP($A74,'Raw Data'!$G:$G,'Raw Data'!AI:AI),"")</f>
        <v>11713.9</v>
      </c>
      <c r="Y74" s="86">
        <f>IFERROR(_xlfn.XLOOKUP($A74,'Raw Data'!$G:$G,'Raw Data'!AJ:AJ),"")</f>
        <v>11699.999999999818</v>
      </c>
      <c r="Z74" s="86">
        <f>IFERROR(_xlfn.XLOOKUP($A74,'Raw Data'!$G:$G,'Raw Data'!AK:AK),"")</f>
        <v>199.99999999999929</v>
      </c>
      <c r="AA74" s="86">
        <f>IFERROR(_xlfn.XLOOKUP($A74,'Raw Data'!$G:$G,'Raw Data'!$AL:$AL)*(1+(_xlfn.XLOOKUP(Table13[[#This Row],[Month Year]],JMR!$A:$A,JMR!$J:$J))),"")</f>
        <v>11499.999999999818</v>
      </c>
      <c r="AB74" s="86">
        <f>IFERROR(_xlfn.XLOOKUP($A74,'Raw Data'!$G:$G,'Raw Data'!$H:$H),"")</f>
        <v>7.0991999999999997</v>
      </c>
      <c r="AC74" s="87">
        <f>IFERROR(_xlfn.XLOOKUP($D74,'Modelling New'!$D:$D,'Modelling New'!$P:$P),"")</f>
        <v>4.6100000000000003</v>
      </c>
      <c r="AD74" s="86">
        <f>IFERROR(_xlfn.XLOOKUP($D74,'Modelling New'!$D:$D,'Modelling New'!$T:$T)*1000,"")</f>
        <v>22941.250634165393</v>
      </c>
      <c r="AE74" s="94">
        <f>IFERROR(_xlfn.XLOOKUP($D74,'Modelling New'!$D:$D,'Modelling New'!$O:$O),"")</f>
        <v>0.70098181708798424</v>
      </c>
      <c r="AF74" s="94">
        <f>IFERROR(_xlfn.XLOOKUP($D74,'Modelling New'!$D:$D,'Modelling New'!$W:$W),"")</f>
        <v>0.13464692403231698</v>
      </c>
      <c r="AG74" s="94">
        <f>IFERROR(_xlfn.XLOOKUP($D74,'Modelling New'!$D:$D,'Modelling New'!$AE:$AE),"")</f>
        <v>0.98040000000000005</v>
      </c>
      <c r="AH74" s="94">
        <f>IFERROR(_xlfn.XLOOKUP($D74,'Modelling New'!$D:$D,'Modelling New'!$AF:$AF),"")</f>
        <v>0.98</v>
      </c>
      <c r="AN74" s="85"/>
      <c r="AO74" s="84"/>
      <c r="AP74" s="84"/>
      <c r="AQ74" s="84"/>
      <c r="AR74" s="86">
        <f>'Basic Data'!$J$2</f>
        <v>7.0991999999999997</v>
      </c>
      <c r="AT74" s="7" t="str">
        <f>IFERROR(_xlfn.XLOOKUP(Table13[[#This Row],[Date]],'Raw Data'!$E:$E,'Raw Data'!$AN:$AN),"")</f>
        <v/>
      </c>
      <c r="AU74" s="7">
        <f>IFERROR(_xlfn.XLOOKUP(Table13[[#This Row],[Month Year]],'Modelling New'!$D:$D,'Modelling New'!$AO:$AO),"")</f>
        <v>7</v>
      </c>
      <c r="AV74" s="7">
        <f>IFERROR(SUMIF('Curtailment Records'!$C:$C,Table13[[#This Row],[Date]],'Curtailment Records'!$R:$R)/1000,"")</f>
        <v>0</v>
      </c>
    </row>
    <row r="75" spans="1:48" x14ac:dyDescent="0.25">
      <c r="A75" s="93">
        <f t="shared" si="6"/>
        <v>45818</v>
      </c>
      <c r="B75" s="86">
        <f>YEAR(Table13[[#This Row],[Date]])+IF(MONTH(Table13[[#This Row],[Date]])&gt;=4,1,0)</f>
        <v>2026</v>
      </c>
      <c r="C75" s="7">
        <f>YEAR(Table13[[#This Row],[Date]])</f>
        <v>2025</v>
      </c>
      <c r="D75" s="92">
        <f>Table13[[#This Row],[Date]]-DAY(Table13[[#This Row],[Date]])+1</f>
        <v>45809</v>
      </c>
      <c r="E75" s="7">
        <f t="shared" si="7"/>
        <v>30</v>
      </c>
      <c r="F75" s="91">
        <f>IFERROR(_xlfn.XLOOKUP($A75,'Raw Data'!$G:$G,'Raw Data'!$AM:$AM),"")</f>
        <v>13.233333333333334</v>
      </c>
      <c r="G75" s="90">
        <f>IFERROR(_xlfn.XLOOKUP($A75,'Raw Data'!$G:$G,'Raw Data'!$AB:$AB),"")</f>
        <v>0</v>
      </c>
      <c r="H75" s="90"/>
      <c r="I75" s="90">
        <f>IFERROR(_xlfn.XLOOKUP($A75,'Raw Data'!$G:$G,'Raw Data'!$AC:$AC),"")</f>
        <v>2.29</v>
      </c>
      <c r="J75" s="90"/>
      <c r="K75" s="90">
        <f>IFERROR(_xlfn.XLOOKUP($A75,'Raw Data'!$G:$G,'Raw Data'!AD:AD),"")</f>
        <v>0</v>
      </c>
      <c r="L75" s="90">
        <f>IFERROR(_xlfn.XLOOKUP($A75,'Raw Data'!$G:$G,'Raw Data'!AE:AE),"")</f>
        <v>36.049999999999997</v>
      </c>
      <c r="M75" s="90">
        <f>IFERROR(_xlfn.XLOOKUP($A75,'Raw Data'!$G:$G,'Raw Data'!AF:AF),"")</f>
        <v>0</v>
      </c>
      <c r="N75" s="90">
        <f>IFERROR(_xlfn.XLOOKUP($A75,'Raw Data'!$G:$G,'Raw Data'!AG:AG),"")</f>
        <v>0</v>
      </c>
      <c r="O75" s="85">
        <f>IFERROR(1-SUMIF('Plant BD'!$B:$B,$A75,'Plant BD'!$AM:$AM)/($AA75+SUMIF('Plant BD'!$B:$B,$A75,'Plant BD'!$AM:$AM)),"")</f>
        <v>1</v>
      </c>
      <c r="P75" s="85"/>
      <c r="Q75" s="89"/>
      <c r="R75" s="85">
        <f>IFERROR(1-SUMIF('Grid BD'!$B:$B,$A75,'Grid BD'!$AE:$AE)/($AA75+SUMIF('Grid BD'!$B:$B,$A75,'Grid BD'!$AE:$AE)),"")</f>
        <v>1</v>
      </c>
      <c r="T75" s="89"/>
      <c r="U75" s="88">
        <f t="shared" si="5"/>
        <v>0.79964726943830666</v>
      </c>
      <c r="V75" s="88"/>
      <c r="W75" s="84">
        <f t="shared" si="4"/>
        <v>7.6299676958905105E-2</v>
      </c>
      <c r="X75" s="86">
        <f>IFERROR(_xlfn.XLOOKUP($A75,'Raw Data'!$G:$G,'Raw Data'!AI:AI),"")</f>
        <v>13256.4</v>
      </c>
      <c r="Y75" s="86">
        <f>IFERROR(_xlfn.XLOOKUP($A75,'Raw Data'!$G:$G,'Raw Data'!AJ:AJ),"")</f>
        <v>13199.999999999818</v>
      </c>
      <c r="Z75" s="86">
        <f>IFERROR(_xlfn.XLOOKUP($A75,'Raw Data'!$G:$G,'Raw Data'!AK:AK),"")</f>
        <v>199.99999999999929</v>
      </c>
      <c r="AA75" s="86">
        <f>IFERROR(_xlfn.XLOOKUP($A75,'Raw Data'!$G:$G,'Raw Data'!$AL:$AL)*(1+(_xlfn.XLOOKUP(Table13[[#This Row],[Month Year]],JMR!$A:$A,JMR!$J:$J))),"")</f>
        <v>12999.999999999818</v>
      </c>
      <c r="AB75" s="86">
        <f>IFERROR(_xlfn.XLOOKUP($A75,'Raw Data'!$G:$G,'Raw Data'!$H:$H),"")</f>
        <v>7.0991999999999997</v>
      </c>
      <c r="AC75" s="87">
        <f>IFERROR(_xlfn.XLOOKUP($D75,'Modelling New'!$D:$D,'Modelling New'!$P:$P),"")</f>
        <v>4.6100000000000003</v>
      </c>
      <c r="AD75" s="86">
        <f>IFERROR(_xlfn.XLOOKUP($D75,'Modelling New'!$D:$D,'Modelling New'!$T:$T)*1000,"")</f>
        <v>22941.250634165393</v>
      </c>
      <c r="AE75" s="94">
        <f>IFERROR(_xlfn.XLOOKUP($D75,'Modelling New'!$D:$D,'Modelling New'!$O:$O),"")</f>
        <v>0.70098181708798424</v>
      </c>
      <c r="AF75" s="94">
        <f>IFERROR(_xlfn.XLOOKUP($D75,'Modelling New'!$D:$D,'Modelling New'!$W:$W),"")</f>
        <v>0.13464692403231698</v>
      </c>
      <c r="AG75" s="94">
        <f>IFERROR(_xlfn.XLOOKUP($D75,'Modelling New'!$D:$D,'Modelling New'!$AE:$AE),"")</f>
        <v>0.98040000000000005</v>
      </c>
      <c r="AH75" s="94">
        <f>IFERROR(_xlfn.XLOOKUP($D75,'Modelling New'!$D:$D,'Modelling New'!$AF:$AF),"")</f>
        <v>0.98</v>
      </c>
      <c r="AN75" s="85"/>
      <c r="AO75" s="84"/>
      <c r="AP75" s="84"/>
      <c r="AQ75" s="84"/>
      <c r="AR75" s="86">
        <f>'Basic Data'!$J$2</f>
        <v>7.0991999999999997</v>
      </c>
      <c r="AT75" s="7" t="str">
        <f>IFERROR(_xlfn.XLOOKUP(Table13[[#This Row],[Date]],'Raw Data'!$E:$E,'Raw Data'!$AN:$AN),"")</f>
        <v/>
      </c>
      <c r="AU75" s="7">
        <f>IFERROR(_xlfn.XLOOKUP(Table13[[#This Row],[Month Year]],'Modelling New'!$D:$D,'Modelling New'!$AO:$AO),"")</f>
        <v>7</v>
      </c>
      <c r="AV75" s="7">
        <f>IFERROR(SUMIF('Curtailment Records'!$C:$C,Table13[[#This Row],[Date]],'Curtailment Records'!$R:$R)/1000,"")</f>
        <v>0</v>
      </c>
    </row>
    <row r="76" spans="1:48" x14ac:dyDescent="0.25">
      <c r="A76" s="93">
        <f t="shared" si="6"/>
        <v>45819</v>
      </c>
      <c r="B76" s="86">
        <f>YEAR(Table13[[#This Row],[Date]])+IF(MONTH(Table13[[#This Row],[Date]])&gt;=4,1,0)</f>
        <v>2026</v>
      </c>
      <c r="C76" s="7">
        <f>YEAR(Table13[[#This Row],[Date]])</f>
        <v>2025</v>
      </c>
      <c r="D76" s="92">
        <f>Table13[[#This Row],[Date]]-DAY(Table13[[#This Row],[Date]])+1</f>
        <v>45809</v>
      </c>
      <c r="E76" s="7">
        <f t="shared" si="7"/>
        <v>30</v>
      </c>
      <c r="F76" s="91">
        <f>IFERROR(_xlfn.XLOOKUP($A76,'Raw Data'!$G:$G,'Raw Data'!$AM:$AM),"")</f>
        <v>13.116666666666665</v>
      </c>
      <c r="G76" s="90">
        <f>IFERROR(_xlfn.XLOOKUP($A76,'Raw Data'!$G:$G,'Raw Data'!$AB:$AB),"")</f>
        <v>0</v>
      </c>
      <c r="H76" s="90"/>
      <c r="I76" s="90">
        <f>IFERROR(_xlfn.XLOOKUP($A76,'Raw Data'!$G:$G,'Raw Data'!$AC:$AC),"")</f>
        <v>4.46</v>
      </c>
      <c r="J76" s="90"/>
      <c r="K76" s="90">
        <f>IFERROR(_xlfn.XLOOKUP($A76,'Raw Data'!$G:$G,'Raw Data'!AD:AD),"")</f>
        <v>0</v>
      </c>
      <c r="L76" s="90">
        <f>IFERROR(_xlfn.XLOOKUP($A76,'Raw Data'!$G:$G,'Raw Data'!AE:AE),"")</f>
        <v>41.06</v>
      </c>
      <c r="M76" s="90">
        <f>IFERROR(_xlfn.XLOOKUP($A76,'Raw Data'!$G:$G,'Raw Data'!AF:AF),"")</f>
        <v>0</v>
      </c>
      <c r="N76" s="90">
        <f>IFERROR(_xlfn.XLOOKUP($A76,'Raw Data'!$G:$G,'Raw Data'!AG:AG),"")</f>
        <v>0</v>
      </c>
      <c r="O76" s="85">
        <f>IFERROR(1-SUMIF('Plant BD'!$B:$B,$A76,'Plant BD'!$AM:$AM)/($AA76+SUMIF('Plant BD'!$B:$B,$A76,'Plant BD'!$AM:$AM)),"")</f>
        <v>1</v>
      </c>
      <c r="P76" s="85"/>
      <c r="Q76" s="89"/>
      <c r="R76" s="85">
        <f>IFERROR(1-SUMIF('Grid BD'!$B:$B,$A76,'Grid BD'!$AE:$AE)/($AA76+SUMIF('Grid BD'!$B:$B,$A76,'Grid BD'!$AE:$AE)),"")</f>
        <v>0.99978917961918667</v>
      </c>
      <c r="T76" s="89"/>
      <c r="U76" s="88">
        <f t="shared" si="5"/>
        <v>0.74536283252026203</v>
      </c>
      <c r="V76" s="88"/>
      <c r="W76" s="84">
        <f t="shared" si="4"/>
        <v>0.13851325971001535</v>
      </c>
      <c r="X76" s="86">
        <f>IFERROR(_xlfn.XLOOKUP($A76,'Raw Data'!$G:$G,'Raw Data'!AI:AI),"")</f>
        <v>24048.5</v>
      </c>
      <c r="Y76" s="86">
        <f>IFERROR(_xlfn.XLOOKUP($A76,'Raw Data'!$G:$G,'Raw Data'!AJ:AJ),"")</f>
        <v>23800.000000000182</v>
      </c>
      <c r="Z76" s="86">
        <f>IFERROR(_xlfn.XLOOKUP($A76,'Raw Data'!$G:$G,'Raw Data'!AK:AK),"")</f>
        <v>199.99999999999929</v>
      </c>
      <c r="AA76" s="86">
        <f>IFERROR(_xlfn.XLOOKUP($A76,'Raw Data'!$G:$G,'Raw Data'!$AL:$AL)*(1+(_xlfn.XLOOKUP(Table13[[#This Row],[Month Year]],JMR!$A:$A,JMR!$J:$J))),"")</f>
        <v>23600.000000000182</v>
      </c>
      <c r="AB76" s="86">
        <f>IFERROR(_xlfn.XLOOKUP($A76,'Raw Data'!$G:$G,'Raw Data'!$H:$H),"")</f>
        <v>7.0991999999999997</v>
      </c>
      <c r="AC76" s="87">
        <f>IFERROR(_xlfn.XLOOKUP($D76,'Modelling New'!$D:$D,'Modelling New'!$P:$P),"")</f>
        <v>4.6100000000000003</v>
      </c>
      <c r="AD76" s="86">
        <f>IFERROR(_xlfn.XLOOKUP($D76,'Modelling New'!$D:$D,'Modelling New'!$T:$T)*1000,"")</f>
        <v>22941.250634165393</v>
      </c>
      <c r="AE76" s="94">
        <f>IFERROR(_xlfn.XLOOKUP($D76,'Modelling New'!$D:$D,'Modelling New'!$O:$O),"")</f>
        <v>0.70098181708798424</v>
      </c>
      <c r="AF76" s="94">
        <f>IFERROR(_xlfn.XLOOKUP($D76,'Modelling New'!$D:$D,'Modelling New'!$W:$W),"")</f>
        <v>0.13464692403231698</v>
      </c>
      <c r="AG76" s="94">
        <f>IFERROR(_xlfn.XLOOKUP($D76,'Modelling New'!$D:$D,'Modelling New'!$AE:$AE),"")</f>
        <v>0.98040000000000005</v>
      </c>
      <c r="AH76" s="94">
        <f>IFERROR(_xlfn.XLOOKUP($D76,'Modelling New'!$D:$D,'Modelling New'!$AF:$AF),"")</f>
        <v>0.98</v>
      </c>
      <c r="AN76" s="85"/>
      <c r="AO76" s="84"/>
      <c r="AP76" s="84"/>
      <c r="AQ76" s="84"/>
      <c r="AR76" s="86">
        <f>'Basic Data'!$J$2</f>
        <v>7.0991999999999997</v>
      </c>
      <c r="AT76" s="7" t="str">
        <f>IFERROR(_xlfn.XLOOKUP(Table13[[#This Row],[Date]],'Raw Data'!$E:$E,'Raw Data'!$AN:$AN),"")</f>
        <v/>
      </c>
      <c r="AU76" s="7">
        <f>IFERROR(_xlfn.XLOOKUP(Table13[[#This Row],[Month Year]],'Modelling New'!$D:$D,'Modelling New'!$AO:$AO),"")</f>
        <v>7</v>
      </c>
      <c r="AV76" s="7">
        <f>IFERROR(SUMIF('Curtailment Records'!$C:$C,Table13[[#This Row],[Date]],'Curtailment Records'!$R:$R)/1000,"")</f>
        <v>0</v>
      </c>
    </row>
    <row r="77" spans="1:48" x14ac:dyDescent="0.25">
      <c r="A77" s="93">
        <f t="shared" si="6"/>
        <v>45820</v>
      </c>
      <c r="B77" s="86">
        <f>YEAR(Table13[[#This Row],[Date]])+IF(MONTH(Table13[[#This Row],[Date]])&gt;=4,1,0)</f>
        <v>2026</v>
      </c>
      <c r="C77" s="7">
        <f>YEAR(Table13[[#This Row],[Date]])</f>
        <v>2025</v>
      </c>
      <c r="D77" s="92">
        <f>Table13[[#This Row],[Date]]-DAY(Table13[[#This Row],[Date]])+1</f>
        <v>45809</v>
      </c>
      <c r="E77" s="7">
        <f t="shared" si="7"/>
        <v>30</v>
      </c>
      <c r="F77" s="91">
        <f>IFERROR(_xlfn.XLOOKUP($A77,'Raw Data'!$G:$G,'Raw Data'!$AM:$AM),"")</f>
        <v>13.099999999999998</v>
      </c>
      <c r="G77" s="90">
        <f>IFERROR(_xlfn.XLOOKUP($A77,'Raw Data'!$G:$G,'Raw Data'!$AB:$AB),"")</f>
        <v>0</v>
      </c>
      <c r="H77" s="90"/>
      <c r="I77" s="90">
        <f>IFERROR(_xlfn.XLOOKUP($A77,'Raw Data'!$G:$G,'Raw Data'!$AC:$AC),"")</f>
        <v>3.21</v>
      </c>
      <c r="J77" s="90"/>
      <c r="K77" s="90">
        <f>IFERROR(_xlfn.XLOOKUP($A77,'Raw Data'!$G:$G,'Raw Data'!AD:AD),"")</f>
        <v>0</v>
      </c>
      <c r="L77" s="90">
        <f>IFERROR(_xlfn.XLOOKUP($A77,'Raw Data'!$G:$G,'Raw Data'!AE:AE),"")</f>
        <v>39.76</v>
      </c>
      <c r="M77" s="90">
        <f>IFERROR(_xlfn.XLOOKUP($A77,'Raw Data'!$G:$G,'Raw Data'!AF:AF),"")</f>
        <v>0</v>
      </c>
      <c r="N77" s="90">
        <f>IFERROR(_xlfn.XLOOKUP($A77,'Raw Data'!$G:$G,'Raw Data'!AG:AG),"")</f>
        <v>0</v>
      </c>
      <c r="O77" s="85">
        <f>IFERROR(1-SUMIF('Plant BD'!$B:$B,$A77,'Plant BD'!$AM:$AM)/($AA77+SUMIF('Plant BD'!$B:$B,$A77,'Plant BD'!$AM:$AM)),"")</f>
        <v>1</v>
      </c>
      <c r="P77" s="85"/>
      <c r="Q77" s="89"/>
      <c r="R77" s="85">
        <f>IFERROR(1-SUMIF('Grid BD'!$B:$B,$A77,'Grid BD'!$AE:$AE)/($AA77+SUMIF('Grid BD'!$B:$B,$A77,'Grid BD'!$AE:$AE)),"")</f>
        <v>1</v>
      </c>
      <c r="T77" s="89"/>
      <c r="U77" s="88">
        <f t="shared" si="5"/>
        <v>0.77232167619080494</v>
      </c>
      <c r="V77" s="88"/>
      <c r="W77" s="84">
        <f t="shared" si="4"/>
        <v>0.10329802419052017</v>
      </c>
      <c r="X77" s="86">
        <f>IFERROR(_xlfn.XLOOKUP($A77,'Raw Data'!$G:$G,'Raw Data'!AI:AI),"")</f>
        <v>17896.3</v>
      </c>
      <c r="Y77" s="86">
        <f>IFERROR(_xlfn.XLOOKUP($A77,'Raw Data'!$G:$G,'Raw Data'!AJ:AJ),"")</f>
        <v>17800.000000000182</v>
      </c>
      <c r="Z77" s="86">
        <f>IFERROR(_xlfn.XLOOKUP($A77,'Raw Data'!$G:$G,'Raw Data'!AK:AK),"")</f>
        <v>200.00000000000284</v>
      </c>
      <c r="AA77" s="86">
        <f>IFERROR(_xlfn.XLOOKUP($A77,'Raw Data'!$G:$G,'Raw Data'!$AL:$AL)*(1+(_xlfn.XLOOKUP(Table13[[#This Row],[Month Year]],JMR!$A:$A,JMR!$J:$J))),"")</f>
        <v>17600.000000000178</v>
      </c>
      <c r="AB77" s="86">
        <f>IFERROR(_xlfn.XLOOKUP($A77,'Raw Data'!$G:$G,'Raw Data'!$H:$H),"")</f>
        <v>7.0991999999999997</v>
      </c>
      <c r="AC77" s="87">
        <f>IFERROR(_xlfn.XLOOKUP($D77,'Modelling New'!$D:$D,'Modelling New'!$P:$P),"")</f>
        <v>4.6100000000000003</v>
      </c>
      <c r="AD77" s="86">
        <f>IFERROR(_xlfn.XLOOKUP($D77,'Modelling New'!$D:$D,'Modelling New'!$T:$T)*1000,"")</f>
        <v>22941.250634165393</v>
      </c>
      <c r="AE77" s="94">
        <f>IFERROR(_xlfn.XLOOKUP($D77,'Modelling New'!$D:$D,'Modelling New'!$O:$O),"")</f>
        <v>0.70098181708798424</v>
      </c>
      <c r="AF77" s="94">
        <f>IFERROR(_xlfn.XLOOKUP($D77,'Modelling New'!$D:$D,'Modelling New'!$W:$W),"")</f>
        <v>0.13464692403231698</v>
      </c>
      <c r="AG77" s="94">
        <f>IFERROR(_xlfn.XLOOKUP($D77,'Modelling New'!$D:$D,'Modelling New'!$AE:$AE),"")</f>
        <v>0.98040000000000005</v>
      </c>
      <c r="AH77" s="94">
        <f>IFERROR(_xlfn.XLOOKUP($D77,'Modelling New'!$D:$D,'Modelling New'!$AF:$AF),"")</f>
        <v>0.98</v>
      </c>
      <c r="AN77" s="85"/>
      <c r="AO77" s="84"/>
      <c r="AP77" s="84"/>
      <c r="AQ77" s="84"/>
      <c r="AR77" s="86">
        <f>'Basic Data'!$J$2</f>
        <v>7.0991999999999997</v>
      </c>
      <c r="AT77" s="7" t="str">
        <f>IFERROR(_xlfn.XLOOKUP(Table13[[#This Row],[Date]],'Raw Data'!$E:$E,'Raw Data'!$AN:$AN),"")</f>
        <v/>
      </c>
      <c r="AU77" s="7">
        <f>IFERROR(_xlfn.XLOOKUP(Table13[[#This Row],[Month Year]],'Modelling New'!$D:$D,'Modelling New'!$AO:$AO),"")</f>
        <v>7</v>
      </c>
      <c r="AV77" s="7">
        <f>IFERROR(SUMIF('Curtailment Records'!$C:$C,Table13[[#This Row],[Date]],'Curtailment Records'!$R:$R)/1000,"")</f>
        <v>0</v>
      </c>
    </row>
    <row r="78" spans="1:48" x14ac:dyDescent="0.25">
      <c r="A78" s="93">
        <f t="shared" si="6"/>
        <v>45821</v>
      </c>
      <c r="B78" s="86">
        <f>YEAR(Table13[[#This Row],[Date]])+IF(MONTH(Table13[[#This Row],[Date]])&gt;=4,1,0)</f>
        <v>2026</v>
      </c>
      <c r="C78" s="7">
        <f>YEAR(Table13[[#This Row],[Date]])</f>
        <v>2025</v>
      </c>
      <c r="D78" s="92">
        <f>Table13[[#This Row],[Date]]-DAY(Table13[[#This Row],[Date]])+1</f>
        <v>45809</v>
      </c>
      <c r="E78" s="7">
        <f t="shared" si="7"/>
        <v>30</v>
      </c>
      <c r="F78" s="91">
        <f>IFERROR(_xlfn.XLOOKUP($A78,'Raw Data'!$G:$G,'Raw Data'!$AM:$AM),"")</f>
        <v>13.533333333333333</v>
      </c>
      <c r="G78" s="90">
        <f>IFERROR(_xlfn.XLOOKUP($A78,'Raw Data'!$G:$G,'Raw Data'!$AB:$AB),"")</f>
        <v>0</v>
      </c>
      <c r="H78" s="90"/>
      <c r="I78" s="90">
        <f>IFERROR(_xlfn.XLOOKUP($A78,'Raw Data'!$G:$G,'Raw Data'!$AC:$AC),"")</f>
        <v>3.61</v>
      </c>
      <c r="J78" s="90"/>
      <c r="K78" s="90">
        <f>IFERROR(_xlfn.XLOOKUP($A78,'Raw Data'!$G:$G,'Raw Data'!AD:AD),"")</f>
        <v>0</v>
      </c>
      <c r="L78" s="90">
        <f>IFERROR(_xlfn.XLOOKUP($A78,'Raw Data'!$G:$G,'Raw Data'!AE:AE),"")</f>
        <v>42.78</v>
      </c>
      <c r="M78" s="90">
        <f>IFERROR(_xlfn.XLOOKUP($A78,'Raw Data'!$G:$G,'Raw Data'!AF:AF),"")</f>
        <v>0</v>
      </c>
      <c r="N78" s="90">
        <f>IFERROR(_xlfn.XLOOKUP($A78,'Raw Data'!$G:$G,'Raw Data'!AG:AG),"")</f>
        <v>0</v>
      </c>
      <c r="O78" s="85">
        <f>IFERROR(1-SUMIF('Plant BD'!$B:$B,$A78,'Plant BD'!$AM:$AM)/($AA78+SUMIF('Plant BD'!$B:$B,$A78,'Plant BD'!$AM:$AM)),"")</f>
        <v>1</v>
      </c>
      <c r="P78" s="85"/>
      <c r="Q78" s="89"/>
      <c r="R78" s="85">
        <f>IFERROR(1-SUMIF('Grid BD'!$B:$B,$A78,'Grid BD'!$AE:$AE)/($AA78+SUMIF('Grid BD'!$B:$B,$A78,'Grid BD'!$AE:$AE)),"")</f>
        <v>1</v>
      </c>
      <c r="T78" s="89"/>
      <c r="U78" s="88">
        <f t="shared" si="5"/>
        <v>0.77258910059391039</v>
      </c>
      <c r="V78" s="88"/>
      <c r="W78" s="84">
        <f t="shared" si="4"/>
        <v>0.11621027721433402</v>
      </c>
      <c r="X78" s="86">
        <f>IFERROR(_xlfn.XLOOKUP($A78,'Raw Data'!$G:$G,'Raw Data'!AI:AI),"")</f>
        <v>20152.7</v>
      </c>
      <c r="Y78" s="86">
        <f>IFERROR(_xlfn.XLOOKUP($A78,'Raw Data'!$G:$G,'Raw Data'!AJ:AJ),"")</f>
        <v>20000</v>
      </c>
      <c r="Z78" s="86">
        <f>IFERROR(_xlfn.XLOOKUP($A78,'Raw Data'!$G:$G,'Raw Data'!AK:AK),"")</f>
        <v>199.99999999999929</v>
      </c>
      <c r="AA78" s="86">
        <f>IFERROR(_xlfn.XLOOKUP($A78,'Raw Data'!$G:$G,'Raw Data'!$AL:$AL)*(1+(_xlfn.XLOOKUP(Table13[[#This Row],[Month Year]],JMR!$A:$A,JMR!$J:$J))),"")</f>
        <v>19800</v>
      </c>
      <c r="AB78" s="86">
        <f>IFERROR(_xlfn.XLOOKUP($A78,'Raw Data'!$G:$G,'Raw Data'!$H:$H),"")</f>
        <v>7.0991999999999997</v>
      </c>
      <c r="AC78" s="87">
        <f>IFERROR(_xlfn.XLOOKUP($D78,'Modelling New'!$D:$D,'Modelling New'!$P:$P),"")</f>
        <v>4.6100000000000003</v>
      </c>
      <c r="AD78" s="86">
        <f>IFERROR(_xlfn.XLOOKUP($D78,'Modelling New'!$D:$D,'Modelling New'!$T:$T)*1000,"")</f>
        <v>22941.250634165393</v>
      </c>
      <c r="AE78" s="94">
        <f>IFERROR(_xlfn.XLOOKUP($D78,'Modelling New'!$D:$D,'Modelling New'!$O:$O),"")</f>
        <v>0.70098181708798424</v>
      </c>
      <c r="AF78" s="94">
        <f>IFERROR(_xlfn.XLOOKUP($D78,'Modelling New'!$D:$D,'Modelling New'!$W:$W),"")</f>
        <v>0.13464692403231698</v>
      </c>
      <c r="AG78" s="94">
        <f>IFERROR(_xlfn.XLOOKUP($D78,'Modelling New'!$D:$D,'Modelling New'!$AE:$AE),"")</f>
        <v>0.98040000000000005</v>
      </c>
      <c r="AH78" s="94">
        <f>IFERROR(_xlfn.XLOOKUP($D78,'Modelling New'!$D:$D,'Modelling New'!$AF:$AF),"")</f>
        <v>0.98</v>
      </c>
      <c r="AN78" s="85"/>
      <c r="AO78" s="84"/>
      <c r="AP78" s="84"/>
      <c r="AQ78" s="84"/>
      <c r="AR78" s="86">
        <f>'Basic Data'!$J$2</f>
        <v>7.0991999999999997</v>
      </c>
      <c r="AT78" s="7" t="str">
        <f>IFERROR(_xlfn.XLOOKUP(Table13[[#This Row],[Date]],'Raw Data'!$E:$E,'Raw Data'!$AN:$AN),"")</f>
        <v/>
      </c>
      <c r="AU78" s="7">
        <f>IFERROR(_xlfn.XLOOKUP(Table13[[#This Row],[Month Year]],'Modelling New'!$D:$D,'Modelling New'!$AO:$AO),"")</f>
        <v>7</v>
      </c>
      <c r="AV78" s="7">
        <f>IFERROR(SUMIF('Curtailment Records'!$C:$C,Table13[[#This Row],[Date]],'Curtailment Records'!$R:$R)/1000,"")</f>
        <v>0</v>
      </c>
    </row>
    <row r="79" spans="1:48" x14ac:dyDescent="0.25">
      <c r="A79" s="93">
        <f t="shared" si="6"/>
        <v>45822</v>
      </c>
      <c r="B79" s="86">
        <f>YEAR(Table13[[#This Row],[Date]])+IF(MONTH(Table13[[#This Row],[Date]])&gt;=4,1,0)</f>
        <v>2026</v>
      </c>
      <c r="C79" s="7">
        <f>YEAR(Table13[[#This Row],[Date]])</f>
        <v>2025</v>
      </c>
      <c r="D79" s="92">
        <f>Table13[[#This Row],[Date]]-DAY(Table13[[#This Row],[Date]])+1</f>
        <v>45809</v>
      </c>
      <c r="E79" s="7">
        <f t="shared" si="7"/>
        <v>30</v>
      </c>
      <c r="F79" s="91">
        <f>IFERROR(_xlfn.XLOOKUP($A79,'Raw Data'!$G:$G,'Raw Data'!$AM:$AM),"")</f>
        <v>13.916666666666664</v>
      </c>
      <c r="G79" s="90">
        <f>IFERROR(_xlfn.XLOOKUP($A79,'Raw Data'!$G:$G,'Raw Data'!$AB:$AB),"")</f>
        <v>0</v>
      </c>
      <c r="H79" s="90"/>
      <c r="I79" s="90">
        <f>IFERROR(_xlfn.XLOOKUP($A79,'Raw Data'!$G:$G,'Raw Data'!$AC:$AC),"")</f>
        <v>4.47</v>
      </c>
      <c r="J79" s="90"/>
      <c r="K79" s="90">
        <f>IFERROR(_xlfn.XLOOKUP($A79,'Raw Data'!$G:$G,'Raw Data'!AD:AD),"")</f>
        <v>0</v>
      </c>
      <c r="L79" s="90">
        <f>IFERROR(_xlfn.XLOOKUP($A79,'Raw Data'!$G:$G,'Raw Data'!AE:AE),"")</f>
        <v>42.33</v>
      </c>
      <c r="M79" s="90">
        <f>IFERROR(_xlfn.XLOOKUP($A79,'Raw Data'!$G:$G,'Raw Data'!AF:AF),"")</f>
        <v>0</v>
      </c>
      <c r="N79" s="90">
        <f>IFERROR(_xlfn.XLOOKUP($A79,'Raw Data'!$G:$G,'Raw Data'!AG:AG),"")</f>
        <v>0</v>
      </c>
      <c r="O79" s="85">
        <f>IFERROR(1-SUMIF('Plant BD'!$B:$B,$A79,'Plant BD'!$AM:$AM)/($AA79+SUMIF('Plant BD'!$B:$B,$A79,'Plant BD'!$AM:$AM)),"")</f>
        <v>1</v>
      </c>
      <c r="P79" s="85"/>
      <c r="Q79" s="89"/>
      <c r="R79" s="85">
        <f>IFERROR(1-SUMIF('Grid BD'!$B:$B,$A79,'Grid BD'!$AE:$AE)/($AA79+SUMIF('Grid BD'!$B:$B,$A79,'Grid BD'!$AE:$AE)),"")</f>
        <v>0.95886462401136974</v>
      </c>
      <c r="T79" s="89"/>
      <c r="U79" s="88">
        <f t="shared" si="5"/>
        <v>0.73109034814521234</v>
      </c>
      <c r="V79" s="88"/>
      <c r="W79" s="84">
        <f t="shared" si="4"/>
        <v>0.13616557734204582</v>
      </c>
      <c r="X79" s="86">
        <f>IFERROR(_xlfn.XLOOKUP($A79,'Raw Data'!$G:$G,'Raw Data'!AI:AI),"")</f>
        <v>23495</v>
      </c>
      <c r="Y79" s="86">
        <f>IFERROR(_xlfn.XLOOKUP($A79,'Raw Data'!$G:$G,'Raw Data'!AJ:AJ),"")</f>
        <v>23399.999999999636</v>
      </c>
      <c r="Z79" s="86">
        <f>IFERROR(_xlfn.XLOOKUP($A79,'Raw Data'!$G:$G,'Raw Data'!AK:AK),"")</f>
        <v>199.99999999999929</v>
      </c>
      <c r="AA79" s="86">
        <f>IFERROR(_xlfn.XLOOKUP($A79,'Raw Data'!$G:$G,'Raw Data'!$AL:$AL)*(1+(_xlfn.XLOOKUP(Table13[[#This Row],[Month Year]],JMR!$A:$A,JMR!$J:$J))),"")</f>
        <v>23199.999999999636</v>
      </c>
      <c r="AB79" s="86">
        <f>IFERROR(_xlfn.XLOOKUP($A79,'Raw Data'!$G:$G,'Raw Data'!$H:$H),"")</f>
        <v>7.0991999999999997</v>
      </c>
      <c r="AC79" s="87">
        <f>IFERROR(_xlfn.XLOOKUP($D79,'Modelling New'!$D:$D,'Modelling New'!$P:$P),"")</f>
        <v>4.6100000000000003</v>
      </c>
      <c r="AD79" s="86">
        <f>IFERROR(_xlfn.XLOOKUP($D79,'Modelling New'!$D:$D,'Modelling New'!$T:$T)*1000,"")</f>
        <v>22941.250634165393</v>
      </c>
      <c r="AE79" s="94">
        <f>IFERROR(_xlfn.XLOOKUP($D79,'Modelling New'!$D:$D,'Modelling New'!$O:$O),"")</f>
        <v>0.70098181708798424</v>
      </c>
      <c r="AF79" s="94">
        <f>IFERROR(_xlfn.XLOOKUP($D79,'Modelling New'!$D:$D,'Modelling New'!$W:$W),"")</f>
        <v>0.13464692403231698</v>
      </c>
      <c r="AG79" s="94">
        <f>IFERROR(_xlfn.XLOOKUP($D79,'Modelling New'!$D:$D,'Modelling New'!$AE:$AE),"")</f>
        <v>0.98040000000000005</v>
      </c>
      <c r="AH79" s="94">
        <f>IFERROR(_xlfn.XLOOKUP($D79,'Modelling New'!$D:$D,'Modelling New'!$AF:$AF),"")</f>
        <v>0.98</v>
      </c>
      <c r="AN79" s="85"/>
      <c r="AO79" s="84"/>
      <c r="AP79" s="84"/>
      <c r="AQ79" s="84"/>
      <c r="AR79" s="86">
        <f>'Basic Data'!$J$2</f>
        <v>7.0991999999999997</v>
      </c>
      <c r="AT79" s="7" t="str">
        <f>IFERROR(_xlfn.XLOOKUP(Table13[[#This Row],[Date]],'Raw Data'!$E:$E,'Raw Data'!$AN:$AN),"")</f>
        <v/>
      </c>
      <c r="AU79" s="7">
        <f>IFERROR(_xlfn.XLOOKUP(Table13[[#This Row],[Month Year]],'Modelling New'!$D:$D,'Modelling New'!$AO:$AO),"")</f>
        <v>7</v>
      </c>
      <c r="AV79" s="7">
        <f>IFERROR(SUMIF('Curtailment Records'!$C:$C,Table13[[#This Row],[Date]],'Curtailment Records'!$R:$R)/1000,"")</f>
        <v>0</v>
      </c>
    </row>
    <row r="80" spans="1:48" x14ac:dyDescent="0.25">
      <c r="A80" s="93">
        <f t="shared" si="6"/>
        <v>45823</v>
      </c>
      <c r="B80" s="86">
        <f>YEAR(Table13[[#This Row],[Date]])+IF(MONTH(Table13[[#This Row],[Date]])&gt;=4,1,0)</f>
        <v>2026</v>
      </c>
      <c r="C80" s="7">
        <f>YEAR(Table13[[#This Row],[Date]])</f>
        <v>2025</v>
      </c>
      <c r="D80" s="92">
        <f>Table13[[#This Row],[Date]]-DAY(Table13[[#This Row],[Date]])+1</f>
        <v>45809</v>
      </c>
      <c r="E80" s="7">
        <f t="shared" si="7"/>
        <v>30</v>
      </c>
      <c r="F80" s="91">
        <f>IFERROR(_xlfn.XLOOKUP($A80,'Raw Data'!$G:$G,'Raw Data'!$AM:$AM),"")</f>
        <v>13.366666666666667</v>
      </c>
      <c r="G80" s="90">
        <f>IFERROR(_xlfn.XLOOKUP($A80,'Raw Data'!$G:$G,'Raw Data'!$AB:$AB),"")</f>
        <v>0</v>
      </c>
      <c r="H80" s="90"/>
      <c r="I80" s="90">
        <f>IFERROR(_xlfn.XLOOKUP($A80,'Raw Data'!$G:$G,'Raw Data'!$AC:$AC),"")</f>
        <v>2.87</v>
      </c>
      <c r="J80" s="90"/>
      <c r="K80" s="90">
        <f>IFERROR(_xlfn.XLOOKUP($A80,'Raw Data'!$G:$G,'Raw Data'!AD:AD),"")</f>
        <v>0</v>
      </c>
      <c r="L80" s="90">
        <f>IFERROR(_xlfn.XLOOKUP($A80,'Raw Data'!$G:$G,'Raw Data'!AE:AE),"")</f>
        <v>38.17</v>
      </c>
      <c r="M80" s="90">
        <f>IFERROR(_xlfn.XLOOKUP($A80,'Raw Data'!$G:$G,'Raw Data'!AF:AF),"")</f>
        <v>0</v>
      </c>
      <c r="N80" s="90">
        <f>IFERROR(_xlfn.XLOOKUP($A80,'Raw Data'!$G:$G,'Raw Data'!AG:AG),"")</f>
        <v>0</v>
      </c>
      <c r="O80" s="85">
        <f>IFERROR(1-SUMIF('Plant BD'!$B:$B,$A80,'Plant BD'!$AM:$AM)/($AA80+SUMIF('Plant BD'!$B:$B,$A80,'Plant BD'!$AM:$AM)),"")</f>
        <v>1</v>
      </c>
      <c r="P80" s="85"/>
      <c r="Q80" s="89"/>
      <c r="R80" s="85">
        <f>IFERROR(1-SUMIF('Grid BD'!$B:$B,$A80,'Grid BD'!$AE:$AE)/($AA80+SUMIF('Grid BD'!$B:$B,$A80,'Grid BD'!$AE:$AE)),"")</f>
        <v>1</v>
      </c>
      <c r="T80" s="89"/>
      <c r="U80" s="88">
        <f t="shared" si="5"/>
        <v>0.79510357549246102</v>
      </c>
      <c r="V80" s="88"/>
      <c r="W80" s="84">
        <f t="shared" si="4"/>
        <v>9.5081135902640126E-2</v>
      </c>
      <c r="X80" s="86">
        <f>IFERROR(_xlfn.XLOOKUP($A80,'Raw Data'!$G:$G,'Raw Data'!AI:AI),"")</f>
        <v>16585.300000000003</v>
      </c>
      <c r="Y80" s="86">
        <f>IFERROR(_xlfn.XLOOKUP($A80,'Raw Data'!$G:$G,'Raw Data'!AJ:AJ),"")</f>
        <v>16400.000000000546</v>
      </c>
      <c r="Z80" s="86">
        <f>IFERROR(_xlfn.XLOOKUP($A80,'Raw Data'!$G:$G,'Raw Data'!AK:AK),"")</f>
        <v>199.99999999999929</v>
      </c>
      <c r="AA80" s="86">
        <f>IFERROR(_xlfn.XLOOKUP($A80,'Raw Data'!$G:$G,'Raw Data'!$AL:$AL)*(1+(_xlfn.XLOOKUP(Table13[[#This Row],[Month Year]],JMR!$A:$A,JMR!$J:$J))),"")</f>
        <v>16200.000000000546</v>
      </c>
      <c r="AB80" s="86">
        <f>IFERROR(_xlfn.XLOOKUP($A80,'Raw Data'!$G:$G,'Raw Data'!$H:$H),"")</f>
        <v>7.0991999999999997</v>
      </c>
      <c r="AC80" s="87">
        <f>IFERROR(_xlfn.XLOOKUP($D80,'Modelling New'!$D:$D,'Modelling New'!$P:$P),"")</f>
        <v>4.6100000000000003</v>
      </c>
      <c r="AD80" s="86">
        <f>IFERROR(_xlfn.XLOOKUP($D80,'Modelling New'!$D:$D,'Modelling New'!$T:$T)*1000,"")</f>
        <v>22941.250634165393</v>
      </c>
      <c r="AE80" s="94">
        <f>IFERROR(_xlfn.XLOOKUP($D80,'Modelling New'!$D:$D,'Modelling New'!$O:$O),"")</f>
        <v>0.70098181708798424</v>
      </c>
      <c r="AF80" s="94">
        <f>IFERROR(_xlfn.XLOOKUP($D80,'Modelling New'!$D:$D,'Modelling New'!$W:$W),"")</f>
        <v>0.13464692403231698</v>
      </c>
      <c r="AG80" s="94">
        <f>IFERROR(_xlfn.XLOOKUP($D80,'Modelling New'!$D:$D,'Modelling New'!$AE:$AE),"")</f>
        <v>0.98040000000000005</v>
      </c>
      <c r="AH80" s="94">
        <f>IFERROR(_xlfn.XLOOKUP($D80,'Modelling New'!$D:$D,'Modelling New'!$AF:$AF),"")</f>
        <v>0.98</v>
      </c>
      <c r="AN80" s="85"/>
      <c r="AO80" s="84"/>
      <c r="AP80" s="84"/>
      <c r="AQ80" s="84"/>
      <c r="AR80" s="86">
        <f>'Basic Data'!$J$2</f>
        <v>7.0991999999999997</v>
      </c>
      <c r="AT80" s="7" t="str">
        <f>IFERROR(_xlfn.XLOOKUP(Table13[[#This Row],[Date]],'Raw Data'!$E:$E,'Raw Data'!$AN:$AN),"")</f>
        <v/>
      </c>
      <c r="AU80" s="7">
        <f>IFERROR(_xlfn.XLOOKUP(Table13[[#This Row],[Month Year]],'Modelling New'!$D:$D,'Modelling New'!$AO:$AO),"")</f>
        <v>7</v>
      </c>
      <c r="AV80" s="7">
        <f>IFERROR(SUMIF('Curtailment Records'!$C:$C,Table13[[#This Row],[Date]],'Curtailment Records'!$R:$R)/1000,"")</f>
        <v>0</v>
      </c>
    </row>
    <row r="81" spans="1:48" x14ac:dyDescent="0.25">
      <c r="A81" s="93">
        <f t="shared" si="6"/>
        <v>45824</v>
      </c>
      <c r="B81" s="86">
        <f>YEAR(Table13[[#This Row],[Date]])+IF(MONTH(Table13[[#This Row],[Date]])&gt;=4,1,0)</f>
        <v>2026</v>
      </c>
      <c r="C81" s="7">
        <f>YEAR(Table13[[#This Row],[Date]])</f>
        <v>2025</v>
      </c>
      <c r="D81" s="92">
        <f>Table13[[#This Row],[Date]]-DAY(Table13[[#This Row],[Date]])+1</f>
        <v>45809</v>
      </c>
      <c r="E81" s="7">
        <f t="shared" si="7"/>
        <v>30</v>
      </c>
      <c r="F81" s="91">
        <f>IFERROR(_xlfn.XLOOKUP($A81,'Raw Data'!$G:$G,'Raw Data'!$AM:$AM),"")</f>
        <v>13.033333333333335</v>
      </c>
      <c r="G81" s="90">
        <f>IFERROR(_xlfn.XLOOKUP($A81,'Raw Data'!$G:$G,'Raw Data'!$AB:$AB),"")</f>
        <v>0</v>
      </c>
      <c r="H81" s="90"/>
      <c r="I81" s="90">
        <f>IFERROR(_xlfn.XLOOKUP($A81,'Raw Data'!$G:$G,'Raw Data'!$AC:$AC),"")</f>
        <v>3.67</v>
      </c>
      <c r="J81" s="90"/>
      <c r="K81" s="90">
        <f>IFERROR(_xlfn.XLOOKUP($A81,'Raw Data'!$G:$G,'Raw Data'!AD:AD),"")</f>
        <v>0</v>
      </c>
      <c r="L81" s="90">
        <f>IFERROR(_xlfn.XLOOKUP($A81,'Raw Data'!$G:$G,'Raw Data'!AE:AE),"")</f>
        <v>39.25</v>
      </c>
      <c r="M81" s="90">
        <f>IFERROR(_xlfn.XLOOKUP($A81,'Raw Data'!$G:$G,'Raw Data'!AF:AF),"")</f>
        <v>0</v>
      </c>
      <c r="N81" s="90">
        <f>IFERROR(_xlfn.XLOOKUP($A81,'Raw Data'!$G:$G,'Raw Data'!AG:AG),"")</f>
        <v>0</v>
      </c>
      <c r="O81" s="85">
        <f>IFERROR(1-SUMIF('Plant BD'!$B:$B,$A81,'Plant BD'!$AM:$AM)/($AA81+SUMIF('Plant BD'!$B:$B,$A81,'Plant BD'!$AM:$AM)),"")</f>
        <v>1</v>
      </c>
      <c r="P81" s="85"/>
      <c r="Q81" s="89"/>
      <c r="R81" s="85">
        <f>IFERROR(1-SUMIF('Grid BD'!$B:$B,$A81,'Grid BD'!$AE:$AE)/($AA81+SUMIF('Grid BD'!$B:$B,$A81,'Grid BD'!$AE:$AE)),"")</f>
        <v>0.9635575622403274</v>
      </c>
      <c r="T81" s="89"/>
      <c r="U81" s="88">
        <f t="shared" si="5"/>
        <v>0.7676345617328435</v>
      </c>
      <c r="V81" s="88"/>
      <c r="W81" s="84">
        <f t="shared" si="4"/>
        <v>0.11738411839831399</v>
      </c>
      <c r="X81" s="86">
        <f>IFERROR(_xlfn.XLOOKUP($A81,'Raw Data'!$G:$G,'Raw Data'!AI:AI),"")</f>
        <v>20244.699999999997</v>
      </c>
      <c r="Y81" s="86">
        <f>IFERROR(_xlfn.XLOOKUP($A81,'Raw Data'!$G:$G,'Raw Data'!AJ:AJ),"")</f>
        <v>20099.999999999454</v>
      </c>
      <c r="Z81" s="86">
        <f>IFERROR(_xlfn.XLOOKUP($A81,'Raw Data'!$G:$G,'Raw Data'!AK:AK),"")</f>
        <v>100.00000000000142</v>
      </c>
      <c r="AA81" s="86">
        <f>IFERROR(_xlfn.XLOOKUP($A81,'Raw Data'!$G:$G,'Raw Data'!$AL:$AL)*(1+(_xlfn.XLOOKUP(Table13[[#This Row],[Month Year]],JMR!$A:$A,JMR!$J:$J))),"")</f>
        <v>19999.999999999454</v>
      </c>
      <c r="AB81" s="86">
        <f>IFERROR(_xlfn.XLOOKUP($A81,'Raw Data'!$G:$G,'Raw Data'!$H:$H),"")</f>
        <v>7.0991999999999997</v>
      </c>
      <c r="AC81" s="87">
        <f>IFERROR(_xlfn.XLOOKUP($D81,'Modelling New'!$D:$D,'Modelling New'!$P:$P),"")</f>
        <v>4.6100000000000003</v>
      </c>
      <c r="AD81" s="86">
        <f>IFERROR(_xlfn.XLOOKUP($D81,'Modelling New'!$D:$D,'Modelling New'!$T:$T)*1000,"")</f>
        <v>22941.250634165393</v>
      </c>
      <c r="AE81" s="94">
        <f>IFERROR(_xlfn.XLOOKUP($D81,'Modelling New'!$D:$D,'Modelling New'!$O:$O),"")</f>
        <v>0.70098181708798424</v>
      </c>
      <c r="AF81" s="94">
        <f>IFERROR(_xlfn.XLOOKUP($D81,'Modelling New'!$D:$D,'Modelling New'!$W:$W),"")</f>
        <v>0.13464692403231698</v>
      </c>
      <c r="AG81" s="94">
        <f>IFERROR(_xlfn.XLOOKUP($D81,'Modelling New'!$D:$D,'Modelling New'!$AE:$AE),"")</f>
        <v>0.98040000000000005</v>
      </c>
      <c r="AH81" s="94">
        <f>IFERROR(_xlfn.XLOOKUP($D81,'Modelling New'!$D:$D,'Modelling New'!$AF:$AF),"")</f>
        <v>0.98</v>
      </c>
      <c r="AN81" s="85"/>
      <c r="AO81" s="84"/>
      <c r="AP81" s="84"/>
      <c r="AQ81" s="84"/>
      <c r="AR81" s="86">
        <f>'Basic Data'!$J$2</f>
        <v>7.0991999999999997</v>
      </c>
      <c r="AT81" s="7" t="str">
        <f>IFERROR(_xlfn.XLOOKUP(Table13[[#This Row],[Date]],'Raw Data'!$E:$E,'Raw Data'!$AN:$AN),"")</f>
        <v/>
      </c>
      <c r="AU81" s="7">
        <f>IFERROR(_xlfn.XLOOKUP(Table13[[#This Row],[Month Year]],'Modelling New'!$D:$D,'Modelling New'!$AO:$AO),"")</f>
        <v>7</v>
      </c>
      <c r="AV81" s="7">
        <f>IFERROR(SUMIF('Curtailment Records'!$C:$C,Table13[[#This Row],[Date]],'Curtailment Records'!$R:$R)/1000,"")</f>
        <v>0</v>
      </c>
    </row>
    <row r="82" spans="1:48" x14ac:dyDescent="0.25">
      <c r="A82" s="93">
        <f t="shared" si="6"/>
        <v>45825</v>
      </c>
      <c r="B82" s="86">
        <f>YEAR(Table13[[#This Row],[Date]])+IF(MONTH(Table13[[#This Row],[Date]])&gt;=4,1,0)</f>
        <v>2026</v>
      </c>
      <c r="C82" s="7">
        <f>YEAR(Table13[[#This Row],[Date]])</f>
        <v>2025</v>
      </c>
      <c r="D82" s="92">
        <f>Table13[[#This Row],[Date]]-DAY(Table13[[#This Row],[Date]])+1</f>
        <v>45809</v>
      </c>
      <c r="E82" s="7">
        <f t="shared" si="7"/>
        <v>30</v>
      </c>
      <c r="F82" s="91">
        <f>IFERROR(_xlfn.XLOOKUP($A82,'Raw Data'!$G:$G,'Raw Data'!$AM:$AM),"")</f>
        <v>13.533333333333333</v>
      </c>
      <c r="G82" s="90">
        <f>IFERROR(_xlfn.XLOOKUP($A82,'Raw Data'!$G:$G,'Raw Data'!$AB:$AB),"")</f>
        <v>0</v>
      </c>
      <c r="H82" s="90"/>
      <c r="I82" s="90">
        <f>IFERROR(_xlfn.XLOOKUP($A82,'Raw Data'!$G:$G,'Raw Data'!$AC:$AC),"")</f>
        <v>5.56</v>
      </c>
      <c r="J82" s="90"/>
      <c r="K82" s="90">
        <f>IFERROR(_xlfn.XLOOKUP($A82,'Raw Data'!$G:$G,'Raw Data'!AD:AD),"")</f>
        <v>0</v>
      </c>
      <c r="L82" s="90">
        <f>IFERROR(_xlfn.XLOOKUP($A82,'Raw Data'!$G:$G,'Raw Data'!AE:AE),"")</f>
        <v>43.52</v>
      </c>
      <c r="M82" s="90">
        <f>IFERROR(_xlfn.XLOOKUP($A82,'Raw Data'!$G:$G,'Raw Data'!AF:AF),"")</f>
        <v>0</v>
      </c>
      <c r="N82" s="90">
        <f>IFERROR(_xlfn.XLOOKUP($A82,'Raw Data'!$G:$G,'Raw Data'!AG:AG),"")</f>
        <v>0</v>
      </c>
      <c r="O82" s="85">
        <f>IFERROR(1-SUMIF('Plant BD'!$B:$B,$A82,'Plant BD'!$AM:$AM)/($AA82+SUMIF('Plant BD'!$B:$B,$A82,'Plant BD'!$AM:$AM)),"")</f>
        <v>1</v>
      </c>
      <c r="P82" s="85"/>
      <c r="Q82" s="89"/>
      <c r="R82" s="85">
        <f>IFERROR(1-SUMIF('Grid BD'!$B:$B,$A82,'Grid BD'!$AE:$AE)/($AA82+SUMIF('Grid BD'!$B:$B,$A82,'Grid BD'!$AE:$AE)),"")</f>
        <v>0.98852165857650542</v>
      </c>
      <c r="T82" s="89"/>
      <c r="U82" s="88">
        <f t="shared" si="5"/>
        <v>0.76004105437760272</v>
      </c>
      <c r="V82" s="88"/>
      <c r="W82" s="84">
        <f t="shared" si="4"/>
        <v>0.17607617759747793</v>
      </c>
      <c r="X82" s="86">
        <f>IFERROR(_xlfn.XLOOKUP($A82,'Raw Data'!$G:$G,'Raw Data'!AI:AI),"")</f>
        <v>30123.7</v>
      </c>
      <c r="Y82" s="86">
        <f>IFERROR(_xlfn.XLOOKUP($A82,'Raw Data'!$G:$G,'Raw Data'!AJ:AJ),"")</f>
        <v>30100.000000000364</v>
      </c>
      <c r="Z82" s="86">
        <f>IFERROR(_xlfn.XLOOKUP($A82,'Raw Data'!$G:$G,'Raw Data'!AK:AK),"")</f>
        <v>99.999999999997868</v>
      </c>
      <c r="AA82" s="86">
        <f>IFERROR(_xlfn.XLOOKUP($A82,'Raw Data'!$G:$G,'Raw Data'!$AL:$AL)*(1+(_xlfn.XLOOKUP(Table13[[#This Row],[Month Year]],JMR!$A:$A,JMR!$J:$J))),"")</f>
        <v>30000.000000000367</v>
      </c>
      <c r="AB82" s="86">
        <f>IFERROR(_xlfn.XLOOKUP($A82,'Raw Data'!$G:$G,'Raw Data'!$H:$H),"")</f>
        <v>7.0991999999999997</v>
      </c>
      <c r="AC82" s="87">
        <f>IFERROR(_xlfn.XLOOKUP($D82,'Modelling New'!$D:$D,'Modelling New'!$P:$P),"")</f>
        <v>4.6100000000000003</v>
      </c>
      <c r="AD82" s="86">
        <f>IFERROR(_xlfn.XLOOKUP($D82,'Modelling New'!$D:$D,'Modelling New'!$T:$T)*1000,"")</f>
        <v>22941.250634165393</v>
      </c>
      <c r="AE82" s="94">
        <f>IFERROR(_xlfn.XLOOKUP($D82,'Modelling New'!$D:$D,'Modelling New'!$O:$O),"")</f>
        <v>0.70098181708798424</v>
      </c>
      <c r="AF82" s="94">
        <f>IFERROR(_xlfn.XLOOKUP($D82,'Modelling New'!$D:$D,'Modelling New'!$W:$W),"")</f>
        <v>0.13464692403231698</v>
      </c>
      <c r="AG82" s="94">
        <f>IFERROR(_xlfn.XLOOKUP($D82,'Modelling New'!$D:$D,'Modelling New'!$AE:$AE),"")</f>
        <v>0.98040000000000005</v>
      </c>
      <c r="AH82" s="94">
        <f>IFERROR(_xlfn.XLOOKUP($D82,'Modelling New'!$D:$D,'Modelling New'!$AF:$AF),"")</f>
        <v>0.98</v>
      </c>
      <c r="AN82" s="85"/>
      <c r="AO82" s="84"/>
      <c r="AP82" s="84"/>
      <c r="AQ82" s="84"/>
      <c r="AR82" s="86">
        <f>'Basic Data'!$J$2</f>
        <v>7.0991999999999997</v>
      </c>
      <c r="AT82" s="7" t="str">
        <f>IFERROR(_xlfn.XLOOKUP(Table13[[#This Row],[Date]],'Raw Data'!$E:$E,'Raw Data'!$AN:$AN),"")</f>
        <v/>
      </c>
      <c r="AU82" s="7">
        <f>IFERROR(_xlfn.XLOOKUP(Table13[[#This Row],[Month Year]],'Modelling New'!$D:$D,'Modelling New'!$AO:$AO),"")</f>
        <v>7</v>
      </c>
      <c r="AV82" s="7">
        <f>IFERROR(SUMIF('Curtailment Records'!$C:$C,Table13[[#This Row],[Date]],'Curtailment Records'!$R:$R)/1000,"")</f>
        <v>0</v>
      </c>
    </row>
    <row r="83" spans="1:48" x14ac:dyDescent="0.25">
      <c r="A83" s="93">
        <f t="shared" si="6"/>
        <v>45826</v>
      </c>
      <c r="B83" s="86">
        <f>YEAR(Table13[[#This Row],[Date]])+IF(MONTH(Table13[[#This Row],[Date]])&gt;=4,1,0)</f>
        <v>2026</v>
      </c>
      <c r="C83" s="7">
        <f>YEAR(Table13[[#This Row],[Date]])</f>
        <v>2025</v>
      </c>
      <c r="D83" s="92">
        <f>Table13[[#This Row],[Date]]-DAY(Table13[[#This Row],[Date]])+1</f>
        <v>45809</v>
      </c>
      <c r="E83" s="7">
        <f t="shared" si="7"/>
        <v>30</v>
      </c>
      <c r="F83" s="91">
        <f>IFERROR(_xlfn.XLOOKUP($A83,'Raw Data'!$G:$G,'Raw Data'!$AM:$AM),"")</f>
        <v>13.616666666666669</v>
      </c>
      <c r="G83" s="90">
        <f>IFERROR(_xlfn.XLOOKUP($A83,'Raw Data'!$G:$G,'Raw Data'!$AB:$AB),"")</f>
        <v>0</v>
      </c>
      <c r="H83" s="90"/>
      <c r="I83" s="90">
        <f>IFERROR(_xlfn.XLOOKUP($A83,'Raw Data'!$G:$G,'Raw Data'!$AC:$AC),"")</f>
        <v>5.8</v>
      </c>
      <c r="J83" s="90"/>
      <c r="K83" s="90">
        <f>IFERROR(_xlfn.XLOOKUP($A83,'Raw Data'!$G:$G,'Raw Data'!AD:AD),"")</f>
        <v>0</v>
      </c>
      <c r="L83" s="90">
        <f>IFERROR(_xlfn.XLOOKUP($A83,'Raw Data'!$G:$G,'Raw Data'!AE:AE),"")</f>
        <v>43.87</v>
      </c>
      <c r="M83" s="90">
        <f>IFERROR(_xlfn.XLOOKUP($A83,'Raw Data'!$G:$G,'Raw Data'!AF:AF),"")</f>
        <v>0</v>
      </c>
      <c r="N83" s="90">
        <f>IFERROR(_xlfn.XLOOKUP($A83,'Raw Data'!$G:$G,'Raw Data'!AG:AG),"")</f>
        <v>0</v>
      </c>
      <c r="O83" s="85">
        <f>IFERROR(1-SUMIF('Plant BD'!$B:$B,$A83,'Plant BD'!$AM:$AM)/($AA83+SUMIF('Plant BD'!$B:$B,$A83,'Plant BD'!$AM:$AM)),"")</f>
        <v>1</v>
      </c>
      <c r="P83" s="85"/>
      <c r="Q83" s="89"/>
      <c r="R83" s="85">
        <f>IFERROR(1-SUMIF('Grid BD'!$B:$B,$A83,'Grid BD'!$AE:$AE)/($AA83+SUMIF('Grid BD'!$B:$B,$A83,'Grid BD'!$AE:$AE)),"")</f>
        <v>1</v>
      </c>
      <c r="T83" s="89"/>
      <c r="U83" s="88">
        <f t="shared" si="5"/>
        <v>0.8087360984821903</v>
      </c>
      <c r="V83" s="88"/>
      <c r="W83" s="84">
        <f t="shared" si="4"/>
        <v>0.19544455713319597</v>
      </c>
      <c r="X83" s="86">
        <f>IFERROR(_xlfn.XLOOKUP($A83,'Raw Data'!$G:$G,'Raw Data'!AI:AI),"")</f>
        <v>32126.799999999999</v>
      </c>
      <c r="Y83" s="86">
        <f>IFERROR(_xlfn.XLOOKUP($A83,'Raw Data'!$G:$G,'Raw Data'!AJ:AJ),"")</f>
        <v>33399.999999999636</v>
      </c>
      <c r="Z83" s="86">
        <f>IFERROR(_xlfn.XLOOKUP($A83,'Raw Data'!$G:$G,'Raw Data'!AK:AK),"")</f>
        <v>100.00000000000142</v>
      </c>
      <c r="AA83" s="86">
        <f>IFERROR(_xlfn.XLOOKUP($A83,'Raw Data'!$G:$G,'Raw Data'!$AL:$AL)*(1+(_xlfn.XLOOKUP(Table13[[#This Row],[Month Year]],JMR!$A:$A,JMR!$J:$J))),"")</f>
        <v>33299.999999999636</v>
      </c>
      <c r="AB83" s="86">
        <f>IFERROR(_xlfn.XLOOKUP($A83,'Raw Data'!$G:$G,'Raw Data'!$H:$H),"")</f>
        <v>7.0991999999999997</v>
      </c>
      <c r="AC83" s="87">
        <f>IFERROR(_xlfn.XLOOKUP($D83,'Modelling New'!$D:$D,'Modelling New'!$P:$P),"")</f>
        <v>4.6100000000000003</v>
      </c>
      <c r="AD83" s="86">
        <f>IFERROR(_xlfn.XLOOKUP($D83,'Modelling New'!$D:$D,'Modelling New'!$T:$T)*1000,"")</f>
        <v>22941.250634165393</v>
      </c>
      <c r="AE83" s="94">
        <f>IFERROR(_xlfn.XLOOKUP($D83,'Modelling New'!$D:$D,'Modelling New'!$O:$O),"")</f>
        <v>0.70098181708798424</v>
      </c>
      <c r="AF83" s="94">
        <f>IFERROR(_xlfn.XLOOKUP($D83,'Modelling New'!$D:$D,'Modelling New'!$W:$W),"")</f>
        <v>0.13464692403231698</v>
      </c>
      <c r="AG83" s="94">
        <f>IFERROR(_xlfn.XLOOKUP($D83,'Modelling New'!$D:$D,'Modelling New'!$AE:$AE),"")</f>
        <v>0.98040000000000005</v>
      </c>
      <c r="AH83" s="94">
        <f>IFERROR(_xlfn.XLOOKUP($D83,'Modelling New'!$D:$D,'Modelling New'!$AF:$AF),"")</f>
        <v>0.98</v>
      </c>
      <c r="AN83" s="85"/>
      <c r="AO83" s="84"/>
      <c r="AP83" s="84"/>
      <c r="AQ83" s="84"/>
      <c r="AR83" s="86">
        <f>'Basic Data'!$J$2</f>
        <v>7.0991999999999997</v>
      </c>
      <c r="AT83" s="7" t="str">
        <f>IFERROR(_xlfn.XLOOKUP(Table13[[#This Row],[Date]],'Raw Data'!$E:$E,'Raw Data'!$AN:$AN),"")</f>
        <v/>
      </c>
      <c r="AU83" s="7">
        <f>IFERROR(_xlfn.XLOOKUP(Table13[[#This Row],[Month Year]],'Modelling New'!$D:$D,'Modelling New'!$AO:$AO),"")</f>
        <v>7</v>
      </c>
      <c r="AV83" s="7">
        <f>IFERROR(SUMIF('Curtailment Records'!$C:$C,Table13[[#This Row],[Date]],'Curtailment Records'!$R:$R)/1000,"")</f>
        <v>0</v>
      </c>
    </row>
    <row r="84" spans="1:48" x14ac:dyDescent="0.25">
      <c r="A84" s="93">
        <f t="shared" si="6"/>
        <v>45827</v>
      </c>
      <c r="B84" s="86">
        <f>YEAR(Table13[[#This Row],[Date]])+IF(MONTH(Table13[[#This Row],[Date]])&gt;=4,1,0)</f>
        <v>2026</v>
      </c>
      <c r="C84" s="7">
        <f>YEAR(Table13[[#This Row],[Date]])</f>
        <v>2025</v>
      </c>
      <c r="D84" s="92">
        <f>Table13[[#This Row],[Date]]-DAY(Table13[[#This Row],[Date]])+1</f>
        <v>45809</v>
      </c>
      <c r="E84" s="7">
        <f t="shared" si="7"/>
        <v>30</v>
      </c>
      <c r="F84" s="91">
        <f>IFERROR(_xlfn.XLOOKUP($A84,'Raw Data'!$G:$G,'Raw Data'!$AM:$AM),"")</f>
        <v>13.366666666666667</v>
      </c>
      <c r="G84" s="90">
        <f>IFERROR(_xlfn.XLOOKUP($A84,'Raw Data'!$G:$G,'Raw Data'!$AB:$AB),"")</f>
        <v>0</v>
      </c>
      <c r="H84" s="90"/>
      <c r="I84" s="90">
        <f>IFERROR(_xlfn.XLOOKUP($A84,'Raw Data'!$G:$G,'Raw Data'!$AC:$AC),"")</f>
        <v>4.1500000000000004</v>
      </c>
      <c r="J84" s="90"/>
      <c r="K84" s="90">
        <f>IFERROR(_xlfn.XLOOKUP($A84,'Raw Data'!$G:$G,'Raw Data'!AD:AD),"")</f>
        <v>0</v>
      </c>
      <c r="L84" s="90">
        <f>IFERROR(_xlfn.XLOOKUP($A84,'Raw Data'!$G:$G,'Raw Data'!AE:AE),"")</f>
        <v>41.12</v>
      </c>
      <c r="M84" s="90">
        <f>IFERROR(_xlfn.XLOOKUP($A84,'Raw Data'!$G:$G,'Raw Data'!AF:AF),"")</f>
        <v>0</v>
      </c>
      <c r="N84" s="90">
        <f>IFERROR(_xlfn.XLOOKUP($A84,'Raw Data'!$G:$G,'Raw Data'!AG:AG),"")</f>
        <v>0</v>
      </c>
      <c r="O84" s="85">
        <f>IFERROR(1-SUMIF('Plant BD'!$B:$B,$A84,'Plant BD'!$AM:$AM)/($AA84+SUMIF('Plant BD'!$B:$B,$A84,'Plant BD'!$AM:$AM)),"")</f>
        <v>1</v>
      </c>
      <c r="P84" s="85"/>
      <c r="Q84" s="89"/>
      <c r="R84" s="85">
        <f>IFERROR(1-SUMIF('Grid BD'!$B:$B,$A84,'Grid BD'!$AE:$AE)/($AA84+SUMIF('Grid BD'!$B:$B,$A84,'Grid BD'!$AE:$AE)),"")</f>
        <v>1</v>
      </c>
      <c r="T84" s="89"/>
      <c r="U84" s="88">
        <f t="shared" si="5"/>
        <v>0.75352118412801106</v>
      </c>
      <c r="V84" s="88"/>
      <c r="W84" s="84">
        <f t="shared" si="4"/>
        <v>0.13029637142213529</v>
      </c>
      <c r="X84" s="86">
        <f>IFERROR(_xlfn.XLOOKUP($A84,'Raw Data'!$G:$G,'Raw Data'!AI:AI),"")</f>
        <v>23944.7</v>
      </c>
      <c r="Y84" s="86">
        <f>IFERROR(_xlfn.XLOOKUP($A84,'Raw Data'!$G:$G,'Raw Data'!AJ:AJ),"")</f>
        <v>22400.000000000546</v>
      </c>
      <c r="Z84" s="86">
        <f>IFERROR(_xlfn.XLOOKUP($A84,'Raw Data'!$G:$G,'Raw Data'!AK:AK),"")</f>
        <v>199.99999999999929</v>
      </c>
      <c r="AA84" s="86">
        <f>IFERROR(_xlfn.XLOOKUP($A84,'Raw Data'!$G:$G,'Raw Data'!$AL:$AL)*(1+(_xlfn.XLOOKUP(Table13[[#This Row],[Month Year]],JMR!$A:$A,JMR!$J:$J))),"")</f>
        <v>22200.000000000546</v>
      </c>
      <c r="AB84" s="86">
        <f>IFERROR(_xlfn.XLOOKUP($A84,'Raw Data'!$G:$G,'Raw Data'!$H:$H),"")</f>
        <v>7.0991999999999997</v>
      </c>
      <c r="AC84" s="87">
        <f>IFERROR(_xlfn.XLOOKUP($D84,'Modelling New'!$D:$D,'Modelling New'!$P:$P),"")</f>
        <v>4.6100000000000003</v>
      </c>
      <c r="AD84" s="86">
        <f>IFERROR(_xlfn.XLOOKUP($D84,'Modelling New'!$D:$D,'Modelling New'!$T:$T)*1000,"")</f>
        <v>22941.250634165393</v>
      </c>
      <c r="AE84" s="94">
        <f>IFERROR(_xlfn.XLOOKUP($D84,'Modelling New'!$D:$D,'Modelling New'!$O:$O),"")</f>
        <v>0.70098181708798424</v>
      </c>
      <c r="AF84" s="94">
        <f>IFERROR(_xlfn.XLOOKUP($D84,'Modelling New'!$D:$D,'Modelling New'!$W:$W),"")</f>
        <v>0.13464692403231698</v>
      </c>
      <c r="AG84" s="94">
        <f>IFERROR(_xlfn.XLOOKUP($D84,'Modelling New'!$D:$D,'Modelling New'!$AE:$AE),"")</f>
        <v>0.98040000000000005</v>
      </c>
      <c r="AH84" s="94">
        <f>IFERROR(_xlfn.XLOOKUP($D84,'Modelling New'!$D:$D,'Modelling New'!$AF:$AF),"")</f>
        <v>0.98</v>
      </c>
      <c r="AN84" s="85"/>
      <c r="AO84" s="84"/>
      <c r="AP84" s="84"/>
      <c r="AQ84" s="84"/>
      <c r="AR84" s="86">
        <f>'Basic Data'!$J$2</f>
        <v>7.0991999999999997</v>
      </c>
      <c r="AT84" s="7" t="str">
        <f>IFERROR(_xlfn.XLOOKUP(Table13[[#This Row],[Date]],'Raw Data'!$E:$E,'Raw Data'!$AN:$AN),"")</f>
        <v/>
      </c>
      <c r="AU84" s="7">
        <f>IFERROR(_xlfn.XLOOKUP(Table13[[#This Row],[Month Year]],'Modelling New'!$D:$D,'Modelling New'!$AO:$AO),"")</f>
        <v>7</v>
      </c>
      <c r="AV84" s="7">
        <f>IFERROR(SUMIF('Curtailment Records'!$C:$C,Table13[[#This Row],[Date]],'Curtailment Records'!$R:$R)/1000,"")</f>
        <v>0</v>
      </c>
    </row>
    <row r="85" spans="1:48" x14ac:dyDescent="0.25">
      <c r="A85" s="93">
        <f t="shared" si="6"/>
        <v>45828</v>
      </c>
      <c r="B85" s="86">
        <f>YEAR(Table13[[#This Row],[Date]])+IF(MONTH(Table13[[#This Row],[Date]])&gt;=4,1,0)</f>
        <v>2026</v>
      </c>
      <c r="C85" s="7">
        <f>YEAR(Table13[[#This Row],[Date]])</f>
        <v>2025</v>
      </c>
      <c r="D85" s="92">
        <f>Table13[[#This Row],[Date]]-DAY(Table13[[#This Row],[Date]])+1</f>
        <v>45809</v>
      </c>
      <c r="E85" s="7">
        <f t="shared" si="7"/>
        <v>30</v>
      </c>
      <c r="F85" s="91">
        <f>IFERROR(_xlfn.XLOOKUP($A85,'Raw Data'!$G:$G,'Raw Data'!$AM:$AM),"")</f>
        <v>13.466666666666667</v>
      </c>
      <c r="G85" s="90">
        <f>IFERROR(_xlfn.XLOOKUP($A85,'Raw Data'!$G:$G,'Raw Data'!$AB:$AB),"")</f>
        <v>0</v>
      </c>
      <c r="H85" s="90"/>
      <c r="I85" s="90">
        <f>IFERROR(_xlfn.XLOOKUP($A85,'Raw Data'!$G:$G,'Raw Data'!$AC:$AC),"")</f>
        <v>5.25</v>
      </c>
      <c r="J85" s="90"/>
      <c r="K85" s="90">
        <f>IFERROR(_xlfn.XLOOKUP($A85,'Raw Data'!$G:$G,'Raw Data'!AD:AD),"")</f>
        <v>0</v>
      </c>
      <c r="L85" s="90">
        <f>IFERROR(_xlfn.XLOOKUP($A85,'Raw Data'!$G:$G,'Raw Data'!AE:AE),"")</f>
        <v>42.9</v>
      </c>
      <c r="M85" s="90">
        <f>IFERROR(_xlfn.XLOOKUP($A85,'Raw Data'!$G:$G,'Raw Data'!AF:AF),"")</f>
        <v>0</v>
      </c>
      <c r="N85" s="90">
        <f>IFERROR(_xlfn.XLOOKUP($A85,'Raw Data'!$G:$G,'Raw Data'!AG:AG),"")</f>
        <v>0</v>
      </c>
      <c r="O85" s="85">
        <f>IFERROR(1-SUMIF('Plant BD'!$B:$B,$A85,'Plant BD'!$AM:$AM)/($AA85+SUMIF('Plant BD'!$B:$B,$A85,'Plant BD'!$AM:$AM)),"")</f>
        <v>1</v>
      </c>
      <c r="P85" s="85"/>
      <c r="Q85" s="89"/>
      <c r="R85" s="85">
        <f>IFERROR(1-SUMIF('Grid BD'!$B:$B,$A85,'Grid BD'!$AE:$AE)/($AA85+SUMIF('Grid BD'!$B:$B,$A85,'Grid BD'!$AE:$AE)),"")</f>
        <v>1</v>
      </c>
      <c r="T85" s="89"/>
      <c r="U85" s="88">
        <f t="shared" si="5"/>
        <v>0.76735675112955115</v>
      </c>
      <c r="V85" s="88"/>
      <c r="W85" s="84">
        <f t="shared" si="4"/>
        <v>0.16785928930958932</v>
      </c>
      <c r="X85" s="86">
        <f>IFERROR(_xlfn.XLOOKUP($A85,'Raw Data'!$G:$G,'Raw Data'!AI:AI),"")</f>
        <v>29121.9</v>
      </c>
      <c r="Y85" s="86">
        <f>IFERROR(_xlfn.XLOOKUP($A85,'Raw Data'!$G:$G,'Raw Data'!AJ:AJ),"")</f>
        <v>28799.999999999272</v>
      </c>
      <c r="Z85" s="86">
        <f>IFERROR(_xlfn.XLOOKUP($A85,'Raw Data'!$G:$G,'Raw Data'!AK:AK),"")</f>
        <v>199.99999999999929</v>
      </c>
      <c r="AA85" s="86">
        <f>IFERROR(_xlfn.XLOOKUP($A85,'Raw Data'!$G:$G,'Raw Data'!$AL:$AL)*(1+(_xlfn.XLOOKUP(Table13[[#This Row],[Month Year]],JMR!$A:$A,JMR!$J:$J))),"")</f>
        <v>28599.999999999272</v>
      </c>
      <c r="AB85" s="86">
        <f>IFERROR(_xlfn.XLOOKUP($A85,'Raw Data'!$G:$G,'Raw Data'!$H:$H),"")</f>
        <v>7.0991999999999997</v>
      </c>
      <c r="AC85" s="87">
        <f>IFERROR(_xlfn.XLOOKUP($D85,'Modelling New'!$D:$D,'Modelling New'!$P:$P),"")</f>
        <v>4.6100000000000003</v>
      </c>
      <c r="AD85" s="86">
        <f>IFERROR(_xlfn.XLOOKUP($D85,'Modelling New'!$D:$D,'Modelling New'!$T:$T)*1000,"")</f>
        <v>22941.250634165393</v>
      </c>
      <c r="AE85" s="94">
        <f>IFERROR(_xlfn.XLOOKUP($D85,'Modelling New'!$D:$D,'Modelling New'!$O:$O),"")</f>
        <v>0.70098181708798424</v>
      </c>
      <c r="AF85" s="94">
        <f>IFERROR(_xlfn.XLOOKUP($D85,'Modelling New'!$D:$D,'Modelling New'!$W:$W),"")</f>
        <v>0.13464692403231698</v>
      </c>
      <c r="AG85" s="94">
        <f>IFERROR(_xlfn.XLOOKUP($D85,'Modelling New'!$D:$D,'Modelling New'!$AE:$AE),"")</f>
        <v>0.98040000000000005</v>
      </c>
      <c r="AH85" s="94">
        <f>IFERROR(_xlfn.XLOOKUP($D85,'Modelling New'!$D:$D,'Modelling New'!$AF:$AF),"")</f>
        <v>0.98</v>
      </c>
      <c r="AN85" s="85"/>
      <c r="AO85" s="84"/>
      <c r="AP85" s="84"/>
      <c r="AQ85" s="84"/>
      <c r="AR85" s="86">
        <f>'Basic Data'!$J$2</f>
        <v>7.0991999999999997</v>
      </c>
      <c r="AT85" s="7" t="str">
        <f>IFERROR(_xlfn.XLOOKUP(Table13[[#This Row],[Date]],'Raw Data'!$E:$E,'Raw Data'!$AN:$AN),"")</f>
        <v/>
      </c>
      <c r="AU85" s="7">
        <f>IFERROR(_xlfn.XLOOKUP(Table13[[#This Row],[Month Year]],'Modelling New'!$D:$D,'Modelling New'!$AO:$AO),"")</f>
        <v>7</v>
      </c>
      <c r="AV85" s="7">
        <f>IFERROR(SUMIF('Curtailment Records'!$C:$C,Table13[[#This Row],[Date]],'Curtailment Records'!$R:$R)/1000,"")</f>
        <v>0</v>
      </c>
    </row>
    <row r="86" spans="1:48" x14ac:dyDescent="0.25">
      <c r="A86" s="93">
        <f t="shared" si="6"/>
        <v>45829</v>
      </c>
      <c r="B86" s="86">
        <f>YEAR(Table13[[#This Row],[Date]])+IF(MONTH(Table13[[#This Row],[Date]])&gt;=4,1,0)</f>
        <v>2026</v>
      </c>
      <c r="C86" s="7">
        <f>YEAR(Table13[[#This Row],[Date]])</f>
        <v>2025</v>
      </c>
      <c r="D86" s="92">
        <f>Table13[[#This Row],[Date]]-DAY(Table13[[#This Row],[Date]])+1</f>
        <v>45809</v>
      </c>
      <c r="E86" s="7">
        <f t="shared" si="7"/>
        <v>30</v>
      </c>
      <c r="F86" s="91">
        <f>IFERROR(_xlfn.XLOOKUP($A86,'Raw Data'!$G:$G,'Raw Data'!$AM:$AM),"")</f>
        <v>13.583333333333332</v>
      </c>
      <c r="G86" s="90">
        <f>IFERROR(_xlfn.XLOOKUP($A86,'Raw Data'!$G:$G,'Raw Data'!$AB:$AB),"")</f>
        <v>0</v>
      </c>
      <c r="H86" s="90"/>
      <c r="I86" s="90">
        <f>IFERROR(_xlfn.XLOOKUP($A86,'Raw Data'!$G:$G,'Raw Data'!$AC:$AC),"")</f>
        <v>5.99</v>
      </c>
      <c r="J86" s="90"/>
      <c r="K86" s="90">
        <f>IFERROR(_xlfn.XLOOKUP($A86,'Raw Data'!$G:$G,'Raw Data'!AD:AD),"")</f>
        <v>0</v>
      </c>
      <c r="L86" s="90">
        <f>IFERROR(_xlfn.XLOOKUP($A86,'Raw Data'!$G:$G,'Raw Data'!AE:AE),"")</f>
        <v>45.15</v>
      </c>
      <c r="M86" s="90">
        <f>IFERROR(_xlfn.XLOOKUP($A86,'Raw Data'!$G:$G,'Raw Data'!AF:AF),"")</f>
        <v>0</v>
      </c>
      <c r="N86" s="90">
        <f>IFERROR(_xlfn.XLOOKUP($A86,'Raw Data'!$G:$G,'Raw Data'!AG:AG),"")</f>
        <v>0</v>
      </c>
      <c r="O86" s="85">
        <f>IFERROR(1-SUMIF('Plant BD'!$B:$B,$A86,'Plant BD'!$AM:$AM)/($AA86+SUMIF('Plant BD'!$B:$B,$A86,'Plant BD'!$AM:$AM)),"")</f>
        <v>1</v>
      </c>
      <c r="P86" s="85"/>
      <c r="Q86" s="89"/>
      <c r="R86" s="85">
        <f>IFERROR(1-SUMIF('Grid BD'!$B:$B,$A86,'Grid BD'!$AE:$AE)/($AA86+SUMIF('Grid BD'!$B:$B,$A86,'Grid BD'!$AE:$AE)),"")</f>
        <v>0.9984616858100388</v>
      </c>
      <c r="T86" s="89"/>
      <c r="U86" s="88">
        <f t="shared" si="5"/>
        <v>0.75956735043719081</v>
      </c>
      <c r="V86" s="88"/>
      <c r="W86" s="84">
        <f t="shared" si="4"/>
        <v>0.18957535121328223</v>
      </c>
      <c r="X86" s="86">
        <f>IFERROR(_xlfn.XLOOKUP($A86,'Raw Data'!$G:$G,'Raw Data'!AI:AI),"")</f>
        <v>32605.7</v>
      </c>
      <c r="Y86" s="86">
        <f>IFERROR(_xlfn.XLOOKUP($A86,'Raw Data'!$G:$G,'Raw Data'!AJ:AJ),"")</f>
        <v>32500</v>
      </c>
      <c r="Z86" s="86">
        <f>IFERROR(_xlfn.XLOOKUP($A86,'Raw Data'!$G:$G,'Raw Data'!AK:AK),"")</f>
        <v>200.00000000000284</v>
      </c>
      <c r="AA86" s="86">
        <f>IFERROR(_xlfn.XLOOKUP($A86,'Raw Data'!$G:$G,'Raw Data'!$AL:$AL)*(1+(_xlfn.XLOOKUP(Table13[[#This Row],[Month Year]],JMR!$A:$A,JMR!$J:$J))),"")</f>
        <v>32299.999999999996</v>
      </c>
      <c r="AB86" s="86">
        <f>IFERROR(_xlfn.XLOOKUP($A86,'Raw Data'!$G:$G,'Raw Data'!$H:$H),"")</f>
        <v>7.0991999999999997</v>
      </c>
      <c r="AC86" s="87">
        <f>IFERROR(_xlfn.XLOOKUP($D86,'Modelling New'!$D:$D,'Modelling New'!$P:$P),"")</f>
        <v>4.6100000000000003</v>
      </c>
      <c r="AD86" s="86">
        <f>IFERROR(_xlfn.XLOOKUP($D86,'Modelling New'!$D:$D,'Modelling New'!$T:$T)*1000,"")</f>
        <v>22941.250634165393</v>
      </c>
      <c r="AE86" s="94">
        <f>IFERROR(_xlfn.XLOOKUP($D86,'Modelling New'!$D:$D,'Modelling New'!$O:$O),"")</f>
        <v>0.70098181708798424</v>
      </c>
      <c r="AF86" s="94">
        <f>IFERROR(_xlfn.XLOOKUP($D86,'Modelling New'!$D:$D,'Modelling New'!$W:$W),"")</f>
        <v>0.13464692403231698</v>
      </c>
      <c r="AG86" s="94">
        <f>IFERROR(_xlfn.XLOOKUP($D86,'Modelling New'!$D:$D,'Modelling New'!$AE:$AE),"")</f>
        <v>0.98040000000000005</v>
      </c>
      <c r="AH86" s="94">
        <f>IFERROR(_xlfn.XLOOKUP($D86,'Modelling New'!$D:$D,'Modelling New'!$AF:$AF),"")</f>
        <v>0.98</v>
      </c>
      <c r="AN86" s="85"/>
      <c r="AO86" s="84"/>
      <c r="AP86" s="84"/>
      <c r="AQ86" s="84"/>
      <c r="AR86" s="86">
        <f>'Basic Data'!$J$2</f>
        <v>7.0991999999999997</v>
      </c>
      <c r="AT86" s="7" t="str">
        <f>IFERROR(_xlfn.XLOOKUP(Table13[[#This Row],[Date]],'Raw Data'!$E:$E,'Raw Data'!$AN:$AN),"")</f>
        <v/>
      </c>
      <c r="AU86" s="7">
        <f>IFERROR(_xlfn.XLOOKUP(Table13[[#This Row],[Month Year]],'Modelling New'!$D:$D,'Modelling New'!$AO:$AO),"")</f>
        <v>7</v>
      </c>
      <c r="AV86" s="7">
        <f>IFERROR(SUMIF('Curtailment Records'!$C:$C,Table13[[#This Row],[Date]],'Curtailment Records'!$R:$R)/1000,"")</f>
        <v>0</v>
      </c>
    </row>
    <row r="87" spans="1:48" x14ac:dyDescent="0.25">
      <c r="A87" s="93">
        <f t="shared" si="6"/>
        <v>45830</v>
      </c>
      <c r="B87" s="86">
        <f>YEAR(Table13[[#This Row],[Date]])+IF(MONTH(Table13[[#This Row],[Date]])&gt;=4,1,0)</f>
        <v>2026</v>
      </c>
      <c r="C87" s="7">
        <f>YEAR(Table13[[#This Row],[Date]])</f>
        <v>2025</v>
      </c>
      <c r="D87" s="92">
        <f>Table13[[#This Row],[Date]]-DAY(Table13[[#This Row],[Date]])+1</f>
        <v>45809</v>
      </c>
      <c r="E87" s="7">
        <f t="shared" si="7"/>
        <v>30</v>
      </c>
      <c r="F87" s="91">
        <f>IFERROR(_xlfn.XLOOKUP($A87,'Raw Data'!$G:$G,'Raw Data'!$AM:$AM),"")</f>
        <v>13.533333333333333</v>
      </c>
      <c r="G87" s="90">
        <f>IFERROR(_xlfn.XLOOKUP($A87,'Raw Data'!$G:$G,'Raw Data'!$AB:$AB),"")</f>
        <v>0</v>
      </c>
      <c r="H87" s="90"/>
      <c r="I87" s="90">
        <f>IFERROR(_xlfn.XLOOKUP($A87,'Raw Data'!$G:$G,'Raw Data'!$AC:$AC),"")</f>
        <v>5.12</v>
      </c>
      <c r="J87" s="90"/>
      <c r="K87" s="90">
        <f>IFERROR(_xlfn.XLOOKUP($A87,'Raw Data'!$G:$G,'Raw Data'!AD:AD),"")</f>
        <v>0</v>
      </c>
      <c r="L87" s="90">
        <f>IFERROR(_xlfn.XLOOKUP($A87,'Raw Data'!$G:$G,'Raw Data'!AE:AE),"")</f>
        <v>43.41</v>
      </c>
      <c r="M87" s="90">
        <f>IFERROR(_xlfn.XLOOKUP($A87,'Raw Data'!$G:$G,'Raw Data'!AF:AF),"")</f>
        <v>0</v>
      </c>
      <c r="N87" s="90">
        <f>IFERROR(_xlfn.XLOOKUP($A87,'Raw Data'!$G:$G,'Raw Data'!AG:AG),"")</f>
        <v>0</v>
      </c>
      <c r="O87" s="85">
        <f>IFERROR(1-SUMIF('Plant BD'!$B:$B,$A87,'Plant BD'!$AM:$AM)/($AA87+SUMIF('Plant BD'!$B:$B,$A87,'Plant BD'!$AM:$AM)),"")</f>
        <v>1</v>
      </c>
      <c r="P87" s="85"/>
      <c r="Q87" s="89"/>
      <c r="R87" s="85">
        <f>IFERROR(1-SUMIF('Grid BD'!$B:$B,$A87,'Grid BD'!$AE:$AE)/($AA87+SUMIF('Grid BD'!$B:$B,$A87,'Grid BD'!$AE:$AE)),"")</f>
        <v>1</v>
      </c>
      <c r="T87" s="89"/>
      <c r="U87" s="88">
        <f t="shared" si="5"/>
        <v>0.74832375478928703</v>
      </c>
      <c r="V87" s="88"/>
      <c r="W87" s="84">
        <f t="shared" si="4"/>
        <v>0.15964240102171459</v>
      </c>
      <c r="X87" s="86">
        <f>IFERROR(_xlfn.XLOOKUP($A87,'Raw Data'!$G:$G,'Raw Data'!AI:AI),"")</f>
        <v>27429.9</v>
      </c>
      <c r="Y87" s="86">
        <f>IFERROR(_xlfn.XLOOKUP($A87,'Raw Data'!$G:$G,'Raw Data'!AJ:AJ),"")</f>
        <v>27400.000000000546</v>
      </c>
      <c r="Z87" s="86">
        <f>IFERROR(_xlfn.XLOOKUP($A87,'Raw Data'!$G:$G,'Raw Data'!AK:AK),"")</f>
        <v>199.99999999999929</v>
      </c>
      <c r="AA87" s="86">
        <f>IFERROR(_xlfn.XLOOKUP($A87,'Raw Data'!$G:$G,'Raw Data'!$AL:$AL)*(1+(_xlfn.XLOOKUP(Table13[[#This Row],[Month Year]],JMR!$A:$A,JMR!$J:$J))),"")</f>
        <v>27200.000000000546</v>
      </c>
      <c r="AB87" s="86">
        <f>IFERROR(_xlfn.XLOOKUP($A87,'Raw Data'!$G:$G,'Raw Data'!$H:$H),"")</f>
        <v>7.0991999999999997</v>
      </c>
      <c r="AC87" s="87">
        <f>IFERROR(_xlfn.XLOOKUP($D87,'Modelling New'!$D:$D,'Modelling New'!$P:$P),"")</f>
        <v>4.6100000000000003</v>
      </c>
      <c r="AD87" s="86">
        <f>IFERROR(_xlfn.XLOOKUP($D87,'Modelling New'!$D:$D,'Modelling New'!$T:$T)*1000,"")</f>
        <v>22941.250634165393</v>
      </c>
      <c r="AE87" s="94">
        <f>IFERROR(_xlfn.XLOOKUP($D87,'Modelling New'!$D:$D,'Modelling New'!$O:$O),"")</f>
        <v>0.70098181708798424</v>
      </c>
      <c r="AF87" s="94">
        <f>IFERROR(_xlfn.XLOOKUP($D87,'Modelling New'!$D:$D,'Modelling New'!$W:$W),"")</f>
        <v>0.13464692403231698</v>
      </c>
      <c r="AG87" s="94">
        <f>IFERROR(_xlfn.XLOOKUP($D87,'Modelling New'!$D:$D,'Modelling New'!$AE:$AE),"")</f>
        <v>0.98040000000000005</v>
      </c>
      <c r="AH87" s="94">
        <f>IFERROR(_xlfn.XLOOKUP($D87,'Modelling New'!$D:$D,'Modelling New'!$AF:$AF),"")</f>
        <v>0.98</v>
      </c>
      <c r="AN87" s="85"/>
      <c r="AO87" s="84"/>
      <c r="AP87" s="84"/>
      <c r="AQ87" s="84"/>
      <c r="AR87" s="86">
        <f>'Basic Data'!$J$2</f>
        <v>7.0991999999999997</v>
      </c>
      <c r="AT87" s="7" t="str">
        <f>IFERROR(_xlfn.XLOOKUP(Table13[[#This Row],[Date]],'Raw Data'!$E:$E,'Raw Data'!$AN:$AN),"")</f>
        <v/>
      </c>
      <c r="AU87" s="7">
        <f>IFERROR(_xlfn.XLOOKUP(Table13[[#This Row],[Month Year]],'Modelling New'!$D:$D,'Modelling New'!$AO:$AO),"")</f>
        <v>7</v>
      </c>
      <c r="AV87" s="7">
        <f>IFERROR(SUMIF('Curtailment Records'!$C:$C,Table13[[#This Row],[Date]],'Curtailment Records'!$R:$R)/1000,"")</f>
        <v>0</v>
      </c>
    </row>
    <row r="88" spans="1:48" x14ac:dyDescent="0.25">
      <c r="A88" s="93">
        <f t="shared" si="6"/>
        <v>45831</v>
      </c>
      <c r="B88" s="86">
        <f>YEAR(Table13[[#This Row],[Date]])+IF(MONTH(Table13[[#This Row],[Date]])&gt;=4,1,0)</f>
        <v>2026</v>
      </c>
      <c r="C88" s="7">
        <f>YEAR(Table13[[#This Row],[Date]])</f>
        <v>2025</v>
      </c>
      <c r="D88" s="92">
        <f>Table13[[#This Row],[Date]]-DAY(Table13[[#This Row],[Date]])+1</f>
        <v>45809</v>
      </c>
      <c r="E88" s="7">
        <f t="shared" si="7"/>
        <v>30</v>
      </c>
      <c r="F88" s="91">
        <f>IFERROR(_xlfn.XLOOKUP($A88,'Raw Data'!$G:$G,'Raw Data'!$AM:$AM),"")</f>
        <v>13.449999999999998</v>
      </c>
      <c r="G88" s="90">
        <f>IFERROR(_xlfn.XLOOKUP($A88,'Raw Data'!$G:$G,'Raw Data'!$AB:$AB),"")</f>
        <v>0</v>
      </c>
      <c r="H88" s="90"/>
      <c r="I88" s="90">
        <f>IFERROR(_xlfn.XLOOKUP($A88,'Raw Data'!$G:$G,'Raw Data'!$AC:$AC),"")</f>
        <v>2.73</v>
      </c>
      <c r="J88" s="90"/>
      <c r="K88" s="90">
        <f>IFERROR(_xlfn.XLOOKUP($A88,'Raw Data'!$G:$G,'Raw Data'!AD:AD),"")</f>
        <v>0</v>
      </c>
      <c r="L88" s="90">
        <f>IFERROR(_xlfn.XLOOKUP($A88,'Raw Data'!$G:$G,'Raw Data'!AE:AE),"")</f>
        <v>37.479999999999997</v>
      </c>
      <c r="M88" s="90">
        <f>IFERROR(_xlfn.XLOOKUP($A88,'Raw Data'!$G:$G,'Raw Data'!AF:AF),"")</f>
        <v>0</v>
      </c>
      <c r="N88" s="90">
        <f>IFERROR(_xlfn.XLOOKUP($A88,'Raw Data'!$G:$G,'Raw Data'!AG:AG),"")</f>
        <v>0</v>
      </c>
      <c r="O88" s="85">
        <f>IFERROR(1-SUMIF('Plant BD'!$B:$B,$A88,'Plant BD'!$AM:$AM)/($AA88+SUMIF('Plant BD'!$B:$B,$A88,'Plant BD'!$AM:$AM)),"")</f>
        <v>1</v>
      </c>
      <c r="P88" s="85"/>
      <c r="Q88" s="89"/>
      <c r="R88" s="85">
        <f>IFERROR(1-SUMIF('Grid BD'!$B:$B,$A88,'Grid BD'!$AE:$AE)/($AA88+SUMIF('Grid BD'!$B:$B,$A88,'Grid BD'!$AE:$AE)),"")</f>
        <v>0.96195688497926468</v>
      </c>
      <c r="T88" s="89"/>
      <c r="U88" s="88">
        <f t="shared" si="5"/>
        <v>0.77912096167675204</v>
      </c>
      <c r="V88" s="88"/>
      <c r="W88" s="84">
        <f t="shared" si="4"/>
        <v>8.862500939073055E-2</v>
      </c>
      <c r="X88" s="86">
        <f>IFERROR(_xlfn.XLOOKUP($A88,'Raw Data'!$G:$G,'Raw Data'!AI:AI),"")</f>
        <v>15348.5</v>
      </c>
      <c r="Y88" s="86">
        <f>IFERROR(_xlfn.XLOOKUP($A88,'Raw Data'!$G:$G,'Raw Data'!AJ:AJ),"")</f>
        <v>15300.000000000182</v>
      </c>
      <c r="Z88" s="86">
        <f>IFERROR(_xlfn.XLOOKUP($A88,'Raw Data'!$G:$G,'Raw Data'!AK:AK),"")</f>
        <v>199.99999999999929</v>
      </c>
      <c r="AA88" s="86">
        <f>IFERROR(_xlfn.XLOOKUP($A88,'Raw Data'!$G:$G,'Raw Data'!$AL:$AL)*(1+(_xlfn.XLOOKUP(Table13[[#This Row],[Month Year]],JMR!$A:$A,JMR!$J:$J))),"")</f>
        <v>15100.000000000182</v>
      </c>
      <c r="AB88" s="86">
        <f>IFERROR(_xlfn.XLOOKUP($A88,'Raw Data'!$G:$G,'Raw Data'!$H:$H),"")</f>
        <v>7.0991999999999997</v>
      </c>
      <c r="AC88" s="87">
        <f>IFERROR(_xlfn.XLOOKUP($D88,'Modelling New'!$D:$D,'Modelling New'!$P:$P),"")</f>
        <v>4.6100000000000003</v>
      </c>
      <c r="AD88" s="86">
        <f>IFERROR(_xlfn.XLOOKUP($D88,'Modelling New'!$D:$D,'Modelling New'!$T:$T)*1000,"")</f>
        <v>22941.250634165393</v>
      </c>
      <c r="AE88" s="94">
        <f>IFERROR(_xlfn.XLOOKUP($D88,'Modelling New'!$D:$D,'Modelling New'!$O:$O),"")</f>
        <v>0.70098181708798424</v>
      </c>
      <c r="AF88" s="94">
        <f>IFERROR(_xlfn.XLOOKUP($D88,'Modelling New'!$D:$D,'Modelling New'!$W:$W),"")</f>
        <v>0.13464692403231698</v>
      </c>
      <c r="AG88" s="94">
        <f>IFERROR(_xlfn.XLOOKUP($D88,'Modelling New'!$D:$D,'Modelling New'!$AE:$AE),"")</f>
        <v>0.98040000000000005</v>
      </c>
      <c r="AH88" s="94">
        <f>IFERROR(_xlfn.XLOOKUP($D88,'Modelling New'!$D:$D,'Modelling New'!$AF:$AF),"")</f>
        <v>0.98</v>
      </c>
      <c r="AN88" s="85"/>
      <c r="AO88" s="84"/>
      <c r="AP88" s="84"/>
      <c r="AQ88" s="84"/>
      <c r="AR88" s="86">
        <f>'Basic Data'!$J$2</f>
        <v>7.0991999999999997</v>
      </c>
      <c r="AT88" s="7" t="str">
        <f>IFERROR(_xlfn.XLOOKUP(Table13[[#This Row],[Date]],'Raw Data'!$E:$E,'Raw Data'!$AN:$AN),"")</f>
        <v/>
      </c>
      <c r="AU88" s="7">
        <f>IFERROR(_xlfn.XLOOKUP(Table13[[#This Row],[Month Year]],'Modelling New'!$D:$D,'Modelling New'!$AO:$AO),"")</f>
        <v>7</v>
      </c>
      <c r="AV88" s="7">
        <f>IFERROR(SUMIF('Curtailment Records'!$C:$C,Table13[[#This Row],[Date]],'Curtailment Records'!$R:$R)/1000,"")</f>
        <v>0</v>
      </c>
    </row>
    <row r="89" spans="1:48" x14ac:dyDescent="0.25">
      <c r="A89" s="93">
        <f t="shared" si="6"/>
        <v>45832</v>
      </c>
      <c r="B89" s="86">
        <f>YEAR(Table13[[#This Row],[Date]])+IF(MONTH(Table13[[#This Row],[Date]])&gt;=4,1,0)</f>
        <v>2026</v>
      </c>
      <c r="C89" s="7">
        <f>YEAR(Table13[[#This Row],[Date]])</f>
        <v>2025</v>
      </c>
      <c r="D89" s="92">
        <f>Table13[[#This Row],[Date]]-DAY(Table13[[#This Row],[Date]])+1</f>
        <v>45809</v>
      </c>
      <c r="E89" s="7">
        <f t="shared" si="7"/>
        <v>30</v>
      </c>
      <c r="F89" s="91">
        <f>IFERROR(_xlfn.XLOOKUP($A89,'Raw Data'!$G:$G,'Raw Data'!$AM:$AM),"")</f>
        <v>13.216666666666665</v>
      </c>
      <c r="G89" s="90">
        <f>IFERROR(_xlfn.XLOOKUP($A89,'Raw Data'!$G:$G,'Raw Data'!$AB:$AB),"")</f>
        <v>0</v>
      </c>
      <c r="H89" s="90"/>
      <c r="I89" s="90">
        <f>IFERROR(_xlfn.XLOOKUP($A89,'Raw Data'!$G:$G,'Raw Data'!$AC:$AC),"")</f>
        <v>2.5499999999999998</v>
      </c>
      <c r="J89" s="90"/>
      <c r="K89" s="90">
        <f>IFERROR(_xlfn.XLOOKUP($A89,'Raw Data'!$G:$G,'Raw Data'!AD:AD),"")</f>
        <v>0</v>
      </c>
      <c r="L89" s="90">
        <f>IFERROR(_xlfn.XLOOKUP($A89,'Raw Data'!$G:$G,'Raw Data'!AE:AE),"")</f>
        <v>35.549999999999997</v>
      </c>
      <c r="M89" s="90">
        <f>IFERROR(_xlfn.XLOOKUP($A89,'Raw Data'!$G:$G,'Raw Data'!AF:AF),"")</f>
        <v>0</v>
      </c>
      <c r="N89" s="90">
        <f>IFERROR(_xlfn.XLOOKUP($A89,'Raw Data'!$G:$G,'Raw Data'!AG:AG),"")</f>
        <v>0</v>
      </c>
      <c r="O89" s="85">
        <f>IFERROR(1-SUMIF('Plant BD'!$B:$B,$A89,'Plant BD'!$AM:$AM)/($AA89+SUMIF('Plant BD'!$B:$B,$A89,'Plant BD'!$AM:$AM)),"")</f>
        <v>1</v>
      </c>
      <c r="P89" s="85"/>
      <c r="Q89" s="89"/>
      <c r="R89" s="85">
        <f>IFERROR(1-SUMIF('Grid BD'!$B:$B,$A89,'Grid BD'!$AE:$AE)/($AA89+SUMIF('Grid BD'!$B:$B,$A89,'Grid BD'!$AE:$AE)),"")</f>
        <v>1</v>
      </c>
      <c r="T89" s="89"/>
      <c r="U89" s="88">
        <f t="shared" si="5"/>
        <v>0.81754585990357387</v>
      </c>
      <c r="V89" s="88"/>
      <c r="W89" s="84">
        <f t="shared" si="4"/>
        <v>8.6864247614754725E-2</v>
      </c>
      <c r="X89" s="86">
        <f>IFERROR(_xlfn.XLOOKUP($A89,'Raw Data'!$G:$G,'Raw Data'!AI:AI),"")</f>
        <v>15157.3</v>
      </c>
      <c r="Y89" s="86">
        <f>IFERROR(_xlfn.XLOOKUP($A89,'Raw Data'!$G:$G,'Raw Data'!AJ:AJ),"")</f>
        <v>15000</v>
      </c>
      <c r="Z89" s="86">
        <f>IFERROR(_xlfn.XLOOKUP($A89,'Raw Data'!$G:$G,'Raw Data'!AK:AK),"")</f>
        <v>199.99999999999929</v>
      </c>
      <c r="AA89" s="86">
        <f>IFERROR(_xlfn.XLOOKUP($A89,'Raw Data'!$G:$G,'Raw Data'!$AL:$AL)*(1+(_xlfn.XLOOKUP(Table13[[#This Row],[Month Year]],JMR!$A:$A,JMR!$J:$J))),"")</f>
        <v>14800</v>
      </c>
      <c r="AB89" s="86">
        <f>IFERROR(_xlfn.XLOOKUP($A89,'Raw Data'!$G:$G,'Raw Data'!$H:$H),"")</f>
        <v>7.0991999999999997</v>
      </c>
      <c r="AC89" s="87">
        <f>IFERROR(_xlfn.XLOOKUP($D89,'Modelling New'!$D:$D,'Modelling New'!$P:$P),"")</f>
        <v>4.6100000000000003</v>
      </c>
      <c r="AD89" s="86">
        <f>IFERROR(_xlfn.XLOOKUP($D89,'Modelling New'!$D:$D,'Modelling New'!$T:$T)*1000,"")</f>
        <v>22941.250634165393</v>
      </c>
      <c r="AE89" s="94">
        <f>IFERROR(_xlfn.XLOOKUP($D89,'Modelling New'!$D:$D,'Modelling New'!$O:$O),"")</f>
        <v>0.70098181708798424</v>
      </c>
      <c r="AF89" s="94">
        <f>IFERROR(_xlfn.XLOOKUP($D89,'Modelling New'!$D:$D,'Modelling New'!$W:$W),"")</f>
        <v>0.13464692403231698</v>
      </c>
      <c r="AG89" s="94">
        <f>IFERROR(_xlfn.XLOOKUP($D89,'Modelling New'!$D:$D,'Modelling New'!$AE:$AE),"")</f>
        <v>0.98040000000000005</v>
      </c>
      <c r="AH89" s="94">
        <f>IFERROR(_xlfn.XLOOKUP($D89,'Modelling New'!$D:$D,'Modelling New'!$AF:$AF),"")</f>
        <v>0.98</v>
      </c>
      <c r="AN89" s="85"/>
      <c r="AO89" s="84"/>
      <c r="AP89" s="84"/>
      <c r="AQ89" s="84"/>
      <c r="AR89" s="86">
        <f>'Basic Data'!$J$2</f>
        <v>7.0991999999999997</v>
      </c>
      <c r="AT89" s="7" t="str">
        <f>IFERROR(_xlfn.XLOOKUP(Table13[[#This Row],[Date]],'Raw Data'!$E:$E,'Raw Data'!$AN:$AN),"")</f>
        <v/>
      </c>
      <c r="AU89" s="7">
        <f>IFERROR(_xlfn.XLOOKUP(Table13[[#This Row],[Month Year]],'Modelling New'!$D:$D,'Modelling New'!$AO:$AO),"")</f>
        <v>7</v>
      </c>
      <c r="AV89" s="7">
        <f>IFERROR(SUMIF('Curtailment Records'!$C:$C,Table13[[#This Row],[Date]],'Curtailment Records'!$R:$R)/1000,"")</f>
        <v>0</v>
      </c>
    </row>
    <row r="90" spans="1:48" x14ac:dyDescent="0.25">
      <c r="A90" s="93">
        <f t="shared" si="6"/>
        <v>45833</v>
      </c>
      <c r="B90" s="86">
        <f>YEAR(Table13[[#This Row],[Date]])+IF(MONTH(Table13[[#This Row],[Date]])&gt;=4,1,0)</f>
        <v>2026</v>
      </c>
      <c r="C90" s="7">
        <f>YEAR(Table13[[#This Row],[Date]])</f>
        <v>2025</v>
      </c>
      <c r="D90" s="92">
        <f>Table13[[#This Row],[Date]]-DAY(Table13[[#This Row],[Date]])+1</f>
        <v>45809</v>
      </c>
      <c r="E90" s="7">
        <f t="shared" si="7"/>
        <v>30</v>
      </c>
      <c r="F90" s="91">
        <f>IFERROR(_xlfn.XLOOKUP($A90,'Raw Data'!$G:$G,'Raw Data'!$AM:$AM),"")</f>
        <v>13.266666666666667</v>
      </c>
      <c r="G90" s="90">
        <f>IFERROR(_xlfn.XLOOKUP($A90,'Raw Data'!$G:$G,'Raw Data'!$AB:$AB),"")</f>
        <v>0</v>
      </c>
      <c r="H90" s="90"/>
      <c r="I90" s="90">
        <f>IFERROR(_xlfn.XLOOKUP($A90,'Raw Data'!$G:$G,'Raw Data'!$AC:$AC),"")</f>
        <v>4.24</v>
      </c>
      <c r="J90" s="90"/>
      <c r="K90" s="90">
        <f>IFERROR(_xlfn.XLOOKUP($A90,'Raw Data'!$G:$G,'Raw Data'!AD:AD),"")</f>
        <v>0</v>
      </c>
      <c r="L90" s="90">
        <f>IFERROR(_xlfn.XLOOKUP($A90,'Raw Data'!$G:$G,'Raw Data'!AE:AE),"")</f>
        <v>40.1</v>
      </c>
      <c r="M90" s="90">
        <f>IFERROR(_xlfn.XLOOKUP($A90,'Raw Data'!$G:$G,'Raw Data'!AF:AF),"")</f>
        <v>0</v>
      </c>
      <c r="N90" s="90">
        <f>IFERROR(_xlfn.XLOOKUP($A90,'Raw Data'!$G:$G,'Raw Data'!AG:AG),"")</f>
        <v>0</v>
      </c>
      <c r="O90" s="85">
        <f>IFERROR(1-SUMIF('Plant BD'!$B:$B,$A90,'Plant BD'!$AM:$AM)/($AA90+SUMIF('Plant BD'!$B:$B,$A90,'Plant BD'!$AM:$AM)),"")</f>
        <v>1</v>
      </c>
      <c r="P90" s="85"/>
      <c r="Q90" s="89"/>
      <c r="R90" s="85">
        <f>IFERROR(1-SUMIF('Grid BD'!$B:$B,$A90,'Grid BD'!$AE:$AE)/($AA90+SUMIF('Grid BD'!$B:$B,$A90,'Grid BD'!$AE:$AE)),"")</f>
        <v>1</v>
      </c>
      <c r="T90" s="89"/>
      <c r="U90" s="88">
        <f t="shared" si="5"/>
        <v>0.7474932067817307</v>
      </c>
      <c r="V90" s="88"/>
      <c r="W90" s="84">
        <f t="shared" si="4"/>
        <v>0.13205713319810577</v>
      </c>
      <c r="X90" s="86">
        <f>IFERROR(_xlfn.XLOOKUP($A90,'Raw Data'!$G:$G,'Raw Data'!AI:AI),"")</f>
        <v>22940.800000000003</v>
      </c>
      <c r="Y90" s="86">
        <f>IFERROR(_xlfn.XLOOKUP($A90,'Raw Data'!$G:$G,'Raw Data'!AJ:AJ),"")</f>
        <v>22699.999999999818</v>
      </c>
      <c r="Z90" s="86">
        <f>IFERROR(_xlfn.XLOOKUP($A90,'Raw Data'!$G:$G,'Raw Data'!AK:AK),"")</f>
        <v>199.99999999999929</v>
      </c>
      <c r="AA90" s="86">
        <f>IFERROR(_xlfn.XLOOKUP($A90,'Raw Data'!$G:$G,'Raw Data'!$AL:$AL)*(1+(_xlfn.XLOOKUP(Table13[[#This Row],[Month Year]],JMR!$A:$A,JMR!$J:$J))),"")</f>
        <v>22499.999999999818</v>
      </c>
      <c r="AB90" s="86">
        <f>IFERROR(_xlfn.XLOOKUP($A90,'Raw Data'!$G:$G,'Raw Data'!$H:$H),"")</f>
        <v>7.0991999999999997</v>
      </c>
      <c r="AC90" s="87">
        <f>IFERROR(_xlfn.XLOOKUP($D90,'Modelling New'!$D:$D,'Modelling New'!$P:$P),"")</f>
        <v>4.6100000000000003</v>
      </c>
      <c r="AD90" s="86">
        <f>IFERROR(_xlfn.XLOOKUP($D90,'Modelling New'!$D:$D,'Modelling New'!$T:$T)*1000,"")</f>
        <v>22941.250634165393</v>
      </c>
      <c r="AE90" s="94">
        <f>IFERROR(_xlfn.XLOOKUP($D90,'Modelling New'!$D:$D,'Modelling New'!$O:$O),"")</f>
        <v>0.70098181708798424</v>
      </c>
      <c r="AF90" s="94">
        <f>IFERROR(_xlfn.XLOOKUP($D90,'Modelling New'!$D:$D,'Modelling New'!$W:$W),"")</f>
        <v>0.13464692403231698</v>
      </c>
      <c r="AG90" s="94">
        <f>IFERROR(_xlfn.XLOOKUP($D90,'Modelling New'!$D:$D,'Modelling New'!$AE:$AE),"")</f>
        <v>0.98040000000000005</v>
      </c>
      <c r="AH90" s="94">
        <f>IFERROR(_xlfn.XLOOKUP($D90,'Modelling New'!$D:$D,'Modelling New'!$AF:$AF),"")</f>
        <v>0.98</v>
      </c>
      <c r="AN90" s="85"/>
      <c r="AO90" s="84"/>
      <c r="AP90" s="84"/>
      <c r="AQ90" s="84"/>
      <c r="AR90" s="86">
        <f>'Basic Data'!$J$2</f>
        <v>7.0991999999999997</v>
      </c>
      <c r="AT90" s="7" t="str">
        <f>IFERROR(_xlfn.XLOOKUP(Table13[[#This Row],[Date]],'Raw Data'!$E:$E,'Raw Data'!$AN:$AN),"")</f>
        <v/>
      </c>
      <c r="AU90" s="7">
        <f>IFERROR(_xlfn.XLOOKUP(Table13[[#This Row],[Month Year]],'Modelling New'!$D:$D,'Modelling New'!$AO:$AO),"")</f>
        <v>7</v>
      </c>
      <c r="AV90" s="7">
        <f>IFERROR(SUMIF('Curtailment Records'!$C:$C,Table13[[#This Row],[Date]],'Curtailment Records'!$R:$R)/1000,"")</f>
        <v>0</v>
      </c>
    </row>
    <row r="91" spans="1:48" x14ac:dyDescent="0.25">
      <c r="A91" s="93">
        <f t="shared" si="6"/>
        <v>45834</v>
      </c>
      <c r="B91" s="86">
        <f>YEAR(Table13[[#This Row],[Date]])+IF(MONTH(Table13[[#This Row],[Date]])&gt;=4,1,0)</f>
        <v>2026</v>
      </c>
      <c r="C91" s="7">
        <f>YEAR(Table13[[#This Row],[Date]])</f>
        <v>2025</v>
      </c>
      <c r="D91" s="92">
        <f>Table13[[#This Row],[Date]]-DAY(Table13[[#This Row],[Date]])+1</f>
        <v>45809</v>
      </c>
      <c r="E91" s="7">
        <f t="shared" si="7"/>
        <v>30</v>
      </c>
      <c r="F91" s="91">
        <f>IFERROR(_xlfn.XLOOKUP($A91,'Raw Data'!$G:$G,'Raw Data'!$AM:$AM),"")</f>
        <v>13.566666666666666</v>
      </c>
      <c r="G91" s="90">
        <f>IFERROR(_xlfn.XLOOKUP($A91,'Raw Data'!$G:$G,'Raw Data'!$AB:$AB),"")</f>
        <v>0</v>
      </c>
      <c r="H91" s="90"/>
      <c r="I91" s="90">
        <f>IFERROR(_xlfn.XLOOKUP($A91,'Raw Data'!$G:$G,'Raw Data'!$AC:$AC),"")</f>
        <v>3.26</v>
      </c>
      <c r="J91" s="90"/>
      <c r="K91" s="90">
        <f>IFERROR(_xlfn.XLOOKUP($A91,'Raw Data'!$G:$G,'Raw Data'!AD:AD),"")</f>
        <v>0</v>
      </c>
      <c r="L91" s="90">
        <f>IFERROR(_xlfn.XLOOKUP($A91,'Raw Data'!$G:$G,'Raw Data'!AE:AE),"")</f>
        <v>37.950000000000003</v>
      </c>
      <c r="M91" s="90">
        <f>IFERROR(_xlfn.XLOOKUP($A91,'Raw Data'!$G:$G,'Raw Data'!AF:AF),"")</f>
        <v>0</v>
      </c>
      <c r="N91" s="90">
        <f>IFERROR(_xlfn.XLOOKUP($A91,'Raw Data'!$G:$G,'Raw Data'!AG:AG),"")</f>
        <v>0</v>
      </c>
      <c r="O91" s="85">
        <f>IFERROR(1-SUMIF('Plant BD'!$B:$B,$A91,'Plant BD'!$AM:$AM)/($AA91+SUMIF('Plant BD'!$B:$B,$A91,'Plant BD'!$AM:$AM)),"")</f>
        <v>1</v>
      </c>
      <c r="P91" s="85"/>
      <c r="Q91" s="89"/>
      <c r="R91" s="85">
        <f>IFERROR(1-SUMIF('Grid BD'!$B:$B,$A91,'Grid BD'!$AE:$AE)/($AA91+SUMIF('Grid BD'!$B:$B,$A91,'Grid BD'!$AE:$AE)),"")</f>
        <v>1</v>
      </c>
      <c r="T91" s="89"/>
      <c r="U91" s="88">
        <f t="shared" si="5"/>
        <v>0.80368512964738181</v>
      </c>
      <c r="V91" s="88"/>
      <c r="W91" s="84">
        <f t="shared" si="4"/>
        <v>0.10916723011043603</v>
      </c>
      <c r="X91" s="86">
        <f>IFERROR(_xlfn.XLOOKUP($A91,'Raw Data'!$G:$G,'Raw Data'!AI:AI),"")</f>
        <v>18819.7</v>
      </c>
      <c r="Y91" s="86">
        <f>IFERROR(_xlfn.XLOOKUP($A91,'Raw Data'!$G:$G,'Raw Data'!AJ:AJ),"")</f>
        <v>18800.000000000182</v>
      </c>
      <c r="Z91" s="86">
        <f>IFERROR(_xlfn.XLOOKUP($A91,'Raw Data'!$G:$G,'Raw Data'!AK:AK),"")</f>
        <v>200.00000000000284</v>
      </c>
      <c r="AA91" s="86">
        <f>IFERROR(_xlfn.XLOOKUP($A91,'Raw Data'!$G:$G,'Raw Data'!$AL:$AL)*(1+(_xlfn.XLOOKUP(Table13[[#This Row],[Month Year]],JMR!$A:$A,JMR!$J:$J))),"")</f>
        <v>18600.000000000178</v>
      </c>
      <c r="AB91" s="86">
        <f>IFERROR(_xlfn.XLOOKUP($A91,'Raw Data'!$G:$G,'Raw Data'!$H:$H),"")</f>
        <v>7.0991999999999997</v>
      </c>
      <c r="AC91" s="87">
        <f>IFERROR(_xlfn.XLOOKUP($D91,'Modelling New'!$D:$D,'Modelling New'!$P:$P),"")</f>
        <v>4.6100000000000003</v>
      </c>
      <c r="AD91" s="86">
        <f>IFERROR(_xlfn.XLOOKUP($D91,'Modelling New'!$D:$D,'Modelling New'!$T:$T)*1000,"")</f>
        <v>22941.250634165393</v>
      </c>
      <c r="AE91" s="94">
        <f>IFERROR(_xlfn.XLOOKUP($D91,'Modelling New'!$D:$D,'Modelling New'!$O:$O),"")</f>
        <v>0.70098181708798424</v>
      </c>
      <c r="AF91" s="94">
        <f>IFERROR(_xlfn.XLOOKUP($D91,'Modelling New'!$D:$D,'Modelling New'!$W:$W),"")</f>
        <v>0.13464692403231698</v>
      </c>
      <c r="AG91" s="94">
        <f>IFERROR(_xlfn.XLOOKUP($D91,'Modelling New'!$D:$D,'Modelling New'!$AE:$AE),"")</f>
        <v>0.98040000000000005</v>
      </c>
      <c r="AH91" s="94">
        <f>IFERROR(_xlfn.XLOOKUP($D91,'Modelling New'!$D:$D,'Modelling New'!$AF:$AF),"")</f>
        <v>0.98</v>
      </c>
      <c r="AN91" s="85"/>
      <c r="AO91" s="84"/>
      <c r="AP91" s="84"/>
      <c r="AQ91" s="84"/>
      <c r="AR91" s="86">
        <f>'Basic Data'!$J$2</f>
        <v>7.0991999999999997</v>
      </c>
      <c r="AT91" s="7" t="str">
        <f>IFERROR(_xlfn.XLOOKUP(Table13[[#This Row],[Date]],'Raw Data'!$E:$E,'Raw Data'!$AN:$AN),"")</f>
        <v/>
      </c>
      <c r="AU91" s="7">
        <f>IFERROR(_xlfn.XLOOKUP(Table13[[#This Row],[Month Year]],'Modelling New'!$D:$D,'Modelling New'!$AO:$AO),"")</f>
        <v>7</v>
      </c>
      <c r="AV91" s="7">
        <f>IFERROR(SUMIF('Curtailment Records'!$C:$C,Table13[[#This Row],[Date]],'Curtailment Records'!$R:$R)/1000,"")</f>
        <v>0</v>
      </c>
    </row>
    <row r="92" spans="1:48" x14ac:dyDescent="0.25">
      <c r="A92" s="93">
        <f t="shared" si="6"/>
        <v>45835</v>
      </c>
      <c r="B92" s="86">
        <f>YEAR(Table13[[#This Row],[Date]])+IF(MONTH(Table13[[#This Row],[Date]])&gt;=4,1,0)</f>
        <v>2026</v>
      </c>
      <c r="C92" s="7">
        <f>YEAR(Table13[[#This Row],[Date]])</f>
        <v>2025</v>
      </c>
      <c r="D92" s="92">
        <f>Table13[[#This Row],[Date]]-DAY(Table13[[#This Row],[Date]])+1</f>
        <v>45809</v>
      </c>
      <c r="E92" s="7">
        <f t="shared" si="7"/>
        <v>30</v>
      </c>
      <c r="F92" s="91">
        <f>IFERROR(_xlfn.XLOOKUP($A92,'Raw Data'!$G:$G,'Raw Data'!$AM:$AM),"")</f>
        <v>13.350000000000001</v>
      </c>
      <c r="G92" s="90">
        <f>IFERROR(_xlfn.XLOOKUP($A92,'Raw Data'!$G:$G,'Raw Data'!$AB:$AB),"")</f>
        <v>0</v>
      </c>
      <c r="H92" s="90"/>
      <c r="I92" s="90">
        <f>IFERROR(_xlfn.XLOOKUP($A92,'Raw Data'!$G:$G,'Raw Data'!$AC:$AC),"")</f>
        <v>4.8099999999999996</v>
      </c>
      <c r="J92" s="90"/>
      <c r="K92" s="90">
        <f>IFERROR(_xlfn.XLOOKUP($A92,'Raw Data'!$G:$G,'Raw Data'!AD:AD),"")</f>
        <v>0</v>
      </c>
      <c r="L92" s="90">
        <f>IFERROR(_xlfn.XLOOKUP($A92,'Raw Data'!$G:$G,'Raw Data'!AE:AE),"")</f>
        <v>41.49</v>
      </c>
      <c r="M92" s="90">
        <f>IFERROR(_xlfn.XLOOKUP($A92,'Raw Data'!$G:$G,'Raw Data'!AF:AF),"")</f>
        <v>0</v>
      </c>
      <c r="N92" s="90">
        <f>IFERROR(_xlfn.XLOOKUP($A92,'Raw Data'!$G:$G,'Raw Data'!AG:AG),"")</f>
        <v>0</v>
      </c>
      <c r="O92" s="85">
        <f>IFERROR(1-SUMIF('Plant BD'!$B:$B,$A92,'Plant BD'!$AM:$AM)/($AA92+SUMIF('Plant BD'!$B:$B,$A92,'Plant BD'!$AM:$AM)),"")</f>
        <v>0.99711279682923115</v>
      </c>
      <c r="P92" s="85"/>
      <c r="Q92" s="89"/>
      <c r="R92" s="85">
        <f>IFERROR(1-SUMIF('Grid BD'!$B:$B,$A92,'Grid BD'!$AE:$AE)/($AA92+SUMIF('Grid BD'!$B:$B,$A92,'Grid BD'!$AE:$AE)),"")</f>
        <v>1</v>
      </c>
      <c r="T92" s="89"/>
      <c r="U92" s="88">
        <f t="shared" si="5"/>
        <v>0.76726750154742063</v>
      </c>
      <c r="V92" s="88"/>
      <c r="W92" s="84">
        <f t="shared" si="4"/>
        <v>0.15377319510179555</v>
      </c>
      <c r="X92" s="86">
        <f>IFERROR(_xlfn.XLOOKUP($A92,'Raw Data'!$G:$G,'Raw Data'!AI:AI),"")</f>
        <v>26637.599999999999</v>
      </c>
      <c r="Y92" s="86">
        <f>IFERROR(_xlfn.XLOOKUP($A92,'Raw Data'!$G:$G,'Raw Data'!AJ:AJ),"")</f>
        <v>26500</v>
      </c>
      <c r="Z92" s="86">
        <f>IFERROR(_xlfn.XLOOKUP($A92,'Raw Data'!$G:$G,'Raw Data'!AK:AK),"")</f>
        <v>299.99999999999716</v>
      </c>
      <c r="AA92" s="86">
        <f>IFERROR(_xlfn.XLOOKUP($A92,'Raw Data'!$G:$G,'Raw Data'!$AL:$AL)*(1+(_xlfn.XLOOKUP(Table13[[#This Row],[Month Year]],JMR!$A:$A,JMR!$J:$J))),"")</f>
        <v>26200.000000000004</v>
      </c>
      <c r="AB92" s="86">
        <f>IFERROR(_xlfn.XLOOKUP($A92,'Raw Data'!$G:$G,'Raw Data'!$H:$H),"")</f>
        <v>7.0991999999999997</v>
      </c>
      <c r="AC92" s="87">
        <f>IFERROR(_xlfn.XLOOKUP($D92,'Modelling New'!$D:$D,'Modelling New'!$P:$P),"")</f>
        <v>4.6100000000000003</v>
      </c>
      <c r="AD92" s="86">
        <f>IFERROR(_xlfn.XLOOKUP($D92,'Modelling New'!$D:$D,'Modelling New'!$T:$T)*1000,"")</f>
        <v>22941.250634165393</v>
      </c>
      <c r="AE92" s="94">
        <f>IFERROR(_xlfn.XLOOKUP($D92,'Modelling New'!$D:$D,'Modelling New'!$O:$O),"")</f>
        <v>0.70098181708798424</v>
      </c>
      <c r="AF92" s="94">
        <f>IFERROR(_xlfn.XLOOKUP($D92,'Modelling New'!$D:$D,'Modelling New'!$W:$W),"")</f>
        <v>0.13464692403231698</v>
      </c>
      <c r="AG92" s="94">
        <f>IFERROR(_xlfn.XLOOKUP($D92,'Modelling New'!$D:$D,'Modelling New'!$AE:$AE),"")</f>
        <v>0.98040000000000005</v>
      </c>
      <c r="AH92" s="94">
        <f>IFERROR(_xlfn.XLOOKUP($D92,'Modelling New'!$D:$D,'Modelling New'!$AF:$AF),"")</f>
        <v>0.98</v>
      </c>
      <c r="AN92" s="85"/>
      <c r="AO92" s="84"/>
      <c r="AP92" s="84"/>
      <c r="AQ92" s="84"/>
      <c r="AR92" s="86">
        <f>'Basic Data'!$J$2</f>
        <v>7.0991999999999997</v>
      </c>
      <c r="AT92" s="7" t="str">
        <f>IFERROR(_xlfn.XLOOKUP(Table13[[#This Row],[Date]],'Raw Data'!$E:$E,'Raw Data'!$AN:$AN),"")</f>
        <v/>
      </c>
      <c r="AU92" s="7">
        <f>IFERROR(_xlfn.XLOOKUP(Table13[[#This Row],[Month Year]],'Modelling New'!$D:$D,'Modelling New'!$AO:$AO),"")</f>
        <v>7</v>
      </c>
      <c r="AV92" s="7">
        <f>IFERROR(SUMIF('Curtailment Records'!$C:$C,Table13[[#This Row],[Date]],'Curtailment Records'!$R:$R)/1000,"")</f>
        <v>0</v>
      </c>
    </row>
    <row r="93" spans="1:48" x14ac:dyDescent="0.25">
      <c r="A93" s="93">
        <f t="shared" si="6"/>
        <v>45836</v>
      </c>
      <c r="B93" s="86">
        <f>YEAR(Table13[[#This Row],[Date]])+IF(MONTH(Table13[[#This Row],[Date]])&gt;=4,1,0)</f>
        <v>2026</v>
      </c>
      <c r="C93" s="7">
        <f>YEAR(Table13[[#This Row],[Date]])</f>
        <v>2025</v>
      </c>
      <c r="D93" s="92">
        <f>Table13[[#This Row],[Date]]-DAY(Table13[[#This Row],[Date]])+1</f>
        <v>45809</v>
      </c>
      <c r="E93" s="7">
        <f t="shared" si="7"/>
        <v>30</v>
      </c>
      <c r="F93" s="91">
        <f>IFERROR(_xlfn.XLOOKUP($A93,'Raw Data'!$G:$G,'Raw Data'!$AM:$AM),"")</f>
        <v>13.4</v>
      </c>
      <c r="G93" s="90">
        <f>IFERROR(_xlfn.XLOOKUP($A93,'Raw Data'!$G:$G,'Raw Data'!$AB:$AB),"")</f>
        <v>0</v>
      </c>
      <c r="H93" s="90"/>
      <c r="I93" s="90">
        <f>IFERROR(_xlfn.XLOOKUP($A93,'Raw Data'!$G:$G,'Raw Data'!$AC:$AC),"")</f>
        <v>5.48</v>
      </c>
      <c r="J93" s="90"/>
      <c r="K93" s="90">
        <f>IFERROR(_xlfn.XLOOKUP($A93,'Raw Data'!$G:$G,'Raw Data'!AD:AD),"")</f>
        <v>0</v>
      </c>
      <c r="L93" s="90">
        <f>IFERROR(_xlfn.XLOOKUP($A93,'Raw Data'!$G:$G,'Raw Data'!AE:AE),"")</f>
        <v>43.1</v>
      </c>
      <c r="M93" s="90">
        <f>IFERROR(_xlfn.XLOOKUP($A93,'Raw Data'!$G:$G,'Raw Data'!AF:AF),"")</f>
        <v>0</v>
      </c>
      <c r="N93" s="90">
        <f>IFERROR(_xlfn.XLOOKUP($A93,'Raw Data'!$G:$G,'Raw Data'!AG:AG),"")</f>
        <v>0</v>
      </c>
      <c r="O93" s="85">
        <f>IFERROR(1-SUMIF('Plant BD'!$B:$B,$A93,'Plant BD'!$AM:$AM)/($AA93+SUMIF('Plant BD'!$B:$B,$A93,'Plant BD'!$AM:$AM)),"")</f>
        <v>1</v>
      </c>
      <c r="P93" s="85"/>
      <c r="Q93" s="89"/>
      <c r="R93" s="85">
        <f>IFERROR(1-SUMIF('Grid BD'!$B:$B,$A93,'Grid BD'!$AE:$AE)/($AA93+SUMIF('Grid BD'!$B:$B,$A93,'Grid BD'!$AE:$AE)),"")</f>
        <v>1</v>
      </c>
      <c r="T93" s="89"/>
      <c r="U93" s="88">
        <f t="shared" si="5"/>
        <v>0.77113654422251687</v>
      </c>
      <c r="V93" s="88"/>
      <c r="W93" s="84">
        <f t="shared" si="4"/>
        <v>0.17607617759747468</v>
      </c>
      <c r="X93" s="86">
        <f>IFERROR(_xlfn.XLOOKUP($A93,'Raw Data'!$G:$G,'Raw Data'!AI:AI),"")</f>
        <v>30393.4</v>
      </c>
      <c r="Y93" s="86">
        <f>IFERROR(_xlfn.XLOOKUP($A93,'Raw Data'!$G:$G,'Raw Data'!AJ:AJ),"")</f>
        <v>30199.999999999818</v>
      </c>
      <c r="Z93" s="86">
        <f>IFERROR(_xlfn.XLOOKUP($A93,'Raw Data'!$G:$G,'Raw Data'!AK:AK),"")</f>
        <v>200.00000000000284</v>
      </c>
      <c r="AA93" s="86">
        <f>IFERROR(_xlfn.XLOOKUP($A93,'Raw Data'!$G:$G,'Raw Data'!$AL:$AL)*(1+(_xlfn.XLOOKUP(Table13[[#This Row],[Month Year]],JMR!$A:$A,JMR!$J:$J))),"")</f>
        <v>29999.999999999814</v>
      </c>
      <c r="AB93" s="86">
        <f>IFERROR(_xlfn.XLOOKUP($A93,'Raw Data'!$G:$G,'Raw Data'!$H:$H),"")</f>
        <v>7.0991999999999997</v>
      </c>
      <c r="AC93" s="87">
        <f>IFERROR(_xlfn.XLOOKUP($D93,'Modelling New'!$D:$D,'Modelling New'!$P:$P),"")</f>
        <v>4.6100000000000003</v>
      </c>
      <c r="AD93" s="86">
        <f>IFERROR(_xlfn.XLOOKUP($D93,'Modelling New'!$D:$D,'Modelling New'!$T:$T)*1000,"")</f>
        <v>22941.250634165393</v>
      </c>
      <c r="AE93" s="94">
        <f>IFERROR(_xlfn.XLOOKUP($D93,'Modelling New'!$D:$D,'Modelling New'!$O:$O),"")</f>
        <v>0.70098181708798424</v>
      </c>
      <c r="AF93" s="94">
        <f>IFERROR(_xlfn.XLOOKUP($D93,'Modelling New'!$D:$D,'Modelling New'!$W:$W),"")</f>
        <v>0.13464692403231698</v>
      </c>
      <c r="AG93" s="94">
        <f>IFERROR(_xlfn.XLOOKUP($D93,'Modelling New'!$D:$D,'Modelling New'!$AE:$AE),"")</f>
        <v>0.98040000000000005</v>
      </c>
      <c r="AH93" s="94">
        <f>IFERROR(_xlfn.XLOOKUP($D93,'Modelling New'!$D:$D,'Modelling New'!$AF:$AF),"")</f>
        <v>0.98</v>
      </c>
      <c r="AN93" s="85"/>
      <c r="AO93" s="84"/>
      <c r="AP93" s="84"/>
      <c r="AQ93" s="84"/>
      <c r="AR93" s="86">
        <f>'Basic Data'!$J$2</f>
        <v>7.0991999999999997</v>
      </c>
      <c r="AT93" s="7" t="str">
        <f>IFERROR(_xlfn.XLOOKUP(Table13[[#This Row],[Date]],'Raw Data'!$E:$E,'Raw Data'!$AN:$AN),"")</f>
        <v/>
      </c>
      <c r="AU93" s="7">
        <f>IFERROR(_xlfn.XLOOKUP(Table13[[#This Row],[Month Year]],'Modelling New'!$D:$D,'Modelling New'!$AO:$AO),"")</f>
        <v>7</v>
      </c>
      <c r="AV93" s="7">
        <f>IFERROR(SUMIF('Curtailment Records'!$C:$C,Table13[[#This Row],[Date]],'Curtailment Records'!$R:$R)/1000,"")</f>
        <v>0</v>
      </c>
    </row>
    <row r="94" spans="1:48" x14ac:dyDescent="0.25">
      <c r="A94" s="93">
        <f t="shared" si="6"/>
        <v>45837</v>
      </c>
      <c r="B94" s="86">
        <f>YEAR(Table13[[#This Row],[Date]])+IF(MONTH(Table13[[#This Row],[Date]])&gt;=4,1,0)</f>
        <v>2026</v>
      </c>
      <c r="C94" s="7">
        <f>YEAR(Table13[[#This Row],[Date]])</f>
        <v>2025</v>
      </c>
      <c r="D94" s="92">
        <f>Table13[[#This Row],[Date]]-DAY(Table13[[#This Row],[Date]])+1</f>
        <v>45809</v>
      </c>
      <c r="E94" s="7">
        <f t="shared" si="7"/>
        <v>30</v>
      </c>
      <c r="F94" s="91">
        <f>IFERROR(_xlfn.XLOOKUP($A94,'Raw Data'!$G:$G,'Raw Data'!$AM:$AM),"")</f>
        <v>13.433333333333334</v>
      </c>
      <c r="G94" s="90">
        <f>IFERROR(_xlfn.XLOOKUP($A94,'Raw Data'!$G:$G,'Raw Data'!$AB:$AB),"")</f>
        <v>0</v>
      </c>
      <c r="H94" s="90"/>
      <c r="I94" s="90">
        <f>IFERROR(_xlfn.XLOOKUP($A94,'Raw Data'!$G:$G,'Raw Data'!$AC:$AC),"")</f>
        <v>4.4400000000000004</v>
      </c>
      <c r="J94" s="90"/>
      <c r="K94" s="90">
        <f>IFERROR(_xlfn.XLOOKUP($A94,'Raw Data'!$G:$G,'Raw Data'!AD:AD),"")</f>
        <v>0</v>
      </c>
      <c r="L94" s="90">
        <f>IFERROR(_xlfn.XLOOKUP($A94,'Raw Data'!$G:$G,'Raw Data'!AE:AE),"")</f>
        <v>39.97</v>
      </c>
      <c r="M94" s="90">
        <f>IFERROR(_xlfn.XLOOKUP($A94,'Raw Data'!$G:$G,'Raw Data'!AF:AF),"")</f>
        <v>0</v>
      </c>
      <c r="N94" s="90">
        <f>IFERROR(_xlfn.XLOOKUP($A94,'Raw Data'!$G:$G,'Raw Data'!AG:AG),"")</f>
        <v>0</v>
      </c>
      <c r="O94" s="85">
        <f>IFERROR(1-SUMIF('Plant BD'!$B:$B,$A94,'Plant BD'!$AM:$AM)/($AA94+SUMIF('Plant BD'!$B:$B,$A94,'Plant BD'!$AM:$AM)),"")</f>
        <v>1</v>
      </c>
      <c r="P94" s="85"/>
      <c r="Q94" s="89"/>
      <c r="R94" s="85">
        <f>IFERROR(1-SUMIF('Grid BD'!$B:$B,$A94,'Grid BD'!$AE:$AE)/($AA94+SUMIF('Grid BD'!$B:$B,$A94,'Grid BD'!$AE:$AE)),"")</f>
        <v>1</v>
      </c>
      <c r="T94" s="89"/>
      <c r="U94" s="88">
        <f t="shared" si="5"/>
        <v>0.78996339138326954</v>
      </c>
      <c r="V94" s="88"/>
      <c r="W94" s="84">
        <f t="shared" si="4"/>
        <v>0.14614322740590491</v>
      </c>
      <c r="X94" s="86">
        <f>IFERROR(_xlfn.XLOOKUP($A94,'Raw Data'!$G:$G,'Raw Data'!AI:AI),"")</f>
        <v>25090.5</v>
      </c>
      <c r="Y94" s="86">
        <f>IFERROR(_xlfn.XLOOKUP($A94,'Raw Data'!$G:$G,'Raw Data'!AJ:AJ),"")</f>
        <v>25000</v>
      </c>
      <c r="Z94" s="86">
        <f>IFERROR(_xlfn.XLOOKUP($A94,'Raw Data'!$G:$G,'Raw Data'!AK:AK),"")</f>
        <v>100.00000000000142</v>
      </c>
      <c r="AA94" s="86">
        <f>IFERROR(_xlfn.XLOOKUP($A94,'Raw Data'!$G:$G,'Raw Data'!$AL:$AL)*(1+(_xlfn.XLOOKUP(Table13[[#This Row],[Month Year]],JMR!$A:$A,JMR!$J:$J))),"")</f>
        <v>24900</v>
      </c>
      <c r="AB94" s="86">
        <f>IFERROR(_xlfn.XLOOKUP($A94,'Raw Data'!$G:$G,'Raw Data'!$H:$H),"")</f>
        <v>7.0991999999999997</v>
      </c>
      <c r="AC94" s="87">
        <f>IFERROR(_xlfn.XLOOKUP($D94,'Modelling New'!$D:$D,'Modelling New'!$P:$P),"")</f>
        <v>4.6100000000000003</v>
      </c>
      <c r="AD94" s="86">
        <f>IFERROR(_xlfn.XLOOKUP($D94,'Modelling New'!$D:$D,'Modelling New'!$T:$T)*1000,"")</f>
        <v>22941.250634165393</v>
      </c>
      <c r="AE94" s="94">
        <f>IFERROR(_xlfn.XLOOKUP($D94,'Modelling New'!$D:$D,'Modelling New'!$O:$O),"")</f>
        <v>0.70098181708798424</v>
      </c>
      <c r="AF94" s="94">
        <f>IFERROR(_xlfn.XLOOKUP($D94,'Modelling New'!$D:$D,'Modelling New'!$W:$W),"")</f>
        <v>0.13464692403231698</v>
      </c>
      <c r="AG94" s="94">
        <f>IFERROR(_xlfn.XLOOKUP($D94,'Modelling New'!$D:$D,'Modelling New'!$AE:$AE),"")</f>
        <v>0.98040000000000005</v>
      </c>
      <c r="AH94" s="94">
        <f>IFERROR(_xlfn.XLOOKUP($D94,'Modelling New'!$D:$D,'Modelling New'!$AF:$AF),"")</f>
        <v>0.98</v>
      </c>
      <c r="AN94" s="85"/>
      <c r="AO94" s="84"/>
      <c r="AP94" s="84"/>
      <c r="AQ94" s="84"/>
      <c r="AR94" s="86">
        <f>'Basic Data'!$J$2</f>
        <v>7.0991999999999997</v>
      </c>
      <c r="AT94" s="7" t="str">
        <f>IFERROR(_xlfn.XLOOKUP(Table13[[#This Row],[Date]],'Raw Data'!$E:$E,'Raw Data'!$AN:$AN),"")</f>
        <v/>
      </c>
      <c r="AU94" s="7">
        <f>IFERROR(_xlfn.XLOOKUP(Table13[[#This Row],[Month Year]],'Modelling New'!$D:$D,'Modelling New'!$AO:$AO),"")</f>
        <v>7</v>
      </c>
      <c r="AV94" s="7">
        <f>IFERROR(SUMIF('Curtailment Records'!$C:$C,Table13[[#This Row],[Date]],'Curtailment Records'!$R:$R)/1000,"")</f>
        <v>0</v>
      </c>
    </row>
    <row r="95" spans="1:48" x14ac:dyDescent="0.25">
      <c r="A95" s="93">
        <f t="shared" si="6"/>
        <v>45838</v>
      </c>
      <c r="B95" s="86">
        <f>YEAR(Table13[[#This Row],[Date]])+IF(MONTH(Table13[[#This Row],[Date]])&gt;=4,1,0)</f>
        <v>2026</v>
      </c>
      <c r="C95" s="7">
        <f>YEAR(Table13[[#This Row],[Date]])</f>
        <v>2025</v>
      </c>
      <c r="D95" s="92">
        <f>Table13[[#This Row],[Date]]-DAY(Table13[[#This Row],[Date]])+1</f>
        <v>45809</v>
      </c>
      <c r="E95" s="7">
        <f t="shared" si="7"/>
        <v>30</v>
      </c>
      <c r="F95" s="91">
        <f>IFERROR(_xlfn.XLOOKUP($A95,'Raw Data'!$G:$G,'Raw Data'!$AM:$AM),"")</f>
        <v>13.183333333333332</v>
      </c>
      <c r="G95" s="90">
        <f>IFERROR(_xlfn.XLOOKUP($A95,'Raw Data'!$G:$G,'Raw Data'!$AB:$AB),"")</f>
        <v>0</v>
      </c>
      <c r="H95" s="90"/>
      <c r="I95" s="90">
        <f>IFERROR(_xlfn.XLOOKUP($A95,'Raw Data'!$G:$G,'Raw Data'!$AC:$AC),"")</f>
        <v>2.59</v>
      </c>
      <c r="J95" s="90"/>
      <c r="K95" s="90">
        <f>IFERROR(_xlfn.XLOOKUP($A95,'Raw Data'!$G:$G,'Raw Data'!AD:AD),"")</f>
        <v>0</v>
      </c>
      <c r="L95" s="90">
        <f>IFERROR(_xlfn.XLOOKUP($A95,'Raw Data'!$G:$G,'Raw Data'!AE:AE),"")</f>
        <v>35.799999999999997</v>
      </c>
      <c r="M95" s="90">
        <f>IFERROR(_xlfn.XLOOKUP($A95,'Raw Data'!$G:$G,'Raw Data'!AF:AF),"")</f>
        <v>0</v>
      </c>
      <c r="N95" s="90">
        <f>IFERROR(_xlfn.XLOOKUP($A95,'Raw Data'!$G:$G,'Raw Data'!AG:AG),"")</f>
        <v>0</v>
      </c>
      <c r="O95" s="85">
        <f>IFERROR(1-SUMIF('Plant BD'!$B:$B,$A95,'Plant BD'!$AM:$AM)/($AA95+SUMIF('Plant BD'!$B:$B,$A95,'Plant BD'!$AM:$AM)),"")</f>
        <v>1</v>
      </c>
      <c r="P95" s="85"/>
      <c r="Q95" s="89"/>
      <c r="R95" s="85">
        <f>IFERROR(1-SUMIF('Grid BD'!$B:$B,$A95,'Grid BD'!$AE:$AE)/($AA95+SUMIF('Grid BD'!$B:$B,$A95,'Grid BD'!$AE:$AE)),"")</f>
        <v>1</v>
      </c>
      <c r="T95" s="89"/>
      <c r="U95" s="88">
        <f t="shared" si="5"/>
        <v>0.83211290107841851</v>
      </c>
      <c r="V95" s="88"/>
      <c r="W95" s="84">
        <f t="shared" si="4"/>
        <v>8.9798850574712666E-2</v>
      </c>
      <c r="X95" s="86">
        <f>IFERROR(_xlfn.XLOOKUP($A95,'Raw Data'!$G:$G,'Raw Data'!AI:AI),"")</f>
        <v>15562.199999999999</v>
      </c>
      <c r="Y95" s="86">
        <f>IFERROR(_xlfn.XLOOKUP($A95,'Raw Data'!$G:$G,'Raw Data'!AJ:AJ),"")</f>
        <v>15500</v>
      </c>
      <c r="Z95" s="86">
        <f>IFERROR(_xlfn.XLOOKUP($A95,'Raw Data'!$G:$G,'Raw Data'!AK:AK),"")</f>
        <v>199.99999999999574</v>
      </c>
      <c r="AA95" s="86">
        <f>IFERROR(_xlfn.XLOOKUP($A95,'Raw Data'!$G:$G,'Raw Data'!$AL:$AL)*(1+(_xlfn.XLOOKUP(Table13[[#This Row],[Month Year]],JMR!$A:$A,JMR!$J:$J))),"")</f>
        <v>15300.000000000004</v>
      </c>
      <c r="AB95" s="86">
        <f>IFERROR(_xlfn.XLOOKUP($A95,'Raw Data'!$G:$G,'Raw Data'!$H:$H),"")</f>
        <v>7.0991999999999997</v>
      </c>
      <c r="AC95" s="87">
        <f>IFERROR(_xlfn.XLOOKUP($D95,'Modelling New'!$D:$D,'Modelling New'!$P:$P),"")</f>
        <v>4.6100000000000003</v>
      </c>
      <c r="AD95" s="86">
        <f>IFERROR(_xlfn.XLOOKUP($D95,'Modelling New'!$D:$D,'Modelling New'!$T:$T)*1000,"")</f>
        <v>22941.250634165393</v>
      </c>
      <c r="AE95" s="94">
        <f>IFERROR(_xlfn.XLOOKUP($D95,'Modelling New'!$D:$D,'Modelling New'!$O:$O),"")</f>
        <v>0.70098181708798424</v>
      </c>
      <c r="AF95" s="94">
        <f>IFERROR(_xlfn.XLOOKUP($D95,'Modelling New'!$D:$D,'Modelling New'!$W:$W),"")</f>
        <v>0.13464692403231698</v>
      </c>
      <c r="AG95" s="94">
        <f>IFERROR(_xlfn.XLOOKUP($D95,'Modelling New'!$D:$D,'Modelling New'!$AE:$AE),"")</f>
        <v>0.98040000000000005</v>
      </c>
      <c r="AH95" s="94">
        <f>IFERROR(_xlfn.XLOOKUP($D95,'Modelling New'!$D:$D,'Modelling New'!$AF:$AF),"")</f>
        <v>0.98</v>
      </c>
      <c r="AN95" s="85"/>
      <c r="AO95" s="84"/>
      <c r="AP95" s="84"/>
      <c r="AQ95" s="84"/>
      <c r="AR95" s="86">
        <f>'Basic Data'!$J$2</f>
        <v>7.0991999999999997</v>
      </c>
      <c r="AT95" s="7" t="str">
        <f>IFERROR(_xlfn.XLOOKUP(Table13[[#This Row],[Date]],'Raw Data'!$E:$E,'Raw Data'!$AN:$AN),"")</f>
        <v/>
      </c>
      <c r="AU95" s="7">
        <f>IFERROR(_xlfn.XLOOKUP(Table13[[#This Row],[Month Year]],'Modelling New'!$D:$D,'Modelling New'!$AO:$AO),"")</f>
        <v>7</v>
      </c>
      <c r="AV95" s="7">
        <f>IFERROR(SUMIF('Curtailment Records'!$C:$C,Table13[[#This Row],[Date]],'Curtailment Records'!$R:$R)/1000,"")</f>
        <v>0</v>
      </c>
    </row>
    <row r="96" spans="1:48" x14ac:dyDescent="0.25">
      <c r="A96" s="93">
        <f t="shared" si="6"/>
        <v>45839</v>
      </c>
      <c r="B96" s="86">
        <f>YEAR(Table13[[#This Row],[Date]])+IF(MONTH(Table13[[#This Row],[Date]])&gt;=4,1,0)</f>
        <v>2026</v>
      </c>
      <c r="C96" s="7">
        <f>YEAR(Table13[[#This Row],[Date]])</f>
        <v>2025</v>
      </c>
      <c r="D96" s="92">
        <f>Table13[[#This Row],[Date]]-DAY(Table13[[#This Row],[Date]])+1</f>
        <v>45839</v>
      </c>
      <c r="E96" s="7">
        <f t="shared" si="7"/>
        <v>31</v>
      </c>
      <c r="F96" s="91">
        <f>IFERROR(_xlfn.XLOOKUP($A96,'Raw Data'!$G:$G,'Raw Data'!$AM:$AM),"")</f>
        <v>13.183333333333332</v>
      </c>
      <c r="G96" s="90">
        <f>IFERROR(_xlfn.XLOOKUP($A96,'Raw Data'!$G:$G,'Raw Data'!$AB:$AB),"")</f>
        <v>0</v>
      </c>
      <c r="H96" s="90"/>
      <c r="I96" s="90">
        <f>IFERROR(_xlfn.XLOOKUP($A96,'Raw Data'!$G:$G,'Raw Data'!$AC:$AC),"")</f>
        <v>2.9</v>
      </c>
      <c r="J96" s="90"/>
      <c r="K96" s="90">
        <f>IFERROR(_xlfn.XLOOKUP($A96,'Raw Data'!$G:$G,'Raw Data'!AD:AD),"")</f>
        <v>0</v>
      </c>
      <c r="L96" s="90">
        <f>IFERROR(_xlfn.XLOOKUP($A96,'Raw Data'!$G:$G,'Raw Data'!AE:AE),"")</f>
        <v>35.43</v>
      </c>
      <c r="M96" s="90">
        <f>IFERROR(_xlfn.XLOOKUP($A96,'Raw Data'!$G:$G,'Raw Data'!AF:AF),"")</f>
        <v>0</v>
      </c>
      <c r="N96" s="90">
        <f>IFERROR(_xlfn.XLOOKUP($A96,'Raw Data'!$G:$G,'Raw Data'!AG:AG),"")</f>
        <v>0</v>
      </c>
      <c r="O96" s="85">
        <f>IFERROR(1-SUMIF('Plant BD'!$B:$B,$A96,'Plant BD'!$AM:$AM)/($AA96+SUMIF('Plant BD'!$B:$B,$A96,'Plant BD'!$AM:$AM)),"")</f>
        <v>1</v>
      </c>
      <c r="P96" s="85"/>
      <c r="Q96" s="89"/>
      <c r="R96" s="85">
        <f>IFERROR(1-SUMIF('Grid BD'!$B:$B,$A96,'Grid BD'!$AE:$AE)/($AA96+SUMIF('Grid BD'!$B:$B,$A96,'Grid BD'!$AE:$AE)),"")</f>
        <v>1</v>
      </c>
      <c r="T96" s="89"/>
      <c r="U96" s="88">
        <f t="shared" si="5"/>
        <v>0.83545110473834994</v>
      </c>
      <c r="V96" s="88"/>
      <c r="W96" s="84">
        <f t="shared" si="4"/>
        <v>0.10095034182255062</v>
      </c>
      <c r="X96" s="86">
        <f>IFERROR(_xlfn.XLOOKUP($A96,'Raw Data'!$G:$G,'Raw Data'!AI:AI),"")</f>
        <v>17459.800000000003</v>
      </c>
      <c r="Y96" s="86">
        <f>IFERROR(_xlfn.XLOOKUP($A96,'Raw Data'!$G:$G,'Raw Data'!AJ:AJ),"")</f>
        <v>17399.999999999636</v>
      </c>
      <c r="Z96" s="86">
        <f>IFERROR(_xlfn.XLOOKUP($A96,'Raw Data'!$G:$G,'Raw Data'!AK:AK),"")</f>
        <v>200.00000000000284</v>
      </c>
      <c r="AA96" s="86">
        <f>IFERROR(_xlfn.XLOOKUP($A96,'Raw Data'!$G:$G,'Raw Data'!$AL:$AL)*(1+(_xlfn.XLOOKUP(Table13[[#This Row],[Month Year]],JMR!$A:$A,JMR!$J:$J))),"")</f>
        <v>17199.999999999633</v>
      </c>
      <c r="AB96" s="86">
        <f>IFERROR(_xlfn.XLOOKUP($A96,'Raw Data'!$G:$G,'Raw Data'!$H:$H),"")</f>
        <v>7.0991999999999997</v>
      </c>
      <c r="AC96" s="87">
        <f>IFERROR(_xlfn.XLOOKUP($D96,'Modelling New'!$D:$D,'Modelling New'!$P:$P),"")</f>
        <v>3.903225806451613</v>
      </c>
      <c r="AD96" s="86">
        <f>IFERROR(_xlfn.XLOOKUP($D96,'Modelling New'!$D:$D,'Modelling New'!$T:$T)*1000,"")</f>
        <v>20295.016135869184</v>
      </c>
      <c r="AE96" s="94">
        <f>IFERROR(_xlfn.XLOOKUP($D96,'Modelling New'!$D:$D,'Modelling New'!$O:$O),"")</f>
        <v>0.73241345342129649</v>
      </c>
      <c r="AF96" s="94">
        <f>IFERROR(_xlfn.XLOOKUP($D96,'Modelling New'!$D:$D,'Modelling New'!$W:$W),"")</f>
        <v>0.11911562884943129</v>
      </c>
      <c r="AG96" s="94">
        <f>IFERROR(_xlfn.XLOOKUP($D96,'Modelling New'!$D:$D,'Modelling New'!$AE:$AE),"")</f>
        <v>0.98040000000000005</v>
      </c>
      <c r="AH96" s="94">
        <f>IFERROR(_xlfn.XLOOKUP($D96,'Modelling New'!$D:$D,'Modelling New'!$AF:$AF),"")</f>
        <v>0.98</v>
      </c>
      <c r="AN96" s="85"/>
      <c r="AO96" s="84"/>
      <c r="AP96" s="84"/>
      <c r="AQ96" s="84"/>
      <c r="AR96" s="86">
        <f>'Basic Data'!$J$2</f>
        <v>7.0991999999999997</v>
      </c>
      <c r="AT96" s="7" t="str">
        <f>IFERROR(_xlfn.XLOOKUP(Table13[[#This Row],[Date]],'Raw Data'!$E:$E,'Raw Data'!$AN:$AN),"")</f>
        <v/>
      </c>
      <c r="AU96" s="7">
        <f>IFERROR(_xlfn.XLOOKUP(Table13[[#This Row],[Month Year]],'Modelling New'!$D:$D,'Modelling New'!$AO:$AO),"")</f>
        <v>7</v>
      </c>
      <c r="AV96" s="7">
        <f>IFERROR(SUMIF('Curtailment Records'!$C:$C,Table13[[#This Row],[Date]],'Curtailment Records'!$R:$R)/1000,"")</f>
        <v>0</v>
      </c>
    </row>
    <row r="97" spans="1:48" x14ac:dyDescent="0.25">
      <c r="A97" s="93">
        <f t="shared" si="6"/>
        <v>45840</v>
      </c>
      <c r="B97" s="86">
        <f>YEAR(Table13[[#This Row],[Date]])+IF(MONTH(Table13[[#This Row],[Date]])&gt;=4,1,0)</f>
        <v>2026</v>
      </c>
      <c r="C97" s="7">
        <f>YEAR(Table13[[#This Row],[Date]])</f>
        <v>2025</v>
      </c>
      <c r="D97" s="92">
        <f>Table13[[#This Row],[Date]]-DAY(Table13[[#This Row],[Date]])+1</f>
        <v>45839</v>
      </c>
      <c r="E97" s="7">
        <f t="shared" si="7"/>
        <v>31</v>
      </c>
      <c r="F97" s="91">
        <f>IFERROR(_xlfn.XLOOKUP($A97,'Raw Data'!$G:$G,'Raw Data'!$AM:$AM),"")</f>
        <v>13.166666666666668</v>
      </c>
      <c r="G97" s="90">
        <f>IFERROR(_xlfn.XLOOKUP($A97,'Raw Data'!$G:$G,'Raw Data'!$AB:$AB),"")</f>
        <v>0</v>
      </c>
      <c r="H97" s="90"/>
      <c r="I97" s="90">
        <f>IFERROR(_xlfn.XLOOKUP($A97,'Raw Data'!$G:$G,'Raw Data'!$AC:$AC),"")</f>
        <v>1.75</v>
      </c>
      <c r="J97" s="90"/>
      <c r="K97" s="90">
        <f>IFERROR(_xlfn.XLOOKUP($A97,'Raw Data'!$G:$G,'Raw Data'!AD:AD),"")</f>
        <v>0</v>
      </c>
      <c r="L97" s="90">
        <f>IFERROR(_xlfn.XLOOKUP($A97,'Raw Data'!$G:$G,'Raw Data'!AE:AE),"")</f>
        <v>30.95</v>
      </c>
      <c r="M97" s="90">
        <f>IFERROR(_xlfn.XLOOKUP($A97,'Raw Data'!$G:$G,'Raw Data'!AF:AF),"")</f>
        <v>0</v>
      </c>
      <c r="N97" s="90">
        <f>IFERROR(_xlfn.XLOOKUP($A97,'Raw Data'!$G:$G,'Raw Data'!AG:AG),"")</f>
        <v>0</v>
      </c>
      <c r="O97" s="85">
        <f>IFERROR(1-SUMIF('Plant BD'!$B:$B,$A97,'Plant BD'!$AM:$AM)/($AA97+SUMIF('Plant BD'!$B:$B,$A97,'Plant BD'!$AM:$AM)),"")</f>
        <v>1</v>
      </c>
      <c r="P97" s="85"/>
      <c r="Q97" s="89"/>
      <c r="R97" s="85">
        <f>IFERROR(1-SUMIF('Grid BD'!$B:$B,$A97,'Grid BD'!$AE:$AE)/($AA97+SUMIF('Grid BD'!$B:$B,$A97,'Grid BD'!$AE:$AE)),"")</f>
        <v>1</v>
      </c>
      <c r="T97" s="89"/>
      <c r="U97" s="88">
        <f t="shared" si="5"/>
        <v>0.84516565246786934</v>
      </c>
      <c r="V97" s="88"/>
      <c r="W97" s="84">
        <f t="shared" si="4"/>
        <v>6.1626662159115476E-2</v>
      </c>
      <c r="X97" s="86">
        <f>IFERROR(_xlfn.XLOOKUP($A97,'Raw Data'!$G:$G,'Raw Data'!AI:AI),"")</f>
        <v>10884.7</v>
      </c>
      <c r="Y97" s="86">
        <f>IFERROR(_xlfn.XLOOKUP($A97,'Raw Data'!$G:$G,'Raw Data'!AJ:AJ),"")</f>
        <v>10699.999999999818</v>
      </c>
      <c r="Z97" s="86">
        <f>IFERROR(_xlfn.XLOOKUP($A97,'Raw Data'!$G:$G,'Raw Data'!AK:AK),"")</f>
        <v>199.99999999999574</v>
      </c>
      <c r="AA97" s="86">
        <f>IFERROR(_xlfn.XLOOKUP($A97,'Raw Data'!$G:$G,'Raw Data'!$AL:$AL)*(1+(_xlfn.XLOOKUP(Table13[[#This Row],[Month Year]],JMR!$A:$A,JMR!$J:$J))),"")</f>
        <v>10499.999999999822</v>
      </c>
      <c r="AB97" s="86">
        <f>IFERROR(_xlfn.XLOOKUP($A97,'Raw Data'!$G:$G,'Raw Data'!$H:$H),"")</f>
        <v>7.0991999999999997</v>
      </c>
      <c r="AC97" s="87">
        <f>IFERROR(_xlfn.XLOOKUP($D97,'Modelling New'!$D:$D,'Modelling New'!$P:$P),"")</f>
        <v>3.903225806451613</v>
      </c>
      <c r="AD97" s="86">
        <f>IFERROR(_xlfn.XLOOKUP($D97,'Modelling New'!$D:$D,'Modelling New'!$T:$T)*1000,"")</f>
        <v>20295.016135869184</v>
      </c>
      <c r="AE97" s="94">
        <f>IFERROR(_xlfn.XLOOKUP($D97,'Modelling New'!$D:$D,'Modelling New'!$O:$O),"")</f>
        <v>0.73241345342129649</v>
      </c>
      <c r="AF97" s="94">
        <f>IFERROR(_xlfn.XLOOKUP($D97,'Modelling New'!$D:$D,'Modelling New'!$W:$W),"")</f>
        <v>0.11911562884943129</v>
      </c>
      <c r="AG97" s="94">
        <f>IFERROR(_xlfn.XLOOKUP($D97,'Modelling New'!$D:$D,'Modelling New'!$AE:$AE),"")</f>
        <v>0.98040000000000005</v>
      </c>
      <c r="AH97" s="94">
        <f>IFERROR(_xlfn.XLOOKUP($D97,'Modelling New'!$D:$D,'Modelling New'!$AF:$AF),"")</f>
        <v>0.98</v>
      </c>
      <c r="AN97" s="85"/>
      <c r="AO97" s="84"/>
      <c r="AP97" s="84"/>
      <c r="AQ97" s="84"/>
      <c r="AR97" s="86">
        <f>'Basic Data'!$J$2</f>
        <v>7.0991999999999997</v>
      </c>
      <c r="AT97" s="7" t="str">
        <f>IFERROR(_xlfn.XLOOKUP(Table13[[#This Row],[Date]],'Raw Data'!$E:$E,'Raw Data'!$AN:$AN),"")</f>
        <v/>
      </c>
      <c r="AU97" s="7">
        <f>IFERROR(_xlfn.XLOOKUP(Table13[[#This Row],[Month Year]],'Modelling New'!$D:$D,'Modelling New'!$AO:$AO),"")</f>
        <v>7</v>
      </c>
      <c r="AV97" s="7">
        <f>IFERROR(SUMIF('Curtailment Records'!$C:$C,Table13[[#This Row],[Date]],'Curtailment Records'!$R:$R)/1000,"")</f>
        <v>0</v>
      </c>
    </row>
    <row r="98" spans="1:48" x14ac:dyDescent="0.25">
      <c r="A98" s="93">
        <f t="shared" si="6"/>
        <v>45841</v>
      </c>
      <c r="B98" s="86">
        <f>YEAR(Table13[[#This Row],[Date]])+IF(MONTH(Table13[[#This Row],[Date]])&gt;=4,1,0)</f>
        <v>2026</v>
      </c>
      <c r="C98" s="7">
        <f>YEAR(Table13[[#This Row],[Date]])</f>
        <v>2025</v>
      </c>
      <c r="D98" s="92">
        <f>Table13[[#This Row],[Date]]-DAY(Table13[[#This Row],[Date]])+1</f>
        <v>45839</v>
      </c>
      <c r="E98" s="7">
        <f t="shared" si="7"/>
        <v>31</v>
      </c>
      <c r="F98" s="91">
        <f>IFERROR(_xlfn.XLOOKUP($A98,'Raw Data'!$G:$G,'Raw Data'!$AM:$AM),"")</f>
        <v>13.116666666666665</v>
      </c>
      <c r="G98" s="90">
        <f>IFERROR(_xlfn.XLOOKUP($A98,'Raw Data'!$G:$G,'Raw Data'!$AB:$AB),"")</f>
        <v>0</v>
      </c>
      <c r="H98" s="90"/>
      <c r="I98" s="90">
        <f>IFERROR(_xlfn.XLOOKUP($A98,'Raw Data'!$G:$G,'Raw Data'!$AC:$AC),"")</f>
        <v>4.45</v>
      </c>
      <c r="J98" s="90"/>
      <c r="K98" s="90">
        <f>IFERROR(_xlfn.XLOOKUP($A98,'Raw Data'!$G:$G,'Raw Data'!AD:AD),"")</f>
        <v>0</v>
      </c>
      <c r="L98" s="90">
        <f>IFERROR(_xlfn.XLOOKUP($A98,'Raw Data'!$G:$G,'Raw Data'!AE:AE),"")</f>
        <v>39.82</v>
      </c>
      <c r="M98" s="90">
        <f>IFERROR(_xlfn.XLOOKUP($A98,'Raw Data'!$G:$G,'Raw Data'!AF:AF),"")</f>
        <v>0</v>
      </c>
      <c r="N98" s="90">
        <f>IFERROR(_xlfn.XLOOKUP($A98,'Raw Data'!$G:$G,'Raw Data'!AG:AG),"")</f>
        <v>0</v>
      </c>
      <c r="O98" s="85">
        <f>IFERROR(1-SUMIF('Plant BD'!$B:$B,$A98,'Plant BD'!$AM:$AM)/($AA98+SUMIF('Plant BD'!$B:$B,$A98,'Plant BD'!$AM:$AM)),"")</f>
        <v>1</v>
      </c>
      <c r="P98" s="85"/>
      <c r="Q98" s="89"/>
      <c r="R98" s="85">
        <f>IFERROR(1-SUMIF('Grid BD'!$B:$B,$A98,'Grid BD'!$AE:$AE)/($AA98+SUMIF('Grid BD'!$B:$B,$A98,'Grid BD'!$AE:$AE)),"")</f>
        <v>0.74787958116290676</v>
      </c>
      <c r="T98" s="89"/>
      <c r="U98" s="88">
        <f t="shared" si="5"/>
        <v>0.57610542602681425</v>
      </c>
      <c r="V98" s="88"/>
      <c r="W98" s="84">
        <f t="shared" si="4"/>
        <v>0.10681954774247182</v>
      </c>
      <c r="X98" s="86">
        <f>IFERROR(_xlfn.XLOOKUP($A98,'Raw Data'!$G:$G,'Raw Data'!AI:AI),"")</f>
        <v>18551.599999999999</v>
      </c>
      <c r="Y98" s="86">
        <f>IFERROR(_xlfn.XLOOKUP($A98,'Raw Data'!$G:$G,'Raw Data'!AJ:AJ),"")</f>
        <v>18400.000000000546</v>
      </c>
      <c r="Z98" s="86">
        <f>IFERROR(_xlfn.XLOOKUP($A98,'Raw Data'!$G:$G,'Raw Data'!AK:AK),"")</f>
        <v>200.00000000000284</v>
      </c>
      <c r="AA98" s="86">
        <f>IFERROR(_xlfn.XLOOKUP($A98,'Raw Data'!$G:$G,'Raw Data'!$AL:$AL)*(1+(_xlfn.XLOOKUP(Table13[[#This Row],[Month Year]],JMR!$A:$A,JMR!$J:$J))),"")</f>
        <v>18200.000000000542</v>
      </c>
      <c r="AB98" s="86">
        <f>IFERROR(_xlfn.XLOOKUP($A98,'Raw Data'!$G:$G,'Raw Data'!$H:$H),"")</f>
        <v>7.0991999999999997</v>
      </c>
      <c r="AC98" s="87">
        <f>IFERROR(_xlfn.XLOOKUP($D98,'Modelling New'!$D:$D,'Modelling New'!$P:$P),"")</f>
        <v>3.903225806451613</v>
      </c>
      <c r="AD98" s="86">
        <f>IFERROR(_xlfn.XLOOKUP($D98,'Modelling New'!$D:$D,'Modelling New'!$T:$T)*1000,"")</f>
        <v>20295.016135869184</v>
      </c>
      <c r="AE98" s="94">
        <f>IFERROR(_xlfn.XLOOKUP($D98,'Modelling New'!$D:$D,'Modelling New'!$O:$O),"")</f>
        <v>0.73241345342129649</v>
      </c>
      <c r="AF98" s="94">
        <f>IFERROR(_xlfn.XLOOKUP($D98,'Modelling New'!$D:$D,'Modelling New'!$W:$W),"")</f>
        <v>0.11911562884943129</v>
      </c>
      <c r="AG98" s="94">
        <f>IFERROR(_xlfn.XLOOKUP($D98,'Modelling New'!$D:$D,'Modelling New'!$AE:$AE),"")</f>
        <v>0.98040000000000005</v>
      </c>
      <c r="AH98" s="94">
        <f>IFERROR(_xlfn.XLOOKUP($D98,'Modelling New'!$D:$D,'Modelling New'!$AF:$AF),"")</f>
        <v>0.98</v>
      </c>
      <c r="AN98" s="85"/>
      <c r="AO98" s="84"/>
      <c r="AP98" s="84"/>
      <c r="AQ98" s="84"/>
      <c r="AR98" s="86">
        <f>'Basic Data'!$J$2</f>
        <v>7.0991999999999997</v>
      </c>
      <c r="AT98" s="7" t="str">
        <f>IFERROR(_xlfn.XLOOKUP(Table13[[#This Row],[Date]],'Raw Data'!$E:$E,'Raw Data'!$AN:$AN),"")</f>
        <v/>
      </c>
      <c r="AU98" s="7">
        <f>IFERROR(_xlfn.XLOOKUP(Table13[[#This Row],[Month Year]],'Modelling New'!$D:$D,'Modelling New'!$AO:$AO),"")</f>
        <v>7</v>
      </c>
      <c r="AV98" s="7">
        <f>IFERROR(SUMIF('Curtailment Records'!$C:$C,Table13[[#This Row],[Date]],'Curtailment Records'!$R:$R)/1000,"")</f>
        <v>0</v>
      </c>
    </row>
    <row r="99" spans="1:48" x14ac:dyDescent="0.25">
      <c r="A99" s="93">
        <f t="shared" si="6"/>
        <v>45842</v>
      </c>
      <c r="B99" s="86">
        <f>YEAR(Table13[[#This Row],[Date]])+IF(MONTH(Table13[[#This Row],[Date]])&gt;=4,1,0)</f>
        <v>2026</v>
      </c>
      <c r="C99" s="7">
        <f>YEAR(Table13[[#This Row],[Date]])</f>
        <v>2025</v>
      </c>
      <c r="D99" s="92">
        <f>Table13[[#This Row],[Date]]-DAY(Table13[[#This Row],[Date]])+1</f>
        <v>45839</v>
      </c>
      <c r="E99" s="7">
        <f t="shared" si="7"/>
        <v>31</v>
      </c>
      <c r="F99" s="91">
        <f>IFERROR(_xlfn.XLOOKUP($A99,'Raw Data'!$G:$G,'Raw Data'!$AM:$AM),"")</f>
        <v>13.25</v>
      </c>
      <c r="G99" s="90">
        <f>IFERROR(_xlfn.XLOOKUP($A99,'Raw Data'!$G:$G,'Raw Data'!$AB:$AB),"")</f>
        <v>0</v>
      </c>
      <c r="H99" s="90"/>
      <c r="I99" s="90">
        <f>IFERROR(_xlfn.XLOOKUP($A99,'Raw Data'!$G:$G,'Raw Data'!$AC:$AC),"")</f>
        <v>4.62</v>
      </c>
      <c r="J99" s="90"/>
      <c r="K99" s="90">
        <f>IFERROR(_xlfn.XLOOKUP($A99,'Raw Data'!$G:$G,'Raw Data'!AD:AD),"")</f>
        <v>0</v>
      </c>
      <c r="L99" s="90">
        <f>IFERROR(_xlfn.XLOOKUP($A99,'Raw Data'!$G:$G,'Raw Data'!AE:AE),"")</f>
        <v>40.15</v>
      </c>
      <c r="M99" s="90">
        <f>IFERROR(_xlfn.XLOOKUP($A99,'Raw Data'!$G:$G,'Raw Data'!AF:AF),"")</f>
        <v>0</v>
      </c>
      <c r="N99" s="90">
        <f>IFERROR(_xlfn.XLOOKUP($A99,'Raw Data'!$G:$G,'Raw Data'!AG:AG),"")</f>
        <v>0</v>
      </c>
      <c r="O99" s="85">
        <f>IFERROR(1-SUMIF('Plant BD'!$B:$B,$A99,'Plant BD'!$AM:$AM)/($AA99+SUMIF('Plant BD'!$B:$B,$A99,'Plant BD'!$AM:$AM)),"")</f>
        <v>1</v>
      </c>
      <c r="P99" s="85"/>
      <c r="Q99" s="89"/>
      <c r="R99" s="85">
        <f>IFERROR(1-SUMIF('Grid BD'!$B:$B,$A99,'Grid BD'!$AE:$AE)/($AA99+SUMIF('Grid BD'!$B:$B,$A99,'Grid BD'!$AE:$AE)),"")</f>
        <v>0.96512439434184505</v>
      </c>
      <c r="T99" s="89"/>
      <c r="U99" s="88">
        <f t="shared" si="5"/>
        <v>0.78967497831594646</v>
      </c>
      <c r="V99" s="88"/>
      <c r="W99" s="84">
        <f t="shared" si="4"/>
        <v>0.15201243332581971</v>
      </c>
      <c r="X99" s="86">
        <f>IFERROR(_xlfn.XLOOKUP($A99,'Raw Data'!$G:$G,'Raw Data'!AI:AI),"")</f>
        <v>24678.5</v>
      </c>
      <c r="Y99" s="86">
        <f>IFERROR(_xlfn.XLOOKUP($A99,'Raw Data'!$G:$G,'Raw Data'!AJ:AJ),"")</f>
        <v>26199.999999999818</v>
      </c>
      <c r="Z99" s="86">
        <f>IFERROR(_xlfn.XLOOKUP($A99,'Raw Data'!$G:$G,'Raw Data'!AK:AK),"")</f>
        <v>299.99999999999716</v>
      </c>
      <c r="AA99" s="86">
        <f>IFERROR(_xlfn.XLOOKUP($A99,'Raw Data'!$G:$G,'Raw Data'!$AL:$AL)*(1+(_xlfn.XLOOKUP(Table13[[#This Row],[Month Year]],JMR!$A:$A,JMR!$J:$J))),"")</f>
        <v>25899.999999999822</v>
      </c>
      <c r="AB99" s="86">
        <f>IFERROR(_xlfn.XLOOKUP($A99,'Raw Data'!$G:$G,'Raw Data'!$H:$H),"")</f>
        <v>7.0991999999999997</v>
      </c>
      <c r="AC99" s="87">
        <f>IFERROR(_xlfn.XLOOKUP($D99,'Modelling New'!$D:$D,'Modelling New'!$P:$P),"")</f>
        <v>3.903225806451613</v>
      </c>
      <c r="AD99" s="86">
        <f>IFERROR(_xlfn.XLOOKUP($D99,'Modelling New'!$D:$D,'Modelling New'!$T:$T)*1000,"")</f>
        <v>20295.016135869184</v>
      </c>
      <c r="AE99" s="94">
        <f>IFERROR(_xlfn.XLOOKUP($D99,'Modelling New'!$D:$D,'Modelling New'!$O:$O),"")</f>
        <v>0.73241345342129649</v>
      </c>
      <c r="AF99" s="94">
        <f>IFERROR(_xlfn.XLOOKUP($D99,'Modelling New'!$D:$D,'Modelling New'!$W:$W),"")</f>
        <v>0.11911562884943129</v>
      </c>
      <c r="AG99" s="94">
        <f>IFERROR(_xlfn.XLOOKUP($D99,'Modelling New'!$D:$D,'Modelling New'!$AE:$AE),"")</f>
        <v>0.98040000000000005</v>
      </c>
      <c r="AH99" s="94">
        <f>IFERROR(_xlfn.XLOOKUP($D99,'Modelling New'!$D:$D,'Modelling New'!$AF:$AF),"")</f>
        <v>0.98</v>
      </c>
      <c r="AN99" s="85"/>
      <c r="AO99" s="84"/>
      <c r="AP99" s="84"/>
      <c r="AQ99" s="84"/>
      <c r="AR99" s="86">
        <f>'Basic Data'!$J$2</f>
        <v>7.0991999999999997</v>
      </c>
      <c r="AT99" s="7" t="str">
        <f>IFERROR(_xlfn.XLOOKUP(Table13[[#This Row],[Date]],'Raw Data'!$E:$E,'Raw Data'!$AN:$AN),"")</f>
        <v/>
      </c>
      <c r="AU99" s="7">
        <f>IFERROR(_xlfn.XLOOKUP(Table13[[#This Row],[Month Year]],'Modelling New'!$D:$D,'Modelling New'!$AO:$AO),"")</f>
        <v>7</v>
      </c>
      <c r="AV99" s="7">
        <f>IFERROR(SUMIF('Curtailment Records'!$C:$C,Table13[[#This Row],[Date]],'Curtailment Records'!$R:$R)/1000,"")</f>
        <v>0</v>
      </c>
    </row>
    <row r="100" spans="1:48" x14ac:dyDescent="0.25">
      <c r="A100" s="93">
        <f t="shared" si="6"/>
        <v>45843</v>
      </c>
      <c r="B100" s="86">
        <f>YEAR(Table13[[#This Row],[Date]])+IF(MONTH(Table13[[#This Row],[Date]])&gt;=4,1,0)</f>
        <v>2026</v>
      </c>
      <c r="C100" s="7">
        <f>YEAR(Table13[[#This Row],[Date]])</f>
        <v>2025</v>
      </c>
      <c r="D100" s="92">
        <f>Table13[[#This Row],[Date]]-DAY(Table13[[#This Row],[Date]])+1</f>
        <v>45839</v>
      </c>
      <c r="E100" s="7">
        <f t="shared" si="7"/>
        <v>31</v>
      </c>
      <c r="F100" s="91">
        <f>IFERROR(_xlfn.XLOOKUP($A100,'Raw Data'!$G:$G,'Raw Data'!$AM:$AM),"")</f>
        <v>13.066666666666668</v>
      </c>
      <c r="G100" s="90">
        <f>IFERROR(_xlfn.XLOOKUP($A100,'Raw Data'!$G:$G,'Raw Data'!$AB:$AB),"")</f>
        <v>0</v>
      </c>
      <c r="H100" s="90"/>
      <c r="I100" s="90">
        <f>IFERROR(_xlfn.XLOOKUP($A100,'Raw Data'!$G:$G,'Raw Data'!$AC:$AC),"")</f>
        <v>5.26</v>
      </c>
      <c r="J100" s="90"/>
      <c r="K100" s="90">
        <f>IFERROR(_xlfn.XLOOKUP($A100,'Raw Data'!$G:$G,'Raw Data'!AD:AD),"")</f>
        <v>0</v>
      </c>
      <c r="L100" s="90">
        <f>IFERROR(_xlfn.XLOOKUP($A100,'Raw Data'!$G:$G,'Raw Data'!AE:AE),"")</f>
        <v>40.950000000000003</v>
      </c>
      <c r="M100" s="90">
        <f>IFERROR(_xlfn.XLOOKUP($A100,'Raw Data'!$G:$G,'Raw Data'!AF:AF),"")</f>
        <v>0</v>
      </c>
      <c r="N100" s="90">
        <f>IFERROR(_xlfn.XLOOKUP($A100,'Raw Data'!$G:$G,'Raw Data'!AG:AG),"")</f>
        <v>0</v>
      </c>
      <c r="O100" s="85">
        <f>IFERROR(1-SUMIF('Plant BD'!$B:$B,$A100,'Plant BD'!$AM:$AM)/($AA100+SUMIF('Plant BD'!$B:$B,$A100,'Plant BD'!$AM:$AM)),"")</f>
        <v>1</v>
      </c>
      <c r="P100" s="85"/>
      <c r="Q100" s="89"/>
      <c r="R100" s="85">
        <f>IFERROR(1-SUMIF('Grid BD'!$B:$B,$A100,'Grid BD'!$AE:$AE)/($AA100+SUMIF('Grid BD'!$B:$B,$A100,'Grid BD'!$AE:$AE)),"")</f>
        <v>1</v>
      </c>
      <c r="T100" s="89"/>
      <c r="U100" s="88">
        <f t="shared" si="5"/>
        <v>0.73644028652936144</v>
      </c>
      <c r="V100" s="88"/>
      <c r="W100" s="84">
        <f t="shared" si="4"/>
        <v>0.16140316279768505</v>
      </c>
      <c r="X100" s="86">
        <f>IFERROR(_xlfn.XLOOKUP($A100,'Raw Data'!$G:$G,'Raw Data'!AI:AI),"")</f>
        <v>29345.699999999997</v>
      </c>
      <c r="Y100" s="86">
        <f>IFERROR(_xlfn.XLOOKUP($A100,'Raw Data'!$G:$G,'Raw Data'!AJ:AJ),"")</f>
        <v>27699.999999999818</v>
      </c>
      <c r="Z100" s="86">
        <f>IFERROR(_xlfn.XLOOKUP($A100,'Raw Data'!$G:$G,'Raw Data'!AK:AK),"")</f>
        <v>200.00000000000284</v>
      </c>
      <c r="AA100" s="86">
        <f>IFERROR(_xlfn.XLOOKUP($A100,'Raw Data'!$G:$G,'Raw Data'!$AL:$AL)*(1+(_xlfn.XLOOKUP(Table13[[#This Row],[Month Year]],JMR!$A:$A,JMR!$J:$J))),"")</f>
        <v>27499.999999999814</v>
      </c>
      <c r="AB100" s="86">
        <f>IFERROR(_xlfn.XLOOKUP($A100,'Raw Data'!$G:$G,'Raw Data'!$H:$H),"")</f>
        <v>7.0991999999999997</v>
      </c>
      <c r="AC100" s="87">
        <f>IFERROR(_xlfn.XLOOKUP($D100,'Modelling New'!$D:$D,'Modelling New'!$P:$P),"")</f>
        <v>3.903225806451613</v>
      </c>
      <c r="AD100" s="86">
        <f>IFERROR(_xlfn.XLOOKUP($D100,'Modelling New'!$D:$D,'Modelling New'!$T:$T)*1000,"")</f>
        <v>20295.016135869184</v>
      </c>
      <c r="AE100" s="94">
        <f>IFERROR(_xlfn.XLOOKUP($D100,'Modelling New'!$D:$D,'Modelling New'!$O:$O),"")</f>
        <v>0.73241345342129649</v>
      </c>
      <c r="AF100" s="94">
        <f>IFERROR(_xlfn.XLOOKUP($D100,'Modelling New'!$D:$D,'Modelling New'!$W:$W),"")</f>
        <v>0.11911562884943129</v>
      </c>
      <c r="AG100" s="94">
        <f>IFERROR(_xlfn.XLOOKUP($D100,'Modelling New'!$D:$D,'Modelling New'!$AE:$AE),"")</f>
        <v>0.98040000000000005</v>
      </c>
      <c r="AH100" s="94">
        <f>IFERROR(_xlfn.XLOOKUP($D100,'Modelling New'!$D:$D,'Modelling New'!$AF:$AF),"")</f>
        <v>0.98</v>
      </c>
      <c r="AN100" s="85"/>
      <c r="AO100" s="84"/>
      <c r="AP100" s="84"/>
      <c r="AQ100" s="84"/>
      <c r="AR100" s="86">
        <f>'Basic Data'!$J$2</f>
        <v>7.0991999999999997</v>
      </c>
      <c r="AT100" s="7" t="str">
        <f>IFERROR(_xlfn.XLOOKUP(Table13[[#This Row],[Date]],'Raw Data'!$E:$E,'Raw Data'!$AN:$AN),"")</f>
        <v/>
      </c>
      <c r="AU100" s="7">
        <f>IFERROR(_xlfn.XLOOKUP(Table13[[#This Row],[Month Year]],'Modelling New'!$D:$D,'Modelling New'!$AO:$AO),"")</f>
        <v>7</v>
      </c>
      <c r="AV100" s="7">
        <f>IFERROR(SUMIF('Curtailment Records'!$C:$C,Table13[[#This Row],[Date]],'Curtailment Records'!$R:$R)/1000,"")</f>
        <v>0</v>
      </c>
    </row>
    <row r="101" spans="1:48" x14ac:dyDescent="0.25">
      <c r="A101" s="93">
        <f t="shared" si="6"/>
        <v>45844</v>
      </c>
      <c r="B101" s="86">
        <f>YEAR(Table13[[#This Row],[Date]])+IF(MONTH(Table13[[#This Row],[Date]])&gt;=4,1,0)</f>
        <v>2026</v>
      </c>
      <c r="C101" s="7">
        <f>YEAR(Table13[[#This Row],[Date]])</f>
        <v>2025</v>
      </c>
      <c r="D101" s="92">
        <f>Table13[[#This Row],[Date]]-DAY(Table13[[#This Row],[Date]])+1</f>
        <v>45839</v>
      </c>
      <c r="E101" s="7">
        <f t="shared" si="7"/>
        <v>31</v>
      </c>
      <c r="F101" s="91">
        <f>IFERROR(_xlfn.XLOOKUP($A101,'Raw Data'!$G:$G,'Raw Data'!$AM:$AM),"")</f>
        <v>13.083333333333332</v>
      </c>
      <c r="G101" s="90">
        <f>IFERROR(_xlfn.XLOOKUP($A101,'Raw Data'!$G:$G,'Raw Data'!$AB:$AB),"")</f>
        <v>0</v>
      </c>
      <c r="H101" s="90"/>
      <c r="I101" s="90">
        <f>IFERROR(_xlfn.XLOOKUP($A101,'Raw Data'!$G:$G,'Raw Data'!$AC:$AC),"")</f>
        <v>4.99</v>
      </c>
      <c r="J101" s="90"/>
      <c r="K101" s="90">
        <f>IFERROR(_xlfn.XLOOKUP($A101,'Raw Data'!$G:$G,'Raw Data'!AD:AD),"")</f>
        <v>0</v>
      </c>
      <c r="L101" s="90">
        <f>IFERROR(_xlfn.XLOOKUP($A101,'Raw Data'!$G:$G,'Raw Data'!AE:AE),"")</f>
        <v>41.17</v>
      </c>
      <c r="M101" s="90">
        <f>IFERROR(_xlfn.XLOOKUP($A101,'Raw Data'!$G:$G,'Raw Data'!AF:AF),"")</f>
        <v>0</v>
      </c>
      <c r="N101" s="90">
        <f>IFERROR(_xlfn.XLOOKUP($A101,'Raw Data'!$G:$G,'Raw Data'!AG:AG),"")</f>
        <v>0</v>
      </c>
      <c r="O101" s="85">
        <f>IFERROR(1-SUMIF('Plant BD'!$B:$B,$A101,'Plant BD'!$AM:$AM)/($AA101+SUMIF('Plant BD'!$B:$B,$A101,'Plant BD'!$AM:$AM)),"")</f>
        <v>1</v>
      </c>
      <c r="P101" s="85"/>
      <c r="Q101" s="89"/>
      <c r="R101" s="85">
        <f>IFERROR(1-SUMIF('Grid BD'!$B:$B,$A101,'Grid BD'!$AE:$AE)/($AA101+SUMIF('Grid BD'!$B:$B,$A101,'Grid BD'!$AE:$AE)),"")</f>
        <v>1</v>
      </c>
      <c r="T101" s="89"/>
      <c r="U101" s="88">
        <f t="shared" si="5"/>
        <v>0.77628775694277363</v>
      </c>
      <c r="V101" s="88"/>
      <c r="W101" s="84">
        <f t="shared" si="4"/>
        <v>0.16140316279768505</v>
      </c>
      <c r="X101" s="86">
        <f>IFERROR(_xlfn.XLOOKUP($A101,'Raw Data'!$G:$G,'Raw Data'!AI:AI),"")</f>
        <v>27978.1</v>
      </c>
      <c r="Y101" s="86">
        <f>IFERROR(_xlfn.XLOOKUP($A101,'Raw Data'!$G:$G,'Raw Data'!AJ:AJ),"")</f>
        <v>27699.999999999818</v>
      </c>
      <c r="Z101" s="86">
        <f>IFERROR(_xlfn.XLOOKUP($A101,'Raw Data'!$G:$G,'Raw Data'!AK:AK),"")</f>
        <v>200.00000000000284</v>
      </c>
      <c r="AA101" s="86">
        <f>IFERROR(_xlfn.XLOOKUP($A101,'Raw Data'!$G:$G,'Raw Data'!$AL:$AL)*(1+(_xlfn.XLOOKUP(Table13[[#This Row],[Month Year]],JMR!$A:$A,JMR!$J:$J))),"")</f>
        <v>27499.999999999814</v>
      </c>
      <c r="AB101" s="86">
        <f>IFERROR(_xlfn.XLOOKUP($A101,'Raw Data'!$G:$G,'Raw Data'!$H:$H),"")</f>
        <v>7.0991999999999997</v>
      </c>
      <c r="AC101" s="87">
        <f>IFERROR(_xlfn.XLOOKUP($D101,'Modelling New'!$D:$D,'Modelling New'!$P:$P),"")</f>
        <v>3.903225806451613</v>
      </c>
      <c r="AD101" s="86">
        <f>IFERROR(_xlfn.XLOOKUP($D101,'Modelling New'!$D:$D,'Modelling New'!$T:$T)*1000,"")</f>
        <v>20295.016135869184</v>
      </c>
      <c r="AE101" s="94">
        <f>IFERROR(_xlfn.XLOOKUP($D101,'Modelling New'!$D:$D,'Modelling New'!$O:$O),"")</f>
        <v>0.73241345342129649</v>
      </c>
      <c r="AF101" s="94">
        <f>IFERROR(_xlfn.XLOOKUP($D101,'Modelling New'!$D:$D,'Modelling New'!$W:$W),"")</f>
        <v>0.11911562884943129</v>
      </c>
      <c r="AG101" s="94">
        <f>IFERROR(_xlfn.XLOOKUP($D101,'Modelling New'!$D:$D,'Modelling New'!$AE:$AE),"")</f>
        <v>0.98040000000000005</v>
      </c>
      <c r="AH101" s="94">
        <f>IFERROR(_xlfn.XLOOKUP($D101,'Modelling New'!$D:$D,'Modelling New'!$AF:$AF),"")</f>
        <v>0.98</v>
      </c>
      <c r="AN101" s="85"/>
      <c r="AO101" s="84"/>
      <c r="AP101" s="84"/>
      <c r="AQ101" s="84"/>
      <c r="AR101" s="86">
        <f>'Basic Data'!$J$2</f>
        <v>7.0991999999999997</v>
      </c>
      <c r="AT101" s="7" t="str">
        <f>IFERROR(_xlfn.XLOOKUP(Table13[[#This Row],[Date]],'Raw Data'!$E:$E,'Raw Data'!$AN:$AN),"")</f>
        <v/>
      </c>
      <c r="AU101" s="7">
        <f>IFERROR(_xlfn.XLOOKUP(Table13[[#This Row],[Month Year]],'Modelling New'!$D:$D,'Modelling New'!$AO:$AO),"")</f>
        <v>7</v>
      </c>
      <c r="AV101" s="7">
        <f>IFERROR(SUMIF('Curtailment Records'!$C:$C,Table13[[#This Row],[Date]],'Curtailment Records'!$R:$R)/1000,"")</f>
        <v>0</v>
      </c>
    </row>
    <row r="102" spans="1:48" x14ac:dyDescent="0.25">
      <c r="A102" s="93">
        <f t="shared" si="6"/>
        <v>45845</v>
      </c>
      <c r="B102" s="86">
        <f>YEAR(Table13[[#This Row],[Date]])+IF(MONTH(Table13[[#This Row],[Date]])&gt;=4,1,0)</f>
        <v>2026</v>
      </c>
      <c r="C102" s="7">
        <f>YEAR(Table13[[#This Row],[Date]])</f>
        <v>2025</v>
      </c>
      <c r="D102" s="92">
        <f>Table13[[#This Row],[Date]]-DAY(Table13[[#This Row],[Date]])+1</f>
        <v>45839</v>
      </c>
      <c r="E102" s="7">
        <f t="shared" si="7"/>
        <v>31</v>
      </c>
      <c r="F102" s="91">
        <f>IFERROR(_xlfn.XLOOKUP($A102,'Raw Data'!$G:$G,'Raw Data'!$AM:$AM),"")</f>
        <v>13.249999999999998</v>
      </c>
      <c r="G102" s="90">
        <f>IFERROR(_xlfn.XLOOKUP($A102,'Raw Data'!$G:$G,'Raw Data'!$AB:$AB),"")</f>
        <v>0</v>
      </c>
      <c r="H102" s="90"/>
      <c r="I102" s="90">
        <f>IFERROR(_xlfn.XLOOKUP($A102,'Raw Data'!$G:$G,'Raw Data'!$AC:$AC),"")</f>
        <v>3.36</v>
      </c>
      <c r="J102" s="90"/>
      <c r="K102" s="90">
        <f>IFERROR(_xlfn.XLOOKUP($A102,'Raw Data'!$G:$G,'Raw Data'!AD:AD),"")</f>
        <v>0</v>
      </c>
      <c r="L102" s="90">
        <f>IFERROR(_xlfn.XLOOKUP($A102,'Raw Data'!$G:$G,'Raw Data'!AE:AE),"")</f>
        <v>36.659999999999997</v>
      </c>
      <c r="M102" s="90">
        <f>IFERROR(_xlfn.XLOOKUP($A102,'Raw Data'!$G:$G,'Raw Data'!AF:AF),"")</f>
        <v>0</v>
      </c>
      <c r="N102" s="90">
        <f>IFERROR(_xlfn.XLOOKUP($A102,'Raw Data'!$G:$G,'Raw Data'!AG:AG),"")</f>
        <v>0</v>
      </c>
      <c r="O102" s="85">
        <f>IFERROR(1-SUMIF('Plant BD'!$B:$B,$A102,'Plant BD'!$AM:$AM)/($AA102+SUMIF('Plant BD'!$B:$B,$A102,'Plant BD'!$AM:$AM)),"")</f>
        <v>1</v>
      </c>
      <c r="P102" s="85"/>
      <c r="Q102" s="89"/>
      <c r="R102" s="85">
        <f>IFERROR(1-SUMIF('Grid BD'!$B:$B,$A102,'Grid BD'!$AE:$AE)/($AA102+SUMIF('Grid BD'!$B:$B,$A102,'Grid BD'!$AE:$AE)),"")</f>
        <v>1</v>
      </c>
      <c r="T102" s="89"/>
      <c r="U102" s="88">
        <f t="shared" si="5"/>
        <v>0.81330424890264152</v>
      </c>
      <c r="V102" s="88"/>
      <c r="W102" s="84">
        <f t="shared" si="4"/>
        <v>0.11386259484636983</v>
      </c>
      <c r="X102" s="86">
        <f>IFERROR(_xlfn.XLOOKUP($A102,'Raw Data'!$G:$G,'Raw Data'!AI:AI),"")</f>
        <v>19712.7</v>
      </c>
      <c r="Y102" s="86">
        <f>IFERROR(_xlfn.XLOOKUP($A102,'Raw Data'!$G:$G,'Raw Data'!AJ:AJ),"")</f>
        <v>19600.000000000364</v>
      </c>
      <c r="Z102" s="86">
        <f>IFERROR(_xlfn.XLOOKUP($A102,'Raw Data'!$G:$G,'Raw Data'!AK:AK),"")</f>
        <v>199.99999999999574</v>
      </c>
      <c r="AA102" s="86">
        <f>IFERROR(_xlfn.XLOOKUP($A102,'Raw Data'!$G:$G,'Raw Data'!$AL:$AL)*(1+(_xlfn.XLOOKUP(Table13[[#This Row],[Month Year]],JMR!$A:$A,JMR!$J:$J))),"")</f>
        <v>19400.000000000367</v>
      </c>
      <c r="AB102" s="86">
        <f>IFERROR(_xlfn.XLOOKUP($A102,'Raw Data'!$G:$G,'Raw Data'!$H:$H),"")</f>
        <v>7.0991999999999997</v>
      </c>
      <c r="AC102" s="87">
        <f>IFERROR(_xlfn.XLOOKUP($D102,'Modelling New'!$D:$D,'Modelling New'!$P:$P),"")</f>
        <v>3.903225806451613</v>
      </c>
      <c r="AD102" s="86">
        <f>IFERROR(_xlfn.XLOOKUP($D102,'Modelling New'!$D:$D,'Modelling New'!$T:$T)*1000,"")</f>
        <v>20295.016135869184</v>
      </c>
      <c r="AE102" s="94">
        <f>IFERROR(_xlfn.XLOOKUP($D102,'Modelling New'!$D:$D,'Modelling New'!$O:$O),"")</f>
        <v>0.73241345342129649</v>
      </c>
      <c r="AF102" s="94">
        <f>IFERROR(_xlfn.XLOOKUP($D102,'Modelling New'!$D:$D,'Modelling New'!$W:$W),"")</f>
        <v>0.11911562884943129</v>
      </c>
      <c r="AG102" s="94">
        <f>IFERROR(_xlfn.XLOOKUP($D102,'Modelling New'!$D:$D,'Modelling New'!$AE:$AE),"")</f>
        <v>0.98040000000000005</v>
      </c>
      <c r="AH102" s="94">
        <f>IFERROR(_xlfn.XLOOKUP($D102,'Modelling New'!$D:$D,'Modelling New'!$AF:$AF),"")</f>
        <v>0.98</v>
      </c>
      <c r="AN102" s="85"/>
      <c r="AO102" s="84"/>
      <c r="AP102" s="84"/>
      <c r="AQ102" s="84"/>
      <c r="AR102" s="86">
        <f>'Basic Data'!$J$2</f>
        <v>7.0991999999999997</v>
      </c>
      <c r="AT102" s="7" t="str">
        <f>IFERROR(_xlfn.XLOOKUP(Table13[[#This Row],[Date]],'Raw Data'!$E:$E,'Raw Data'!$AN:$AN),"")</f>
        <v/>
      </c>
      <c r="AU102" s="7">
        <f>IFERROR(_xlfn.XLOOKUP(Table13[[#This Row],[Month Year]],'Modelling New'!$D:$D,'Modelling New'!$AO:$AO),"")</f>
        <v>7</v>
      </c>
      <c r="AV102" s="7">
        <f>IFERROR(SUMIF('Curtailment Records'!$C:$C,Table13[[#This Row],[Date]],'Curtailment Records'!$R:$R)/1000,"")</f>
        <v>0</v>
      </c>
    </row>
    <row r="103" spans="1:48" x14ac:dyDescent="0.25">
      <c r="A103" s="93">
        <f t="shared" si="6"/>
        <v>45846</v>
      </c>
      <c r="B103" s="86">
        <f>YEAR(Table13[[#This Row],[Date]])+IF(MONTH(Table13[[#This Row],[Date]])&gt;=4,1,0)</f>
        <v>2026</v>
      </c>
      <c r="C103" s="7">
        <f>YEAR(Table13[[#This Row],[Date]])</f>
        <v>2025</v>
      </c>
      <c r="D103" s="92">
        <f>Table13[[#This Row],[Date]]-DAY(Table13[[#This Row],[Date]])+1</f>
        <v>45839</v>
      </c>
      <c r="E103" s="7">
        <f t="shared" si="7"/>
        <v>31</v>
      </c>
      <c r="F103" s="91">
        <f>IFERROR(_xlfn.XLOOKUP($A103,'Raw Data'!$G:$G,'Raw Data'!$AM:$AM),"")</f>
        <v>13.483333333333331</v>
      </c>
      <c r="G103" s="90">
        <f>IFERROR(_xlfn.XLOOKUP($A103,'Raw Data'!$G:$G,'Raw Data'!$AB:$AB),"")</f>
        <v>0</v>
      </c>
      <c r="H103" s="90"/>
      <c r="I103" s="90">
        <f>IFERROR(_xlfn.XLOOKUP($A103,'Raw Data'!$G:$G,'Raw Data'!$AC:$AC),"")</f>
        <v>3.97</v>
      </c>
      <c r="J103" s="90"/>
      <c r="K103" s="90">
        <f>IFERROR(_xlfn.XLOOKUP($A103,'Raw Data'!$G:$G,'Raw Data'!AD:AD),"")</f>
        <v>0</v>
      </c>
      <c r="L103" s="90">
        <f>IFERROR(_xlfn.XLOOKUP($A103,'Raw Data'!$G:$G,'Raw Data'!AE:AE),"")</f>
        <v>38.14</v>
      </c>
      <c r="M103" s="90">
        <f>IFERROR(_xlfn.XLOOKUP($A103,'Raw Data'!$G:$G,'Raw Data'!AF:AF),"")</f>
        <v>0</v>
      </c>
      <c r="N103" s="90">
        <f>IFERROR(_xlfn.XLOOKUP($A103,'Raw Data'!$G:$G,'Raw Data'!AG:AG),"")</f>
        <v>0</v>
      </c>
      <c r="O103" s="85">
        <f>IFERROR(1-SUMIF('Plant BD'!$B:$B,$A103,'Plant BD'!$AM:$AM)/($AA103+SUMIF('Plant BD'!$B:$B,$A103,'Plant BD'!$AM:$AM)),"")</f>
        <v>1</v>
      </c>
      <c r="P103" s="85"/>
      <c r="Q103" s="89"/>
      <c r="R103" s="85">
        <f>IFERROR(1-SUMIF('Grid BD'!$B:$B,$A103,'Grid BD'!$AE:$AE)/($AA103+SUMIF('Grid BD'!$B:$B,$A103,'Grid BD'!$AE:$AE)),"")</f>
        <v>1</v>
      </c>
      <c r="T103" s="89"/>
      <c r="U103" s="88">
        <f t="shared" si="5"/>
        <v>0.8515522946779619</v>
      </c>
      <c r="V103" s="88"/>
      <c r="W103" s="84">
        <f t="shared" si="4"/>
        <v>0.14086094207797953</v>
      </c>
      <c r="X103" s="86">
        <f>IFERROR(_xlfn.XLOOKUP($A103,'Raw Data'!$G:$G,'Raw Data'!AI:AI),"")</f>
        <v>24312.400000000001</v>
      </c>
      <c r="Y103" s="86">
        <f>IFERROR(_xlfn.XLOOKUP($A103,'Raw Data'!$G:$G,'Raw Data'!AJ:AJ),"")</f>
        <v>24199.999999999818</v>
      </c>
      <c r="Z103" s="86">
        <f>IFERROR(_xlfn.XLOOKUP($A103,'Raw Data'!$G:$G,'Raw Data'!AK:AK),"")</f>
        <v>200.00000000000284</v>
      </c>
      <c r="AA103" s="86">
        <f>IFERROR(_xlfn.XLOOKUP($A103,'Raw Data'!$G:$G,'Raw Data'!$AL:$AL)*(1+(_xlfn.XLOOKUP(Table13[[#This Row],[Month Year]],JMR!$A:$A,JMR!$J:$J))),"")</f>
        <v>23999.999999999814</v>
      </c>
      <c r="AB103" s="86">
        <f>IFERROR(_xlfn.XLOOKUP($A103,'Raw Data'!$G:$G,'Raw Data'!$H:$H),"")</f>
        <v>7.0991999999999997</v>
      </c>
      <c r="AC103" s="87">
        <f>IFERROR(_xlfn.XLOOKUP($D103,'Modelling New'!$D:$D,'Modelling New'!$P:$P),"")</f>
        <v>3.903225806451613</v>
      </c>
      <c r="AD103" s="86">
        <f>IFERROR(_xlfn.XLOOKUP($D103,'Modelling New'!$D:$D,'Modelling New'!$T:$T)*1000,"")</f>
        <v>20295.016135869184</v>
      </c>
      <c r="AE103" s="94">
        <f>IFERROR(_xlfn.XLOOKUP($D103,'Modelling New'!$D:$D,'Modelling New'!$O:$O),"")</f>
        <v>0.73241345342129649</v>
      </c>
      <c r="AF103" s="94">
        <f>IFERROR(_xlfn.XLOOKUP($D103,'Modelling New'!$D:$D,'Modelling New'!$W:$W),"")</f>
        <v>0.11911562884943129</v>
      </c>
      <c r="AG103" s="94">
        <f>IFERROR(_xlfn.XLOOKUP($D103,'Modelling New'!$D:$D,'Modelling New'!$AE:$AE),"")</f>
        <v>0.98040000000000005</v>
      </c>
      <c r="AH103" s="94">
        <f>IFERROR(_xlfn.XLOOKUP($D103,'Modelling New'!$D:$D,'Modelling New'!$AF:$AF),"")</f>
        <v>0.98</v>
      </c>
      <c r="AN103" s="85"/>
      <c r="AO103" s="84"/>
      <c r="AP103" s="84"/>
      <c r="AQ103" s="84"/>
      <c r="AR103" s="86">
        <f>'Basic Data'!$J$2</f>
        <v>7.0991999999999997</v>
      </c>
      <c r="AT103" s="7" t="str">
        <f>IFERROR(_xlfn.XLOOKUP(Table13[[#This Row],[Date]],'Raw Data'!$E:$E,'Raw Data'!$AN:$AN),"")</f>
        <v/>
      </c>
      <c r="AU103" s="7">
        <f>IFERROR(_xlfn.XLOOKUP(Table13[[#This Row],[Month Year]],'Modelling New'!$D:$D,'Modelling New'!$AO:$AO),"")</f>
        <v>7</v>
      </c>
      <c r="AV103" s="7">
        <f>IFERROR(SUMIF('Curtailment Records'!$C:$C,Table13[[#This Row],[Date]],'Curtailment Records'!$R:$R)/1000,"")</f>
        <v>0</v>
      </c>
    </row>
    <row r="104" spans="1:48" x14ac:dyDescent="0.25">
      <c r="A104" s="93">
        <f t="shared" si="6"/>
        <v>45847</v>
      </c>
      <c r="B104" s="86">
        <f>YEAR(Table13[[#This Row],[Date]])+IF(MONTH(Table13[[#This Row],[Date]])&gt;=4,1,0)</f>
        <v>2026</v>
      </c>
      <c r="C104" s="7">
        <f>YEAR(Table13[[#This Row],[Date]])</f>
        <v>2025</v>
      </c>
      <c r="D104" s="92">
        <f>Table13[[#This Row],[Date]]-DAY(Table13[[#This Row],[Date]])+1</f>
        <v>45839</v>
      </c>
      <c r="E104" s="7">
        <f t="shared" si="7"/>
        <v>31</v>
      </c>
      <c r="F104" s="91">
        <f>IFERROR(_xlfn.XLOOKUP($A104,'Raw Data'!$G:$G,'Raw Data'!$AM:$AM),"")</f>
        <v>13.483333333333334</v>
      </c>
      <c r="G104" s="90">
        <f>IFERROR(_xlfn.XLOOKUP($A104,'Raw Data'!$G:$G,'Raw Data'!$AB:$AB),"")</f>
        <v>0</v>
      </c>
      <c r="H104" s="90"/>
      <c r="I104" s="90">
        <f>IFERROR(_xlfn.XLOOKUP($A104,'Raw Data'!$G:$G,'Raw Data'!$AC:$AC),"")</f>
        <v>4.0999999999999996</v>
      </c>
      <c r="J104" s="90"/>
      <c r="K104" s="90">
        <f>IFERROR(_xlfn.XLOOKUP($A104,'Raw Data'!$G:$G,'Raw Data'!AD:AD),"")</f>
        <v>0</v>
      </c>
      <c r="L104" s="90">
        <f>IFERROR(_xlfn.XLOOKUP($A104,'Raw Data'!$G:$G,'Raw Data'!AE:AE),"")</f>
        <v>38.5</v>
      </c>
      <c r="M104" s="90">
        <f>IFERROR(_xlfn.XLOOKUP($A104,'Raw Data'!$G:$G,'Raw Data'!AF:AF),"")</f>
        <v>0</v>
      </c>
      <c r="N104" s="90">
        <f>IFERROR(_xlfn.XLOOKUP($A104,'Raw Data'!$G:$G,'Raw Data'!AG:AG),"")</f>
        <v>0</v>
      </c>
      <c r="O104" s="85">
        <f>IFERROR(1-SUMIF('Plant BD'!$B:$B,$A104,'Plant BD'!$AM:$AM)/($AA104+SUMIF('Plant BD'!$B:$B,$A104,'Plant BD'!$AM:$AM)),"")</f>
        <v>1</v>
      </c>
      <c r="P104" s="85"/>
      <c r="Q104" s="89"/>
      <c r="R104" s="85">
        <f>IFERROR(1-SUMIF('Grid BD'!$B:$B,$A104,'Grid BD'!$AE:$AE)/($AA104+SUMIF('Grid BD'!$B:$B,$A104,'Grid BD'!$AE:$AE)),"")</f>
        <v>0.95466809061429359</v>
      </c>
      <c r="T104" s="89"/>
      <c r="U104" s="88">
        <f t="shared" si="5"/>
        <v>0.75240356866042701</v>
      </c>
      <c r="V104" s="88"/>
      <c r="W104" s="84">
        <f t="shared" si="4"/>
        <v>0.12853560964615626</v>
      </c>
      <c r="X104" s="86">
        <f>IFERROR(_xlfn.XLOOKUP($A104,'Raw Data'!$G:$G,'Raw Data'!AI:AI),"")</f>
        <v>22284.799999999999</v>
      </c>
      <c r="Y104" s="86">
        <f>IFERROR(_xlfn.XLOOKUP($A104,'Raw Data'!$G:$G,'Raw Data'!AJ:AJ),"")</f>
        <v>22199.999999999818</v>
      </c>
      <c r="Z104" s="86">
        <f>IFERROR(_xlfn.XLOOKUP($A104,'Raw Data'!$G:$G,'Raw Data'!AK:AK),"")</f>
        <v>299.99999999999716</v>
      </c>
      <c r="AA104" s="86">
        <f>IFERROR(_xlfn.XLOOKUP($A104,'Raw Data'!$G:$G,'Raw Data'!$AL:$AL)*(1+(_xlfn.XLOOKUP(Table13[[#This Row],[Month Year]],JMR!$A:$A,JMR!$J:$J))),"")</f>
        <v>21899.999999999822</v>
      </c>
      <c r="AB104" s="86">
        <f>IFERROR(_xlfn.XLOOKUP($A104,'Raw Data'!$G:$G,'Raw Data'!$H:$H),"")</f>
        <v>7.0991999999999997</v>
      </c>
      <c r="AC104" s="87">
        <f>IFERROR(_xlfn.XLOOKUP($D104,'Modelling New'!$D:$D,'Modelling New'!$P:$P),"")</f>
        <v>3.903225806451613</v>
      </c>
      <c r="AD104" s="86">
        <f>IFERROR(_xlfn.XLOOKUP($D104,'Modelling New'!$D:$D,'Modelling New'!$T:$T)*1000,"")</f>
        <v>20295.016135869184</v>
      </c>
      <c r="AE104" s="94">
        <f>IFERROR(_xlfn.XLOOKUP($D104,'Modelling New'!$D:$D,'Modelling New'!$O:$O),"")</f>
        <v>0.73241345342129649</v>
      </c>
      <c r="AF104" s="94">
        <f>IFERROR(_xlfn.XLOOKUP($D104,'Modelling New'!$D:$D,'Modelling New'!$W:$W),"")</f>
        <v>0.11911562884943129</v>
      </c>
      <c r="AG104" s="94">
        <f>IFERROR(_xlfn.XLOOKUP($D104,'Modelling New'!$D:$D,'Modelling New'!$AE:$AE),"")</f>
        <v>0.98040000000000005</v>
      </c>
      <c r="AH104" s="94">
        <f>IFERROR(_xlfn.XLOOKUP($D104,'Modelling New'!$D:$D,'Modelling New'!$AF:$AF),"")</f>
        <v>0.98</v>
      </c>
      <c r="AN104" s="85"/>
      <c r="AO104" s="84"/>
      <c r="AP104" s="84"/>
      <c r="AQ104" s="84"/>
      <c r="AR104" s="86">
        <f>'Basic Data'!$J$2</f>
        <v>7.0991999999999997</v>
      </c>
      <c r="AT104" s="7" t="str">
        <f>IFERROR(_xlfn.XLOOKUP(Table13[[#This Row],[Date]],'Raw Data'!$E:$E,'Raw Data'!$AN:$AN),"")</f>
        <v/>
      </c>
      <c r="AU104" s="7">
        <f>IFERROR(_xlfn.XLOOKUP(Table13[[#This Row],[Month Year]],'Modelling New'!$D:$D,'Modelling New'!$AO:$AO),"")</f>
        <v>7</v>
      </c>
      <c r="AV104" s="7">
        <f>IFERROR(SUMIF('Curtailment Records'!$C:$C,Table13[[#This Row],[Date]],'Curtailment Records'!$R:$R)/1000,"")</f>
        <v>0</v>
      </c>
    </row>
    <row r="105" spans="1:48" x14ac:dyDescent="0.25">
      <c r="A105" s="93">
        <f t="shared" si="6"/>
        <v>45848</v>
      </c>
      <c r="B105" s="86">
        <f>YEAR(Table13[[#This Row],[Date]])+IF(MONTH(Table13[[#This Row],[Date]])&gt;=4,1,0)</f>
        <v>2026</v>
      </c>
      <c r="C105" s="7">
        <f>YEAR(Table13[[#This Row],[Date]])</f>
        <v>2025</v>
      </c>
      <c r="D105" s="92">
        <f>Table13[[#This Row],[Date]]-DAY(Table13[[#This Row],[Date]])+1</f>
        <v>45839</v>
      </c>
      <c r="E105" s="7">
        <f t="shared" si="7"/>
        <v>31</v>
      </c>
      <c r="F105" s="91">
        <f>IFERROR(_xlfn.XLOOKUP($A105,'Raw Data'!$G:$G,'Raw Data'!$AM:$AM),"")</f>
        <v>13.4</v>
      </c>
      <c r="G105" s="90">
        <f>IFERROR(_xlfn.XLOOKUP($A105,'Raw Data'!$G:$G,'Raw Data'!$AB:$AB),"")</f>
        <v>0</v>
      </c>
      <c r="H105" s="90"/>
      <c r="I105" s="90">
        <f>IFERROR(_xlfn.XLOOKUP($A105,'Raw Data'!$G:$G,'Raw Data'!$AC:$AC),"")</f>
        <v>4.41</v>
      </c>
      <c r="J105" s="90"/>
      <c r="K105" s="90">
        <f>IFERROR(_xlfn.XLOOKUP($A105,'Raw Data'!$G:$G,'Raw Data'!AD:AD),"")</f>
        <v>0</v>
      </c>
      <c r="L105" s="90">
        <f>IFERROR(_xlfn.XLOOKUP($A105,'Raw Data'!$G:$G,'Raw Data'!AE:AE),"")</f>
        <v>40.86</v>
      </c>
      <c r="M105" s="90">
        <f>IFERROR(_xlfn.XLOOKUP($A105,'Raw Data'!$G:$G,'Raw Data'!AF:AF),"")</f>
        <v>0</v>
      </c>
      <c r="N105" s="90">
        <f>IFERROR(_xlfn.XLOOKUP($A105,'Raw Data'!$G:$G,'Raw Data'!AG:AG),"")</f>
        <v>0</v>
      </c>
      <c r="O105" s="85">
        <f>IFERROR(1-SUMIF('Plant BD'!$B:$B,$A105,'Plant BD'!$AM:$AM)/($AA105+SUMIF('Plant BD'!$B:$B,$A105,'Plant BD'!$AM:$AM)),"")</f>
        <v>1</v>
      </c>
      <c r="P105" s="85"/>
      <c r="Q105" s="89"/>
      <c r="R105" s="85">
        <f>IFERROR(1-SUMIF('Grid BD'!$B:$B,$A105,'Grid BD'!$AE:$AE)/($AA105+SUMIF('Grid BD'!$B:$B,$A105,'Grid BD'!$AE:$AE)),"")</f>
        <v>1</v>
      </c>
      <c r="T105" s="89"/>
      <c r="U105" s="88">
        <f t="shared" si="5"/>
        <v>0.78256078932213768</v>
      </c>
      <c r="V105" s="88"/>
      <c r="W105" s="84">
        <f t="shared" si="4"/>
        <v>0.14379554503794281</v>
      </c>
      <c r="X105" s="86">
        <f>IFERROR(_xlfn.XLOOKUP($A105,'Raw Data'!$G:$G,'Raw Data'!AI:AI),"")</f>
        <v>24934.100000000002</v>
      </c>
      <c r="Y105" s="86">
        <f>IFERROR(_xlfn.XLOOKUP($A105,'Raw Data'!$G:$G,'Raw Data'!AJ:AJ),"")</f>
        <v>24700.000000000728</v>
      </c>
      <c r="Z105" s="86">
        <f>IFERROR(_xlfn.XLOOKUP($A105,'Raw Data'!$G:$G,'Raw Data'!AK:AK),"")</f>
        <v>200.00000000000284</v>
      </c>
      <c r="AA105" s="86">
        <f>IFERROR(_xlfn.XLOOKUP($A105,'Raw Data'!$G:$G,'Raw Data'!$AL:$AL)*(1+(_xlfn.XLOOKUP(Table13[[#This Row],[Month Year]],JMR!$A:$A,JMR!$J:$J))),"")</f>
        <v>24500.000000000724</v>
      </c>
      <c r="AB105" s="86">
        <f>IFERROR(_xlfn.XLOOKUP($A105,'Raw Data'!$G:$G,'Raw Data'!$H:$H),"")</f>
        <v>7.0991999999999997</v>
      </c>
      <c r="AC105" s="87">
        <f>IFERROR(_xlfn.XLOOKUP($D105,'Modelling New'!$D:$D,'Modelling New'!$P:$P),"")</f>
        <v>3.903225806451613</v>
      </c>
      <c r="AD105" s="86">
        <f>IFERROR(_xlfn.XLOOKUP($D105,'Modelling New'!$D:$D,'Modelling New'!$T:$T)*1000,"")</f>
        <v>20295.016135869184</v>
      </c>
      <c r="AE105" s="94">
        <f>IFERROR(_xlfn.XLOOKUP($D105,'Modelling New'!$D:$D,'Modelling New'!$O:$O),"")</f>
        <v>0.73241345342129649</v>
      </c>
      <c r="AF105" s="94">
        <f>IFERROR(_xlfn.XLOOKUP($D105,'Modelling New'!$D:$D,'Modelling New'!$W:$W),"")</f>
        <v>0.11911562884943129</v>
      </c>
      <c r="AG105" s="94">
        <f>IFERROR(_xlfn.XLOOKUP($D105,'Modelling New'!$D:$D,'Modelling New'!$AE:$AE),"")</f>
        <v>0.98040000000000005</v>
      </c>
      <c r="AH105" s="94">
        <f>IFERROR(_xlfn.XLOOKUP($D105,'Modelling New'!$D:$D,'Modelling New'!$AF:$AF),"")</f>
        <v>0.98</v>
      </c>
      <c r="AN105" s="85"/>
      <c r="AO105" s="84"/>
      <c r="AP105" s="84"/>
      <c r="AQ105" s="84"/>
      <c r="AR105" s="86">
        <f>'Basic Data'!$J$2</f>
        <v>7.0991999999999997</v>
      </c>
      <c r="AT105" s="7" t="str">
        <f>IFERROR(_xlfn.XLOOKUP(Table13[[#This Row],[Date]],'Raw Data'!$E:$E,'Raw Data'!$AN:$AN),"")</f>
        <v/>
      </c>
      <c r="AU105" s="7">
        <f>IFERROR(_xlfn.XLOOKUP(Table13[[#This Row],[Month Year]],'Modelling New'!$D:$D,'Modelling New'!$AO:$AO),"")</f>
        <v>7</v>
      </c>
      <c r="AV105" s="7">
        <f>IFERROR(SUMIF('Curtailment Records'!$C:$C,Table13[[#This Row],[Date]],'Curtailment Records'!$R:$R)/1000,"")</f>
        <v>0</v>
      </c>
    </row>
    <row r="106" spans="1:48" x14ac:dyDescent="0.25">
      <c r="A106" s="93">
        <f t="shared" si="6"/>
        <v>45849</v>
      </c>
      <c r="B106" s="86">
        <f>YEAR(Table13[[#This Row],[Date]])+IF(MONTH(Table13[[#This Row],[Date]])&gt;=4,1,0)</f>
        <v>2026</v>
      </c>
      <c r="C106" s="7">
        <f>YEAR(Table13[[#This Row],[Date]])</f>
        <v>2025</v>
      </c>
      <c r="D106" s="92">
        <f>Table13[[#This Row],[Date]]-DAY(Table13[[#This Row],[Date]])+1</f>
        <v>45839</v>
      </c>
      <c r="E106" s="7">
        <f t="shared" si="7"/>
        <v>31</v>
      </c>
      <c r="F106" s="91">
        <f>IFERROR(_xlfn.XLOOKUP($A106,'Raw Data'!$G:$G,'Raw Data'!$AM:$AM),"")</f>
        <v>13.6</v>
      </c>
      <c r="G106" s="90">
        <f>IFERROR(_xlfn.XLOOKUP($A106,'Raw Data'!$G:$G,'Raw Data'!$AB:$AB),"")</f>
        <v>0</v>
      </c>
      <c r="H106" s="90"/>
      <c r="I106" s="90">
        <f>IFERROR(_xlfn.XLOOKUP($A106,'Raw Data'!$G:$G,'Raw Data'!$AC:$AC),"")</f>
        <v>5.32</v>
      </c>
      <c r="J106" s="90"/>
      <c r="K106" s="90">
        <f>IFERROR(_xlfn.XLOOKUP($A106,'Raw Data'!$G:$G,'Raw Data'!AD:AD),"")</f>
        <v>0</v>
      </c>
      <c r="L106" s="90">
        <f>IFERROR(_xlfn.XLOOKUP($A106,'Raw Data'!$G:$G,'Raw Data'!AE:AE),"")</f>
        <v>43.42</v>
      </c>
      <c r="M106" s="90">
        <f>IFERROR(_xlfn.XLOOKUP($A106,'Raw Data'!$G:$G,'Raw Data'!AF:AF),"")</f>
        <v>0</v>
      </c>
      <c r="N106" s="90">
        <f>IFERROR(_xlfn.XLOOKUP($A106,'Raw Data'!$G:$G,'Raw Data'!AG:AG),"")</f>
        <v>0</v>
      </c>
      <c r="O106" s="85">
        <f>IFERROR(1-SUMIF('Plant BD'!$B:$B,$A106,'Plant BD'!$AM:$AM)/($AA106+SUMIF('Plant BD'!$B:$B,$A106,'Plant BD'!$AM:$AM)),"")</f>
        <v>1</v>
      </c>
      <c r="P106" s="85"/>
      <c r="Q106" s="89"/>
      <c r="R106" s="85">
        <f>IFERROR(1-SUMIF('Grid BD'!$B:$B,$A106,'Grid BD'!$AE:$AE)/($AA106+SUMIF('Grid BD'!$B:$B,$A106,'Grid BD'!$AE:$AE)),"")</f>
        <v>1</v>
      </c>
      <c r="T106" s="89"/>
      <c r="U106" s="88">
        <f t="shared" si="5"/>
        <v>0.76785100004913776</v>
      </c>
      <c r="V106" s="88"/>
      <c r="W106" s="84">
        <f t="shared" si="4"/>
        <v>0.17020697167755888</v>
      </c>
      <c r="X106" s="86">
        <f>IFERROR(_xlfn.XLOOKUP($A106,'Raw Data'!$G:$G,'Raw Data'!AI:AI),"")</f>
        <v>29400.5</v>
      </c>
      <c r="Y106" s="86">
        <f>IFERROR(_xlfn.XLOOKUP($A106,'Raw Data'!$G:$G,'Raw Data'!AJ:AJ),"")</f>
        <v>29199.999999999818</v>
      </c>
      <c r="Z106" s="86">
        <f>IFERROR(_xlfn.XLOOKUP($A106,'Raw Data'!$G:$G,'Raw Data'!AK:AK),"")</f>
        <v>199.99999999999574</v>
      </c>
      <c r="AA106" s="86">
        <f>IFERROR(_xlfn.XLOOKUP($A106,'Raw Data'!$G:$G,'Raw Data'!$AL:$AL)*(1+(_xlfn.XLOOKUP(Table13[[#This Row],[Month Year]],JMR!$A:$A,JMR!$J:$J))),"")</f>
        <v>28999.999999999822</v>
      </c>
      <c r="AB106" s="86">
        <f>IFERROR(_xlfn.XLOOKUP($A106,'Raw Data'!$G:$G,'Raw Data'!$H:$H),"")</f>
        <v>7.0991999999999997</v>
      </c>
      <c r="AC106" s="87">
        <f>IFERROR(_xlfn.XLOOKUP($D106,'Modelling New'!$D:$D,'Modelling New'!$P:$P),"")</f>
        <v>3.903225806451613</v>
      </c>
      <c r="AD106" s="86">
        <f>IFERROR(_xlfn.XLOOKUP($D106,'Modelling New'!$D:$D,'Modelling New'!$T:$T)*1000,"")</f>
        <v>20295.016135869184</v>
      </c>
      <c r="AE106" s="94">
        <f>IFERROR(_xlfn.XLOOKUP($D106,'Modelling New'!$D:$D,'Modelling New'!$O:$O),"")</f>
        <v>0.73241345342129649</v>
      </c>
      <c r="AF106" s="94">
        <f>IFERROR(_xlfn.XLOOKUP($D106,'Modelling New'!$D:$D,'Modelling New'!$W:$W),"")</f>
        <v>0.11911562884943129</v>
      </c>
      <c r="AG106" s="94">
        <f>IFERROR(_xlfn.XLOOKUP($D106,'Modelling New'!$D:$D,'Modelling New'!$AE:$AE),"")</f>
        <v>0.98040000000000005</v>
      </c>
      <c r="AH106" s="94">
        <f>IFERROR(_xlfn.XLOOKUP($D106,'Modelling New'!$D:$D,'Modelling New'!$AF:$AF),"")</f>
        <v>0.98</v>
      </c>
      <c r="AN106" s="85"/>
      <c r="AO106" s="84"/>
      <c r="AP106" s="84"/>
      <c r="AQ106" s="84"/>
      <c r="AR106" s="86">
        <f>'Basic Data'!$J$2</f>
        <v>7.0991999999999997</v>
      </c>
      <c r="AT106" s="7" t="str">
        <f>IFERROR(_xlfn.XLOOKUP(Table13[[#This Row],[Date]],'Raw Data'!$E:$E,'Raw Data'!$AN:$AN),"")</f>
        <v/>
      </c>
      <c r="AU106" s="7">
        <f>IFERROR(_xlfn.XLOOKUP(Table13[[#This Row],[Month Year]],'Modelling New'!$D:$D,'Modelling New'!$AO:$AO),"")</f>
        <v>7</v>
      </c>
      <c r="AV106" s="7">
        <f>IFERROR(SUMIF('Curtailment Records'!$C:$C,Table13[[#This Row],[Date]],'Curtailment Records'!$R:$R)/1000,"")</f>
        <v>0</v>
      </c>
    </row>
    <row r="107" spans="1:48" x14ac:dyDescent="0.25">
      <c r="A107" s="93">
        <f t="shared" si="6"/>
        <v>45850</v>
      </c>
      <c r="B107" s="86">
        <f>YEAR(Table13[[#This Row],[Date]])+IF(MONTH(Table13[[#This Row],[Date]])&gt;=4,1,0)</f>
        <v>2026</v>
      </c>
      <c r="C107" s="7">
        <f>YEAR(Table13[[#This Row],[Date]])</f>
        <v>2025</v>
      </c>
      <c r="D107" s="92">
        <f>Table13[[#This Row],[Date]]-DAY(Table13[[#This Row],[Date]])+1</f>
        <v>45839</v>
      </c>
      <c r="E107" s="7">
        <f t="shared" si="7"/>
        <v>31</v>
      </c>
      <c r="F107" s="91">
        <f>IFERROR(_xlfn.XLOOKUP($A107,'Raw Data'!$G:$G,'Raw Data'!$AM:$AM),"")</f>
        <v>13.533333333333333</v>
      </c>
      <c r="G107" s="90">
        <f>IFERROR(_xlfn.XLOOKUP($A107,'Raw Data'!$G:$G,'Raw Data'!$AB:$AB),"")</f>
        <v>0</v>
      </c>
      <c r="H107" s="90"/>
      <c r="I107" s="90">
        <f>IFERROR(_xlfn.XLOOKUP($A107,'Raw Data'!$G:$G,'Raw Data'!$AC:$AC),"")</f>
        <v>4.45</v>
      </c>
      <c r="J107" s="90"/>
      <c r="K107" s="90">
        <f>IFERROR(_xlfn.XLOOKUP($A107,'Raw Data'!$G:$G,'Raw Data'!AD:AD),"")</f>
        <v>0</v>
      </c>
      <c r="L107" s="90">
        <f>IFERROR(_xlfn.XLOOKUP($A107,'Raw Data'!$G:$G,'Raw Data'!AE:AE),"")</f>
        <v>41.06</v>
      </c>
      <c r="M107" s="90" t="str">
        <f>IFERROR(_xlfn.XLOOKUP($A107,'Raw Data'!$G:$G,'Raw Data'!AF:AF),"")</f>
        <v>`0</v>
      </c>
      <c r="N107" s="90">
        <f>IFERROR(_xlfn.XLOOKUP($A107,'Raw Data'!$G:$G,'Raw Data'!AG:AG),"")</f>
        <v>0</v>
      </c>
      <c r="O107" s="85">
        <f>IFERROR(1-SUMIF('Plant BD'!$B:$B,$A107,'Plant BD'!$AM:$AM)/($AA107+SUMIF('Plant BD'!$B:$B,$A107,'Plant BD'!$AM:$AM)),"")</f>
        <v>1</v>
      </c>
      <c r="P107" s="85"/>
      <c r="Q107" s="89"/>
      <c r="R107" s="85">
        <f>IFERROR(1-SUMIF('Grid BD'!$B:$B,$A107,'Grid BD'!$AE:$AE)/($AA107+SUMIF('Grid BD'!$B:$B,$A107,'Grid BD'!$AE:$AE)),"")</f>
        <v>0.98727262894643653</v>
      </c>
      <c r="T107" s="89"/>
      <c r="U107" s="88">
        <f t="shared" si="5"/>
        <v>0.76603029174990545</v>
      </c>
      <c r="V107" s="88"/>
      <c r="W107" s="84">
        <f t="shared" si="4"/>
        <v>0.14203478326196164</v>
      </c>
      <c r="X107" s="86">
        <f>IFERROR(_xlfn.XLOOKUP($A107,'Raw Data'!$G:$G,'Raw Data'!AI:AI),"")</f>
        <v>24519.199999999997</v>
      </c>
      <c r="Y107" s="86">
        <f>IFERROR(_xlfn.XLOOKUP($A107,'Raw Data'!$G:$G,'Raw Data'!AJ:AJ),"")</f>
        <v>24399.999999999636</v>
      </c>
      <c r="Z107" s="86">
        <f>IFERROR(_xlfn.XLOOKUP($A107,'Raw Data'!$G:$G,'Raw Data'!AK:AK),"")</f>
        <v>200.00000000000284</v>
      </c>
      <c r="AA107" s="86">
        <f>IFERROR(_xlfn.XLOOKUP($A107,'Raw Data'!$G:$G,'Raw Data'!$AL:$AL)*(1+(_xlfn.XLOOKUP(Table13[[#This Row],[Month Year]],JMR!$A:$A,JMR!$J:$J))),"")</f>
        <v>24199.999999999633</v>
      </c>
      <c r="AB107" s="86">
        <f>IFERROR(_xlfn.XLOOKUP($A107,'Raw Data'!$G:$G,'Raw Data'!$H:$H),"")</f>
        <v>7.0991999999999997</v>
      </c>
      <c r="AC107" s="87">
        <f>IFERROR(_xlfn.XLOOKUP($D107,'Modelling New'!$D:$D,'Modelling New'!$P:$P),"")</f>
        <v>3.903225806451613</v>
      </c>
      <c r="AD107" s="86">
        <f>IFERROR(_xlfn.XLOOKUP($D107,'Modelling New'!$D:$D,'Modelling New'!$T:$T)*1000,"")</f>
        <v>20295.016135869184</v>
      </c>
      <c r="AE107" s="94">
        <f>IFERROR(_xlfn.XLOOKUP($D107,'Modelling New'!$D:$D,'Modelling New'!$O:$O),"")</f>
        <v>0.73241345342129649</v>
      </c>
      <c r="AF107" s="94">
        <f>IFERROR(_xlfn.XLOOKUP($D107,'Modelling New'!$D:$D,'Modelling New'!$W:$W),"")</f>
        <v>0.11911562884943129</v>
      </c>
      <c r="AG107" s="94">
        <f>IFERROR(_xlfn.XLOOKUP($D107,'Modelling New'!$D:$D,'Modelling New'!$AE:$AE),"")</f>
        <v>0.98040000000000005</v>
      </c>
      <c r="AH107" s="94">
        <f>IFERROR(_xlfn.XLOOKUP($D107,'Modelling New'!$D:$D,'Modelling New'!$AF:$AF),"")</f>
        <v>0.98</v>
      </c>
      <c r="AN107" s="85"/>
      <c r="AO107" s="84"/>
      <c r="AP107" s="84"/>
      <c r="AQ107" s="84"/>
      <c r="AR107" s="86">
        <f>'Basic Data'!$J$2</f>
        <v>7.0991999999999997</v>
      </c>
      <c r="AT107" s="7" t="str">
        <f>IFERROR(_xlfn.XLOOKUP(Table13[[#This Row],[Date]],'Raw Data'!$E:$E,'Raw Data'!$AN:$AN),"")</f>
        <v/>
      </c>
      <c r="AU107" s="7">
        <f>IFERROR(_xlfn.XLOOKUP(Table13[[#This Row],[Month Year]],'Modelling New'!$D:$D,'Modelling New'!$AO:$AO),"")</f>
        <v>7</v>
      </c>
      <c r="AV107" s="7">
        <f>IFERROR(SUMIF('Curtailment Records'!$C:$C,Table13[[#This Row],[Date]],'Curtailment Records'!$R:$R)/1000,"")</f>
        <v>0</v>
      </c>
    </row>
    <row r="108" spans="1:48" x14ac:dyDescent="0.25">
      <c r="A108" s="93">
        <f t="shared" si="6"/>
        <v>45851</v>
      </c>
      <c r="B108" s="86">
        <f>YEAR(Table13[[#This Row],[Date]])+IF(MONTH(Table13[[#This Row],[Date]])&gt;=4,1,0)</f>
        <v>2026</v>
      </c>
      <c r="C108" s="7">
        <f>YEAR(Table13[[#This Row],[Date]])</f>
        <v>2025</v>
      </c>
      <c r="D108" s="92">
        <f>Table13[[#This Row],[Date]]-DAY(Table13[[#This Row],[Date]])+1</f>
        <v>45839</v>
      </c>
      <c r="E108" s="7">
        <f t="shared" si="7"/>
        <v>31</v>
      </c>
      <c r="F108" s="91">
        <f>IFERROR(_xlfn.XLOOKUP($A108,'Raw Data'!$G:$G,'Raw Data'!$AM:$AM),"")</f>
        <v>13.433333333333334</v>
      </c>
      <c r="G108" s="90">
        <f>IFERROR(_xlfn.XLOOKUP($A108,'Raw Data'!$G:$G,'Raw Data'!$AB:$AB),"")</f>
        <v>0</v>
      </c>
      <c r="H108" s="90"/>
      <c r="I108" s="90">
        <f>IFERROR(_xlfn.XLOOKUP($A108,'Raw Data'!$G:$G,'Raw Data'!$AC:$AC),"")</f>
        <v>5.05</v>
      </c>
      <c r="J108" s="90"/>
      <c r="K108" s="90">
        <f>IFERROR(_xlfn.XLOOKUP($A108,'Raw Data'!$G:$G,'Raw Data'!AD:AD),"")</f>
        <v>0</v>
      </c>
      <c r="L108" s="90">
        <f>IFERROR(_xlfn.XLOOKUP($A108,'Raw Data'!$G:$G,'Raw Data'!AE:AE),"")</f>
        <v>43.06</v>
      </c>
      <c r="M108" s="90" t="str">
        <f>IFERROR(_xlfn.XLOOKUP($A108,'Raw Data'!$G:$G,'Raw Data'!AF:AF),"")</f>
        <v>`0</v>
      </c>
      <c r="N108" s="90">
        <f>IFERROR(_xlfn.XLOOKUP($A108,'Raw Data'!$G:$G,'Raw Data'!AG:AG),"")</f>
        <v>0</v>
      </c>
      <c r="O108" s="85">
        <f>IFERROR(1-SUMIF('Plant BD'!$B:$B,$A108,'Plant BD'!$AM:$AM)/($AA108+SUMIF('Plant BD'!$B:$B,$A108,'Plant BD'!$AM:$AM)),"")</f>
        <v>1</v>
      </c>
      <c r="P108" s="85"/>
      <c r="Q108" s="89"/>
      <c r="R108" s="85">
        <f>IFERROR(1-SUMIF('Grid BD'!$B:$B,$A108,'Grid BD'!$AE:$AE)/($AA108+SUMIF('Grid BD'!$B:$B,$A108,'Grid BD'!$AE:$AE)),"")</f>
        <v>1</v>
      </c>
      <c r="T108" s="89"/>
      <c r="U108" s="88">
        <f t="shared" si="5"/>
        <v>0.77822183841103176</v>
      </c>
      <c r="V108" s="88"/>
      <c r="W108" s="84">
        <f t="shared" si="4"/>
        <v>0.16375084516565458</v>
      </c>
      <c r="X108" s="86">
        <f>IFERROR(_xlfn.XLOOKUP($A108,'Raw Data'!$G:$G,'Raw Data'!AI:AI),"")</f>
        <v>28304.300000000003</v>
      </c>
      <c r="Y108" s="86">
        <f>IFERROR(_xlfn.XLOOKUP($A108,'Raw Data'!$G:$G,'Raw Data'!AJ:AJ),"")</f>
        <v>28100.000000000364</v>
      </c>
      <c r="Z108" s="86">
        <f>IFERROR(_xlfn.XLOOKUP($A108,'Raw Data'!$G:$G,'Raw Data'!AK:AK),"")</f>
        <v>200.00000000000284</v>
      </c>
      <c r="AA108" s="86">
        <f>IFERROR(_xlfn.XLOOKUP($A108,'Raw Data'!$G:$G,'Raw Data'!$AL:$AL)*(1+(_xlfn.XLOOKUP(Table13[[#This Row],[Month Year]],JMR!$A:$A,JMR!$J:$J))),"")</f>
        <v>27900.00000000036</v>
      </c>
      <c r="AB108" s="86">
        <f>IFERROR(_xlfn.XLOOKUP($A108,'Raw Data'!$G:$G,'Raw Data'!$H:$H),"")</f>
        <v>7.0991999999999997</v>
      </c>
      <c r="AC108" s="87">
        <f>IFERROR(_xlfn.XLOOKUP($D108,'Modelling New'!$D:$D,'Modelling New'!$P:$P),"")</f>
        <v>3.903225806451613</v>
      </c>
      <c r="AD108" s="86">
        <f>IFERROR(_xlfn.XLOOKUP($D108,'Modelling New'!$D:$D,'Modelling New'!$T:$T)*1000,"")</f>
        <v>20295.016135869184</v>
      </c>
      <c r="AE108" s="94">
        <f>IFERROR(_xlfn.XLOOKUP($D108,'Modelling New'!$D:$D,'Modelling New'!$O:$O),"")</f>
        <v>0.73241345342129649</v>
      </c>
      <c r="AF108" s="94">
        <f>IFERROR(_xlfn.XLOOKUP($D108,'Modelling New'!$D:$D,'Modelling New'!$W:$W),"")</f>
        <v>0.11911562884943129</v>
      </c>
      <c r="AG108" s="94">
        <f>IFERROR(_xlfn.XLOOKUP($D108,'Modelling New'!$D:$D,'Modelling New'!$AE:$AE),"")</f>
        <v>0.98040000000000005</v>
      </c>
      <c r="AH108" s="94">
        <f>IFERROR(_xlfn.XLOOKUP($D108,'Modelling New'!$D:$D,'Modelling New'!$AF:$AF),"")</f>
        <v>0.98</v>
      </c>
      <c r="AN108" s="85"/>
      <c r="AO108" s="84"/>
      <c r="AP108" s="84"/>
      <c r="AQ108" s="84"/>
      <c r="AR108" s="86">
        <f>'Basic Data'!$J$2</f>
        <v>7.0991999999999997</v>
      </c>
      <c r="AT108" s="7" t="str">
        <f>IFERROR(_xlfn.XLOOKUP(Table13[[#This Row],[Date]],'Raw Data'!$E:$E,'Raw Data'!$AN:$AN),"")</f>
        <v/>
      </c>
      <c r="AU108" s="7">
        <f>IFERROR(_xlfn.XLOOKUP(Table13[[#This Row],[Month Year]],'Modelling New'!$D:$D,'Modelling New'!$AO:$AO),"")</f>
        <v>7</v>
      </c>
      <c r="AV108" s="7">
        <f>IFERROR(SUMIF('Curtailment Records'!$C:$C,Table13[[#This Row],[Date]],'Curtailment Records'!$R:$R)/1000,"")</f>
        <v>0</v>
      </c>
    </row>
    <row r="109" spans="1:48" x14ac:dyDescent="0.25">
      <c r="A109" s="93">
        <f t="shared" si="6"/>
        <v>45852</v>
      </c>
      <c r="B109" s="86">
        <f>YEAR(Table13[[#This Row],[Date]])+IF(MONTH(Table13[[#This Row],[Date]])&gt;=4,1,0)</f>
        <v>2026</v>
      </c>
      <c r="C109" s="7">
        <f>YEAR(Table13[[#This Row],[Date]])</f>
        <v>2025</v>
      </c>
      <c r="D109" s="92">
        <f>Table13[[#This Row],[Date]]-DAY(Table13[[#This Row],[Date]])+1</f>
        <v>45839</v>
      </c>
      <c r="E109" s="7">
        <f t="shared" si="7"/>
        <v>31</v>
      </c>
      <c r="F109" s="91">
        <f>IFERROR(_xlfn.XLOOKUP($A109,'Raw Data'!$G:$G,'Raw Data'!$AM:$AM),"")</f>
        <v>13.133333333333335</v>
      </c>
      <c r="G109" s="90">
        <f>IFERROR(_xlfn.XLOOKUP($A109,'Raw Data'!$G:$G,'Raw Data'!$AB:$AB),"")</f>
        <v>0</v>
      </c>
      <c r="H109" s="90"/>
      <c r="I109" s="90">
        <f>IFERROR(_xlfn.XLOOKUP($A109,'Raw Data'!$G:$G,'Raw Data'!$AC:$AC),"")</f>
        <v>5.69</v>
      </c>
      <c r="J109" s="90"/>
      <c r="K109" s="90">
        <f>IFERROR(_xlfn.XLOOKUP($A109,'Raw Data'!$G:$G,'Raw Data'!AD:AD),"")</f>
        <v>0</v>
      </c>
      <c r="L109" s="90">
        <f>IFERROR(_xlfn.XLOOKUP($A109,'Raw Data'!$G:$G,'Raw Data'!AE:AE),"")</f>
        <v>44.79</v>
      </c>
      <c r="M109" s="90" t="str">
        <f>IFERROR(_xlfn.XLOOKUP($A109,'Raw Data'!$G:$G,'Raw Data'!AF:AF),"")</f>
        <v>`0</v>
      </c>
      <c r="N109" s="90">
        <f>IFERROR(_xlfn.XLOOKUP($A109,'Raw Data'!$G:$G,'Raw Data'!AG:AG),"")</f>
        <v>0</v>
      </c>
      <c r="O109" s="85">
        <f>IFERROR(1-SUMIF('Plant BD'!$B:$B,$A109,'Plant BD'!$AM:$AM)/($AA109+SUMIF('Plant BD'!$B:$B,$A109,'Plant BD'!$AM:$AM)),"")</f>
        <v>1</v>
      </c>
      <c r="P109" s="85"/>
      <c r="Q109" s="89"/>
      <c r="R109" s="85">
        <f>IFERROR(1-SUMIF('Grid BD'!$B:$B,$A109,'Grid BD'!$AE:$AE)/($AA109+SUMIF('Grid BD'!$B:$B,$A109,'Grid BD'!$AE:$AE)),"")</f>
        <v>1</v>
      </c>
      <c r="T109" s="89"/>
      <c r="U109" s="88">
        <f t="shared" si="5"/>
        <v>0.76743219761289527</v>
      </c>
      <c r="V109" s="88"/>
      <c r="W109" s="84">
        <f t="shared" si="4"/>
        <v>0.18194538351739059</v>
      </c>
      <c r="X109" s="86">
        <f>IFERROR(_xlfn.XLOOKUP($A109,'Raw Data'!$G:$G,'Raw Data'!AI:AI),"")</f>
        <v>31453.000000000004</v>
      </c>
      <c r="Y109" s="86">
        <f>IFERROR(_xlfn.XLOOKUP($A109,'Raw Data'!$G:$G,'Raw Data'!AJ:AJ),"")</f>
        <v>31199.999999999818</v>
      </c>
      <c r="Z109" s="86">
        <f>IFERROR(_xlfn.XLOOKUP($A109,'Raw Data'!$G:$G,'Raw Data'!AK:AK),"")</f>
        <v>199.99999999999574</v>
      </c>
      <c r="AA109" s="86">
        <f>IFERROR(_xlfn.XLOOKUP($A109,'Raw Data'!$G:$G,'Raw Data'!$AL:$AL)*(1+(_xlfn.XLOOKUP(Table13[[#This Row],[Month Year]],JMR!$A:$A,JMR!$J:$J))),"")</f>
        <v>30999.999999999822</v>
      </c>
      <c r="AB109" s="86">
        <f>IFERROR(_xlfn.XLOOKUP($A109,'Raw Data'!$G:$G,'Raw Data'!$H:$H),"")</f>
        <v>7.0991999999999997</v>
      </c>
      <c r="AC109" s="87">
        <f>IFERROR(_xlfn.XLOOKUP($D109,'Modelling New'!$D:$D,'Modelling New'!$P:$P),"")</f>
        <v>3.903225806451613</v>
      </c>
      <c r="AD109" s="86">
        <f>IFERROR(_xlfn.XLOOKUP($D109,'Modelling New'!$D:$D,'Modelling New'!$T:$T)*1000,"")</f>
        <v>20295.016135869184</v>
      </c>
      <c r="AE109" s="94">
        <f>IFERROR(_xlfn.XLOOKUP($D109,'Modelling New'!$D:$D,'Modelling New'!$O:$O),"")</f>
        <v>0.73241345342129649</v>
      </c>
      <c r="AF109" s="94">
        <f>IFERROR(_xlfn.XLOOKUP($D109,'Modelling New'!$D:$D,'Modelling New'!$W:$W),"")</f>
        <v>0.11911562884943129</v>
      </c>
      <c r="AG109" s="94">
        <f>IFERROR(_xlfn.XLOOKUP($D109,'Modelling New'!$D:$D,'Modelling New'!$AE:$AE),"")</f>
        <v>0.98040000000000005</v>
      </c>
      <c r="AH109" s="94">
        <f>IFERROR(_xlfn.XLOOKUP($D109,'Modelling New'!$D:$D,'Modelling New'!$AF:$AF),"")</f>
        <v>0.98</v>
      </c>
      <c r="AN109" s="85"/>
      <c r="AO109" s="84"/>
      <c r="AP109" s="84"/>
      <c r="AQ109" s="84"/>
      <c r="AR109" s="86">
        <f>'Basic Data'!$J$2</f>
        <v>7.0991999999999997</v>
      </c>
      <c r="AT109" s="7" t="str">
        <f>IFERROR(_xlfn.XLOOKUP(Table13[[#This Row],[Date]],'Raw Data'!$E:$E,'Raw Data'!$AN:$AN),"")</f>
        <v/>
      </c>
      <c r="AU109" s="7">
        <f>IFERROR(_xlfn.XLOOKUP(Table13[[#This Row],[Month Year]],'Modelling New'!$D:$D,'Modelling New'!$AO:$AO),"")</f>
        <v>7</v>
      </c>
      <c r="AV109" s="7">
        <f>IFERROR(SUMIF('Curtailment Records'!$C:$C,Table13[[#This Row],[Date]],'Curtailment Records'!$R:$R)/1000,"")</f>
        <v>0</v>
      </c>
    </row>
    <row r="110" spans="1:48" x14ac:dyDescent="0.25">
      <c r="A110" s="93">
        <f t="shared" si="6"/>
        <v>45853</v>
      </c>
      <c r="B110" s="86">
        <f>YEAR(Table13[[#This Row],[Date]])+IF(MONTH(Table13[[#This Row],[Date]])&gt;=4,1,0)</f>
        <v>2026</v>
      </c>
      <c r="C110" s="7">
        <f>YEAR(Table13[[#This Row],[Date]])</f>
        <v>2025</v>
      </c>
      <c r="D110" s="92">
        <f>Table13[[#This Row],[Date]]-DAY(Table13[[#This Row],[Date]])+1</f>
        <v>45839</v>
      </c>
      <c r="E110" s="7">
        <f t="shared" si="7"/>
        <v>31</v>
      </c>
      <c r="F110" s="91">
        <f>IFERROR(_xlfn.XLOOKUP($A110,'Raw Data'!$G:$G,'Raw Data'!$AM:$AM),"")</f>
        <v>13.466666666666667</v>
      </c>
      <c r="G110" s="90">
        <f>IFERROR(_xlfn.XLOOKUP($A110,'Raw Data'!$G:$G,'Raw Data'!$AB:$AB),"")</f>
        <v>0</v>
      </c>
      <c r="H110" s="90"/>
      <c r="I110" s="90">
        <f>IFERROR(_xlfn.XLOOKUP($A110,'Raw Data'!$G:$G,'Raw Data'!$AC:$AC),"")</f>
        <v>4.66</v>
      </c>
      <c r="J110" s="90"/>
      <c r="K110" s="90">
        <f>IFERROR(_xlfn.XLOOKUP($A110,'Raw Data'!$G:$G,'Raw Data'!AD:AD),"")</f>
        <v>0</v>
      </c>
      <c r="L110" s="90">
        <f>IFERROR(_xlfn.XLOOKUP($A110,'Raw Data'!$G:$G,'Raw Data'!AE:AE),"")</f>
        <v>41.15</v>
      </c>
      <c r="M110" s="90">
        <f>IFERROR(_xlfn.XLOOKUP($A110,'Raw Data'!$G:$G,'Raw Data'!AF:AF),"")</f>
        <v>0</v>
      </c>
      <c r="N110" s="90">
        <f>IFERROR(_xlfn.XLOOKUP($A110,'Raw Data'!$G:$G,'Raw Data'!AG:AG),"")</f>
        <v>0</v>
      </c>
      <c r="O110" s="85">
        <f>IFERROR(1-SUMIF('Plant BD'!$B:$B,$A110,'Plant BD'!$AM:$AM)/($AA110+SUMIF('Plant BD'!$B:$B,$A110,'Plant BD'!$AM:$AM)),"")</f>
        <v>1</v>
      </c>
      <c r="P110" s="85"/>
      <c r="Q110" s="89"/>
      <c r="R110" s="85">
        <f>IFERROR(1-SUMIF('Grid BD'!$B:$B,$A110,'Grid BD'!$AE:$AE)/($AA110+SUMIF('Grid BD'!$B:$B,$A110,'Grid BD'!$AE:$AE)),"")</f>
        <v>1</v>
      </c>
      <c r="T110" s="89"/>
      <c r="U110" s="88">
        <f t="shared" si="5"/>
        <v>0.78894218631659219</v>
      </c>
      <c r="V110" s="88"/>
      <c r="W110" s="84">
        <f t="shared" si="4"/>
        <v>0.15318627450980499</v>
      </c>
      <c r="X110" s="86">
        <f>IFERROR(_xlfn.XLOOKUP($A110,'Raw Data'!$G:$G,'Raw Data'!AI:AI),"")</f>
        <v>26359.9</v>
      </c>
      <c r="Y110" s="86">
        <f>IFERROR(_xlfn.XLOOKUP($A110,'Raw Data'!$G:$G,'Raw Data'!AJ:AJ),"")</f>
        <v>26300.000000000182</v>
      </c>
      <c r="Z110" s="86">
        <f>IFERROR(_xlfn.XLOOKUP($A110,'Raw Data'!$G:$G,'Raw Data'!AK:AK),"")</f>
        <v>200.00000000000284</v>
      </c>
      <c r="AA110" s="86">
        <f>IFERROR(_xlfn.XLOOKUP($A110,'Raw Data'!$G:$G,'Raw Data'!$AL:$AL)*(1+(_xlfn.XLOOKUP(Table13[[#This Row],[Month Year]],JMR!$A:$A,JMR!$J:$J))),"")</f>
        <v>26100.000000000178</v>
      </c>
      <c r="AB110" s="86">
        <f>IFERROR(_xlfn.XLOOKUP($A110,'Raw Data'!$G:$G,'Raw Data'!$H:$H),"")</f>
        <v>7.0991999999999997</v>
      </c>
      <c r="AC110" s="87">
        <f>IFERROR(_xlfn.XLOOKUP($D110,'Modelling New'!$D:$D,'Modelling New'!$P:$P),"")</f>
        <v>3.903225806451613</v>
      </c>
      <c r="AD110" s="86">
        <f>IFERROR(_xlfn.XLOOKUP($D110,'Modelling New'!$D:$D,'Modelling New'!$T:$T)*1000,"")</f>
        <v>20295.016135869184</v>
      </c>
      <c r="AE110" s="94">
        <f>IFERROR(_xlfn.XLOOKUP($D110,'Modelling New'!$D:$D,'Modelling New'!$O:$O),"")</f>
        <v>0.73241345342129649</v>
      </c>
      <c r="AF110" s="94">
        <f>IFERROR(_xlfn.XLOOKUP($D110,'Modelling New'!$D:$D,'Modelling New'!$W:$W),"")</f>
        <v>0.11911562884943129</v>
      </c>
      <c r="AG110" s="94">
        <f>IFERROR(_xlfn.XLOOKUP($D110,'Modelling New'!$D:$D,'Modelling New'!$AE:$AE),"")</f>
        <v>0.98040000000000005</v>
      </c>
      <c r="AH110" s="94">
        <f>IFERROR(_xlfn.XLOOKUP($D110,'Modelling New'!$D:$D,'Modelling New'!$AF:$AF),"")</f>
        <v>0.98</v>
      </c>
      <c r="AN110" s="85"/>
      <c r="AO110" s="84"/>
      <c r="AP110" s="84"/>
      <c r="AQ110" s="84"/>
      <c r="AR110" s="86">
        <f>'Basic Data'!$J$2</f>
        <v>7.0991999999999997</v>
      </c>
      <c r="AT110" s="7" t="str">
        <f>IFERROR(_xlfn.XLOOKUP(Table13[[#This Row],[Date]],'Raw Data'!$E:$E,'Raw Data'!$AN:$AN),"")</f>
        <v/>
      </c>
      <c r="AU110" s="7">
        <f>IFERROR(_xlfn.XLOOKUP(Table13[[#This Row],[Month Year]],'Modelling New'!$D:$D,'Modelling New'!$AO:$AO),"")</f>
        <v>7</v>
      </c>
      <c r="AV110" s="7">
        <f>IFERROR(SUMIF('Curtailment Records'!$C:$C,Table13[[#This Row],[Date]],'Curtailment Records'!$R:$R)/1000,"")</f>
        <v>0</v>
      </c>
    </row>
    <row r="111" spans="1:48" x14ac:dyDescent="0.25">
      <c r="A111" s="93">
        <f t="shared" si="6"/>
        <v>45854</v>
      </c>
      <c r="B111" s="86">
        <f>YEAR(Table13[[#This Row],[Date]])+IF(MONTH(Table13[[#This Row],[Date]])&gt;=4,1,0)</f>
        <v>2026</v>
      </c>
      <c r="C111" s="7">
        <f>YEAR(Table13[[#This Row],[Date]])</f>
        <v>2025</v>
      </c>
      <c r="D111" s="92">
        <f>Table13[[#This Row],[Date]]-DAY(Table13[[#This Row],[Date]])+1</f>
        <v>45839</v>
      </c>
      <c r="E111" s="7">
        <f t="shared" si="7"/>
        <v>31</v>
      </c>
      <c r="F111" s="91">
        <f>IFERROR(_xlfn.XLOOKUP($A111,'Raw Data'!$G:$G,'Raw Data'!$AM:$AM),"")</f>
        <v>13.4</v>
      </c>
      <c r="G111" s="90">
        <f>IFERROR(_xlfn.XLOOKUP($A111,'Raw Data'!$G:$G,'Raw Data'!$AB:$AB),"")</f>
        <v>0</v>
      </c>
      <c r="H111" s="90"/>
      <c r="I111" s="90">
        <f>IFERROR(_xlfn.XLOOKUP($A111,'Raw Data'!$G:$G,'Raw Data'!$AC:$AC),"")</f>
        <v>4.93</v>
      </c>
      <c r="J111" s="90"/>
      <c r="K111" s="90">
        <f>IFERROR(_xlfn.XLOOKUP($A111,'Raw Data'!$G:$G,'Raw Data'!AD:AD),"")</f>
        <v>0</v>
      </c>
      <c r="L111" s="90">
        <f>IFERROR(_xlfn.XLOOKUP($A111,'Raw Data'!$G:$G,'Raw Data'!AE:AE),"")</f>
        <v>43.78</v>
      </c>
      <c r="M111" s="90">
        <f>IFERROR(_xlfn.XLOOKUP($A111,'Raw Data'!$G:$G,'Raw Data'!AF:AF),"")</f>
        <v>0</v>
      </c>
      <c r="N111" s="90">
        <f>IFERROR(_xlfn.XLOOKUP($A111,'Raw Data'!$G:$G,'Raw Data'!AG:AG),"")</f>
        <v>0</v>
      </c>
      <c r="O111" s="85">
        <f>IFERROR(1-SUMIF('Plant BD'!$B:$B,$A111,'Plant BD'!$AM:$AM)/($AA111+SUMIF('Plant BD'!$B:$B,$A111,'Plant BD'!$AM:$AM)),"")</f>
        <v>0.99869693591198028</v>
      </c>
      <c r="P111" s="85"/>
      <c r="Q111" s="89"/>
      <c r="R111" s="85">
        <f>IFERROR(1-SUMIF('Grid BD'!$B:$B,$A111,'Grid BD'!$AE:$AE)/($AA111+SUMIF('Grid BD'!$B:$B,$A111,'Grid BD'!$AE:$AE)),"")</f>
        <v>0.98082758766960565</v>
      </c>
      <c r="T111" s="89"/>
      <c r="U111" s="88">
        <f t="shared" si="5"/>
        <v>0.76002049883859202</v>
      </c>
      <c r="V111" s="88"/>
      <c r="W111" s="84">
        <f t="shared" ref="W111:W174" si="8">IFERROR(AA111/(24*AB111*1000),"")</f>
        <v>0.1561208774697608</v>
      </c>
      <c r="X111" s="86">
        <f>IFERROR(_xlfn.XLOOKUP($A111,'Raw Data'!$G:$G,'Raw Data'!AI:AI),"")</f>
        <v>27054.400000000001</v>
      </c>
      <c r="Y111" s="86">
        <f>IFERROR(_xlfn.XLOOKUP($A111,'Raw Data'!$G:$G,'Raw Data'!AJ:AJ),"")</f>
        <v>26699.999999999818</v>
      </c>
      <c r="Z111" s="86">
        <f>IFERROR(_xlfn.XLOOKUP($A111,'Raw Data'!$G:$G,'Raw Data'!AK:AK),"")</f>
        <v>100.00000000000142</v>
      </c>
      <c r="AA111" s="86">
        <f>IFERROR(_xlfn.XLOOKUP($A111,'Raw Data'!$G:$G,'Raw Data'!$AL:$AL)*(1+(_xlfn.XLOOKUP(Table13[[#This Row],[Month Year]],JMR!$A:$A,JMR!$J:$J))),"")</f>
        <v>26599.999999999818</v>
      </c>
      <c r="AB111" s="86">
        <f>IFERROR(_xlfn.XLOOKUP($A111,'Raw Data'!$G:$G,'Raw Data'!$H:$H),"")</f>
        <v>7.0991999999999997</v>
      </c>
      <c r="AC111" s="87">
        <f>IFERROR(_xlfn.XLOOKUP($D111,'Modelling New'!$D:$D,'Modelling New'!$P:$P),"")</f>
        <v>3.903225806451613</v>
      </c>
      <c r="AD111" s="86">
        <f>IFERROR(_xlfn.XLOOKUP($D111,'Modelling New'!$D:$D,'Modelling New'!$T:$T)*1000,"")</f>
        <v>20295.016135869184</v>
      </c>
      <c r="AE111" s="94">
        <f>IFERROR(_xlfn.XLOOKUP($D111,'Modelling New'!$D:$D,'Modelling New'!$O:$O),"")</f>
        <v>0.73241345342129649</v>
      </c>
      <c r="AF111" s="94">
        <f>IFERROR(_xlfn.XLOOKUP($D111,'Modelling New'!$D:$D,'Modelling New'!$W:$W),"")</f>
        <v>0.11911562884943129</v>
      </c>
      <c r="AG111" s="94">
        <f>IFERROR(_xlfn.XLOOKUP($D111,'Modelling New'!$D:$D,'Modelling New'!$AE:$AE),"")</f>
        <v>0.98040000000000005</v>
      </c>
      <c r="AH111" s="94">
        <f>IFERROR(_xlfn.XLOOKUP($D111,'Modelling New'!$D:$D,'Modelling New'!$AF:$AF),"")</f>
        <v>0.98</v>
      </c>
      <c r="AN111" s="85"/>
      <c r="AO111" s="84"/>
      <c r="AP111" s="84"/>
      <c r="AQ111" s="84"/>
      <c r="AR111" s="86">
        <f>'Basic Data'!$J$2</f>
        <v>7.0991999999999997</v>
      </c>
      <c r="AT111" s="7" t="str">
        <f>IFERROR(_xlfn.XLOOKUP(Table13[[#This Row],[Date]],'Raw Data'!$E:$E,'Raw Data'!$AN:$AN),"")</f>
        <v/>
      </c>
      <c r="AU111" s="7">
        <f>IFERROR(_xlfn.XLOOKUP(Table13[[#This Row],[Month Year]],'Modelling New'!$D:$D,'Modelling New'!$AO:$AO),"")</f>
        <v>7</v>
      </c>
      <c r="AV111" s="7">
        <f>IFERROR(SUMIF('Curtailment Records'!$C:$C,Table13[[#This Row],[Date]],'Curtailment Records'!$R:$R)/1000,"")</f>
        <v>0</v>
      </c>
    </row>
    <row r="112" spans="1:48" x14ac:dyDescent="0.25">
      <c r="A112" s="93">
        <f t="shared" si="6"/>
        <v>45855</v>
      </c>
      <c r="B112" s="86">
        <f>YEAR(Table13[[#This Row],[Date]])+IF(MONTH(Table13[[#This Row],[Date]])&gt;=4,1,0)</f>
        <v>2026</v>
      </c>
      <c r="C112" s="7">
        <f>YEAR(Table13[[#This Row],[Date]])</f>
        <v>2025</v>
      </c>
      <c r="D112" s="92">
        <f>Table13[[#This Row],[Date]]-DAY(Table13[[#This Row],[Date]])+1</f>
        <v>45839</v>
      </c>
      <c r="E112" s="7">
        <f t="shared" si="7"/>
        <v>31</v>
      </c>
      <c r="F112" s="91">
        <f>IFERROR(_xlfn.XLOOKUP($A112,'Raw Data'!$G:$G,'Raw Data'!$AM:$AM),"")</f>
        <v>13.166666666666668</v>
      </c>
      <c r="G112" s="90">
        <f>IFERROR(_xlfn.XLOOKUP($A112,'Raw Data'!$G:$G,'Raw Data'!$AB:$AB),"")</f>
        <v>0</v>
      </c>
      <c r="H112" s="90"/>
      <c r="I112" s="90">
        <f>IFERROR(_xlfn.XLOOKUP($A112,'Raw Data'!$G:$G,'Raw Data'!$AC:$AC),"")</f>
        <v>4.57</v>
      </c>
      <c r="J112" s="90"/>
      <c r="K112" s="90">
        <f>IFERROR(_xlfn.XLOOKUP($A112,'Raw Data'!$G:$G,'Raw Data'!AD:AD),"")</f>
        <v>0</v>
      </c>
      <c r="L112" s="90">
        <f>IFERROR(_xlfn.XLOOKUP($A112,'Raw Data'!$G:$G,'Raw Data'!AE:AE),"")</f>
        <v>44</v>
      </c>
      <c r="M112" s="90">
        <f>IFERROR(_xlfn.XLOOKUP($A112,'Raw Data'!$G:$G,'Raw Data'!AF:AF),"")</f>
        <v>0</v>
      </c>
      <c r="N112" s="90">
        <f>IFERROR(_xlfn.XLOOKUP($A112,'Raw Data'!$G:$G,'Raw Data'!AG:AG),"")</f>
        <v>0</v>
      </c>
      <c r="O112" s="85">
        <f>IFERROR(1-SUMIF('Plant BD'!$B:$B,$A112,'Plant BD'!$AM:$AM)/($AA112+SUMIF('Plant BD'!$B:$B,$A112,'Plant BD'!$AM:$AM)),"")</f>
        <v>1</v>
      </c>
      <c r="P112" s="85"/>
      <c r="Q112" s="89"/>
      <c r="R112" s="85">
        <f>IFERROR(1-SUMIF('Grid BD'!$B:$B,$A112,'Grid BD'!$AE:$AE)/($AA112+SUMIF('Grid BD'!$B:$B,$A112,'Grid BD'!$AE:$AE)),"")</f>
        <v>1</v>
      </c>
      <c r="T112" s="89"/>
      <c r="U112" s="88">
        <f t="shared" si="5"/>
        <v>0.78906785934274171</v>
      </c>
      <c r="V112" s="88"/>
      <c r="W112" s="84">
        <f t="shared" si="8"/>
        <v>0.15025167154984709</v>
      </c>
      <c r="X112" s="86">
        <f>IFERROR(_xlfn.XLOOKUP($A112,'Raw Data'!$G:$G,'Raw Data'!AI:AI),"")</f>
        <v>25868.9</v>
      </c>
      <c r="Y112" s="86">
        <f>IFERROR(_xlfn.XLOOKUP($A112,'Raw Data'!$G:$G,'Raw Data'!AJ:AJ),"")</f>
        <v>25800.000000000182</v>
      </c>
      <c r="Z112" s="86">
        <f>IFERROR(_xlfn.XLOOKUP($A112,'Raw Data'!$G:$G,'Raw Data'!AK:AK),"")</f>
        <v>199.99999999999574</v>
      </c>
      <c r="AA112" s="86">
        <f>IFERROR(_xlfn.XLOOKUP($A112,'Raw Data'!$G:$G,'Raw Data'!$AL:$AL)*(1+(_xlfn.XLOOKUP(Table13[[#This Row],[Month Year]],JMR!$A:$A,JMR!$J:$J))),"")</f>
        <v>25600.000000000186</v>
      </c>
      <c r="AB112" s="86">
        <f>IFERROR(_xlfn.XLOOKUP($A112,'Raw Data'!$G:$G,'Raw Data'!$H:$H),"")</f>
        <v>7.0991999999999997</v>
      </c>
      <c r="AC112" s="87">
        <f>IFERROR(_xlfn.XLOOKUP($D112,'Modelling New'!$D:$D,'Modelling New'!$P:$P),"")</f>
        <v>3.903225806451613</v>
      </c>
      <c r="AD112" s="86">
        <f>IFERROR(_xlfn.XLOOKUP($D112,'Modelling New'!$D:$D,'Modelling New'!$T:$T)*1000,"")</f>
        <v>20295.016135869184</v>
      </c>
      <c r="AE112" s="94">
        <f>IFERROR(_xlfn.XLOOKUP($D112,'Modelling New'!$D:$D,'Modelling New'!$O:$O),"")</f>
        <v>0.73241345342129649</v>
      </c>
      <c r="AF112" s="94">
        <f>IFERROR(_xlfn.XLOOKUP($D112,'Modelling New'!$D:$D,'Modelling New'!$W:$W),"")</f>
        <v>0.11911562884943129</v>
      </c>
      <c r="AG112" s="94">
        <f>IFERROR(_xlfn.XLOOKUP($D112,'Modelling New'!$D:$D,'Modelling New'!$AE:$AE),"")</f>
        <v>0.98040000000000005</v>
      </c>
      <c r="AH112" s="94">
        <f>IFERROR(_xlfn.XLOOKUP($D112,'Modelling New'!$D:$D,'Modelling New'!$AF:$AF),"")</f>
        <v>0.98</v>
      </c>
      <c r="AN112" s="85"/>
      <c r="AO112" s="84"/>
      <c r="AP112" s="84"/>
      <c r="AQ112" s="84"/>
      <c r="AR112" s="86">
        <f>'Basic Data'!$J$2</f>
        <v>7.0991999999999997</v>
      </c>
      <c r="AT112" s="7" t="str">
        <f>IFERROR(_xlfn.XLOOKUP(Table13[[#This Row],[Date]],'Raw Data'!$E:$E,'Raw Data'!$AN:$AN),"")</f>
        <v/>
      </c>
      <c r="AU112" s="7">
        <f>IFERROR(_xlfn.XLOOKUP(Table13[[#This Row],[Month Year]],'Modelling New'!$D:$D,'Modelling New'!$AO:$AO),"")</f>
        <v>7</v>
      </c>
      <c r="AV112" s="7">
        <f>IFERROR(SUMIF('Curtailment Records'!$C:$C,Table13[[#This Row],[Date]],'Curtailment Records'!$R:$R)/1000,"")</f>
        <v>0</v>
      </c>
    </row>
    <row r="113" spans="1:48" x14ac:dyDescent="0.25">
      <c r="A113" s="93">
        <f t="shared" si="6"/>
        <v>45856</v>
      </c>
      <c r="B113" s="86">
        <f>YEAR(Table13[[#This Row],[Date]])+IF(MONTH(Table13[[#This Row],[Date]])&gt;=4,1,0)</f>
        <v>2026</v>
      </c>
      <c r="C113" s="7">
        <f>YEAR(Table13[[#This Row],[Date]])</f>
        <v>2025</v>
      </c>
      <c r="D113" s="92">
        <f>Table13[[#This Row],[Date]]-DAY(Table13[[#This Row],[Date]])+1</f>
        <v>45839</v>
      </c>
      <c r="E113" s="7">
        <f t="shared" si="7"/>
        <v>31</v>
      </c>
      <c r="F113" s="91">
        <f>IFERROR(_xlfn.XLOOKUP($A113,'Raw Data'!$G:$G,'Raw Data'!$AM:$AM),"")</f>
        <v>13.3</v>
      </c>
      <c r="G113" s="90">
        <f>IFERROR(_xlfn.XLOOKUP($A113,'Raw Data'!$G:$G,'Raw Data'!$AB:$AB),"")</f>
        <v>0</v>
      </c>
      <c r="H113" s="90"/>
      <c r="I113" s="90">
        <f>IFERROR(_xlfn.XLOOKUP($A113,'Raw Data'!$G:$G,'Raw Data'!$AC:$AC),"")</f>
        <v>4.16</v>
      </c>
      <c r="J113" s="90"/>
      <c r="K113" s="90">
        <f>IFERROR(_xlfn.XLOOKUP($A113,'Raw Data'!$G:$G,'Raw Data'!AD:AD),"")</f>
        <v>0</v>
      </c>
      <c r="L113" s="90">
        <f>IFERROR(_xlfn.XLOOKUP($A113,'Raw Data'!$G:$G,'Raw Data'!AE:AE),"")</f>
        <v>41.85</v>
      </c>
      <c r="M113" s="90">
        <f>IFERROR(_xlfn.XLOOKUP($A113,'Raw Data'!$G:$G,'Raw Data'!AF:AF),"")</f>
        <v>0</v>
      </c>
      <c r="N113" s="90">
        <f>IFERROR(_xlfn.XLOOKUP($A113,'Raw Data'!$G:$G,'Raw Data'!AG:AG),"")</f>
        <v>0</v>
      </c>
      <c r="O113" s="85">
        <f>IFERROR(1-SUMIF('Plant BD'!$B:$B,$A113,'Plant BD'!$AM:$AM)/($AA113+SUMIF('Plant BD'!$B:$B,$A113,'Plant BD'!$AM:$AM)),"")</f>
        <v>1</v>
      </c>
      <c r="P113" s="85"/>
      <c r="Q113" s="89"/>
      <c r="R113" s="85">
        <f>IFERROR(1-SUMIF('Grid BD'!$B:$B,$A113,'Grid BD'!$AE:$AE)/($AA113+SUMIF('Grid BD'!$B:$B,$A113,'Grid BD'!$AE:$AE)),"")</f>
        <v>1</v>
      </c>
      <c r="T113" s="89"/>
      <c r="U113" s="88">
        <f t="shared" si="5"/>
        <v>0.74155159411242744</v>
      </c>
      <c r="V113" s="88"/>
      <c r="W113" s="84">
        <f t="shared" si="8"/>
        <v>0.1285356096461541</v>
      </c>
      <c r="X113" s="86">
        <f>IFERROR(_xlfn.XLOOKUP($A113,'Raw Data'!$G:$G,'Raw Data'!AI:AI),"")</f>
        <v>22292.1</v>
      </c>
      <c r="Y113" s="86">
        <f>IFERROR(_xlfn.XLOOKUP($A113,'Raw Data'!$G:$G,'Raw Data'!AJ:AJ),"")</f>
        <v>22099.999999999454</v>
      </c>
      <c r="Z113" s="86">
        <f>IFERROR(_xlfn.XLOOKUP($A113,'Raw Data'!$G:$G,'Raw Data'!AK:AK),"")</f>
        <v>200.00000000000284</v>
      </c>
      <c r="AA113" s="86">
        <f>IFERROR(_xlfn.XLOOKUP($A113,'Raw Data'!$G:$G,'Raw Data'!$AL:$AL)*(1+(_xlfn.XLOOKUP(Table13[[#This Row],[Month Year]],JMR!$A:$A,JMR!$J:$J))),"")</f>
        <v>21899.999999999451</v>
      </c>
      <c r="AB113" s="86">
        <f>IFERROR(_xlfn.XLOOKUP($A113,'Raw Data'!$G:$G,'Raw Data'!$H:$H),"")</f>
        <v>7.0991999999999997</v>
      </c>
      <c r="AC113" s="87">
        <f>IFERROR(_xlfn.XLOOKUP($D113,'Modelling New'!$D:$D,'Modelling New'!$P:$P),"")</f>
        <v>3.903225806451613</v>
      </c>
      <c r="AD113" s="86">
        <f>IFERROR(_xlfn.XLOOKUP($D113,'Modelling New'!$D:$D,'Modelling New'!$T:$T)*1000,"")</f>
        <v>20295.016135869184</v>
      </c>
      <c r="AE113" s="94">
        <f>IFERROR(_xlfn.XLOOKUP($D113,'Modelling New'!$D:$D,'Modelling New'!$O:$O),"")</f>
        <v>0.73241345342129649</v>
      </c>
      <c r="AF113" s="94">
        <f>IFERROR(_xlfn.XLOOKUP($D113,'Modelling New'!$D:$D,'Modelling New'!$W:$W),"")</f>
        <v>0.11911562884943129</v>
      </c>
      <c r="AG113" s="94">
        <f>IFERROR(_xlfn.XLOOKUP($D113,'Modelling New'!$D:$D,'Modelling New'!$AE:$AE),"")</f>
        <v>0.98040000000000005</v>
      </c>
      <c r="AH113" s="94">
        <f>IFERROR(_xlfn.XLOOKUP($D113,'Modelling New'!$D:$D,'Modelling New'!$AF:$AF),"")</f>
        <v>0.98</v>
      </c>
      <c r="AN113" s="85"/>
      <c r="AO113" s="84"/>
      <c r="AP113" s="84"/>
      <c r="AQ113" s="84"/>
      <c r="AR113" s="86">
        <f>'Basic Data'!$J$2</f>
        <v>7.0991999999999997</v>
      </c>
      <c r="AT113" s="7" t="str">
        <f>IFERROR(_xlfn.XLOOKUP(Table13[[#This Row],[Date]],'Raw Data'!$E:$E,'Raw Data'!$AN:$AN),"")</f>
        <v/>
      </c>
      <c r="AU113" s="7">
        <f>IFERROR(_xlfn.XLOOKUP(Table13[[#This Row],[Month Year]],'Modelling New'!$D:$D,'Modelling New'!$AO:$AO),"")</f>
        <v>7</v>
      </c>
      <c r="AV113" s="7">
        <f>IFERROR(SUMIF('Curtailment Records'!$C:$C,Table13[[#This Row],[Date]],'Curtailment Records'!$R:$R)/1000,"")</f>
        <v>0</v>
      </c>
    </row>
    <row r="114" spans="1:48" x14ac:dyDescent="0.25">
      <c r="A114" s="93">
        <f t="shared" si="6"/>
        <v>45857</v>
      </c>
      <c r="B114" s="86">
        <f>YEAR(Table13[[#This Row],[Date]])+IF(MONTH(Table13[[#This Row],[Date]])&gt;=4,1,0)</f>
        <v>2026</v>
      </c>
      <c r="C114" s="7">
        <f>YEAR(Table13[[#This Row],[Date]])</f>
        <v>2025</v>
      </c>
      <c r="D114" s="92">
        <f>Table13[[#This Row],[Date]]-DAY(Table13[[#This Row],[Date]])+1</f>
        <v>45839</v>
      </c>
      <c r="E114" s="7">
        <f t="shared" si="7"/>
        <v>31</v>
      </c>
      <c r="F114" s="91">
        <f>IFERROR(_xlfn.XLOOKUP($A114,'Raw Data'!$G:$G,'Raw Data'!$AM:$AM),"")</f>
        <v>13.133333333333335</v>
      </c>
      <c r="G114" s="90">
        <f>IFERROR(_xlfn.XLOOKUP($A114,'Raw Data'!$G:$G,'Raw Data'!$AB:$AB),"")</f>
        <v>0</v>
      </c>
      <c r="H114" s="90"/>
      <c r="I114" s="90">
        <f>IFERROR(_xlfn.XLOOKUP($A114,'Raw Data'!$G:$G,'Raw Data'!$AC:$AC),"")</f>
        <v>4.13</v>
      </c>
      <c r="J114" s="90"/>
      <c r="K114" s="90">
        <f>IFERROR(_xlfn.XLOOKUP($A114,'Raw Data'!$G:$G,'Raw Data'!AD:AD),"")</f>
        <v>0</v>
      </c>
      <c r="L114" s="90">
        <f>IFERROR(_xlfn.XLOOKUP($A114,'Raw Data'!$G:$G,'Raw Data'!AE:AE),"")</f>
        <v>40.92</v>
      </c>
      <c r="M114" s="90">
        <f>IFERROR(_xlfn.XLOOKUP($A114,'Raw Data'!$G:$G,'Raw Data'!AF:AF),"")</f>
        <v>0</v>
      </c>
      <c r="N114" s="90">
        <f>IFERROR(_xlfn.XLOOKUP($A114,'Raw Data'!$G:$G,'Raw Data'!AG:AG),"")</f>
        <v>0</v>
      </c>
      <c r="O114" s="85">
        <f>IFERROR(1-SUMIF('Plant BD'!$B:$B,$A114,'Plant BD'!$AM:$AM)/($AA114+SUMIF('Plant BD'!$B:$B,$A114,'Plant BD'!$AM:$AM)),"")</f>
        <v>0.99704962092283078</v>
      </c>
      <c r="P114" s="85"/>
      <c r="Q114" s="89"/>
      <c r="R114" s="85">
        <f>IFERROR(1-SUMIF('Grid BD'!$B:$B,$A114,'Grid BD'!$AE:$AE)/($AA114+SUMIF('Grid BD'!$B:$B,$A114,'Grid BD'!$AE:$AE)),"")</f>
        <v>1</v>
      </c>
      <c r="T114" s="89"/>
      <c r="U114" s="88">
        <f t="shared" si="5"/>
        <v>0.78445560963526817</v>
      </c>
      <c r="V114" s="88"/>
      <c r="W114" s="84">
        <f t="shared" si="8"/>
        <v>0.13499173615806906</v>
      </c>
      <c r="X114" s="86">
        <f>IFERROR(_xlfn.XLOOKUP($A114,'Raw Data'!$G:$G,'Raw Data'!AI:AI),"")</f>
        <v>23300.3</v>
      </c>
      <c r="Y114" s="86">
        <f>IFERROR(_xlfn.XLOOKUP($A114,'Raw Data'!$G:$G,'Raw Data'!AJ:AJ),"")</f>
        <v>23200.000000000728</v>
      </c>
      <c r="Z114" s="86">
        <f>IFERROR(_xlfn.XLOOKUP($A114,'Raw Data'!$G:$G,'Raw Data'!AK:AK),"")</f>
        <v>199.99999999999574</v>
      </c>
      <c r="AA114" s="86">
        <f>IFERROR(_xlfn.XLOOKUP($A114,'Raw Data'!$G:$G,'Raw Data'!$AL:$AL)*(1+(_xlfn.XLOOKUP(Table13[[#This Row],[Month Year]],JMR!$A:$A,JMR!$J:$J))),"")</f>
        <v>23000.000000000731</v>
      </c>
      <c r="AB114" s="86">
        <f>IFERROR(_xlfn.XLOOKUP($A114,'Raw Data'!$G:$G,'Raw Data'!$H:$H),"")</f>
        <v>7.0991999999999997</v>
      </c>
      <c r="AC114" s="87">
        <f>IFERROR(_xlfn.XLOOKUP($D114,'Modelling New'!$D:$D,'Modelling New'!$P:$P),"")</f>
        <v>3.903225806451613</v>
      </c>
      <c r="AD114" s="86">
        <f>IFERROR(_xlfn.XLOOKUP($D114,'Modelling New'!$D:$D,'Modelling New'!$T:$T)*1000,"")</f>
        <v>20295.016135869184</v>
      </c>
      <c r="AE114" s="94">
        <f>IFERROR(_xlfn.XLOOKUP($D114,'Modelling New'!$D:$D,'Modelling New'!$O:$O),"")</f>
        <v>0.73241345342129649</v>
      </c>
      <c r="AF114" s="94">
        <f>IFERROR(_xlfn.XLOOKUP($D114,'Modelling New'!$D:$D,'Modelling New'!$W:$W),"")</f>
        <v>0.11911562884943129</v>
      </c>
      <c r="AG114" s="94">
        <f>IFERROR(_xlfn.XLOOKUP($D114,'Modelling New'!$D:$D,'Modelling New'!$AE:$AE),"")</f>
        <v>0.98040000000000005</v>
      </c>
      <c r="AH114" s="94">
        <f>IFERROR(_xlfn.XLOOKUP($D114,'Modelling New'!$D:$D,'Modelling New'!$AF:$AF),"")</f>
        <v>0.98</v>
      </c>
      <c r="AN114" s="85"/>
      <c r="AO114" s="84"/>
      <c r="AP114" s="84"/>
      <c r="AQ114" s="84"/>
      <c r="AR114" s="86">
        <f>'Basic Data'!$J$2</f>
        <v>7.0991999999999997</v>
      </c>
      <c r="AT114" s="7" t="str">
        <f>IFERROR(_xlfn.XLOOKUP(Table13[[#This Row],[Date]],'Raw Data'!$E:$E,'Raw Data'!$AN:$AN),"")</f>
        <v/>
      </c>
      <c r="AU114" s="7">
        <f>IFERROR(_xlfn.XLOOKUP(Table13[[#This Row],[Month Year]],'Modelling New'!$D:$D,'Modelling New'!$AO:$AO),"")</f>
        <v>7</v>
      </c>
      <c r="AV114" s="7">
        <f>IFERROR(SUMIF('Curtailment Records'!$C:$C,Table13[[#This Row],[Date]],'Curtailment Records'!$R:$R)/1000,"")</f>
        <v>0</v>
      </c>
    </row>
    <row r="115" spans="1:48" x14ac:dyDescent="0.25">
      <c r="A115" s="93">
        <f t="shared" si="6"/>
        <v>45858</v>
      </c>
      <c r="B115" s="86">
        <f>YEAR(Table13[[#This Row],[Date]])+IF(MONTH(Table13[[#This Row],[Date]])&gt;=4,1,0)</f>
        <v>2026</v>
      </c>
      <c r="C115" s="7">
        <f>YEAR(Table13[[#This Row],[Date]])</f>
        <v>2025</v>
      </c>
      <c r="D115" s="92">
        <f>Table13[[#This Row],[Date]]-DAY(Table13[[#This Row],[Date]])+1</f>
        <v>45839</v>
      </c>
      <c r="E115" s="7">
        <f t="shared" si="7"/>
        <v>31</v>
      </c>
      <c r="F115" s="91">
        <f>IFERROR(_xlfn.XLOOKUP($A115,'Raw Data'!$G:$G,'Raw Data'!$AM:$AM),"")</f>
        <v>13.216666666666665</v>
      </c>
      <c r="G115" s="90">
        <f>IFERROR(_xlfn.XLOOKUP($A115,'Raw Data'!$G:$G,'Raw Data'!$AB:$AB),"")</f>
        <v>0</v>
      </c>
      <c r="H115" s="90"/>
      <c r="I115" s="90">
        <f>IFERROR(_xlfn.XLOOKUP($A115,'Raw Data'!$G:$G,'Raw Data'!$AC:$AC),"")</f>
        <v>4.63</v>
      </c>
      <c r="J115" s="90"/>
      <c r="K115" s="90">
        <f>IFERROR(_xlfn.XLOOKUP($A115,'Raw Data'!$G:$G,'Raw Data'!AD:AD),"")</f>
        <v>0</v>
      </c>
      <c r="L115" s="90">
        <f>IFERROR(_xlfn.XLOOKUP($A115,'Raw Data'!$G:$G,'Raw Data'!AE:AE),"")</f>
        <v>42.28</v>
      </c>
      <c r="M115" s="90">
        <f>IFERROR(_xlfn.XLOOKUP($A115,'Raw Data'!$G:$G,'Raw Data'!AF:AF),"")</f>
        <v>0</v>
      </c>
      <c r="N115" s="90">
        <f>IFERROR(_xlfn.XLOOKUP($A115,'Raw Data'!$G:$G,'Raw Data'!AG:AG),"")</f>
        <v>0</v>
      </c>
      <c r="O115" s="85">
        <f>IFERROR(1-SUMIF('Plant BD'!$B:$B,$A115,'Plant BD'!$AM:$AM)/($AA115+SUMIF('Plant BD'!$B:$B,$A115,'Plant BD'!$AM:$AM)),"")</f>
        <v>0.99708518110179578</v>
      </c>
      <c r="P115" s="85"/>
      <c r="Q115" s="89"/>
      <c r="R115" s="85">
        <f>IFERROR(1-SUMIF('Grid BD'!$B:$B,$A115,'Grid BD'!$AE:$AE)/($AA115+SUMIF('Grid BD'!$B:$B,$A115,'Grid BD'!$AE:$AE)),"")</f>
        <v>1</v>
      </c>
      <c r="T115" s="89"/>
      <c r="U115" s="88">
        <f t="shared" si="5"/>
        <v>0.79405412272898301</v>
      </c>
      <c r="V115" s="88"/>
      <c r="W115" s="84">
        <f t="shared" si="8"/>
        <v>0.15318627450979963</v>
      </c>
      <c r="X115" s="86">
        <f>IFERROR(_xlfn.XLOOKUP($A115,'Raw Data'!$G:$G,'Raw Data'!AI:AI),"")</f>
        <v>26614.199999999997</v>
      </c>
      <c r="Y115" s="86">
        <f>IFERROR(_xlfn.XLOOKUP($A115,'Raw Data'!$G:$G,'Raw Data'!AJ:AJ),"")</f>
        <v>26299.999999999272</v>
      </c>
      <c r="Z115" s="86">
        <f>IFERROR(_xlfn.XLOOKUP($A115,'Raw Data'!$G:$G,'Raw Data'!AK:AK),"")</f>
        <v>200.00000000000284</v>
      </c>
      <c r="AA115" s="86">
        <f>IFERROR(_xlfn.XLOOKUP($A115,'Raw Data'!$G:$G,'Raw Data'!$AL:$AL)*(1+(_xlfn.XLOOKUP(Table13[[#This Row],[Month Year]],JMR!$A:$A,JMR!$J:$J))),"")</f>
        <v>26099.999999999269</v>
      </c>
      <c r="AB115" s="86">
        <f>IFERROR(_xlfn.XLOOKUP($A115,'Raw Data'!$G:$G,'Raw Data'!$H:$H),"")</f>
        <v>7.0991999999999997</v>
      </c>
      <c r="AC115" s="87">
        <f>IFERROR(_xlfn.XLOOKUP($D115,'Modelling New'!$D:$D,'Modelling New'!$P:$P),"")</f>
        <v>3.903225806451613</v>
      </c>
      <c r="AD115" s="86">
        <f>IFERROR(_xlfn.XLOOKUP($D115,'Modelling New'!$D:$D,'Modelling New'!$T:$T)*1000,"")</f>
        <v>20295.016135869184</v>
      </c>
      <c r="AE115" s="94">
        <f>IFERROR(_xlfn.XLOOKUP($D115,'Modelling New'!$D:$D,'Modelling New'!$O:$O),"")</f>
        <v>0.73241345342129649</v>
      </c>
      <c r="AF115" s="94">
        <f>IFERROR(_xlfn.XLOOKUP($D115,'Modelling New'!$D:$D,'Modelling New'!$W:$W),"")</f>
        <v>0.11911562884943129</v>
      </c>
      <c r="AG115" s="94">
        <f>IFERROR(_xlfn.XLOOKUP($D115,'Modelling New'!$D:$D,'Modelling New'!$AE:$AE),"")</f>
        <v>0.98040000000000005</v>
      </c>
      <c r="AH115" s="94">
        <f>IFERROR(_xlfn.XLOOKUP($D115,'Modelling New'!$D:$D,'Modelling New'!$AF:$AF),"")</f>
        <v>0.98</v>
      </c>
      <c r="AN115" s="85"/>
      <c r="AO115" s="84"/>
      <c r="AP115" s="84"/>
      <c r="AQ115" s="84"/>
      <c r="AR115" s="86">
        <f>'Basic Data'!$J$2</f>
        <v>7.0991999999999997</v>
      </c>
      <c r="AT115" s="7" t="str">
        <f>IFERROR(_xlfn.XLOOKUP(Table13[[#This Row],[Date]],'Raw Data'!$E:$E,'Raw Data'!$AN:$AN),"")</f>
        <v/>
      </c>
      <c r="AU115" s="7">
        <f>IFERROR(_xlfn.XLOOKUP(Table13[[#This Row],[Month Year]],'Modelling New'!$D:$D,'Modelling New'!$AO:$AO),"")</f>
        <v>7</v>
      </c>
      <c r="AV115" s="7">
        <f>IFERROR(SUMIF('Curtailment Records'!$C:$C,Table13[[#This Row],[Date]],'Curtailment Records'!$R:$R)/1000,"")</f>
        <v>0</v>
      </c>
    </row>
    <row r="116" spans="1:48" x14ac:dyDescent="0.25">
      <c r="A116" s="93">
        <f t="shared" si="6"/>
        <v>45859</v>
      </c>
      <c r="B116" s="86">
        <f>YEAR(Table13[[#This Row],[Date]])+IF(MONTH(Table13[[#This Row],[Date]])&gt;=4,1,0)</f>
        <v>2026</v>
      </c>
      <c r="C116" s="7">
        <f>YEAR(Table13[[#This Row],[Date]])</f>
        <v>2025</v>
      </c>
      <c r="D116" s="92">
        <f>Table13[[#This Row],[Date]]-DAY(Table13[[#This Row],[Date]])+1</f>
        <v>45839</v>
      </c>
      <c r="E116" s="7">
        <f t="shared" si="7"/>
        <v>31</v>
      </c>
      <c r="F116" s="91">
        <f>IFERROR(_xlfn.XLOOKUP($A116,'Raw Data'!$G:$G,'Raw Data'!$AM:$AM),"")</f>
        <v>13.033333333333335</v>
      </c>
      <c r="G116" s="90">
        <f>IFERROR(_xlfn.XLOOKUP($A116,'Raw Data'!$G:$G,'Raw Data'!$AB:$AB),"")</f>
        <v>0</v>
      </c>
      <c r="H116" s="90"/>
      <c r="I116" s="90">
        <f>IFERROR(_xlfn.XLOOKUP($A116,'Raw Data'!$G:$G,'Raw Data'!$AC:$AC),"")</f>
        <v>3.56</v>
      </c>
      <c r="J116" s="90"/>
      <c r="K116" s="90">
        <f>IFERROR(_xlfn.XLOOKUP($A116,'Raw Data'!$G:$G,'Raw Data'!AD:AD),"")</f>
        <v>0</v>
      </c>
      <c r="L116" s="90">
        <f>IFERROR(_xlfn.XLOOKUP($A116,'Raw Data'!$G:$G,'Raw Data'!AE:AE),"")</f>
        <v>38.99</v>
      </c>
      <c r="M116" s="90">
        <f>IFERROR(_xlfn.XLOOKUP($A116,'Raw Data'!$G:$G,'Raw Data'!AF:AF),"")</f>
        <v>0</v>
      </c>
      <c r="N116" s="90">
        <f>IFERROR(_xlfn.XLOOKUP($A116,'Raw Data'!$G:$G,'Raw Data'!AG:AG),"")</f>
        <v>0</v>
      </c>
      <c r="O116" s="85">
        <f>IFERROR(1-SUMIF('Plant BD'!$B:$B,$A116,'Plant BD'!$AM:$AM)/($AA116+SUMIF('Plant BD'!$B:$B,$A116,'Plant BD'!$AM:$AM)),"")</f>
        <v>1</v>
      </c>
      <c r="P116" s="85"/>
      <c r="Q116" s="89"/>
      <c r="R116" s="85">
        <f>IFERROR(1-SUMIF('Grid BD'!$B:$B,$A116,'Grid BD'!$AE:$AE)/($AA116+SUMIF('Grid BD'!$B:$B,$A116,'Grid BD'!$AE:$AE)),"")</f>
        <v>1</v>
      </c>
      <c r="T116" s="89"/>
      <c r="U116" s="88">
        <f t="shared" si="5"/>
        <v>0.80718067932327398</v>
      </c>
      <c r="V116" s="88"/>
      <c r="W116" s="84">
        <f t="shared" si="8"/>
        <v>0.11973180076628565</v>
      </c>
      <c r="X116" s="86">
        <f>IFERROR(_xlfn.XLOOKUP($A116,'Raw Data'!$G:$G,'Raw Data'!AI:AI),"")</f>
        <v>20674.900000000001</v>
      </c>
      <c r="Y116" s="86">
        <f>IFERROR(_xlfn.XLOOKUP($A116,'Raw Data'!$G:$G,'Raw Data'!AJ:AJ),"")</f>
        <v>20600.000000000364</v>
      </c>
      <c r="Z116" s="86">
        <f>IFERROR(_xlfn.XLOOKUP($A116,'Raw Data'!$G:$G,'Raw Data'!AK:AK),"")</f>
        <v>200.00000000000284</v>
      </c>
      <c r="AA116" s="86">
        <f>IFERROR(_xlfn.XLOOKUP($A116,'Raw Data'!$G:$G,'Raw Data'!$AL:$AL)*(1+(_xlfn.XLOOKUP(Table13[[#This Row],[Month Year]],JMR!$A:$A,JMR!$J:$J))),"")</f>
        <v>20400.00000000036</v>
      </c>
      <c r="AB116" s="86">
        <f>IFERROR(_xlfn.XLOOKUP($A116,'Raw Data'!$G:$G,'Raw Data'!$H:$H),"")</f>
        <v>7.0991999999999997</v>
      </c>
      <c r="AC116" s="87">
        <f>IFERROR(_xlfn.XLOOKUP($D116,'Modelling New'!$D:$D,'Modelling New'!$P:$P),"")</f>
        <v>3.903225806451613</v>
      </c>
      <c r="AD116" s="86">
        <f>IFERROR(_xlfn.XLOOKUP($D116,'Modelling New'!$D:$D,'Modelling New'!$T:$T)*1000,"")</f>
        <v>20295.016135869184</v>
      </c>
      <c r="AE116" s="94">
        <f>IFERROR(_xlfn.XLOOKUP($D116,'Modelling New'!$D:$D,'Modelling New'!$O:$O),"")</f>
        <v>0.73241345342129649</v>
      </c>
      <c r="AF116" s="94">
        <f>IFERROR(_xlfn.XLOOKUP($D116,'Modelling New'!$D:$D,'Modelling New'!$W:$W),"")</f>
        <v>0.11911562884943129</v>
      </c>
      <c r="AG116" s="94">
        <f>IFERROR(_xlfn.XLOOKUP($D116,'Modelling New'!$D:$D,'Modelling New'!$AE:$AE),"")</f>
        <v>0.98040000000000005</v>
      </c>
      <c r="AH116" s="94">
        <f>IFERROR(_xlfn.XLOOKUP($D116,'Modelling New'!$D:$D,'Modelling New'!$AF:$AF),"")</f>
        <v>0.98</v>
      </c>
      <c r="AN116" s="85"/>
      <c r="AO116" s="84"/>
      <c r="AP116" s="84"/>
      <c r="AQ116" s="84"/>
      <c r="AR116" s="86">
        <f>'Basic Data'!$J$2</f>
        <v>7.0991999999999997</v>
      </c>
      <c r="AT116" s="7" t="str">
        <f>IFERROR(_xlfn.XLOOKUP(Table13[[#This Row],[Date]],'Raw Data'!$E:$E,'Raw Data'!$AN:$AN),"")</f>
        <v/>
      </c>
      <c r="AU116" s="7">
        <f>IFERROR(_xlfn.XLOOKUP(Table13[[#This Row],[Month Year]],'Modelling New'!$D:$D,'Modelling New'!$AO:$AO),"")</f>
        <v>7</v>
      </c>
      <c r="AV116" s="7">
        <f>IFERROR(SUMIF('Curtailment Records'!$C:$C,Table13[[#This Row],[Date]],'Curtailment Records'!$R:$R)/1000,"")</f>
        <v>0</v>
      </c>
    </row>
    <row r="117" spans="1:48" x14ac:dyDescent="0.25">
      <c r="A117" s="93">
        <f t="shared" si="6"/>
        <v>45860</v>
      </c>
      <c r="B117" s="86">
        <f>YEAR(Table13[[#This Row],[Date]])+IF(MONTH(Table13[[#This Row],[Date]])&gt;=4,1,0)</f>
        <v>2026</v>
      </c>
      <c r="C117" s="7">
        <f>YEAR(Table13[[#This Row],[Date]])</f>
        <v>2025</v>
      </c>
      <c r="D117" s="92">
        <f>Table13[[#This Row],[Date]]-DAY(Table13[[#This Row],[Date]])+1</f>
        <v>45839</v>
      </c>
      <c r="E117" s="7">
        <f t="shared" si="7"/>
        <v>31</v>
      </c>
      <c r="F117" s="91">
        <f>IFERROR(_xlfn.XLOOKUP($A117,'Raw Data'!$G:$G,'Raw Data'!$AM:$AM),"")</f>
        <v>13.283333333333331</v>
      </c>
      <c r="G117" s="90">
        <f>IFERROR(_xlfn.XLOOKUP($A117,'Raw Data'!$G:$G,'Raw Data'!$AB:$AB),"")</f>
        <v>0</v>
      </c>
      <c r="H117" s="90"/>
      <c r="I117" s="90">
        <f>IFERROR(_xlfn.XLOOKUP($A117,'Raw Data'!$G:$G,'Raw Data'!$AC:$AC),"")</f>
        <v>4.5599999999999996</v>
      </c>
      <c r="J117" s="90"/>
      <c r="K117" s="90">
        <f>IFERROR(_xlfn.XLOOKUP($A117,'Raw Data'!$G:$G,'Raw Data'!AD:AD),"")</f>
        <v>0</v>
      </c>
      <c r="L117" s="90">
        <f>IFERROR(_xlfn.XLOOKUP($A117,'Raw Data'!$G:$G,'Raw Data'!AE:AE),"")</f>
        <v>41</v>
      </c>
      <c r="M117" s="90">
        <f>IFERROR(_xlfn.XLOOKUP($A117,'Raw Data'!$G:$G,'Raw Data'!AF:AF),"")</f>
        <v>0</v>
      </c>
      <c r="N117" s="90">
        <f>IFERROR(_xlfn.XLOOKUP($A117,'Raw Data'!$G:$G,'Raw Data'!AG:AG),"")</f>
        <v>0</v>
      </c>
      <c r="O117" s="85">
        <f>IFERROR(1-SUMIF('Plant BD'!$B:$B,$A117,'Plant BD'!$AM:$AM)/($AA117+SUMIF('Plant BD'!$B:$B,$A117,'Plant BD'!$AM:$AM)),"")</f>
        <v>1</v>
      </c>
      <c r="P117" s="85"/>
      <c r="Q117" s="89"/>
      <c r="R117" s="85">
        <f>IFERROR(1-SUMIF('Grid BD'!$B:$B,$A117,'Grid BD'!$AE:$AE)/($AA117+SUMIF('Grid BD'!$B:$B,$A117,'Grid BD'!$AE:$AE)),"")</f>
        <v>1</v>
      </c>
      <c r="T117" s="89"/>
      <c r="U117" s="88">
        <f t="shared" ref="U117:U180" si="9">IFERROR(AA117/I117/AB117/1000,"")</f>
        <v>0.77844204832567143</v>
      </c>
      <c r="V117" s="88"/>
      <c r="W117" s="84">
        <f t="shared" si="8"/>
        <v>0.14790398918187755</v>
      </c>
      <c r="X117" s="86">
        <f>IFERROR(_xlfn.XLOOKUP($A117,'Raw Data'!$G:$G,'Raw Data'!AI:AI),"")</f>
        <v>25559.1</v>
      </c>
      <c r="Y117" s="86">
        <f>IFERROR(_xlfn.XLOOKUP($A117,'Raw Data'!$G:$G,'Raw Data'!AJ:AJ),"")</f>
        <v>25399.999999999636</v>
      </c>
      <c r="Z117" s="86">
        <f>IFERROR(_xlfn.XLOOKUP($A117,'Raw Data'!$G:$G,'Raw Data'!AK:AK),"")</f>
        <v>199.99999999999574</v>
      </c>
      <c r="AA117" s="86">
        <f>IFERROR(_xlfn.XLOOKUP($A117,'Raw Data'!$G:$G,'Raw Data'!$AL:$AL)*(1+(_xlfn.XLOOKUP(Table13[[#This Row],[Month Year]],JMR!$A:$A,JMR!$J:$J))),"")</f>
        <v>25199.99999999964</v>
      </c>
      <c r="AB117" s="86">
        <f>IFERROR(_xlfn.XLOOKUP($A117,'Raw Data'!$G:$G,'Raw Data'!$H:$H),"")</f>
        <v>7.0991999999999997</v>
      </c>
      <c r="AC117" s="87">
        <f>IFERROR(_xlfn.XLOOKUP($D117,'Modelling New'!$D:$D,'Modelling New'!$P:$P),"")</f>
        <v>3.903225806451613</v>
      </c>
      <c r="AD117" s="86">
        <f>IFERROR(_xlfn.XLOOKUP($D117,'Modelling New'!$D:$D,'Modelling New'!$T:$T)*1000,"")</f>
        <v>20295.016135869184</v>
      </c>
      <c r="AE117" s="94">
        <f>IFERROR(_xlfn.XLOOKUP($D117,'Modelling New'!$D:$D,'Modelling New'!$O:$O),"")</f>
        <v>0.73241345342129649</v>
      </c>
      <c r="AF117" s="94">
        <f>IFERROR(_xlfn.XLOOKUP($D117,'Modelling New'!$D:$D,'Modelling New'!$W:$W),"")</f>
        <v>0.11911562884943129</v>
      </c>
      <c r="AG117" s="94">
        <f>IFERROR(_xlfn.XLOOKUP($D117,'Modelling New'!$D:$D,'Modelling New'!$AE:$AE),"")</f>
        <v>0.98040000000000005</v>
      </c>
      <c r="AH117" s="94">
        <f>IFERROR(_xlfn.XLOOKUP($D117,'Modelling New'!$D:$D,'Modelling New'!$AF:$AF),"")</f>
        <v>0.98</v>
      </c>
      <c r="AN117" s="85"/>
      <c r="AO117" s="84"/>
      <c r="AP117" s="84"/>
      <c r="AQ117" s="84"/>
      <c r="AR117" s="86">
        <f>'Basic Data'!$J$2</f>
        <v>7.0991999999999997</v>
      </c>
      <c r="AT117" s="7" t="str">
        <f>IFERROR(_xlfn.XLOOKUP(Table13[[#This Row],[Date]],'Raw Data'!$E:$E,'Raw Data'!$AN:$AN),"")</f>
        <v/>
      </c>
      <c r="AU117" s="7">
        <f>IFERROR(_xlfn.XLOOKUP(Table13[[#This Row],[Month Year]],'Modelling New'!$D:$D,'Modelling New'!$AO:$AO),"")</f>
        <v>7</v>
      </c>
      <c r="AV117" s="7">
        <f>IFERROR(SUMIF('Curtailment Records'!$C:$C,Table13[[#This Row],[Date]],'Curtailment Records'!$R:$R)/1000,"")</f>
        <v>0</v>
      </c>
    </row>
    <row r="118" spans="1:48" x14ac:dyDescent="0.25">
      <c r="A118" s="93">
        <f t="shared" ref="A118:A181" si="10">A117+1</f>
        <v>45861</v>
      </c>
      <c r="B118" s="86">
        <f>YEAR(Table13[[#This Row],[Date]])+IF(MONTH(Table13[[#This Row],[Date]])&gt;=4,1,0)</f>
        <v>2026</v>
      </c>
      <c r="C118" s="7">
        <f>YEAR(Table13[[#This Row],[Date]])</f>
        <v>2025</v>
      </c>
      <c r="D118" s="92">
        <f>Table13[[#This Row],[Date]]-DAY(Table13[[#This Row],[Date]])+1</f>
        <v>45839</v>
      </c>
      <c r="E118" s="7">
        <f t="shared" si="7"/>
        <v>31</v>
      </c>
      <c r="F118" s="91">
        <f>IFERROR(_xlfn.XLOOKUP($A118,'Raw Data'!$G:$G,'Raw Data'!$AM:$AM),"")</f>
        <v>12.866666666666667</v>
      </c>
      <c r="G118" s="90">
        <f>IFERROR(_xlfn.XLOOKUP($A118,'Raw Data'!$G:$G,'Raw Data'!$AB:$AB),"")</f>
        <v>0</v>
      </c>
      <c r="H118" s="90"/>
      <c r="I118" s="90">
        <f>IFERROR(_xlfn.XLOOKUP($A118,'Raw Data'!$G:$G,'Raw Data'!$AC:$AC),"")</f>
        <v>1.82</v>
      </c>
      <c r="J118" s="90"/>
      <c r="K118" s="90">
        <f>IFERROR(_xlfn.XLOOKUP($A118,'Raw Data'!$G:$G,'Raw Data'!AD:AD),"")</f>
        <v>0</v>
      </c>
      <c r="L118" s="90">
        <f>IFERROR(_xlfn.XLOOKUP($A118,'Raw Data'!$G:$G,'Raw Data'!AE:AE),"")</f>
        <v>32.479999999999997</v>
      </c>
      <c r="M118" s="90">
        <f>IFERROR(_xlfn.XLOOKUP($A118,'Raw Data'!$G:$G,'Raw Data'!AF:AF),"")</f>
        <v>0</v>
      </c>
      <c r="N118" s="90">
        <f>IFERROR(_xlfn.XLOOKUP($A118,'Raw Data'!$G:$G,'Raw Data'!AG:AG),"")</f>
        <v>0</v>
      </c>
      <c r="O118" s="85">
        <f>IFERROR(1-SUMIF('Plant BD'!$B:$B,$A118,'Plant BD'!$AM:$AM)/($AA118+SUMIF('Plant BD'!$B:$B,$A118,'Plant BD'!$AM:$AM)),"")</f>
        <v>1</v>
      </c>
      <c r="P118" s="85"/>
      <c r="Q118" s="89"/>
      <c r="R118" s="85">
        <f>IFERROR(1-SUMIF('Grid BD'!$B:$B,$A118,'Grid BD'!$AE:$AE)/($AA118+SUMIF('Grid BD'!$B:$B,$A118,'Grid BD'!$AE:$AE)),"")</f>
        <v>1</v>
      </c>
      <c r="T118" s="89"/>
      <c r="U118" s="88">
        <f t="shared" si="9"/>
        <v>0.82813850562333458</v>
      </c>
      <c r="V118" s="88"/>
      <c r="W118" s="84">
        <f t="shared" si="8"/>
        <v>6.2800503343102873E-2</v>
      </c>
      <c r="X118" s="86">
        <f>IFERROR(_xlfn.XLOOKUP($A118,'Raw Data'!$G:$G,'Raw Data'!AI:AI),"")</f>
        <v>11090.4</v>
      </c>
      <c r="Y118" s="86">
        <f>IFERROR(_xlfn.XLOOKUP($A118,'Raw Data'!$G:$G,'Raw Data'!AJ:AJ),"")</f>
        <v>10900.000000000546</v>
      </c>
      <c r="Z118" s="86">
        <f>IFERROR(_xlfn.XLOOKUP($A118,'Raw Data'!$G:$G,'Raw Data'!AK:AK),"")</f>
        <v>200.00000000000284</v>
      </c>
      <c r="AA118" s="86">
        <f>IFERROR(_xlfn.XLOOKUP($A118,'Raw Data'!$G:$G,'Raw Data'!$AL:$AL)*(1+(_xlfn.XLOOKUP(Table13[[#This Row],[Month Year]],JMR!$A:$A,JMR!$J:$J))),"")</f>
        <v>10700.000000000542</v>
      </c>
      <c r="AB118" s="86">
        <f>IFERROR(_xlfn.XLOOKUP($A118,'Raw Data'!$G:$G,'Raw Data'!$H:$H),"")</f>
        <v>7.0991999999999997</v>
      </c>
      <c r="AC118" s="87">
        <f>IFERROR(_xlfn.XLOOKUP($D118,'Modelling New'!$D:$D,'Modelling New'!$P:$P),"")</f>
        <v>3.903225806451613</v>
      </c>
      <c r="AD118" s="86">
        <f>IFERROR(_xlfn.XLOOKUP($D118,'Modelling New'!$D:$D,'Modelling New'!$T:$T)*1000,"")</f>
        <v>20295.016135869184</v>
      </c>
      <c r="AE118" s="94">
        <f>IFERROR(_xlfn.XLOOKUP($D118,'Modelling New'!$D:$D,'Modelling New'!$O:$O),"")</f>
        <v>0.73241345342129649</v>
      </c>
      <c r="AF118" s="94">
        <f>IFERROR(_xlfn.XLOOKUP($D118,'Modelling New'!$D:$D,'Modelling New'!$W:$W),"")</f>
        <v>0.11911562884943129</v>
      </c>
      <c r="AG118" s="94">
        <f>IFERROR(_xlfn.XLOOKUP($D118,'Modelling New'!$D:$D,'Modelling New'!$AE:$AE),"")</f>
        <v>0.98040000000000005</v>
      </c>
      <c r="AH118" s="94">
        <f>IFERROR(_xlfn.XLOOKUP($D118,'Modelling New'!$D:$D,'Modelling New'!$AF:$AF),"")</f>
        <v>0.98</v>
      </c>
      <c r="AN118" s="85"/>
      <c r="AO118" s="84"/>
      <c r="AP118" s="84"/>
      <c r="AQ118" s="84"/>
      <c r="AR118" s="86">
        <f>'Basic Data'!$J$2</f>
        <v>7.0991999999999997</v>
      </c>
      <c r="AT118" s="7" t="str">
        <f>IFERROR(_xlfn.XLOOKUP(Table13[[#This Row],[Date]],'Raw Data'!$E:$E,'Raw Data'!$AN:$AN),"")</f>
        <v/>
      </c>
      <c r="AU118" s="7">
        <f>IFERROR(_xlfn.XLOOKUP(Table13[[#This Row],[Month Year]],'Modelling New'!$D:$D,'Modelling New'!$AO:$AO),"")</f>
        <v>7</v>
      </c>
      <c r="AV118" s="7">
        <f>IFERROR(SUMIF('Curtailment Records'!$C:$C,Table13[[#This Row],[Date]],'Curtailment Records'!$R:$R)/1000,"")</f>
        <v>0</v>
      </c>
    </row>
    <row r="119" spans="1:48" x14ac:dyDescent="0.25">
      <c r="A119" s="93">
        <f t="shared" si="10"/>
        <v>45862</v>
      </c>
      <c r="B119" s="86">
        <f>YEAR(Table13[[#This Row],[Date]])+IF(MONTH(Table13[[#This Row],[Date]])&gt;=4,1,0)</f>
        <v>2026</v>
      </c>
      <c r="C119" s="7">
        <f>YEAR(Table13[[#This Row],[Date]])</f>
        <v>2025</v>
      </c>
      <c r="D119" s="92">
        <f>Table13[[#This Row],[Date]]-DAY(Table13[[#This Row],[Date]])+1</f>
        <v>45839</v>
      </c>
      <c r="E119" s="7">
        <f t="shared" si="7"/>
        <v>31</v>
      </c>
      <c r="F119" s="91">
        <f>IFERROR(_xlfn.XLOOKUP($A119,'Raw Data'!$G:$G,'Raw Data'!$AM:$AM),"")</f>
        <v>13.033333333333335</v>
      </c>
      <c r="G119" s="90">
        <f>IFERROR(_xlfn.XLOOKUP($A119,'Raw Data'!$G:$G,'Raw Data'!$AB:$AB),"")</f>
        <v>0</v>
      </c>
      <c r="H119" s="90"/>
      <c r="I119" s="90">
        <f>IFERROR(_xlfn.XLOOKUP($A119,'Raw Data'!$G:$G,'Raw Data'!$AC:$AC),"")</f>
        <v>1.68</v>
      </c>
      <c r="J119" s="90"/>
      <c r="K119" s="90">
        <f>IFERROR(_xlfn.XLOOKUP($A119,'Raw Data'!$G:$G,'Raw Data'!AD:AD),"")</f>
        <v>0</v>
      </c>
      <c r="L119" s="90">
        <f>IFERROR(_xlfn.XLOOKUP($A119,'Raw Data'!$G:$G,'Raw Data'!AE:AE),"")</f>
        <v>29.95</v>
      </c>
      <c r="M119" s="90">
        <f>IFERROR(_xlfn.XLOOKUP($A119,'Raw Data'!$G:$G,'Raw Data'!AF:AF),"")</f>
        <v>0</v>
      </c>
      <c r="N119" s="90">
        <f>IFERROR(_xlfn.XLOOKUP($A119,'Raw Data'!$G:$G,'Raw Data'!AG:AG),"")</f>
        <v>0</v>
      </c>
      <c r="O119" s="85">
        <f>IFERROR(1-SUMIF('Plant BD'!$B:$B,$A119,'Plant BD'!$AM:$AM)/($AA119+SUMIF('Plant BD'!$B:$B,$A119,'Plant BD'!$AM:$AM)),"")</f>
        <v>0.94783369612379553</v>
      </c>
      <c r="P119" s="85"/>
      <c r="Q119" s="89"/>
      <c r="R119" s="85">
        <f>IFERROR(1-SUMIF('Grid BD'!$B:$B,$A119,'Grid BD'!$AE:$AE)/($AA119+SUMIF('Grid BD'!$B:$B,$A119,'Grid BD'!$AE:$AE)),"")</f>
        <v>1</v>
      </c>
      <c r="T119" s="89"/>
      <c r="U119" s="88">
        <f t="shared" si="9"/>
        <v>0.79653508913145366</v>
      </c>
      <c r="V119" s="88"/>
      <c r="W119" s="84">
        <f t="shared" si="8"/>
        <v>5.5757456239201753E-2</v>
      </c>
      <c r="X119" s="86">
        <f>IFERROR(_xlfn.XLOOKUP($A119,'Raw Data'!$G:$G,'Raw Data'!AI:AI),"")</f>
        <v>9822.4</v>
      </c>
      <c r="Y119" s="86">
        <f>IFERROR(_xlfn.XLOOKUP($A119,'Raw Data'!$G:$G,'Raw Data'!AJ:AJ),"")</f>
        <v>9800.0000000001819</v>
      </c>
      <c r="Z119" s="86">
        <f>IFERROR(_xlfn.XLOOKUP($A119,'Raw Data'!$G:$G,'Raw Data'!AK:AK),"")</f>
        <v>299.99999999999716</v>
      </c>
      <c r="AA119" s="86">
        <f>IFERROR(_xlfn.XLOOKUP($A119,'Raw Data'!$G:$G,'Raw Data'!$AL:$AL)*(1+(_xlfn.XLOOKUP(Table13[[#This Row],[Month Year]],JMR!$A:$A,JMR!$J:$J))),"")</f>
        <v>9500.0000000001855</v>
      </c>
      <c r="AB119" s="86">
        <f>IFERROR(_xlfn.XLOOKUP($A119,'Raw Data'!$G:$G,'Raw Data'!$H:$H),"")</f>
        <v>7.0991999999999997</v>
      </c>
      <c r="AC119" s="87">
        <f>IFERROR(_xlfn.XLOOKUP($D119,'Modelling New'!$D:$D,'Modelling New'!$P:$P),"")</f>
        <v>3.903225806451613</v>
      </c>
      <c r="AD119" s="86">
        <f>IFERROR(_xlfn.XLOOKUP($D119,'Modelling New'!$D:$D,'Modelling New'!$T:$T)*1000,"")</f>
        <v>20295.016135869184</v>
      </c>
      <c r="AE119" s="94">
        <f>IFERROR(_xlfn.XLOOKUP($D119,'Modelling New'!$D:$D,'Modelling New'!$O:$O),"")</f>
        <v>0.73241345342129649</v>
      </c>
      <c r="AF119" s="94">
        <f>IFERROR(_xlfn.XLOOKUP($D119,'Modelling New'!$D:$D,'Modelling New'!$W:$W),"")</f>
        <v>0.11911562884943129</v>
      </c>
      <c r="AG119" s="94">
        <f>IFERROR(_xlfn.XLOOKUP($D119,'Modelling New'!$D:$D,'Modelling New'!$AE:$AE),"")</f>
        <v>0.98040000000000005</v>
      </c>
      <c r="AH119" s="94">
        <f>IFERROR(_xlfn.XLOOKUP($D119,'Modelling New'!$D:$D,'Modelling New'!$AF:$AF),"")</f>
        <v>0.98</v>
      </c>
      <c r="AN119" s="85"/>
      <c r="AO119" s="84"/>
      <c r="AP119" s="84"/>
      <c r="AQ119" s="84"/>
      <c r="AR119" s="86">
        <f>'Basic Data'!$J$2</f>
        <v>7.0991999999999997</v>
      </c>
      <c r="AT119" s="7" t="str">
        <f>IFERROR(_xlfn.XLOOKUP(Table13[[#This Row],[Date]],'Raw Data'!$E:$E,'Raw Data'!$AN:$AN),"")</f>
        <v/>
      </c>
      <c r="AU119" s="7">
        <f>IFERROR(_xlfn.XLOOKUP(Table13[[#This Row],[Month Year]],'Modelling New'!$D:$D,'Modelling New'!$AO:$AO),"")</f>
        <v>7</v>
      </c>
      <c r="AV119" s="7">
        <f>IFERROR(SUMIF('Curtailment Records'!$C:$C,Table13[[#This Row],[Date]],'Curtailment Records'!$R:$R)/1000,"")</f>
        <v>0</v>
      </c>
    </row>
    <row r="120" spans="1:48" x14ac:dyDescent="0.25">
      <c r="A120" s="93">
        <f t="shared" si="10"/>
        <v>45863</v>
      </c>
      <c r="B120" s="86">
        <f>YEAR(Table13[[#This Row],[Date]])+IF(MONTH(Table13[[#This Row],[Date]])&gt;=4,1,0)</f>
        <v>2026</v>
      </c>
      <c r="C120" s="7">
        <f>YEAR(Table13[[#This Row],[Date]])</f>
        <v>2025</v>
      </c>
      <c r="D120" s="92">
        <f>Table13[[#This Row],[Date]]-DAY(Table13[[#This Row],[Date]])+1</f>
        <v>45839</v>
      </c>
      <c r="E120" s="7">
        <f t="shared" ref="E120:E183" si="11">DAY(EOMONTH(A120,0))</f>
        <v>31</v>
      </c>
      <c r="F120" s="91">
        <f>IFERROR(_xlfn.XLOOKUP($A120,'Raw Data'!$G:$G,'Raw Data'!$AM:$AM),"")</f>
        <v>12.833333333333336</v>
      </c>
      <c r="G120" s="90">
        <f>IFERROR(_xlfn.XLOOKUP($A120,'Raw Data'!$G:$G,'Raw Data'!$AB:$AB),"")</f>
        <v>0</v>
      </c>
      <c r="H120" s="90"/>
      <c r="I120" s="90">
        <f>IFERROR(_xlfn.XLOOKUP($A120,'Raw Data'!$G:$G,'Raw Data'!$AC:$AC),"")</f>
        <v>2.06</v>
      </c>
      <c r="J120" s="90"/>
      <c r="K120" s="90">
        <f>IFERROR(_xlfn.XLOOKUP($A120,'Raw Data'!$G:$G,'Raw Data'!AD:AD),"")</f>
        <v>0</v>
      </c>
      <c r="L120" s="90">
        <f>IFERROR(_xlfn.XLOOKUP($A120,'Raw Data'!$G:$G,'Raw Data'!AE:AE),"")</f>
        <v>31.81</v>
      </c>
      <c r="M120" s="90">
        <f>IFERROR(_xlfn.XLOOKUP($A120,'Raw Data'!$G:$G,'Raw Data'!AF:AF),"")</f>
        <v>0</v>
      </c>
      <c r="N120" s="90">
        <f>IFERROR(_xlfn.XLOOKUP($A120,'Raw Data'!$G:$G,'Raw Data'!AG:AG),"")</f>
        <v>0</v>
      </c>
      <c r="O120" s="85">
        <f>IFERROR(1-SUMIF('Plant BD'!$B:$B,$A120,'Plant BD'!$AM:$AM)/($AA120+SUMIF('Plant BD'!$B:$B,$A120,'Plant BD'!$AM:$AM)),"")</f>
        <v>1</v>
      </c>
      <c r="P120" s="85"/>
      <c r="Q120" s="89"/>
      <c r="R120" s="85">
        <f>IFERROR(1-SUMIF('Grid BD'!$B:$B,$A120,'Grid BD'!$AE:$AE)/($AA120+SUMIF('Grid BD'!$B:$B,$A120,'Grid BD'!$AE:$AE)),"")</f>
        <v>0.99579051855203438</v>
      </c>
      <c r="T120" s="89"/>
      <c r="U120" s="88">
        <f t="shared" si="9"/>
        <v>0.84106290658211702</v>
      </c>
      <c r="V120" s="88"/>
      <c r="W120" s="84">
        <f t="shared" si="8"/>
        <v>7.2191232814965048E-2</v>
      </c>
      <c r="X120" s="86">
        <f>IFERROR(_xlfn.XLOOKUP($A120,'Raw Data'!$G:$G,'Raw Data'!AI:AI),"")</f>
        <v>12602.3</v>
      </c>
      <c r="Y120" s="86">
        <f>IFERROR(_xlfn.XLOOKUP($A120,'Raw Data'!$G:$G,'Raw Data'!AJ:AJ),"")</f>
        <v>12500</v>
      </c>
      <c r="Z120" s="86">
        <f>IFERROR(_xlfn.XLOOKUP($A120,'Raw Data'!$G:$G,'Raw Data'!AK:AK),"")</f>
        <v>200.00000000000284</v>
      </c>
      <c r="AA120" s="86">
        <f>IFERROR(_xlfn.XLOOKUP($A120,'Raw Data'!$G:$G,'Raw Data'!$AL:$AL)*(1+(_xlfn.XLOOKUP(Table13[[#This Row],[Month Year]],JMR!$A:$A,JMR!$J:$J))),"")</f>
        <v>12299.999999999996</v>
      </c>
      <c r="AB120" s="86">
        <f>IFERROR(_xlfn.XLOOKUP($A120,'Raw Data'!$G:$G,'Raw Data'!$H:$H),"")</f>
        <v>7.0991999999999997</v>
      </c>
      <c r="AC120" s="87">
        <f>IFERROR(_xlfn.XLOOKUP($D120,'Modelling New'!$D:$D,'Modelling New'!$P:$P),"")</f>
        <v>3.903225806451613</v>
      </c>
      <c r="AD120" s="86">
        <f>IFERROR(_xlfn.XLOOKUP($D120,'Modelling New'!$D:$D,'Modelling New'!$T:$T)*1000,"")</f>
        <v>20295.016135869184</v>
      </c>
      <c r="AE120" s="94">
        <f>IFERROR(_xlfn.XLOOKUP($D120,'Modelling New'!$D:$D,'Modelling New'!$O:$O),"")</f>
        <v>0.73241345342129649</v>
      </c>
      <c r="AF120" s="94">
        <f>IFERROR(_xlfn.XLOOKUP($D120,'Modelling New'!$D:$D,'Modelling New'!$W:$W),"")</f>
        <v>0.11911562884943129</v>
      </c>
      <c r="AG120" s="94">
        <f>IFERROR(_xlfn.XLOOKUP($D120,'Modelling New'!$D:$D,'Modelling New'!$AE:$AE),"")</f>
        <v>0.98040000000000005</v>
      </c>
      <c r="AH120" s="94">
        <f>IFERROR(_xlfn.XLOOKUP($D120,'Modelling New'!$D:$D,'Modelling New'!$AF:$AF),"")</f>
        <v>0.98</v>
      </c>
      <c r="AN120" s="85"/>
      <c r="AO120" s="84"/>
      <c r="AP120" s="84"/>
      <c r="AQ120" s="84"/>
      <c r="AR120" s="86">
        <f>'Basic Data'!$J$2</f>
        <v>7.0991999999999997</v>
      </c>
      <c r="AT120" s="7" t="str">
        <f>IFERROR(_xlfn.XLOOKUP(Table13[[#This Row],[Date]],'Raw Data'!$E:$E,'Raw Data'!$AN:$AN),"")</f>
        <v/>
      </c>
      <c r="AU120" s="7">
        <f>IFERROR(_xlfn.XLOOKUP(Table13[[#This Row],[Month Year]],'Modelling New'!$D:$D,'Modelling New'!$AO:$AO),"")</f>
        <v>7</v>
      </c>
      <c r="AV120" s="7">
        <f>IFERROR(SUMIF('Curtailment Records'!$C:$C,Table13[[#This Row],[Date]],'Curtailment Records'!$R:$R)/1000,"")</f>
        <v>0</v>
      </c>
    </row>
    <row r="121" spans="1:48" x14ac:dyDescent="0.25">
      <c r="A121" s="93">
        <f t="shared" si="10"/>
        <v>45864</v>
      </c>
      <c r="B121" s="86">
        <f>YEAR(Table13[[#This Row],[Date]])+IF(MONTH(Table13[[#This Row],[Date]])&gt;=4,1,0)</f>
        <v>2026</v>
      </c>
      <c r="C121" s="7">
        <f>YEAR(Table13[[#This Row],[Date]])</f>
        <v>2025</v>
      </c>
      <c r="D121" s="92">
        <f>Table13[[#This Row],[Date]]-DAY(Table13[[#This Row],[Date]])+1</f>
        <v>45839</v>
      </c>
      <c r="E121" s="7">
        <f t="shared" si="11"/>
        <v>31</v>
      </c>
      <c r="F121" s="91">
        <f>IFERROR(_xlfn.XLOOKUP($A121,'Raw Data'!$G:$G,'Raw Data'!$AM:$AM),"")</f>
        <v>12.900000000000002</v>
      </c>
      <c r="G121" s="90">
        <f>IFERROR(_xlfn.XLOOKUP($A121,'Raw Data'!$G:$G,'Raw Data'!$AB:$AB),"")</f>
        <v>0</v>
      </c>
      <c r="H121" s="90"/>
      <c r="I121" s="90">
        <f>IFERROR(_xlfn.XLOOKUP($A121,'Raw Data'!$G:$G,'Raw Data'!$AC:$AC),"")</f>
        <v>1.06</v>
      </c>
      <c r="J121" s="90"/>
      <c r="K121" s="90">
        <f>IFERROR(_xlfn.XLOOKUP($A121,'Raw Data'!$G:$G,'Raw Data'!AD:AD),"")</f>
        <v>0</v>
      </c>
      <c r="L121" s="90">
        <f>IFERROR(_xlfn.XLOOKUP($A121,'Raw Data'!$G:$G,'Raw Data'!AE:AE),"")</f>
        <v>30.23</v>
      </c>
      <c r="M121" s="90">
        <f>IFERROR(_xlfn.XLOOKUP($A121,'Raw Data'!$G:$G,'Raw Data'!AF:AF),"")</f>
        <v>0</v>
      </c>
      <c r="N121" s="90">
        <f>IFERROR(_xlfn.XLOOKUP($A121,'Raw Data'!$G:$G,'Raw Data'!AG:AG),"")</f>
        <v>0</v>
      </c>
      <c r="O121" s="85">
        <f>IFERROR(1-SUMIF('Plant BD'!$B:$B,$A121,'Plant BD'!$AM:$AM)/($AA121+SUMIF('Plant BD'!$B:$B,$A121,'Plant BD'!$AM:$AM)),"")</f>
        <v>1</v>
      </c>
      <c r="P121" s="85"/>
      <c r="Q121" s="89"/>
      <c r="R121" s="85">
        <f>IFERROR(1-SUMIF('Grid BD'!$B:$B,$A121,'Grid BD'!$AE:$AE)/($AA121+SUMIF('Grid BD'!$B:$B,$A121,'Grid BD'!$AE:$AE)),"")</f>
        <v>1</v>
      </c>
      <c r="T121" s="89"/>
      <c r="U121" s="88">
        <f t="shared" si="9"/>
        <v>0.83719239159554582</v>
      </c>
      <c r="V121" s="88"/>
      <c r="W121" s="84">
        <f t="shared" si="8"/>
        <v>3.6975997295469944E-2</v>
      </c>
      <c r="X121" s="86">
        <f>IFERROR(_xlfn.XLOOKUP($A121,'Raw Data'!$G:$G,'Raw Data'!AI:AI),"")</f>
        <v>6581.2</v>
      </c>
      <c r="Y121" s="86">
        <f>IFERROR(_xlfn.XLOOKUP($A121,'Raw Data'!$G:$G,'Raw Data'!AJ:AJ),"")</f>
        <v>6500</v>
      </c>
      <c r="Z121" s="86">
        <f>IFERROR(_xlfn.XLOOKUP($A121,'Raw Data'!$G:$G,'Raw Data'!AK:AK),"")</f>
        <v>199.99999999999574</v>
      </c>
      <c r="AA121" s="86">
        <f>IFERROR(_xlfn.XLOOKUP($A121,'Raw Data'!$G:$G,'Raw Data'!$AL:$AL)*(1+(_xlfn.XLOOKUP(Table13[[#This Row],[Month Year]],JMR!$A:$A,JMR!$J:$J))),"")</f>
        <v>6300.0000000000045</v>
      </c>
      <c r="AB121" s="86">
        <f>IFERROR(_xlfn.XLOOKUP($A121,'Raw Data'!$G:$G,'Raw Data'!$H:$H),"")</f>
        <v>7.0991999999999997</v>
      </c>
      <c r="AC121" s="87">
        <f>IFERROR(_xlfn.XLOOKUP($D121,'Modelling New'!$D:$D,'Modelling New'!$P:$P),"")</f>
        <v>3.903225806451613</v>
      </c>
      <c r="AD121" s="86">
        <f>IFERROR(_xlfn.XLOOKUP($D121,'Modelling New'!$D:$D,'Modelling New'!$T:$T)*1000,"")</f>
        <v>20295.016135869184</v>
      </c>
      <c r="AE121" s="94">
        <f>IFERROR(_xlfn.XLOOKUP($D121,'Modelling New'!$D:$D,'Modelling New'!$O:$O),"")</f>
        <v>0.73241345342129649</v>
      </c>
      <c r="AF121" s="94">
        <f>IFERROR(_xlfn.XLOOKUP($D121,'Modelling New'!$D:$D,'Modelling New'!$W:$W),"")</f>
        <v>0.11911562884943129</v>
      </c>
      <c r="AG121" s="94">
        <f>IFERROR(_xlfn.XLOOKUP($D121,'Modelling New'!$D:$D,'Modelling New'!$AE:$AE),"")</f>
        <v>0.98040000000000005</v>
      </c>
      <c r="AH121" s="94">
        <f>IFERROR(_xlfn.XLOOKUP($D121,'Modelling New'!$D:$D,'Modelling New'!$AF:$AF),"")</f>
        <v>0.98</v>
      </c>
      <c r="AN121" s="85"/>
      <c r="AO121" s="84"/>
      <c r="AP121" s="84"/>
      <c r="AQ121" s="84"/>
      <c r="AR121" s="86">
        <f>'Basic Data'!$J$2</f>
        <v>7.0991999999999997</v>
      </c>
      <c r="AT121" s="7" t="str">
        <f>IFERROR(_xlfn.XLOOKUP(Table13[[#This Row],[Date]],'Raw Data'!$E:$E,'Raw Data'!$AN:$AN),"")</f>
        <v/>
      </c>
      <c r="AU121" s="7">
        <f>IFERROR(_xlfn.XLOOKUP(Table13[[#This Row],[Month Year]],'Modelling New'!$D:$D,'Modelling New'!$AO:$AO),"")</f>
        <v>7</v>
      </c>
      <c r="AV121" s="7">
        <f>IFERROR(SUMIF('Curtailment Records'!$C:$C,Table13[[#This Row],[Date]],'Curtailment Records'!$R:$R)/1000,"")</f>
        <v>0</v>
      </c>
    </row>
    <row r="122" spans="1:48" x14ac:dyDescent="0.25">
      <c r="A122" s="93">
        <f t="shared" si="10"/>
        <v>45865</v>
      </c>
      <c r="B122" s="86">
        <f>YEAR(Table13[[#This Row],[Date]])+IF(MONTH(Table13[[#This Row],[Date]])&gt;=4,1,0)</f>
        <v>2026</v>
      </c>
      <c r="C122" s="7">
        <f>YEAR(Table13[[#This Row],[Date]])</f>
        <v>2025</v>
      </c>
      <c r="D122" s="92">
        <f>Table13[[#This Row],[Date]]-DAY(Table13[[#This Row],[Date]])+1</f>
        <v>45839</v>
      </c>
      <c r="E122" s="7">
        <f t="shared" si="11"/>
        <v>31</v>
      </c>
      <c r="F122" s="91">
        <f>IFERROR(_xlfn.XLOOKUP($A122,'Raw Data'!$G:$G,'Raw Data'!$AM:$AM),"")</f>
        <v>12.883333333333333</v>
      </c>
      <c r="G122" s="90">
        <f>IFERROR(_xlfn.XLOOKUP($A122,'Raw Data'!$G:$G,'Raw Data'!$AB:$AB),"")</f>
        <v>0</v>
      </c>
      <c r="H122" s="90"/>
      <c r="I122" s="90">
        <f>IFERROR(_xlfn.XLOOKUP($A122,'Raw Data'!$G:$G,'Raw Data'!$AC:$AC),"")</f>
        <v>4.91</v>
      </c>
      <c r="J122" s="90"/>
      <c r="K122" s="90">
        <f>IFERROR(_xlfn.XLOOKUP($A122,'Raw Data'!$G:$G,'Raw Data'!AD:AD),"")</f>
        <v>0</v>
      </c>
      <c r="L122" s="90">
        <f>IFERROR(_xlfn.XLOOKUP($A122,'Raw Data'!$G:$G,'Raw Data'!AE:AE),"")</f>
        <v>40.340000000000003</v>
      </c>
      <c r="M122" s="90">
        <f>IFERROR(_xlfn.XLOOKUP($A122,'Raw Data'!$G:$G,'Raw Data'!AF:AF),"")</f>
        <v>0</v>
      </c>
      <c r="N122" s="90">
        <f>IFERROR(_xlfn.XLOOKUP($A122,'Raw Data'!$G:$G,'Raw Data'!AG:AG),"")</f>
        <v>0</v>
      </c>
      <c r="O122" s="85">
        <f>IFERROR(1-SUMIF('Plant BD'!$B:$B,$A122,'Plant BD'!$AM:$AM)/($AA122+SUMIF('Plant BD'!$B:$B,$A122,'Plant BD'!$AM:$AM)),"")</f>
        <v>0.99279047530810427</v>
      </c>
      <c r="P122" s="85"/>
      <c r="Q122" s="89"/>
      <c r="R122" s="85">
        <f>IFERROR(1-SUMIF('Grid BD'!$B:$B,$A122,'Grid BD'!$AE:$AE)/($AA122+SUMIF('Grid BD'!$B:$B,$A122,'Grid BD'!$AE:$AE)),"")</f>
        <v>0.84707004500192085</v>
      </c>
      <c r="T122" s="89"/>
      <c r="U122" s="88">
        <f t="shared" si="9"/>
        <v>0.619673390811462</v>
      </c>
      <c r="V122" s="88"/>
      <c r="W122" s="84">
        <f t="shared" si="8"/>
        <v>0.12677484787017826</v>
      </c>
      <c r="X122" s="86">
        <f>IFERROR(_xlfn.XLOOKUP($A122,'Raw Data'!$G:$G,'Raw Data'!AI:AI),"")</f>
        <v>21871.4</v>
      </c>
      <c r="Y122" s="86">
        <f>IFERROR(_xlfn.XLOOKUP($A122,'Raw Data'!$G:$G,'Raw Data'!AJ:AJ),"")</f>
        <v>21799.999999999272</v>
      </c>
      <c r="Z122" s="86">
        <f>IFERROR(_xlfn.XLOOKUP($A122,'Raw Data'!$G:$G,'Raw Data'!AK:AK),"")</f>
        <v>200.00000000000284</v>
      </c>
      <c r="AA122" s="86">
        <f>IFERROR(_xlfn.XLOOKUP($A122,'Raw Data'!$G:$G,'Raw Data'!$AL:$AL)*(1+(_xlfn.XLOOKUP(Table13[[#This Row],[Month Year]],JMR!$A:$A,JMR!$J:$J))),"")</f>
        <v>21599.999999999269</v>
      </c>
      <c r="AB122" s="86">
        <f>IFERROR(_xlfn.XLOOKUP($A122,'Raw Data'!$G:$G,'Raw Data'!$H:$H),"")</f>
        <v>7.0991999999999997</v>
      </c>
      <c r="AC122" s="87">
        <f>IFERROR(_xlfn.XLOOKUP($D122,'Modelling New'!$D:$D,'Modelling New'!$P:$P),"")</f>
        <v>3.903225806451613</v>
      </c>
      <c r="AD122" s="86">
        <f>IFERROR(_xlfn.XLOOKUP($D122,'Modelling New'!$D:$D,'Modelling New'!$T:$T)*1000,"")</f>
        <v>20295.016135869184</v>
      </c>
      <c r="AE122" s="94">
        <f>IFERROR(_xlfn.XLOOKUP($D122,'Modelling New'!$D:$D,'Modelling New'!$O:$O),"")</f>
        <v>0.73241345342129649</v>
      </c>
      <c r="AF122" s="94">
        <f>IFERROR(_xlfn.XLOOKUP($D122,'Modelling New'!$D:$D,'Modelling New'!$W:$W),"")</f>
        <v>0.11911562884943129</v>
      </c>
      <c r="AG122" s="94">
        <f>IFERROR(_xlfn.XLOOKUP($D122,'Modelling New'!$D:$D,'Modelling New'!$AE:$AE),"")</f>
        <v>0.98040000000000005</v>
      </c>
      <c r="AH122" s="94">
        <f>IFERROR(_xlfn.XLOOKUP($D122,'Modelling New'!$D:$D,'Modelling New'!$AF:$AF),"")</f>
        <v>0.98</v>
      </c>
      <c r="AN122" s="85"/>
      <c r="AO122" s="84"/>
      <c r="AP122" s="84"/>
      <c r="AQ122" s="84"/>
      <c r="AR122" s="86">
        <f>'Basic Data'!$J$2</f>
        <v>7.0991999999999997</v>
      </c>
      <c r="AT122" s="7" t="str">
        <f>IFERROR(_xlfn.XLOOKUP(Table13[[#This Row],[Date]],'Raw Data'!$E:$E,'Raw Data'!$AN:$AN),"")</f>
        <v/>
      </c>
      <c r="AU122" s="7">
        <f>IFERROR(_xlfn.XLOOKUP(Table13[[#This Row],[Month Year]],'Modelling New'!$D:$D,'Modelling New'!$AO:$AO),"")</f>
        <v>7</v>
      </c>
      <c r="AV122" s="7">
        <f>IFERROR(SUMIF('Curtailment Records'!$C:$C,Table13[[#This Row],[Date]],'Curtailment Records'!$R:$R)/1000,"")</f>
        <v>0</v>
      </c>
    </row>
    <row r="123" spans="1:48" x14ac:dyDescent="0.25">
      <c r="A123" s="93">
        <f t="shared" si="10"/>
        <v>45866</v>
      </c>
      <c r="B123" s="86">
        <f>YEAR(Table13[[#This Row],[Date]])+IF(MONTH(Table13[[#This Row],[Date]])&gt;=4,1,0)</f>
        <v>2026</v>
      </c>
      <c r="C123" s="7">
        <f>YEAR(Table13[[#This Row],[Date]])</f>
        <v>2025</v>
      </c>
      <c r="D123" s="92">
        <f>Table13[[#This Row],[Date]]-DAY(Table13[[#This Row],[Date]])+1</f>
        <v>45839</v>
      </c>
      <c r="E123" s="7">
        <f t="shared" si="11"/>
        <v>31</v>
      </c>
      <c r="F123" s="91">
        <f>IFERROR(_xlfn.XLOOKUP($A123,'Raw Data'!$G:$G,'Raw Data'!$AM:$AM),"")</f>
        <v>13.166666666666664</v>
      </c>
      <c r="G123" s="90">
        <f>IFERROR(_xlfn.XLOOKUP($A123,'Raw Data'!$G:$G,'Raw Data'!$AB:$AB),"")</f>
        <v>0</v>
      </c>
      <c r="H123" s="90"/>
      <c r="I123" s="90">
        <f>IFERROR(_xlfn.XLOOKUP($A123,'Raw Data'!$G:$G,'Raw Data'!$AC:$AC),"")</f>
        <v>4.9800000000000004</v>
      </c>
      <c r="J123" s="90"/>
      <c r="K123" s="90">
        <f>IFERROR(_xlfn.XLOOKUP($A123,'Raw Data'!$G:$G,'Raw Data'!AD:AD),"")</f>
        <v>0</v>
      </c>
      <c r="L123" s="90">
        <f>IFERROR(_xlfn.XLOOKUP($A123,'Raw Data'!$G:$G,'Raw Data'!AE:AE),"")</f>
        <v>39.79</v>
      </c>
      <c r="M123" s="90">
        <f>IFERROR(_xlfn.XLOOKUP($A123,'Raw Data'!$G:$G,'Raw Data'!AF:AF),"")</f>
        <v>0</v>
      </c>
      <c r="N123" s="90">
        <f>IFERROR(_xlfn.XLOOKUP($A123,'Raw Data'!$G:$G,'Raw Data'!AG:AG),"")</f>
        <v>0</v>
      </c>
      <c r="O123" s="85">
        <f>IFERROR(1-SUMIF('Plant BD'!$B:$B,$A123,'Plant BD'!$AM:$AM)/($AA123+SUMIF('Plant BD'!$B:$B,$A123,'Plant BD'!$AM:$AM)),"")</f>
        <v>1</v>
      </c>
      <c r="P123" s="85"/>
      <c r="Q123" s="89"/>
      <c r="R123" s="85">
        <f>IFERROR(1-SUMIF('Grid BD'!$B:$B,$A123,'Grid BD'!$AE:$AE)/($AA123+SUMIF('Grid BD'!$B:$B,$A123,'Grid BD'!$AE:$AE)),"")</f>
        <v>1</v>
      </c>
      <c r="T123" s="89"/>
      <c r="U123" s="88">
        <f t="shared" si="9"/>
        <v>0.77218950175279577</v>
      </c>
      <c r="V123" s="88"/>
      <c r="W123" s="84">
        <f t="shared" si="8"/>
        <v>0.16022932161370512</v>
      </c>
      <c r="X123" s="86">
        <f>IFERROR(_xlfn.XLOOKUP($A123,'Raw Data'!$G:$G,'Raw Data'!AI:AI),"")</f>
        <v>27752.199999999997</v>
      </c>
      <c r="Y123" s="86">
        <f>IFERROR(_xlfn.XLOOKUP($A123,'Raw Data'!$G:$G,'Raw Data'!AJ:AJ),"")</f>
        <v>27600.000000000364</v>
      </c>
      <c r="Z123" s="86">
        <f>IFERROR(_xlfn.XLOOKUP($A123,'Raw Data'!$G:$G,'Raw Data'!AK:AK),"")</f>
        <v>299.99999999999716</v>
      </c>
      <c r="AA123" s="86">
        <f>IFERROR(_xlfn.XLOOKUP($A123,'Raw Data'!$G:$G,'Raw Data'!$AL:$AL)*(1+(_xlfn.XLOOKUP(Table13[[#This Row],[Month Year]],JMR!$A:$A,JMR!$J:$J))),"")</f>
        <v>27300.000000000367</v>
      </c>
      <c r="AB123" s="86">
        <f>IFERROR(_xlfn.XLOOKUP($A123,'Raw Data'!$G:$G,'Raw Data'!$H:$H),"")</f>
        <v>7.0991999999999997</v>
      </c>
      <c r="AC123" s="87">
        <f>IFERROR(_xlfn.XLOOKUP($D123,'Modelling New'!$D:$D,'Modelling New'!$P:$P),"")</f>
        <v>3.903225806451613</v>
      </c>
      <c r="AD123" s="86">
        <f>IFERROR(_xlfn.XLOOKUP($D123,'Modelling New'!$D:$D,'Modelling New'!$T:$T)*1000,"")</f>
        <v>20295.016135869184</v>
      </c>
      <c r="AE123" s="94">
        <f>IFERROR(_xlfn.XLOOKUP($D123,'Modelling New'!$D:$D,'Modelling New'!$O:$O),"")</f>
        <v>0.73241345342129649</v>
      </c>
      <c r="AF123" s="94">
        <f>IFERROR(_xlfn.XLOOKUP($D123,'Modelling New'!$D:$D,'Modelling New'!$W:$W),"")</f>
        <v>0.11911562884943129</v>
      </c>
      <c r="AG123" s="94">
        <f>IFERROR(_xlfn.XLOOKUP($D123,'Modelling New'!$D:$D,'Modelling New'!$AE:$AE),"")</f>
        <v>0.98040000000000005</v>
      </c>
      <c r="AH123" s="94">
        <f>IFERROR(_xlfn.XLOOKUP($D123,'Modelling New'!$D:$D,'Modelling New'!$AF:$AF),"")</f>
        <v>0.98</v>
      </c>
      <c r="AN123" s="85"/>
      <c r="AO123" s="84"/>
      <c r="AP123" s="84"/>
      <c r="AQ123" s="84"/>
      <c r="AR123" s="86">
        <f>'Basic Data'!$J$2</f>
        <v>7.0991999999999997</v>
      </c>
      <c r="AT123" s="7" t="str">
        <f>IFERROR(_xlfn.XLOOKUP(Table13[[#This Row],[Date]],'Raw Data'!$E:$E,'Raw Data'!$AN:$AN),"")</f>
        <v/>
      </c>
      <c r="AU123" s="7">
        <f>IFERROR(_xlfn.XLOOKUP(Table13[[#This Row],[Month Year]],'Modelling New'!$D:$D,'Modelling New'!$AO:$AO),"")</f>
        <v>7</v>
      </c>
      <c r="AV123" s="7">
        <f>IFERROR(SUMIF('Curtailment Records'!$C:$C,Table13[[#This Row],[Date]],'Curtailment Records'!$R:$R)/1000,"")</f>
        <v>0</v>
      </c>
    </row>
    <row r="124" spans="1:48" x14ac:dyDescent="0.25">
      <c r="A124" s="93">
        <f t="shared" si="10"/>
        <v>45867</v>
      </c>
      <c r="B124" s="86">
        <f>YEAR(Table13[[#This Row],[Date]])+IF(MONTH(Table13[[#This Row],[Date]])&gt;=4,1,0)</f>
        <v>2026</v>
      </c>
      <c r="C124" s="7">
        <f>YEAR(Table13[[#This Row],[Date]])</f>
        <v>2025</v>
      </c>
      <c r="D124" s="92">
        <f>Table13[[#This Row],[Date]]-DAY(Table13[[#This Row],[Date]])+1</f>
        <v>45839</v>
      </c>
      <c r="E124" s="7">
        <f t="shared" si="11"/>
        <v>31</v>
      </c>
      <c r="F124" s="91">
        <f>IFERROR(_xlfn.XLOOKUP($A124,'Raw Data'!$G:$G,'Raw Data'!$AM:$AM),"")</f>
        <v>13.083333333333332</v>
      </c>
      <c r="G124" s="90">
        <f>IFERROR(_xlfn.XLOOKUP($A124,'Raw Data'!$G:$G,'Raw Data'!$AB:$AB),"")</f>
        <v>0</v>
      </c>
      <c r="H124" s="90"/>
      <c r="I124" s="90">
        <f>IFERROR(_xlfn.XLOOKUP($A124,'Raw Data'!$G:$G,'Raw Data'!$AC:$AC),"")</f>
        <v>4.32</v>
      </c>
      <c r="J124" s="90"/>
      <c r="K124" s="90">
        <f>IFERROR(_xlfn.XLOOKUP($A124,'Raw Data'!$G:$G,'Raw Data'!AD:AD),"")</f>
        <v>0</v>
      </c>
      <c r="L124" s="90">
        <f>IFERROR(_xlfn.XLOOKUP($A124,'Raw Data'!$G:$G,'Raw Data'!AE:AE),"")</f>
        <v>39.08</v>
      </c>
      <c r="M124" s="90">
        <f>IFERROR(_xlfn.XLOOKUP($A124,'Raw Data'!$G:$G,'Raw Data'!AF:AF),"")</f>
        <v>0</v>
      </c>
      <c r="N124" s="90">
        <f>IFERROR(_xlfn.XLOOKUP($A124,'Raw Data'!$G:$G,'Raw Data'!AG:AG),"")</f>
        <v>0</v>
      </c>
      <c r="O124" s="85">
        <f>IFERROR(1-SUMIF('Plant BD'!$B:$B,$A124,'Plant BD'!$AM:$AM)/($AA124+SUMIF('Plant BD'!$B:$B,$A124,'Plant BD'!$AM:$AM)),"")</f>
        <v>1</v>
      </c>
      <c r="P124" s="85"/>
      <c r="Q124" s="89"/>
      <c r="R124" s="85">
        <f>IFERROR(1-SUMIF('Grid BD'!$B:$B,$A124,'Grid BD'!$AE:$AE)/($AA124+SUMIF('Grid BD'!$B:$B,$A124,'Grid BD'!$AE:$AE)),"")</f>
        <v>1</v>
      </c>
      <c r="T124" s="89"/>
      <c r="U124" s="88">
        <f t="shared" si="9"/>
        <v>0.79234279918862915</v>
      </c>
      <c r="V124" s="88"/>
      <c r="W124" s="84">
        <f t="shared" si="8"/>
        <v>0.14262170385395326</v>
      </c>
      <c r="X124" s="86">
        <f>IFERROR(_xlfn.XLOOKUP($A124,'Raw Data'!$G:$G,'Raw Data'!AI:AI),"")</f>
        <v>24337</v>
      </c>
      <c r="Y124" s="86">
        <f>IFERROR(_xlfn.XLOOKUP($A124,'Raw Data'!$G:$G,'Raw Data'!AJ:AJ),"")</f>
        <v>24399.999999999636</v>
      </c>
      <c r="Z124" s="86">
        <f>IFERROR(_xlfn.XLOOKUP($A124,'Raw Data'!$G:$G,'Raw Data'!AK:AK),"")</f>
        <v>100.00000000000142</v>
      </c>
      <c r="AA124" s="86">
        <f>IFERROR(_xlfn.XLOOKUP($A124,'Raw Data'!$G:$G,'Raw Data'!$AL:$AL)*(1+(_xlfn.XLOOKUP(Table13[[#This Row],[Month Year]],JMR!$A:$A,JMR!$J:$J))),"")</f>
        <v>24299.999999999636</v>
      </c>
      <c r="AB124" s="86">
        <f>IFERROR(_xlfn.XLOOKUP($A124,'Raw Data'!$G:$G,'Raw Data'!$H:$H),"")</f>
        <v>7.0991999999999997</v>
      </c>
      <c r="AC124" s="87">
        <f>IFERROR(_xlfn.XLOOKUP($D124,'Modelling New'!$D:$D,'Modelling New'!$P:$P),"")</f>
        <v>3.903225806451613</v>
      </c>
      <c r="AD124" s="86">
        <f>IFERROR(_xlfn.XLOOKUP($D124,'Modelling New'!$D:$D,'Modelling New'!$T:$T)*1000,"")</f>
        <v>20295.016135869184</v>
      </c>
      <c r="AE124" s="94">
        <f>IFERROR(_xlfn.XLOOKUP($D124,'Modelling New'!$D:$D,'Modelling New'!$O:$O),"")</f>
        <v>0.73241345342129649</v>
      </c>
      <c r="AF124" s="94">
        <f>IFERROR(_xlfn.XLOOKUP($D124,'Modelling New'!$D:$D,'Modelling New'!$W:$W),"")</f>
        <v>0.11911562884943129</v>
      </c>
      <c r="AG124" s="94">
        <f>IFERROR(_xlfn.XLOOKUP($D124,'Modelling New'!$D:$D,'Modelling New'!$AE:$AE),"")</f>
        <v>0.98040000000000005</v>
      </c>
      <c r="AH124" s="94">
        <f>IFERROR(_xlfn.XLOOKUP($D124,'Modelling New'!$D:$D,'Modelling New'!$AF:$AF),"")</f>
        <v>0.98</v>
      </c>
      <c r="AN124" s="85"/>
      <c r="AO124" s="84"/>
      <c r="AP124" s="84"/>
      <c r="AQ124" s="84"/>
      <c r="AR124" s="86">
        <f>'Basic Data'!$J$2</f>
        <v>7.0991999999999997</v>
      </c>
      <c r="AT124" s="7" t="str">
        <f>IFERROR(_xlfn.XLOOKUP(Table13[[#This Row],[Date]],'Raw Data'!$E:$E,'Raw Data'!$AN:$AN),"")</f>
        <v/>
      </c>
      <c r="AU124" s="7">
        <f>IFERROR(_xlfn.XLOOKUP(Table13[[#This Row],[Month Year]],'Modelling New'!$D:$D,'Modelling New'!$AO:$AO),"")</f>
        <v>7</v>
      </c>
      <c r="AV124" s="7">
        <f>IFERROR(SUMIF('Curtailment Records'!$C:$C,Table13[[#This Row],[Date]],'Curtailment Records'!$R:$R)/1000,"")</f>
        <v>0</v>
      </c>
    </row>
    <row r="125" spans="1:48" x14ac:dyDescent="0.25">
      <c r="A125" s="93">
        <f t="shared" si="10"/>
        <v>45868</v>
      </c>
      <c r="B125" s="86">
        <f>YEAR(Table13[[#This Row],[Date]])+IF(MONTH(Table13[[#This Row],[Date]])&gt;=4,1,0)</f>
        <v>2026</v>
      </c>
      <c r="C125" s="7">
        <f>YEAR(Table13[[#This Row],[Date]])</f>
        <v>2025</v>
      </c>
      <c r="D125" s="92">
        <f>Table13[[#This Row],[Date]]-DAY(Table13[[#This Row],[Date]])+1</f>
        <v>45839</v>
      </c>
      <c r="E125" s="7">
        <f t="shared" si="11"/>
        <v>31</v>
      </c>
      <c r="F125" s="91">
        <f>IFERROR(_xlfn.XLOOKUP($A125,'Raw Data'!$G:$G,'Raw Data'!$AM:$AM),"")</f>
        <v>12.916666666666666</v>
      </c>
      <c r="G125" s="90">
        <f>IFERROR(_xlfn.XLOOKUP($A125,'Raw Data'!$G:$G,'Raw Data'!$AB:$AB),"")</f>
        <v>0</v>
      </c>
      <c r="H125" s="90"/>
      <c r="I125" s="90">
        <f>IFERROR(_xlfn.XLOOKUP($A125,'Raw Data'!$G:$G,'Raw Data'!$AC:$AC),"")</f>
        <v>4.05</v>
      </c>
      <c r="J125" s="90"/>
      <c r="K125" s="90">
        <f>IFERROR(_xlfn.XLOOKUP($A125,'Raw Data'!$G:$G,'Raw Data'!AD:AD),"")</f>
        <v>0</v>
      </c>
      <c r="L125" s="90">
        <f>IFERROR(_xlfn.XLOOKUP($A125,'Raw Data'!$G:$G,'Raw Data'!AE:AE),"")</f>
        <v>37.78</v>
      </c>
      <c r="M125" s="90">
        <f>IFERROR(_xlfn.XLOOKUP($A125,'Raw Data'!$G:$G,'Raw Data'!AF:AF),"")</f>
        <v>0</v>
      </c>
      <c r="N125" s="90">
        <f>IFERROR(_xlfn.XLOOKUP($A125,'Raw Data'!$G:$G,'Raw Data'!AG:AG),"")</f>
        <v>0</v>
      </c>
      <c r="O125" s="85">
        <f>IFERROR(1-SUMIF('Plant BD'!$B:$B,$A125,'Plant BD'!$AM:$AM)/($AA125+SUMIF('Plant BD'!$B:$B,$A125,'Plant BD'!$AM:$AM)),"")</f>
        <v>0.99850057519221769</v>
      </c>
      <c r="P125" s="85"/>
      <c r="Q125" s="89"/>
      <c r="R125" s="85">
        <f>IFERROR(1-SUMIF('Grid BD'!$B:$B,$A125,'Grid BD'!$AE:$AE)/($AA125+SUMIF('Grid BD'!$B:$B,$A125,'Grid BD'!$AE:$AE)),"")</f>
        <v>1</v>
      </c>
      <c r="T125" s="89"/>
      <c r="U125" s="88">
        <f t="shared" si="9"/>
        <v>0.77908274136958444</v>
      </c>
      <c r="V125" s="88"/>
      <c r="W125" s="84">
        <f t="shared" si="8"/>
        <v>0.13147021260611735</v>
      </c>
      <c r="X125" s="86">
        <f>IFERROR(_xlfn.XLOOKUP($A125,'Raw Data'!$G:$G,'Raw Data'!AI:AI),"")</f>
        <v>22798.899999999998</v>
      </c>
      <c r="Y125" s="86">
        <f>IFERROR(_xlfn.XLOOKUP($A125,'Raw Data'!$G:$G,'Raw Data'!AJ:AJ),"")</f>
        <v>22600.000000000364</v>
      </c>
      <c r="Z125" s="86">
        <f>IFERROR(_xlfn.XLOOKUP($A125,'Raw Data'!$G:$G,'Raw Data'!AK:AK),"")</f>
        <v>200.00000000000284</v>
      </c>
      <c r="AA125" s="86">
        <f>IFERROR(_xlfn.XLOOKUP($A125,'Raw Data'!$G:$G,'Raw Data'!$AL:$AL)*(1+(_xlfn.XLOOKUP(Table13[[#This Row],[Month Year]],JMR!$A:$A,JMR!$J:$J))),"")</f>
        <v>22400.00000000036</v>
      </c>
      <c r="AB125" s="86">
        <f>IFERROR(_xlfn.XLOOKUP($A125,'Raw Data'!$G:$G,'Raw Data'!$H:$H),"")</f>
        <v>7.0991999999999997</v>
      </c>
      <c r="AC125" s="87">
        <f>IFERROR(_xlfn.XLOOKUP($D125,'Modelling New'!$D:$D,'Modelling New'!$P:$P),"")</f>
        <v>3.903225806451613</v>
      </c>
      <c r="AD125" s="86">
        <f>IFERROR(_xlfn.XLOOKUP($D125,'Modelling New'!$D:$D,'Modelling New'!$T:$T)*1000,"")</f>
        <v>20295.016135869184</v>
      </c>
      <c r="AE125" s="94">
        <f>IFERROR(_xlfn.XLOOKUP($D125,'Modelling New'!$D:$D,'Modelling New'!$O:$O),"")</f>
        <v>0.73241345342129649</v>
      </c>
      <c r="AF125" s="94">
        <f>IFERROR(_xlfn.XLOOKUP($D125,'Modelling New'!$D:$D,'Modelling New'!$W:$W),"")</f>
        <v>0.11911562884943129</v>
      </c>
      <c r="AG125" s="94">
        <f>IFERROR(_xlfn.XLOOKUP($D125,'Modelling New'!$D:$D,'Modelling New'!$AE:$AE),"")</f>
        <v>0.98040000000000005</v>
      </c>
      <c r="AH125" s="94">
        <f>IFERROR(_xlfn.XLOOKUP($D125,'Modelling New'!$D:$D,'Modelling New'!$AF:$AF),"")</f>
        <v>0.98</v>
      </c>
      <c r="AN125" s="85"/>
      <c r="AO125" s="84"/>
      <c r="AP125" s="84"/>
      <c r="AQ125" s="84"/>
      <c r="AR125" s="86">
        <f>'Basic Data'!$J$2</f>
        <v>7.0991999999999997</v>
      </c>
      <c r="AT125" s="7" t="str">
        <f>IFERROR(_xlfn.XLOOKUP(Table13[[#This Row],[Date]],'Raw Data'!$E:$E,'Raw Data'!$AN:$AN),"")</f>
        <v/>
      </c>
      <c r="AU125" s="7">
        <f>IFERROR(_xlfn.XLOOKUP(Table13[[#This Row],[Month Year]],'Modelling New'!$D:$D,'Modelling New'!$AO:$AO),"")</f>
        <v>7</v>
      </c>
      <c r="AV125" s="7">
        <f>IFERROR(SUMIF('Curtailment Records'!$C:$C,Table13[[#This Row],[Date]],'Curtailment Records'!$R:$R)/1000,"")</f>
        <v>0</v>
      </c>
    </row>
    <row r="126" spans="1:48" x14ac:dyDescent="0.25">
      <c r="A126" s="93">
        <f t="shared" si="10"/>
        <v>45869</v>
      </c>
      <c r="B126" s="86">
        <f>YEAR(Table13[[#This Row],[Date]])+IF(MONTH(Table13[[#This Row],[Date]])&gt;=4,1,0)</f>
        <v>2026</v>
      </c>
      <c r="C126" s="7">
        <f>YEAR(Table13[[#This Row],[Date]])</f>
        <v>2025</v>
      </c>
      <c r="D126" s="92">
        <f>Table13[[#This Row],[Date]]-DAY(Table13[[#This Row],[Date]])+1</f>
        <v>45839</v>
      </c>
      <c r="E126" s="7">
        <f t="shared" si="11"/>
        <v>31</v>
      </c>
      <c r="F126" s="91">
        <f>IFERROR(_xlfn.XLOOKUP($A126,'Raw Data'!$G:$G,'Raw Data'!$AM:$AM),"")</f>
        <v>13.100000000000001</v>
      </c>
      <c r="G126" s="90">
        <f>IFERROR(_xlfn.XLOOKUP($A126,'Raw Data'!$G:$G,'Raw Data'!$AB:$AB),"")</f>
        <v>0</v>
      </c>
      <c r="H126" s="90"/>
      <c r="I126" s="90">
        <f>IFERROR(_xlfn.XLOOKUP($A126,'Raw Data'!$G:$G,'Raw Data'!$AC:$AC),"")</f>
        <v>4.7300000000000004</v>
      </c>
      <c r="J126" s="90"/>
      <c r="K126" s="90">
        <f>IFERROR(_xlfn.XLOOKUP($A126,'Raw Data'!$G:$G,'Raw Data'!AD:AD),"")</f>
        <v>0</v>
      </c>
      <c r="L126" s="90">
        <f>IFERROR(_xlfn.XLOOKUP($A126,'Raw Data'!$G:$G,'Raw Data'!AE:AE),"")</f>
        <v>41.05</v>
      </c>
      <c r="M126" s="90">
        <f>IFERROR(_xlfn.XLOOKUP($A126,'Raw Data'!$G:$G,'Raw Data'!AF:AF),"")</f>
        <v>0</v>
      </c>
      <c r="N126" s="90">
        <f>IFERROR(_xlfn.XLOOKUP($A126,'Raw Data'!$G:$G,'Raw Data'!AG:AG),"")</f>
        <v>0</v>
      </c>
      <c r="O126" s="85">
        <f>IFERROR(1-SUMIF('Plant BD'!$B:$B,$A126,'Plant BD'!$AM:$AM)/($AA126+SUMIF('Plant BD'!$B:$B,$A126,'Plant BD'!$AM:$AM)),"")</f>
        <v>1</v>
      </c>
      <c r="P126" s="85"/>
      <c r="Q126" s="89"/>
      <c r="R126" s="85">
        <f>IFERROR(1-SUMIF('Grid BD'!$B:$B,$A126,'Grid BD'!$AE:$AE)/($AA126+SUMIF('Grid BD'!$B:$B,$A126,'Grid BD'!$AE:$AE)),"")</f>
        <v>0.91563024309818197</v>
      </c>
      <c r="T126" s="89"/>
      <c r="U126" s="88">
        <f t="shared" si="9"/>
        <v>0.7057937266909281</v>
      </c>
      <c r="V126" s="88"/>
      <c r="W126" s="84">
        <f t="shared" si="8"/>
        <v>0.13910018030200375</v>
      </c>
      <c r="X126" s="86">
        <f>IFERROR(_xlfn.XLOOKUP($A126,'Raw Data'!$G:$G,'Raw Data'!AI:AI),"")</f>
        <v>24064.400000000001</v>
      </c>
      <c r="Y126" s="86">
        <f>IFERROR(_xlfn.XLOOKUP($A126,'Raw Data'!$G:$G,'Raw Data'!AJ:AJ),"")</f>
        <v>23899.999999999636</v>
      </c>
      <c r="Z126" s="86">
        <f>IFERROR(_xlfn.XLOOKUP($A126,'Raw Data'!$G:$G,'Raw Data'!AK:AK),"")</f>
        <v>199.99999999999574</v>
      </c>
      <c r="AA126" s="86">
        <f>IFERROR(_xlfn.XLOOKUP($A126,'Raw Data'!$G:$G,'Raw Data'!$AL:$AL)*(1+(_xlfn.XLOOKUP(Table13[[#This Row],[Month Year]],JMR!$A:$A,JMR!$J:$J))),"")</f>
        <v>23699.99999999964</v>
      </c>
      <c r="AB126" s="86">
        <f>IFERROR(_xlfn.XLOOKUP($A126,'Raw Data'!$G:$G,'Raw Data'!$H:$H),"")</f>
        <v>7.0991999999999997</v>
      </c>
      <c r="AC126" s="87">
        <f>IFERROR(_xlfn.XLOOKUP($D126,'Modelling New'!$D:$D,'Modelling New'!$P:$P),"")</f>
        <v>3.903225806451613</v>
      </c>
      <c r="AD126" s="86">
        <f>IFERROR(_xlfn.XLOOKUP($D126,'Modelling New'!$D:$D,'Modelling New'!$T:$T)*1000,"")</f>
        <v>20295.016135869184</v>
      </c>
      <c r="AE126" s="94">
        <f>IFERROR(_xlfn.XLOOKUP($D126,'Modelling New'!$D:$D,'Modelling New'!$O:$O),"")</f>
        <v>0.73241345342129649</v>
      </c>
      <c r="AF126" s="94">
        <f>IFERROR(_xlfn.XLOOKUP($D126,'Modelling New'!$D:$D,'Modelling New'!$W:$W),"")</f>
        <v>0.11911562884943129</v>
      </c>
      <c r="AG126" s="94">
        <f>IFERROR(_xlfn.XLOOKUP($D126,'Modelling New'!$D:$D,'Modelling New'!$AE:$AE),"")</f>
        <v>0.98040000000000005</v>
      </c>
      <c r="AH126" s="94">
        <f>IFERROR(_xlfn.XLOOKUP($D126,'Modelling New'!$D:$D,'Modelling New'!$AF:$AF),"")</f>
        <v>0.98</v>
      </c>
      <c r="AN126" s="85"/>
      <c r="AO126" s="84"/>
      <c r="AP126" s="84"/>
      <c r="AQ126" s="84"/>
      <c r="AR126" s="86">
        <f>'Basic Data'!$J$2</f>
        <v>7.0991999999999997</v>
      </c>
      <c r="AT126" s="7" t="str">
        <f>IFERROR(_xlfn.XLOOKUP(Table13[[#This Row],[Date]],'Raw Data'!$E:$E,'Raw Data'!$AN:$AN),"")</f>
        <v/>
      </c>
      <c r="AU126" s="7">
        <f>IFERROR(_xlfn.XLOOKUP(Table13[[#This Row],[Month Year]],'Modelling New'!$D:$D,'Modelling New'!$AO:$AO),"")</f>
        <v>7</v>
      </c>
      <c r="AV126" s="7">
        <f>IFERROR(SUMIF('Curtailment Records'!$C:$C,Table13[[#This Row],[Date]],'Curtailment Records'!$R:$R)/1000,"")</f>
        <v>0</v>
      </c>
    </row>
    <row r="127" spans="1:48" x14ac:dyDescent="0.25">
      <c r="A127" s="93">
        <f t="shared" si="10"/>
        <v>45870</v>
      </c>
      <c r="B127" s="86">
        <f>YEAR(Table13[[#This Row],[Date]])+IF(MONTH(Table13[[#This Row],[Date]])&gt;=4,1,0)</f>
        <v>2026</v>
      </c>
      <c r="C127" s="7">
        <f>YEAR(Table13[[#This Row],[Date]])</f>
        <v>2025</v>
      </c>
      <c r="D127" s="92">
        <f>Table13[[#This Row],[Date]]-DAY(Table13[[#This Row],[Date]])+1</f>
        <v>45870</v>
      </c>
      <c r="E127" s="7">
        <f t="shared" si="11"/>
        <v>31</v>
      </c>
      <c r="F127" s="91">
        <f>IFERROR(_xlfn.XLOOKUP($A127,'Raw Data'!$G:$G,'Raw Data'!$AM:$AM),"")</f>
        <v>13.083333333333332</v>
      </c>
      <c r="G127" s="90">
        <f>IFERROR(_xlfn.XLOOKUP($A127,'Raw Data'!$G:$G,'Raw Data'!$AB:$AB),"")</f>
        <v>0</v>
      </c>
      <c r="H127" s="90"/>
      <c r="I127" s="90">
        <f>IFERROR(_xlfn.XLOOKUP($A127,'Raw Data'!$G:$G,'Raw Data'!$AC:$AC),"")</f>
        <v>5.42</v>
      </c>
      <c r="J127" s="90"/>
      <c r="K127" s="90">
        <f>IFERROR(_xlfn.XLOOKUP($A127,'Raw Data'!$G:$G,'Raw Data'!AD:AD),"")</f>
        <v>0</v>
      </c>
      <c r="L127" s="90">
        <f>IFERROR(_xlfn.XLOOKUP($A127,'Raw Data'!$G:$G,'Raw Data'!AE:AE),"")</f>
        <v>43.73</v>
      </c>
      <c r="M127" s="90">
        <f>IFERROR(_xlfn.XLOOKUP($A127,'Raw Data'!$G:$G,'Raw Data'!AF:AF),"")</f>
        <v>0</v>
      </c>
      <c r="N127" s="90">
        <f>IFERROR(_xlfn.XLOOKUP($A127,'Raw Data'!$G:$G,'Raw Data'!AG:AG),"")</f>
        <v>0</v>
      </c>
      <c r="O127" s="85">
        <f>IFERROR(1-SUMIF('Plant BD'!$B:$B,$A127,'Plant BD'!$AM:$AM)/($AA127+SUMIF('Plant BD'!$B:$B,$A127,'Plant BD'!$AM:$AM)),"")</f>
        <v>1</v>
      </c>
      <c r="P127" s="85"/>
      <c r="Q127" s="89"/>
      <c r="R127" s="85">
        <f>IFERROR(1-SUMIF('Grid BD'!$B:$B,$A127,'Grid BD'!$AE:$AE)/($AA127+SUMIF('Grid BD'!$B:$B,$A127,'Grid BD'!$AE:$AE)),"")</f>
        <v>0.72378601223277661</v>
      </c>
      <c r="T127" s="89"/>
      <c r="U127" s="88">
        <f t="shared" si="9"/>
        <v>0.54837008816336097</v>
      </c>
      <c r="V127" s="88"/>
      <c r="W127" s="84">
        <f t="shared" si="8"/>
        <v>0.12384024491022567</v>
      </c>
      <c r="X127" s="86">
        <f>IFERROR(_xlfn.XLOOKUP($A127,'Raw Data'!$G:$G,'Raw Data'!AI:AI),"")</f>
        <v>21409.5</v>
      </c>
      <c r="Y127" s="86">
        <f>IFERROR(_xlfn.XLOOKUP($A127,'Raw Data'!$G:$G,'Raw Data'!AJ:AJ),"")</f>
        <v>21300.000000000182</v>
      </c>
      <c r="Z127" s="86">
        <f>IFERROR(_xlfn.XLOOKUP($A127,'Raw Data'!$G:$G,'Raw Data'!AK:AK),"")</f>
        <v>200.00000000000284</v>
      </c>
      <c r="AA127" s="86">
        <f>IFERROR(_xlfn.XLOOKUP($A127,'Raw Data'!$G:$G,'Raw Data'!$AL:$AL)*(1+(_xlfn.XLOOKUP(Table13[[#This Row],[Month Year]],JMR!$A:$A,JMR!$J:$J))),"")</f>
        <v>21100.000000000178</v>
      </c>
      <c r="AB127" s="86">
        <f>IFERROR(_xlfn.XLOOKUP($A127,'Raw Data'!$G:$G,'Raw Data'!$H:$H),"")</f>
        <v>7.0991999999999997</v>
      </c>
      <c r="AC127" s="87">
        <f>IFERROR(_xlfn.XLOOKUP($D127,'Modelling New'!$D:$D,'Modelling New'!$P:$P),"")</f>
        <v>4.1354838709677413</v>
      </c>
      <c r="AD127" s="86">
        <f>IFERROR(_xlfn.XLOOKUP($D127,'Modelling New'!$D:$D,'Modelling New'!$T:$T)*1000,"")</f>
        <v>21483.872714890964</v>
      </c>
      <c r="AE127" s="94">
        <f>IFERROR(_xlfn.XLOOKUP($D127,'Modelling New'!$D:$D,'Modelling New'!$O:$O),"")</f>
        <v>0.73177375236499143</v>
      </c>
      <c r="AF127" s="94">
        <f>IFERROR(_xlfn.XLOOKUP($D127,'Modelling New'!$D:$D,'Modelling New'!$W:$W),"")</f>
        <v>0.12609327292095684</v>
      </c>
      <c r="AG127" s="94">
        <f>IFERROR(_xlfn.XLOOKUP($D127,'Modelling New'!$D:$D,'Modelling New'!$AE:$AE),"")</f>
        <v>0.98040000000000005</v>
      </c>
      <c r="AH127" s="94">
        <f>IFERROR(_xlfn.XLOOKUP($D127,'Modelling New'!$D:$D,'Modelling New'!$AF:$AF),"")</f>
        <v>0.98</v>
      </c>
      <c r="AN127" s="85"/>
      <c r="AO127" s="84"/>
      <c r="AP127" s="84"/>
      <c r="AQ127" s="84"/>
      <c r="AR127" s="86">
        <f>'Basic Data'!$J$2</f>
        <v>7.0991999999999997</v>
      </c>
      <c r="AT127" s="7" t="str">
        <f>IFERROR(_xlfn.XLOOKUP(Table13[[#This Row],[Date]],'Raw Data'!$E:$E,'Raw Data'!$AN:$AN),"")</f>
        <v/>
      </c>
      <c r="AU127" s="7">
        <f>IFERROR(_xlfn.XLOOKUP(Table13[[#This Row],[Month Year]],'Modelling New'!$D:$D,'Modelling New'!$AO:$AO),"")</f>
        <v>7</v>
      </c>
      <c r="AV127" s="7">
        <f>IFERROR(SUMIF('Curtailment Records'!$C:$C,Table13[[#This Row],[Date]],'Curtailment Records'!$R:$R)/1000,"")</f>
        <v>0</v>
      </c>
    </row>
    <row r="128" spans="1:48" x14ac:dyDescent="0.25">
      <c r="A128" s="93">
        <f t="shared" si="10"/>
        <v>45871</v>
      </c>
      <c r="B128" s="86">
        <f>YEAR(Table13[[#This Row],[Date]])+IF(MONTH(Table13[[#This Row],[Date]])&gt;=4,1,0)</f>
        <v>2026</v>
      </c>
      <c r="C128" s="7">
        <f>YEAR(Table13[[#This Row],[Date]])</f>
        <v>2025</v>
      </c>
      <c r="D128" s="92">
        <f>Table13[[#This Row],[Date]]-DAY(Table13[[#This Row],[Date]])+1</f>
        <v>45870</v>
      </c>
      <c r="E128" s="7">
        <f t="shared" si="11"/>
        <v>31</v>
      </c>
      <c r="F128" s="91">
        <f>IFERROR(_xlfn.XLOOKUP($A128,'Raw Data'!$G:$G,'Raw Data'!$AM:$AM),"")</f>
        <v>12.250000000000002</v>
      </c>
      <c r="G128" s="90">
        <f>IFERROR(_xlfn.XLOOKUP($A128,'Raw Data'!$G:$G,'Raw Data'!$AB:$AB),"")</f>
        <v>0</v>
      </c>
      <c r="H128" s="90"/>
      <c r="I128" s="90">
        <f>IFERROR(_xlfn.XLOOKUP($A128,'Raw Data'!$G:$G,'Raw Data'!$AC:$AC),"")</f>
        <v>6.03</v>
      </c>
      <c r="J128" s="90"/>
      <c r="K128" s="90">
        <f>IFERROR(_xlfn.XLOOKUP($A128,'Raw Data'!$G:$G,'Raw Data'!AD:AD),"")</f>
        <v>0</v>
      </c>
      <c r="L128" s="90">
        <f>IFERROR(_xlfn.XLOOKUP($A128,'Raw Data'!$G:$G,'Raw Data'!AE:AE),"")</f>
        <v>37.380000000000003</v>
      </c>
      <c r="M128" s="90">
        <f>IFERROR(_xlfn.XLOOKUP($A128,'Raw Data'!$G:$G,'Raw Data'!AF:AF),"")</f>
        <v>0</v>
      </c>
      <c r="N128" s="90">
        <f>IFERROR(_xlfn.XLOOKUP($A128,'Raw Data'!$G:$G,'Raw Data'!AG:AG),"")</f>
        <v>0</v>
      </c>
      <c r="O128" s="85">
        <f>IFERROR(1-SUMIF('Plant BD'!$B:$B,$A128,'Plant BD'!$AM:$AM)/($AA128+SUMIF('Plant BD'!$B:$B,$A128,'Plant BD'!$AM:$AM)),"")</f>
        <v>1</v>
      </c>
      <c r="P128" s="85"/>
      <c r="Q128" s="89"/>
      <c r="R128" s="85">
        <f>IFERROR(1-SUMIF('Grid BD'!$B:$B,$A128,'Grid BD'!$AE:$AE)/($AA128+SUMIF('Grid BD'!$B:$B,$A128,'Grid BD'!$AE:$AE)),"")</f>
        <v>1</v>
      </c>
      <c r="T128" s="89"/>
      <c r="U128" s="88">
        <f t="shared" si="9"/>
        <v>0.75686476340408326</v>
      </c>
      <c r="V128" s="88"/>
      <c r="W128" s="84">
        <f t="shared" si="8"/>
        <v>0.19016227180527595</v>
      </c>
      <c r="X128" s="86">
        <f>IFERROR(_xlfn.XLOOKUP($A128,'Raw Data'!$G:$G,'Raw Data'!AI:AI),"")</f>
        <v>32789.199999999997</v>
      </c>
      <c r="Y128" s="86">
        <f>IFERROR(_xlfn.XLOOKUP($A128,'Raw Data'!$G:$G,'Raw Data'!AJ:AJ),"")</f>
        <v>32600.000000000364</v>
      </c>
      <c r="Z128" s="86">
        <f>IFERROR(_xlfn.XLOOKUP($A128,'Raw Data'!$G:$G,'Raw Data'!AK:AK),"")</f>
        <v>200.00000000000284</v>
      </c>
      <c r="AA128" s="86">
        <f>IFERROR(_xlfn.XLOOKUP($A128,'Raw Data'!$G:$G,'Raw Data'!$AL:$AL)*(1+(_xlfn.XLOOKUP(Table13[[#This Row],[Month Year]],JMR!$A:$A,JMR!$J:$J))),"")</f>
        <v>32400.00000000036</v>
      </c>
      <c r="AB128" s="86">
        <f>IFERROR(_xlfn.XLOOKUP($A128,'Raw Data'!$G:$G,'Raw Data'!$H:$H),"")</f>
        <v>7.0991999999999997</v>
      </c>
      <c r="AC128" s="87">
        <f>IFERROR(_xlfn.XLOOKUP($D128,'Modelling New'!$D:$D,'Modelling New'!$P:$P),"")</f>
        <v>4.1354838709677413</v>
      </c>
      <c r="AD128" s="86">
        <f>IFERROR(_xlfn.XLOOKUP($D128,'Modelling New'!$D:$D,'Modelling New'!$T:$T)*1000,"")</f>
        <v>21483.872714890964</v>
      </c>
      <c r="AE128" s="94">
        <f>IFERROR(_xlfn.XLOOKUP($D128,'Modelling New'!$D:$D,'Modelling New'!$O:$O),"")</f>
        <v>0.73177375236499143</v>
      </c>
      <c r="AF128" s="94">
        <f>IFERROR(_xlfn.XLOOKUP($D128,'Modelling New'!$D:$D,'Modelling New'!$W:$W),"")</f>
        <v>0.12609327292095684</v>
      </c>
      <c r="AG128" s="94">
        <f>IFERROR(_xlfn.XLOOKUP($D128,'Modelling New'!$D:$D,'Modelling New'!$AE:$AE),"")</f>
        <v>0.98040000000000005</v>
      </c>
      <c r="AH128" s="94">
        <f>IFERROR(_xlfn.XLOOKUP($D128,'Modelling New'!$D:$D,'Modelling New'!$AF:$AF),"")</f>
        <v>0.98</v>
      </c>
      <c r="AN128" s="85"/>
      <c r="AO128" s="84"/>
      <c r="AP128" s="84"/>
      <c r="AQ128" s="84"/>
      <c r="AR128" s="86">
        <f>'Basic Data'!$J$2</f>
        <v>7.0991999999999997</v>
      </c>
      <c r="AT128" s="7" t="str">
        <f>IFERROR(_xlfn.XLOOKUP(Table13[[#This Row],[Date]],'Raw Data'!$E:$E,'Raw Data'!$AN:$AN),"")</f>
        <v/>
      </c>
      <c r="AU128" s="7">
        <f>IFERROR(_xlfn.XLOOKUP(Table13[[#This Row],[Month Year]],'Modelling New'!$D:$D,'Modelling New'!$AO:$AO),"")</f>
        <v>7</v>
      </c>
      <c r="AV128" s="7">
        <f>IFERROR(SUMIF('Curtailment Records'!$C:$C,Table13[[#This Row],[Date]],'Curtailment Records'!$R:$R)/1000,"")</f>
        <v>0</v>
      </c>
    </row>
    <row r="129" spans="1:48" x14ac:dyDescent="0.25">
      <c r="A129" s="93">
        <f t="shared" si="10"/>
        <v>45872</v>
      </c>
      <c r="B129" s="86">
        <f>YEAR(Table13[[#This Row],[Date]])+IF(MONTH(Table13[[#This Row],[Date]])&gt;=4,1,0)</f>
        <v>2026</v>
      </c>
      <c r="C129" s="7">
        <f>YEAR(Table13[[#This Row],[Date]])</f>
        <v>2025</v>
      </c>
      <c r="D129" s="92">
        <f>Table13[[#This Row],[Date]]-DAY(Table13[[#This Row],[Date]])+1</f>
        <v>45870</v>
      </c>
      <c r="E129" s="7">
        <f t="shared" si="11"/>
        <v>31</v>
      </c>
      <c r="F129" s="91">
        <f>IFERROR(_xlfn.XLOOKUP($A129,'Raw Data'!$G:$G,'Raw Data'!$AM:$AM),"")</f>
        <v>13.049999999999999</v>
      </c>
      <c r="G129" s="90">
        <f>IFERROR(_xlfn.XLOOKUP($A129,'Raw Data'!$G:$G,'Raw Data'!$AB:$AB),"")</f>
        <v>0</v>
      </c>
      <c r="H129" s="90"/>
      <c r="I129" s="90">
        <f>IFERROR(_xlfn.XLOOKUP($A129,'Raw Data'!$G:$G,'Raw Data'!$AC:$AC),"")</f>
        <v>6.04</v>
      </c>
      <c r="J129" s="90"/>
      <c r="K129" s="90">
        <f>IFERROR(_xlfn.XLOOKUP($A129,'Raw Data'!$G:$G,'Raw Data'!AD:AD),"")</f>
        <v>0</v>
      </c>
      <c r="L129" s="90">
        <f>IFERROR(_xlfn.XLOOKUP($A129,'Raw Data'!$G:$G,'Raw Data'!AE:AE),"")</f>
        <v>46.32</v>
      </c>
      <c r="M129" s="90">
        <f>IFERROR(_xlfn.XLOOKUP($A129,'Raw Data'!$G:$G,'Raw Data'!AF:AF),"")</f>
        <v>0</v>
      </c>
      <c r="N129" s="90">
        <f>IFERROR(_xlfn.XLOOKUP($A129,'Raw Data'!$G:$G,'Raw Data'!AG:AG),"")</f>
        <v>0</v>
      </c>
      <c r="O129" s="85">
        <f>IFERROR(1-SUMIF('Plant BD'!$B:$B,$A129,'Plant BD'!$AM:$AM)/($AA129+SUMIF('Plant BD'!$B:$B,$A129,'Plant BD'!$AM:$AM)),"")</f>
        <v>1</v>
      </c>
      <c r="P129" s="85"/>
      <c r="Q129" s="89"/>
      <c r="R129" s="85">
        <f>IFERROR(1-SUMIF('Grid BD'!$B:$B,$A129,'Grid BD'!$AE:$AE)/($AA129+SUMIF('Grid BD'!$B:$B,$A129,'Grid BD'!$AE:$AE)),"")</f>
        <v>1</v>
      </c>
      <c r="T129" s="89"/>
      <c r="U129" s="88">
        <f t="shared" si="9"/>
        <v>0.77426875446837029</v>
      </c>
      <c r="V129" s="88"/>
      <c r="W129" s="84">
        <f t="shared" si="8"/>
        <v>0.19485763654120652</v>
      </c>
      <c r="X129" s="86">
        <f>IFERROR(_xlfn.XLOOKUP($A129,'Raw Data'!$G:$G,'Raw Data'!AI:AI),"")</f>
        <v>31938.1</v>
      </c>
      <c r="Y129" s="86">
        <f>IFERROR(_xlfn.XLOOKUP($A129,'Raw Data'!$G:$G,'Raw Data'!AJ:AJ),"")</f>
        <v>33500</v>
      </c>
      <c r="Z129" s="86">
        <f>IFERROR(_xlfn.XLOOKUP($A129,'Raw Data'!$G:$G,'Raw Data'!AK:AK),"")</f>
        <v>299.99999999999716</v>
      </c>
      <c r="AA129" s="86">
        <f>IFERROR(_xlfn.XLOOKUP($A129,'Raw Data'!$G:$G,'Raw Data'!$AL:$AL)*(1+(_xlfn.XLOOKUP(Table13[[#This Row],[Month Year]],JMR!$A:$A,JMR!$J:$J))),"")</f>
        <v>33200</v>
      </c>
      <c r="AB129" s="86">
        <f>IFERROR(_xlfn.XLOOKUP($A129,'Raw Data'!$G:$G,'Raw Data'!$H:$H),"")</f>
        <v>7.0991999999999997</v>
      </c>
      <c r="AC129" s="87">
        <f>IFERROR(_xlfn.XLOOKUP($D129,'Modelling New'!$D:$D,'Modelling New'!$P:$P),"")</f>
        <v>4.1354838709677413</v>
      </c>
      <c r="AD129" s="86">
        <f>IFERROR(_xlfn.XLOOKUP($D129,'Modelling New'!$D:$D,'Modelling New'!$T:$T)*1000,"")</f>
        <v>21483.872714890964</v>
      </c>
      <c r="AE129" s="94">
        <f>IFERROR(_xlfn.XLOOKUP($D129,'Modelling New'!$D:$D,'Modelling New'!$O:$O),"")</f>
        <v>0.73177375236499143</v>
      </c>
      <c r="AF129" s="94">
        <f>IFERROR(_xlfn.XLOOKUP($D129,'Modelling New'!$D:$D,'Modelling New'!$W:$W),"")</f>
        <v>0.12609327292095684</v>
      </c>
      <c r="AG129" s="94">
        <f>IFERROR(_xlfn.XLOOKUP($D129,'Modelling New'!$D:$D,'Modelling New'!$AE:$AE),"")</f>
        <v>0.98040000000000005</v>
      </c>
      <c r="AH129" s="94">
        <f>IFERROR(_xlfn.XLOOKUP($D129,'Modelling New'!$D:$D,'Modelling New'!$AF:$AF),"")</f>
        <v>0.98</v>
      </c>
      <c r="AN129" s="85"/>
      <c r="AO129" s="84"/>
      <c r="AP129" s="84"/>
      <c r="AQ129" s="84"/>
      <c r="AR129" s="86">
        <f>'Basic Data'!$J$2</f>
        <v>7.0991999999999997</v>
      </c>
      <c r="AT129" s="7" t="str">
        <f>IFERROR(_xlfn.XLOOKUP(Table13[[#This Row],[Date]],'Raw Data'!$E:$E,'Raw Data'!$AN:$AN),"")</f>
        <v/>
      </c>
      <c r="AU129" s="7">
        <f>IFERROR(_xlfn.XLOOKUP(Table13[[#This Row],[Month Year]],'Modelling New'!$D:$D,'Modelling New'!$AO:$AO),"")</f>
        <v>7</v>
      </c>
      <c r="AV129" s="7">
        <f>IFERROR(SUMIF('Curtailment Records'!$C:$C,Table13[[#This Row],[Date]],'Curtailment Records'!$R:$R)/1000,"")</f>
        <v>0</v>
      </c>
    </row>
    <row r="130" spans="1:48" x14ac:dyDescent="0.25">
      <c r="A130" s="93">
        <f t="shared" si="10"/>
        <v>45873</v>
      </c>
      <c r="B130" s="86">
        <f>YEAR(Table13[[#This Row],[Date]])+IF(MONTH(Table13[[#This Row],[Date]])&gt;=4,1,0)</f>
        <v>2026</v>
      </c>
      <c r="C130" s="7">
        <f>YEAR(Table13[[#This Row],[Date]])</f>
        <v>2025</v>
      </c>
      <c r="D130" s="92">
        <f>Table13[[#This Row],[Date]]-DAY(Table13[[#This Row],[Date]])+1</f>
        <v>45870</v>
      </c>
      <c r="E130" s="7">
        <f t="shared" si="11"/>
        <v>31</v>
      </c>
      <c r="F130" s="91">
        <f>IFERROR(_xlfn.XLOOKUP($A130,'Raw Data'!$G:$G,'Raw Data'!$AM:$AM),"")</f>
        <v>12.899999999999999</v>
      </c>
      <c r="G130" s="90">
        <f>IFERROR(_xlfn.XLOOKUP($A130,'Raw Data'!$G:$G,'Raw Data'!$AB:$AB),"")</f>
        <v>0</v>
      </c>
      <c r="H130" s="90"/>
      <c r="I130" s="90">
        <f>IFERROR(_xlfn.XLOOKUP($A130,'Raw Data'!$G:$G,'Raw Data'!$AC:$AC),"")</f>
        <v>3.73</v>
      </c>
      <c r="J130" s="90"/>
      <c r="K130" s="90">
        <f>IFERROR(_xlfn.XLOOKUP($A130,'Raw Data'!$G:$G,'Raw Data'!AD:AD),"")</f>
        <v>0</v>
      </c>
      <c r="L130" s="90">
        <f>IFERROR(_xlfn.XLOOKUP($A130,'Raw Data'!$G:$G,'Raw Data'!AE:AE),"")</f>
        <v>40.729999999999997</v>
      </c>
      <c r="M130" s="90">
        <f>IFERROR(_xlfn.XLOOKUP($A130,'Raw Data'!$G:$G,'Raw Data'!AF:AF),"")</f>
        <v>0</v>
      </c>
      <c r="N130" s="90">
        <f>IFERROR(_xlfn.XLOOKUP($A130,'Raw Data'!$G:$G,'Raw Data'!AG:AG),"")</f>
        <v>0</v>
      </c>
      <c r="O130" s="85">
        <f>IFERROR(1-SUMIF('Plant BD'!$B:$B,$A130,'Plant BD'!$AM:$AM)/($AA130+SUMIF('Plant BD'!$B:$B,$A130,'Plant BD'!$AM:$AM)),"")</f>
        <v>1</v>
      </c>
      <c r="P130" s="85"/>
      <c r="Q130" s="89"/>
      <c r="R130" s="85">
        <f>IFERROR(1-SUMIF('Grid BD'!$B:$B,$A130,'Grid BD'!$AE:$AE)/($AA130+SUMIF('Grid BD'!$B:$B,$A130,'Grid BD'!$AE:$AE)),"")</f>
        <v>1</v>
      </c>
      <c r="T130" s="89"/>
      <c r="U130" s="88">
        <f t="shared" si="9"/>
        <v>0.77039228375086521</v>
      </c>
      <c r="V130" s="88"/>
      <c r="W130" s="84">
        <f t="shared" si="8"/>
        <v>0.1197318007662803</v>
      </c>
      <c r="X130" s="86">
        <f>IFERROR(_xlfn.XLOOKUP($A130,'Raw Data'!$G:$G,'Raw Data'!AI:AI),"")</f>
        <v>20730.400000000001</v>
      </c>
      <c r="Y130" s="86">
        <f>IFERROR(_xlfn.XLOOKUP($A130,'Raw Data'!$G:$G,'Raw Data'!AJ:AJ),"")</f>
        <v>20599.999999999454</v>
      </c>
      <c r="Z130" s="86">
        <f>IFERROR(_xlfn.XLOOKUP($A130,'Raw Data'!$G:$G,'Raw Data'!AK:AK),"")</f>
        <v>200.00000000000284</v>
      </c>
      <c r="AA130" s="86">
        <f>IFERROR(_xlfn.XLOOKUP($A130,'Raw Data'!$G:$G,'Raw Data'!$AL:$AL)*(1+(_xlfn.XLOOKUP(Table13[[#This Row],[Month Year]],JMR!$A:$A,JMR!$J:$J))),"")</f>
        <v>20399.999999999451</v>
      </c>
      <c r="AB130" s="86">
        <f>IFERROR(_xlfn.XLOOKUP($A130,'Raw Data'!$G:$G,'Raw Data'!$H:$H),"")</f>
        <v>7.0991999999999997</v>
      </c>
      <c r="AC130" s="87">
        <f>IFERROR(_xlfn.XLOOKUP($D130,'Modelling New'!$D:$D,'Modelling New'!$P:$P),"")</f>
        <v>4.1354838709677413</v>
      </c>
      <c r="AD130" s="86">
        <f>IFERROR(_xlfn.XLOOKUP($D130,'Modelling New'!$D:$D,'Modelling New'!$T:$T)*1000,"")</f>
        <v>21483.872714890964</v>
      </c>
      <c r="AE130" s="94">
        <f>IFERROR(_xlfn.XLOOKUP($D130,'Modelling New'!$D:$D,'Modelling New'!$O:$O),"")</f>
        <v>0.73177375236499143</v>
      </c>
      <c r="AF130" s="94">
        <f>IFERROR(_xlfn.XLOOKUP($D130,'Modelling New'!$D:$D,'Modelling New'!$W:$W),"")</f>
        <v>0.12609327292095684</v>
      </c>
      <c r="AG130" s="94">
        <f>IFERROR(_xlfn.XLOOKUP($D130,'Modelling New'!$D:$D,'Modelling New'!$AE:$AE),"")</f>
        <v>0.98040000000000005</v>
      </c>
      <c r="AH130" s="94">
        <f>IFERROR(_xlfn.XLOOKUP($D130,'Modelling New'!$D:$D,'Modelling New'!$AF:$AF),"")</f>
        <v>0.98</v>
      </c>
      <c r="AN130" s="85"/>
      <c r="AO130" s="84"/>
      <c r="AP130" s="84"/>
      <c r="AQ130" s="84"/>
      <c r="AR130" s="86">
        <f>'Basic Data'!$J$2</f>
        <v>7.0991999999999997</v>
      </c>
      <c r="AT130" s="7" t="str">
        <f>IFERROR(_xlfn.XLOOKUP(Table13[[#This Row],[Date]],'Raw Data'!$E:$E,'Raw Data'!$AN:$AN),"")</f>
        <v/>
      </c>
      <c r="AU130" s="7">
        <f>IFERROR(_xlfn.XLOOKUP(Table13[[#This Row],[Month Year]],'Modelling New'!$D:$D,'Modelling New'!$AO:$AO),"")</f>
        <v>7</v>
      </c>
      <c r="AV130" s="7">
        <f>IFERROR(SUMIF('Curtailment Records'!$C:$C,Table13[[#This Row],[Date]],'Curtailment Records'!$R:$R)/1000,"")</f>
        <v>0</v>
      </c>
    </row>
    <row r="131" spans="1:48" x14ac:dyDescent="0.25">
      <c r="A131" s="93">
        <f t="shared" si="10"/>
        <v>45874</v>
      </c>
      <c r="B131" s="86">
        <f>YEAR(Table13[[#This Row],[Date]])+IF(MONTH(Table13[[#This Row],[Date]])&gt;=4,1,0)</f>
        <v>2026</v>
      </c>
      <c r="C131" s="7">
        <f>YEAR(Table13[[#This Row],[Date]])</f>
        <v>2025</v>
      </c>
      <c r="D131" s="92">
        <f>Table13[[#This Row],[Date]]-DAY(Table13[[#This Row],[Date]])+1</f>
        <v>45870</v>
      </c>
      <c r="E131" s="7">
        <f t="shared" si="11"/>
        <v>31</v>
      </c>
      <c r="F131" s="91">
        <f>IFERROR(_xlfn.XLOOKUP($A131,'Raw Data'!$G:$G,'Raw Data'!$AM:$AM),"")</f>
        <v>0</v>
      </c>
      <c r="G131" s="90">
        <f>IFERROR(_xlfn.XLOOKUP($A131,'Raw Data'!$G:$G,'Raw Data'!$AB:$AB),"")</f>
        <v>0</v>
      </c>
      <c r="H131" s="90"/>
      <c r="I131" s="90">
        <f>IFERROR(_xlfn.XLOOKUP($A131,'Raw Data'!$G:$G,'Raw Data'!$AC:$AC),"")</f>
        <v>0</v>
      </c>
      <c r="J131" s="90"/>
      <c r="K131" s="90">
        <f>IFERROR(_xlfn.XLOOKUP($A131,'Raw Data'!$G:$G,'Raw Data'!AD:AD),"")</f>
        <v>0</v>
      </c>
      <c r="L131" s="90">
        <f>IFERROR(_xlfn.XLOOKUP($A131,'Raw Data'!$G:$G,'Raw Data'!AE:AE),"")</f>
        <v>0</v>
      </c>
      <c r="M131" s="90">
        <f>IFERROR(_xlfn.XLOOKUP($A131,'Raw Data'!$G:$G,'Raw Data'!AF:AF),"")</f>
        <v>0</v>
      </c>
      <c r="N131" s="90">
        <f>IFERROR(_xlfn.XLOOKUP($A131,'Raw Data'!$G:$G,'Raw Data'!AG:AG),"")</f>
        <v>0</v>
      </c>
      <c r="O131" s="85" t="str">
        <f>IFERROR(1-SUMIF('Plant BD'!$B:$B,$A131,'Plant BD'!$AM:$AM)/($AA131+SUMIF('Plant BD'!$B:$B,$A131,'Plant BD'!$AM:$AM)),"")</f>
        <v/>
      </c>
      <c r="P131" s="85"/>
      <c r="Q131" s="89"/>
      <c r="R131" s="85" t="str">
        <f>IFERROR(1-SUMIF('Grid BD'!$B:$B,$A131,'Grid BD'!$AE:$AE)/($AA131+SUMIF('Grid BD'!$B:$B,$A131,'Grid BD'!$AE:$AE)),"")</f>
        <v/>
      </c>
      <c r="T131" s="89"/>
      <c r="U131" s="88" t="str">
        <f t="shared" si="9"/>
        <v/>
      </c>
      <c r="V131" s="88"/>
      <c r="W131" s="84">
        <f t="shared" si="8"/>
        <v>0</v>
      </c>
      <c r="X131" s="86">
        <f>IFERROR(_xlfn.XLOOKUP($A131,'Raw Data'!$G:$G,'Raw Data'!AI:AI),"")</f>
        <v>0</v>
      </c>
      <c r="Y131" s="86">
        <f>IFERROR(_xlfn.XLOOKUP($A131,'Raw Data'!$G:$G,'Raw Data'!AJ:AJ),"")</f>
        <v>0</v>
      </c>
      <c r="Z131" s="86">
        <f>IFERROR(_xlfn.XLOOKUP($A131,'Raw Data'!$G:$G,'Raw Data'!AK:AK),"")</f>
        <v>0</v>
      </c>
      <c r="AA131" s="86">
        <f>IFERROR(_xlfn.XLOOKUP($A131,'Raw Data'!$G:$G,'Raw Data'!$AL:$AL)*(1+(_xlfn.XLOOKUP(Table13[[#This Row],[Month Year]],JMR!$A:$A,JMR!$J:$J))),"")</f>
        <v>0</v>
      </c>
      <c r="AB131" s="86">
        <f>IFERROR(_xlfn.XLOOKUP($A131,'Raw Data'!$G:$G,'Raw Data'!$H:$H),"")</f>
        <v>7.0991999999999997</v>
      </c>
      <c r="AC131" s="87">
        <f>IFERROR(_xlfn.XLOOKUP($D131,'Modelling New'!$D:$D,'Modelling New'!$P:$P),"")</f>
        <v>4.1354838709677413</v>
      </c>
      <c r="AD131" s="86">
        <f>IFERROR(_xlfn.XLOOKUP($D131,'Modelling New'!$D:$D,'Modelling New'!$T:$T)*1000,"")</f>
        <v>21483.872714890964</v>
      </c>
      <c r="AE131" s="94">
        <f>IFERROR(_xlfn.XLOOKUP($D131,'Modelling New'!$D:$D,'Modelling New'!$O:$O),"")</f>
        <v>0.73177375236499143</v>
      </c>
      <c r="AF131" s="94">
        <f>IFERROR(_xlfn.XLOOKUP($D131,'Modelling New'!$D:$D,'Modelling New'!$W:$W),"")</f>
        <v>0.12609327292095684</v>
      </c>
      <c r="AG131" s="94">
        <f>IFERROR(_xlfn.XLOOKUP($D131,'Modelling New'!$D:$D,'Modelling New'!$AE:$AE),"")</f>
        <v>0.98040000000000005</v>
      </c>
      <c r="AH131" s="94">
        <f>IFERROR(_xlfn.XLOOKUP($D131,'Modelling New'!$D:$D,'Modelling New'!$AF:$AF),"")</f>
        <v>0.98</v>
      </c>
      <c r="AN131" s="85"/>
      <c r="AO131" s="84"/>
      <c r="AP131" s="84"/>
      <c r="AQ131" s="84"/>
      <c r="AR131" s="86">
        <f>'Basic Data'!$J$2</f>
        <v>7.0991999999999997</v>
      </c>
      <c r="AT131" s="7" t="str">
        <f>IFERROR(_xlfn.XLOOKUP(Table13[[#This Row],[Date]],'Raw Data'!$E:$E,'Raw Data'!$AN:$AN),"")</f>
        <v/>
      </c>
      <c r="AU131" s="7">
        <f>IFERROR(_xlfn.XLOOKUP(Table13[[#This Row],[Month Year]],'Modelling New'!$D:$D,'Modelling New'!$AO:$AO),"")</f>
        <v>7</v>
      </c>
      <c r="AV131" s="7">
        <f>IFERROR(SUMIF('Curtailment Records'!$C:$C,Table13[[#This Row],[Date]],'Curtailment Records'!$R:$R)/1000,"")</f>
        <v>0</v>
      </c>
    </row>
    <row r="132" spans="1:48" x14ac:dyDescent="0.25">
      <c r="A132" s="93">
        <f t="shared" si="10"/>
        <v>45875</v>
      </c>
      <c r="B132" s="86">
        <f>YEAR(Table13[[#This Row],[Date]])+IF(MONTH(Table13[[#This Row],[Date]])&gt;=4,1,0)</f>
        <v>2026</v>
      </c>
      <c r="C132" s="7">
        <f>YEAR(Table13[[#This Row],[Date]])</f>
        <v>2025</v>
      </c>
      <c r="D132" s="92">
        <f>Table13[[#This Row],[Date]]-DAY(Table13[[#This Row],[Date]])+1</f>
        <v>45870</v>
      </c>
      <c r="E132" s="7">
        <f t="shared" si="11"/>
        <v>31</v>
      </c>
      <c r="F132" s="91">
        <f>IFERROR(_xlfn.XLOOKUP($A132,'Raw Data'!$G:$G,'Raw Data'!$AM:$AM),"")</f>
        <v>0</v>
      </c>
      <c r="G132" s="90">
        <f>IFERROR(_xlfn.XLOOKUP($A132,'Raw Data'!$G:$G,'Raw Data'!$AB:$AB),"")</f>
        <v>0</v>
      </c>
      <c r="H132" s="90"/>
      <c r="I132" s="90">
        <f>IFERROR(_xlfn.XLOOKUP($A132,'Raw Data'!$G:$G,'Raw Data'!$AC:$AC),"")</f>
        <v>0</v>
      </c>
      <c r="J132" s="90"/>
      <c r="K132" s="90">
        <f>IFERROR(_xlfn.XLOOKUP($A132,'Raw Data'!$G:$G,'Raw Data'!AD:AD),"")</f>
        <v>0</v>
      </c>
      <c r="L132" s="90">
        <f>IFERROR(_xlfn.XLOOKUP($A132,'Raw Data'!$G:$G,'Raw Data'!AE:AE),"")</f>
        <v>0</v>
      </c>
      <c r="M132" s="90">
        <f>IFERROR(_xlfn.XLOOKUP($A132,'Raw Data'!$G:$G,'Raw Data'!AF:AF),"")</f>
        <v>0</v>
      </c>
      <c r="N132" s="90">
        <f>IFERROR(_xlfn.XLOOKUP($A132,'Raw Data'!$G:$G,'Raw Data'!AG:AG),"")</f>
        <v>0</v>
      </c>
      <c r="O132" s="85" t="str">
        <f>IFERROR(1-SUMIF('Plant BD'!$B:$B,$A132,'Plant BD'!$AM:$AM)/($AA132+SUMIF('Plant BD'!$B:$B,$A132,'Plant BD'!$AM:$AM)),"")</f>
        <v/>
      </c>
      <c r="P132" s="85"/>
      <c r="Q132" s="89"/>
      <c r="R132" s="85" t="str">
        <f>IFERROR(1-SUMIF('Grid BD'!$B:$B,$A132,'Grid BD'!$AE:$AE)/($AA132+SUMIF('Grid BD'!$B:$B,$A132,'Grid BD'!$AE:$AE)),"")</f>
        <v/>
      </c>
      <c r="T132" s="89"/>
      <c r="U132" s="88" t="str">
        <f t="shared" si="9"/>
        <v/>
      </c>
      <c r="V132" s="88"/>
      <c r="W132" s="84">
        <f t="shared" si="8"/>
        <v>0</v>
      </c>
      <c r="X132" s="86">
        <f>IFERROR(_xlfn.XLOOKUP($A132,'Raw Data'!$G:$G,'Raw Data'!AI:AI),"")</f>
        <v>0</v>
      </c>
      <c r="Y132" s="86">
        <f>IFERROR(_xlfn.XLOOKUP($A132,'Raw Data'!$G:$G,'Raw Data'!AJ:AJ),"")</f>
        <v>0</v>
      </c>
      <c r="Z132" s="86">
        <f>IFERROR(_xlfn.XLOOKUP($A132,'Raw Data'!$G:$G,'Raw Data'!AK:AK),"")</f>
        <v>0</v>
      </c>
      <c r="AA132" s="86">
        <f>IFERROR(_xlfn.XLOOKUP($A132,'Raw Data'!$G:$G,'Raw Data'!$AL:$AL)*(1+(_xlfn.XLOOKUP(Table13[[#This Row],[Month Year]],JMR!$A:$A,JMR!$J:$J))),"")</f>
        <v>0</v>
      </c>
      <c r="AB132" s="86">
        <f>IFERROR(_xlfn.XLOOKUP($A132,'Raw Data'!$G:$G,'Raw Data'!$H:$H),"")</f>
        <v>7.0991999999999997</v>
      </c>
      <c r="AC132" s="87">
        <f>IFERROR(_xlfn.XLOOKUP($D132,'Modelling New'!$D:$D,'Modelling New'!$P:$P),"")</f>
        <v>4.1354838709677413</v>
      </c>
      <c r="AD132" s="86">
        <f>IFERROR(_xlfn.XLOOKUP($D132,'Modelling New'!$D:$D,'Modelling New'!$T:$T)*1000,"")</f>
        <v>21483.872714890964</v>
      </c>
      <c r="AE132" s="94">
        <f>IFERROR(_xlfn.XLOOKUP($D132,'Modelling New'!$D:$D,'Modelling New'!$O:$O),"")</f>
        <v>0.73177375236499143</v>
      </c>
      <c r="AF132" s="94">
        <f>IFERROR(_xlfn.XLOOKUP($D132,'Modelling New'!$D:$D,'Modelling New'!$W:$W),"")</f>
        <v>0.12609327292095684</v>
      </c>
      <c r="AG132" s="94">
        <f>IFERROR(_xlfn.XLOOKUP($D132,'Modelling New'!$D:$D,'Modelling New'!$AE:$AE),"")</f>
        <v>0.98040000000000005</v>
      </c>
      <c r="AH132" s="94">
        <f>IFERROR(_xlfn.XLOOKUP($D132,'Modelling New'!$D:$D,'Modelling New'!$AF:$AF),"")</f>
        <v>0.98</v>
      </c>
      <c r="AN132" s="85"/>
      <c r="AO132" s="84"/>
      <c r="AP132" s="84"/>
      <c r="AQ132" s="84"/>
      <c r="AR132" s="86">
        <f>'Basic Data'!$J$2</f>
        <v>7.0991999999999997</v>
      </c>
      <c r="AT132" s="7" t="str">
        <f>IFERROR(_xlfn.XLOOKUP(Table13[[#This Row],[Date]],'Raw Data'!$E:$E,'Raw Data'!$AN:$AN),"")</f>
        <v/>
      </c>
      <c r="AU132" s="7">
        <f>IFERROR(_xlfn.XLOOKUP(Table13[[#This Row],[Month Year]],'Modelling New'!$D:$D,'Modelling New'!$AO:$AO),"")</f>
        <v>7</v>
      </c>
      <c r="AV132" s="7">
        <f>IFERROR(SUMIF('Curtailment Records'!$C:$C,Table13[[#This Row],[Date]],'Curtailment Records'!$R:$R)/1000,"")</f>
        <v>0</v>
      </c>
    </row>
    <row r="133" spans="1:48" x14ac:dyDescent="0.25">
      <c r="A133" s="93">
        <f t="shared" si="10"/>
        <v>45876</v>
      </c>
      <c r="B133" s="86">
        <f>YEAR(Table13[[#This Row],[Date]])+IF(MONTH(Table13[[#This Row],[Date]])&gt;=4,1,0)</f>
        <v>2026</v>
      </c>
      <c r="C133" s="7">
        <f>YEAR(Table13[[#This Row],[Date]])</f>
        <v>2025</v>
      </c>
      <c r="D133" s="92">
        <f>Table13[[#This Row],[Date]]-DAY(Table13[[#This Row],[Date]])+1</f>
        <v>45870</v>
      </c>
      <c r="E133" s="7">
        <f t="shared" si="11"/>
        <v>31</v>
      </c>
      <c r="F133" s="91" t="str">
        <f>IFERROR(_xlfn.XLOOKUP($A133,'Raw Data'!$G:$G,'Raw Data'!$AM:$AM),"")</f>
        <v/>
      </c>
      <c r="G133" s="90" t="str">
        <f>IFERROR(_xlfn.XLOOKUP($A133,'Raw Data'!$G:$G,'Raw Data'!$AB:$AB),"")</f>
        <v/>
      </c>
      <c r="H133" s="90"/>
      <c r="I133" s="90" t="str">
        <f>IFERROR(_xlfn.XLOOKUP($A133,'Raw Data'!$G:$G,'Raw Data'!$AC:$AC),"")</f>
        <v/>
      </c>
      <c r="J133" s="90"/>
      <c r="K133" s="90" t="str">
        <f>IFERROR(_xlfn.XLOOKUP($A133,'Raw Data'!$G:$G,'Raw Data'!AD:AD),"")</f>
        <v/>
      </c>
      <c r="L133" s="90" t="str">
        <f>IFERROR(_xlfn.XLOOKUP($A133,'Raw Data'!$G:$G,'Raw Data'!AE:AE),"")</f>
        <v/>
      </c>
      <c r="M133" s="90" t="str">
        <f>IFERROR(_xlfn.XLOOKUP($A133,'Raw Data'!$G:$G,'Raw Data'!AF:AF),"")</f>
        <v/>
      </c>
      <c r="N133" s="90" t="str">
        <f>IFERROR(_xlfn.XLOOKUP($A133,'Raw Data'!$G:$G,'Raw Data'!AG:AG),"")</f>
        <v/>
      </c>
      <c r="O133" s="85" t="str">
        <f>IFERROR(1-SUMIF('Plant BD'!$B:$B,$A133,'Plant BD'!$AM:$AM)/($AA133+SUMIF('Plant BD'!$B:$B,$A133,'Plant BD'!$AM:$AM)),"")</f>
        <v/>
      </c>
      <c r="P133" s="85"/>
      <c r="Q133" s="89"/>
      <c r="R133" s="85" t="str">
        <f>IFERROR(1-SUMIF('Grid BD'!$B:$B,$A133,'Grid BD'!$AE:$AE)/($AA133+SUMIF('Grid BD'!$B:$B,$A133,'Grid BD'!$AE:$AE)),"")</f>
        <v/>
      </c>
      <c r="T133" s="89"/>
      <c r="U133" s="88" t="str">
        <f t="shared" si="9"/>
        <v/>
      </c>
      <c r="V133" s="88"/>
      <c r="W133" s="84" t="str">
        <f t="shared" si="8"/>
        <v/>
      </c>
      <c r="X133" s="86" t="str">
        <f>IFERROR(_xlfn.XLOOKUP($A133,'Raw Data'!$G:$G,'Raw Data'!AI:AI),"")</f>
        <v/>
      </c>
      <c r="Y133" s="86" t="str">
        <f>IFERROR(_xlfn.XLOOKUP($A133,'Raw Data'!$G:$G,'Raw Data'!AJ:AJ),"")</f>
        <v/>
      </c>
      <c r="Z133" s="86" t="str">
        <f>IFERROR(_xlfn.XLOOKUP($A133,'Raw Data'!$G:$G,'Raw Data'!AK:AK),"")</f>
        <v/>
      </c>
      <c r="AA133" s="86" t="str">
        <f>IFERROR(_xlfn.XLOOKUP($A133,'Raw Data'!$G:$G,'Raw Data'!$AL:$AL)*(1+(_xlfn.XLOOKUP(Table13[[#This Row],[Month Year]],JMR!$A:$A,JMR!$J:$J))),"")</f>
        <v/>
      </c>
      <c r="AB133" s="86" t="str">
        <f>IFERROR(_xlfn.XLOOKUP($A133,'Raw Data'!$G:$G,'Raw Data'!$H:$H),"")</f>
        <v/>
      </c>
      <c r="AC133" s="87">
        <f>IFERROR(_xlfn.XLOOKUP($D133,'Modelling New'!$D:$D,'Modelling New'!$P:$P),"")</f>
        <v>4.1354838709677413</v>
      </c>
      <c r="AD133" s="86">
        <f>IFERROR(_xlfn.XLOOKUP($D133,'Modelling New'!$D:$D,'Modelling New'!$T:$T)*1000,"")</f>
        <v>21483.872714890964</v>
      </c>
      <c r="AE133" s="94">
        <f>IFERROR(_xlfn.XLOOKUP($D133,'Modelling New'!$D:$D,'Modelling New'!$O:$O),"")</f>
        <v>0.73177375236499143</v>
      </c>
      <c r="AF133" s="94">
        <f>IFERROR(_xlfn.XLOOKUP($D133,'Modelling New'!$D:$D,'Modelling New'!$W:$W),"")</f>
        <v>0.12609327292095684</v>
      </c>
      <c r="AG133" s="94">
        <f>IFERROR(_xlfn.XLOOKUP($D133,'Modelling New'!$D:$D,'Modelling New'!$AE:$AE),"")</f>
        <v>0.98040000000000005</v>
      </c>
      <c r="AH133" s="94">
        <f>IFERROR(_xlfn.XLOOKUP($D133,'Modelling New'!$D:$D,'Modelling New'!$AF:$AF),"")</f>
        <v>0.98</v>
      </c>
      <c r="AN133" s="85"/>
      <c r="AO133" s="84"/>
      <c r="AP133" s="84"/>
      <c r="AQ133" s="84"/>
      <c r="AR133" s="86">
        <f>'Basic Data'!$J$2</f>
        <v>7.0991999999999997</v>
      </c>
      <c r="AT133" s="7" t="str">
        <f>IFERROR(_xlfn.XLOOKUP(Table13[[#This Row],[Date]],'Raw Data'!$E:$E,'Raw Data'!$AN:$AN),"")</f>
        <v/>
      </c>
      <c r="AU133" s="7">
        <f>IFERROR(_xlfn.XLOOKUP(Table13[[#This Row],[Month Year]],'Modelling New'!$D:$D,'Modelling New'!$AO:$AO),"")</f>
        <v>7</v>
      </c>
      <c r="AV133" s="7">
        <f>IFERROR(SUMIF('Curtailment Records'!$C:$C,Table13[[#This Row],[Date]],'Curtailment Records'!$R:$R)/1000,"")</f>
        <v>0</v>
      </c>
    </row>
    <row r="134" spans="1:48" x14ac:dyDescent="0.25">
      <c r="A134" s="93">
        <f t="shared" si="10"/>
        <v>45877</v>
      </c>
      <c r="B134" s="86">
        <f>YEAR(Table13[[#This Row],[Date]])+IF(MONTH(Table13[[#This Row],[Date]])&gt;=4,1,0)</f>
        <v>2026</v>
      </c>
      <c r="C134" s="7">
        <f>YEAR(Table13[[#This Row],[Date]])</f>
        <v>2025</v>
      </c>
      <c r="D134" s="92">
        <f>Table13[[#This Row],[Date]]-DAY(Table13[[#This Row],[Date]])+1</f>
        <v>45870</v>
      </c>
      <c r="E134" s="7">
        <f t="shared" si="11"/>
        <v>31</v>
      </c>
      <c r="F134" s="91" t="str">
        <f>IFERROR(_xlfn.XLOOKUP($A134,'Raw Data'!$G:$G,'Raw Data'!$AM:$AM),"")</f>
        <v/>
      </c>
      <c r="G134" s="90" t="str">
        <f>IFERROR(_xlfn.XLOOKUP($A134,'Raw Data'!$G:$G,'Raw Data'!$AB:$AB),"")</f>
        <v/>
      </c>
      <c r="H134" s="90"/>
      <c r="I134" s="90" t="str">
        <f>IFERROR(_xlfn.XLOOKUP($A134,'Raw Data'!$G:$G,'Raw Data'!$AC:$AC),"")</f>
        <v/>
      </c>
      <c r="J134" s="90"/>
      <c r="K134" s="90" t="str">
        <f>IFERROR(_xlfn.XLOOKUP($A134,'Raw Data'!$G:$G,'Raw Data'!AD:AD),"")</f>
        <v/>
      </c>
      <c r="L134" s="90" t="str">
        <f>IFERROR(_xlfn.XLOOKUP($A134,'Raw Data'!$G:$G,'Raw Data'!AE:AE),"")</f>
        <v/>
      </c>
      <c r="M134" s="90" t="str">
        <f>IFERROR(_xlfn.XLOOKUP($A134,'Raw Data'!$G:$G,'Raw Data'!AF:AF),"")</f>
        <v/>
      </c>
      <c r="N134" s="90" t="str">
        <f>IFERROR(_xlfn.XLOOKUP($A134,'Raw Data'!$G:$G,'Raw Data'!AG:AG),"")</f>
        <v/>
      </c>
      <c r="O134" s="85" t="str">
        <f>IFERROR(1-SUMIF('Plant BD'!$B:$B,$A134,'Plant BD'!$AM:$AM)/($AA134+SUMIF('Plant BD'!$B:$B,$A134,'Plant BD'!$AM:$AM)),"")</f>
        <v/>
      </c>
      <c r="P134" s="85"/>
      <c r="Q134" s="89"/>
      <c r="R134" s="85" t="str">
        <f>IFERROR(1-SUMIF('Grid BD'!$B:$B,$A134,'Grid BD'!$AE:$AE)/($AA134+SUMIF('Grid BD'!$B:$B,$A134,'Grid BD'!$AE:$AE)),"")</f>
        <v/>
      </c>
      <c r="T134" s="89"/>
      <c r="U134" s="88" t="str">
        <f t="shared" si="9"/>
        <v/>
      </c>
      <c r="V134" s="88"/>
      <c r="W134" s="84" t="str">
        <f t="shared" si="8"/>
        <v/>
      </c>
      <c r="X134" s="86" t="str">
        <f>IFERROR(_xlfn.XLOOKUP($A134,'Raw Data'!$G:$G,'Raw Data'!AI:AI),"")</f>
        <v/>
      </c>
      <c r="Y134" s="86" t="str">
        <f>IFERROR(_xlfn.XLOOKUP($A134,'Raw Data'!$G:$G,'Raw Data'!AJ:AJ),"")</f>
        <v/>
      </c>
      <c r="Z134" s="86" t="str">
        <f>IFERROR(_xlfn.XLOOKUP($A134,'Raw Data'!$G:$G,'Raw Data'!AK:AK),"")</f>
        <v/>
      </c>
      <c r="AA134" s="86" t="str">
        <f>IFERROR(_xlfn.XLOOKUP($A134,'Raw Data'!$G:$G,'Raw Data'!$AL:$AL)*(1+(_xlfn.XLOOKUP(Table13[[#This Row],[Month Year]],JMR!$A:$A,JMR!$J:$J))),"")</f>
        <v/>
      </c>
      <c r="AB134" s="86" t="str">
        <f>IFERROR(_xlfn.XLOOKUP($A134,'Raw Data'!$G:$G,'Raw Data'!$H:$H),"")</f>
        <v/>
      </c>
      <c r="AC134" s="87">
        <f>IFERROR(_xlfn.XLOOKUP($D134,'Modelling New'!$D:$D,'Modelling New'!$P:$P),"")</f>
        <v>4.1354838709677413</v>
      </c>
      <c r="AD134" s="86">
        <f>IFERROR(_xlfn.XLOOKUP($D134,'Modelling New'!$D:$D,'Modelling New'!$T:$T)*1000,"")</f>
        <v>21483.872714890964</v>
      </c>
      <c r="AE134" s="94">
        <f>IFERROR(_xlfn.XLOOKUP($D134,'Modelling New'!$D:$D,'Modelling New'!$O:$O),"")</f>
        <v>0.73177375236499143</v>
      </c>
      <c r="AF134" s="94">
        <f>IFERROR(_xlfn.XLOOKUP($D134,'Modelling New'!$D:$D,'Modelling New'!$W:$W),"")</f>
        <v>0.12609327292095684</v>
      </c>
      <c r="AG134" s="94">
        <f>IFERROR(_xlfn.XLOOKUP($D134,'Modelling New'!$D:$D,'Modelling New'!$AE:$AE),"")</f>
        <v>0.98040000000000005</v>
      </c>
      <c r="AH134" s="94">
        <f>IFERROR(_xlfn.XLOOKUP($D134,'Modelling New'!$D:$D,'Modelling New'!$AF:$AF),"")</f>
        <v>0.98</v>
      </c>
      <c r="AN134" s="85"/>
      <c r="AO134" s="84"/>
      <c r="AP134" s="84"/>
      <c r="AQ134" s="84"/>
      <c r="AR134" s="86">
        <f>'Basic Data'!$J$2</f>
        <v>7.0991999999999997</v>
      </c>
      <c r="AT134" s="7" t="str">
        <f>IFERROR(_xlfn.XLOOKUP(Table13[[#This Row],[Date]],'Raw Data'!$E:$E,'Raw Data'!$AN:$AN),"")</f>
        <v/>
      </c>
      <c r="AU134" s="7">
        <f>IFERROR(_xlfn.XLOOKUP(Table13[[#This Row],[Month Year]],'Modelling New'!$D:$D,'Modelling New'!$AO:$AO),"")</f>
        <v>7</v>
      </c>
      <c r="AV134" s="7">
        <f>IFERROR(SUMIF('Curtailment Records'!$C:$C,Table13[[#This Row],[Date]],'Curtailment Records'!$R:$R)/1000,"")</f>
        <v>0</v>
      </c>
    </row>
    <row r="135" spans="1:48" x14ac:dyDescent="0.25">
      <c r="A135" s="93">
        <f t="shared" si="10"/>
        <v>45878</v>
      </c>
      <c r="B135" s="86">
        <f>YEAR(Table13[[#This Row],[Date]])+IF(MONTH(Table13[[#This Row],[Date]])&gt;=4,1,0)</f>
        <v>2026</v>
      </c>
      <c r="C135" s="7">
        <f>YEAR(Table13[[#This Row],[Date]])</f>
        <v>2025</v>
      </c>
      <c r="D135" s="92">
        <f>Table13[[#This Row],[Date]]-DAY(Table13[[#This Row],[Date]])+1</f>
        <v>45870</v>
      </c>
      <c r="E135" s="7">
        <f t="shared" si="11"/>
        <v>31</v>
      </c>
      <c r="F135" s="91" t="str">
        <f>IFERROR(_xlfn.XLOOKUP($A135,'Raw Data'!$G:$G,'Raw Data'!$AM:$AM),"")</f>
        <v/>
      </c>
      <c r="G135" s="90" t="str">
        <f>IFERROR(_xlfn.XLOOKUP($A135,'Raw Data'!$G:$G,'Raw Data'!$AB:$AB),"")</f>
        <v/>
      </c>
      <c r="H135" s="90"/>
      <c r="I135" s="90" t="str">
        <f>IFERROR(_xlfn.XLOOKUP($A135,'Raw Data'!$G:$G,'Raw Data'!$AC:$AC),"")</f>
        <v/>
      </c>
      <c r="J135" s="90"/>
      <c r="K135" s="90" t="str">
        <f>IFERROR(_xlfn.XLOOKUP($A135,'Raw Data'!$G:$G,'Raw Data'!AD:AD),"")</f>
        <v/>
      </c>
      <c r="L135" s="90" t="str">
        <f>IFERROR(_xlfn.XLOOKUP($A135,'Raw Data'!$G:$G,'Raw Data'!AE:AE),"")</f>
        <v/>
      </c>
      <c r="M135" s="90" t="str">
        <f>IFERROR(_xlfn.XLOOKUP($A135,'Raw Data'!$G:$G,'Raw Data'!AF:AF),"")</f>
        <v/>
      </c>
      <c r="N135" s="90" t="str">
        <f>IFERROR(_xlfn.XLOOKUP($A135,'Raw Data'!$G:$G,'Raw Data'!AG:AG),"")</f>
        <v/>
      </c>
      <c r="O135" s="85" t="str">
        <f>IFERROR(1-SUMIF('Plant BD'!$B:$B,$A135,'Plant BD'!$AM:$AM)/($AA135+SUMIF('Plant BD'!$B:$B,$A135,'Plant BD'!$AM:$AM)),"")</f>
        <v/>
      </c>
      <c r="P135" s="85"/>
      <c r="Q135" s="89"/>
      <c r="R135" s="85" t="str">
        <f>IFERROR(1-SUMIF('Grid BD'!$B:$B,$A135,'Grid BD'!$AE:$AE)/($AA135+SUMIF('Grid BD'!$B:$B,$A135,'Grid BD'!$AE:$AE)),"")</f>
        <v/>
      </c>
      <c r="T135" s="89"/>
      <c r="U135" s="88" t="str">
        <f t="shared" si="9"/>
        <v/>
      </c>
      <c r="V135" s="88"/>
      <c r="W135" s="84" t="str">
        <f t="shared" si="8"/>
        <v/>
      </c>
      <c r="X135" s="86" t="str">
        <f>IFERROR(_xlfn.XLOOKUP($A135,'Raw Data'!$G:$G,'Raw Data'!AI:AI),"")</f>
        <v/>
      </c>
      <c r="Y135" s="86" t="str">
        <f>IFERROR(_xlfn.XLOOKUP($A135,'Raw Data'!$G:$G,'Raw Data'!AJ:AJ),"")</f>
        <v/>
      </c>
      <c r="Z135" s="86" t="str">
        <f>IFERROR(_xlfn.XLOOKUP($A135,'Raw Data'!$G:$G,'Raw Data'!AK:AK),"")</f>
        <v/>
      </c>
      <c r="AA135" s="86" t="str">
        <f>IFERROR(_xlfn.XLOOKUP($A135,'Raw Data'!$G:$G,'Raw Data'!$AL:$AL)*(1+(_xlfn.XLOOKUP(Table13[[#This Row],[Month Year]],JMR!$A:$A,JMR!$J:$J))),"")</f>
        <v/>
      </c>
      <c r="AB135" s="86" t="str">
        <f>IFERROR(_xlfn.XLOOKUP($A135,'Raw Data'!$G:$G,'Raw Data'!$H:$H),"")</f>
        <v/>
      </c>
      <c r="AC135" s="87">
        <f>IFERROR(_xlfn.XLOOKUP($D135,'Modelling New'!$D:$D,'Modelling New'!$P:$P),"")</f>
        <v>4.1354838709677413</v>
      </c>
      <c r="AD135" s="86">
        <f>IFERROR(_xlfn.XLOOKUP($D135,'Modelling New'!$D:$D,'Modelling New'!$T:$T)*1000,"")</f>
        <v>21483.872714890964</v>
      </c>
      <c r="AE135" s="94">
        <f>IFERROR(_xlfn.XLOOKUP($D135,'Modelling New'!$D:$D,'Modelling New'!$O:$O),"")</f>
        <v>0.73177375236499143</v>
      </c>
      <c r="AF135" s="94">
        <f>IFERROR(_xlfn.XLOOKUP($D135,'Modelling New'!$D:$D,'Modelling New'!$W:$W),"")</f>
        <v>0.12609327292095684</v>
      </c>
      <c r="AG135" s="94">
        <f>IFERROR(_xlfn.XLOOKUP($D135,'Modelling New'!$D:$D,'Modelling New'!$AE:$AE),"")</f>
        <v>0.98040000000000005</v>
      </c>
      <c r="AH135" s="94">
        <f>IFERROR(_xlfn.XLOOKUP($D135,'Modelling New'!$D:$D,'Modelling New'!$AF:$AF),"")</f>
        <v>0.98</v>
      </c>
      <c r="AN135" s="85"/>
      <c r="AO135" s="84"/>
      <c r="AP135" s="84"/>
      <c r="AQ135" s="84"/>
      <c r="AR135" s="86">
        <f>'Basic Data'!$J$2</f>
        <v>7.0991999999999997</v>
      </c>
      <c r="AT135" s="7" t="str">
        <f>IFERROR(_xlfn.XLOOKUP(Table13[[#This Row],[Date]],'Raw Data'!$E:$E,'Raw Data'!$AN:$AN),"")</f>
        <v/>
      </c>
      <c r="AU135" s="7">
        <f>IFERROR(_xlfn.XLOOKUP(Table13[[#This Row],[Month Year]],'Modelling New'!$D:$D,'Modelling New'!$AO:$AO),"")</f>
        <v>7</v>
      </c>
      <c r="AV135" s="7">
        <f>IFERROR(SUMIF('Curtailment Records'!$C:$C,Table13[[#This Row],[Date]],'Curtailment Records'!$R:$R)/1000,"")</f>
        <v>0</v>
      </c>
    </row>
    <row r="136" spans="1:48" x14ac:dyDescent="0.25">
      <c r="A136" s="93">
        <f t="shared" si="10"/>
        <v>45879</v>
      </c>
      <c r="B136" s="86">
        <f>YEAR(Table13[[#This Row],[Date]])+IF(MONTH(Table13[[#This Row],[Date]])&gt;=4,1,0)</f>
        <v>2026</v>
      </c>
      <c r="C136" s="7">
        <f>YEAR(Table13[[#This Row],[Date]])</f>
        <v>2025</v>
      </c>
      <c r="D136" s="92">
        <f>Table13[[#This Row],[Date]]-DAY(Table13[[#This Row],[Date]])+1</f>
        <v>45870</v>
      </c>
      <c r="E136" s="7">
        <f t="shared" si="11"/>
        <v>31</v>
      </c>
      <c r="F136" s="91" t="str">
        <f>IFERROR(_xlfn.XLOOKUP($A136,'Raw Data'!$G:$G,'Raw Data'!$AM:$AM),"")</f>
        <v/>
      </c>
      <c r="G136" s="90" t="str">
        <f>IFERROR(_xlfn.XLOOKUP($A136,'Raw Data'!$G:$G,'Raw Data'!$AB:$AB),"")</f>
        <v/>
      </c>
      <c r="H136" s="90"/>
      <c r="I136" s="90" t="str">
        <f>IFERROR(_xlfn.XLOOKUP($A136,'Raw Data'!$G:$G,'Raw Data'!$AC:$AC),"")</f>
        <v/>
      </c>
      <c r="J136" s="90"/>
      <c r="K136" s="90" t="str">
        <f>IFERROR(_xlfn.XLOOKUP($A136,'Raw Data'!$G:$G,'Raw Data'!AD:AD),"")</f>
        <v/>
      </c>
      <c r="L136" s="90" t="str">
        <f>IFERROR(_xlfn.XLOOKUP($A136,'Raw Data'!$G:$G,'Raw Data'!AE:AE),"")</f>
        <v/>
      </c>
      <c r="M136" s="90" t="str">
        <f>IFERROR(_xlfn.XLOOKUP($A136,'Raw Data'!$G:$G,'Raw Data'!AF:AF),"")</f>
        <v/>
      </c>
      <c r="N136" s="90" t="str">
        <f>IFERROR(_xlfn.XLOOKUP($A136,'Raw Data'!$G:$G,'Raw Data'!AG:AG),"")</f>
        <v/>
      </c>
      <c r="O136" s="85" t="str">
        <f>IFERROR(1-SUMIF('Plant BD'!$B:$B,$A136,'Plant BD'!$AM:$AM)/($AA136+SUMIF('Plant BD'!$B:$B,$A136,'Plant BD'!$AM:$AM)),"")</f>
        <v/>
      </c>
      <c r="P136" s="85"/>
      <c r="Q136" s="89"/>
      <c r="R136" s="85" t="str">
        <f>IFERROR(1-SUMIF('Grid BD'!$B:$B,$A136,'Grid BD'!$AE:$AE)/($AA136+SUMIF('Grid BD'!$B:$B,$A136,'Grid BD'!$AE:$AE)),"")</f>
        <v/>
      </c>
      <c r="T136" s="89"/>
      <c r="U136" s="88" t="str">
        <f t="shared" si="9"/>
        <v/>
      </c>
      <c r="V136" s="88"/>
      <c r="W136" s="84" t="str">
        <f t="shared" si="8"/>
        <v/>
      </c>
      <c r="X136" s="86" t="str">
        <f>IFERROR(_xlfn.XLOOKUP($A136,'Raw Data'!$G:$G,'Raw Data'!AI:AI),"")</f>
        <v/>
      </c>
      <c r="Y136" s="86" t="str">
        <f>IFERROR(_xlfn.XLOOKUP($A136,'Raw Data'!$G:$G,'Raw Data'!AJ:AJ),"")</f>
        <v/>
      </c>
      <c r="Z136" s="86" t="str">
        <f>IFERROR(_xlfn.XLOOKUP($A136,'Raw Data'!$G:$G,'Raw Data'!AK:AK),"")</f>
        <v/>
      </c>
      <c r="AA136" s="86" t="str">
        <f>IFERROR(_xlfn.XLOOKUP($A136,'Raw Data'!$G:$G,'Raw Data'!$AL:$AL)*(1+(_xlfn.XLOOKUP(Table13[[#This Row],[Month Year]],JMR!$A:$A,JMR!$J:$J))),"")</f>
        <v/>
      </c>
      <c r="AB136" s="86" t="str">
        <f>IFERROR(_xlfn.XLOOKUP($A136,'Raw Data'!$G:$G,'Raw Data'!$H:$H),"")</f>
        <v/>
      </c>
      <c r="AC136" s="87">
        <f>IFERROR(_xlfn.XLOOKUP($D136,'Modelling New'!$D:$D,'Modelling New'!$P:$P),"")</f>
        <v>4.1354838709677413</v>
      </c>
      <c r="AD136" s="86">
        <f>IFERROR(_xlfn.XLOOKUP($D136,'Modelling New'!$D:$D,'Modelling New'!$T:$T)*1000,"")</f>
        <v>21483.872714890964</v>
      </c>
      <c r="AE136" s="94">
        <f>IFERROR(_xlfn.XLOOKUP($D136,'Modelling New'!$D:$D,'Modelling New'!$O:$O),"")</f>
        <v>0.73177375236499143</v>
      </c>
      <c r="AF136" s="94">
        <f>IFERROR(_xlfn.XLOOKUP($D136,'Modelling New'!$D:$D,'Modelling New'!$W:$W),"")</f>
        <v>0.12609327292095684</v>
      </c>
      <c r="AG136" s="94">
        <f>IFERROR(_xlfn.XLOOKUP($D136,'Modelling New'!$D:$D,'Modelling New'!$AE:$AE),"")</f>
        <v>0.98040000000000005</v>
      </c>
      <c r="AH136" s="94">
        <f>IFERROR(_xlfn.XLOOKUP($D136,'Modelling New'!$D:$D,'Modelling New'!$AF:$AF),"")</f>
        <v>0.98</v>
      </c>
      <c r="AN136" s="85"/>
      <c r="AO136" s="84"/>
      <c r="AP136" s="84"/>
      <c r="AQ136" s="84"/>
      <c r="AR136" s="86">
        <f>'Basic Data'!$J$2</f>
        <v>7.0991999999999997</v>
      </c>
      <c r="AT136" s="7" t="str">
        <f>IFERROR(_xlfn.XLOOKUP(Table13[[#This Row],[Date]],'Raw Data'!$E:$E,'Raw Data'!$AN:$AN),"")</f>
        <v/>
      </c>
      <c r="AU136" s="7">
        <f>IFERROR(_xlfn.XLOOKUP(Table13[[#This Row],[Month Year]],'Modelling New'!$D:$D,'Modelling New'!$AO:$AO),"")</f>
        <v>7</v>
      </c>
      <c r="AV136" s="7">
        <f>IFERROR(SUMIF('Curtailment Records'!$C:$C,Table13[[#This Row],[Date]],'Curtailment Records'!$R:$R)/1000,"")</f>
        <v>0</v>
      </c>
    </row>
    <row r="137" spans="1:48" x14ac:dyDescent="0.25">
      <c r="A137" s="93">
        <f t="shared" si="10"/>
        <v>45880</v>
      </c>
      <c r="B137" s="86">
        <f>YEAR(Table13[[#This Row],[Date]])+IF(MONTH(Table13[[#This Row],[Date]])&gt;=4,1,0)</f>
        <v>2026</v>
      </c>
      <c r="C137" s="7">
        <f>YEAR(Table13[[#This Row],[Date]])</f>
        <v>2025</v>
      </c>
      <c r="D137" s="92">
        <f>Table13[[#This Row],[Date]]-DAY(Table13[[#This Row],[Date]])+1</f>
        <v>45870</v>
      </c>
      <c r="E137" s="7">
        <f t="shared" si="11"/>
        <v>31</v>
      </c>
      <c r="F137" s="91" t="str">
        <f>IFERROR(_xlfn.XLOOKUP($A137,'Raw Data'!$G:$G,'Raw Data'!$AM:$AM),"")</f>
        <v/>
      </c>
      <c r="G137" s="90" t="str">
        <f>IFERROR(_xlfn.XLOOKUP($A137,'Raw Data'!$G:$G,'Raw Data'!$AB:$AB),"")</f>
        <v/>
      </c>
      <c r="H137" s="90"/>
      <c r="I137" s="90" t="str">
        <f>IFERROR(_xlfn.XLOOKUP($A137,'Raw Data'!$G:$G,'Raw Data'!$AC:$AC),"")</f>
        <v/>
      </c>
      <c r="J137" s="90"/>
      <c r="K137" s="90" t="str">
        <f>IFERROR(_xlfn.XLOOKUP($A137,'Raw Data'!$G:$G,'Raw Data'!AD:AD),"")</f>
        <v/>
      </c>
      <c r="L137" s="90" t="str">
        <f>IFERROR(_xlfn.XLOOKUP($A137,'Raw Data'!$G:$G,'Raw Data'!AE:AE),"")</f>
        <v/>
      </c>
      <c r="M137" s="90" t="str">
        <f>IFERROR(_xlfn.XLOOKUP($A137,'Raw Data'!$G:$G,'Raw Data'!AF:AF),"")</f>
        <v/>
      </c>
      <c r="N137" s="90" t="str">
        <f>IFERROR(_xlfn.XLOOKUP($A137,'Raw Data'!$G:$G,'Raw Data'!AG:AG),"")</f>
        <v/>
      </c>
      <c r="O137" s="85" t="str">
        <f>IFERROR(1-SUMIF('Plant BD'!$B:$B,$A137,'Plant BD'!$AM:$AM)/($AA137+SUMIF('Plant BD'!$B:$B,$A137,'Plant BD'!$AM:$AM)),"")</f>
        <v/>
      </c>
      <c r="P137" s="85"/>
      <c r="Q137" s="89"/>
      <c r="R137" s="85" t="str">
        <f>IFERROR(1-SUMIF('Grid BD'!$B:$B,$A137,'Grid BD'!$AE:$AE)/($AA137+SUMIF('Grid BD'!$B:$B,$A137,'Grid BD'!$AE:$AE)),"")</f>
        <v/>
      </c>
      <c r="T137" s="89"/>
      <c r="U137" s="88" t="str">
        <f t="shared" si="9"/>
        <v/>
      </c>
      <c r="V137" s="88"/>
      <c r="W137" s="84" t="str">
        <f t="shared" si="8"/>
        <v/>
      </c>
      <c r="X137" s="86" t="str">
        <f>IFERROR(_xlfn.XLOOKUP($A137,'Raw Data'!$G:$G,'Raw Data'!AI:AI),"")</f>
        <v/>
      </c>
      <c r="Y137" s="86" t="str">
        <f>IFERROR(_xlfn.XLOOKUP($A137,'Raw Data'!$G:$G,'Raw Data'!AJ:AJ),"")</f>
        <v/>
      </c>
      <c r="Z137" s="86" t="str">
        <f>IFERROR(_xlfn.XLOOKUP($A137,'Raw Data'!$G:$G,'Raw Data'!AK:AK),"")</f>
        <v/>
      </c>
      <c r="AA137" s="86" t="str">
        <f>IFERROR(_xlfn.XLOOKUP($A137,'Raw Data'!$G:$G,'Raw Data'!$AL:$AL)*(1+(_xlfn.XLOOKUP(Table13[[#This Row],[Month Year]],JMR!$A:$A,JMR!$J:$J))),"")</f>
        <v/>
      </c>
      <c r="AB137" s="86" t="str">
        <f>IFERROR(_xlfn.XLOOKUP($A137,'Raw Data'!$G:$G,'Raw Data'!$H:$H),"")</f>
        <v/>
      </c>
      <c r="AC137" s="87">
        <f>IFERROR(_xlfn.XLOOKUP($D137,'Modelling New'!$D:$D,'Modelling New'!$P:$P),"")</f>
        <v>4.1354838709677413</v>
      </c>
      <c r="AD137" s="86">
        <f>IFERROR(_xlfn.XLOOKUP($D137,'Modelling New'!$D:$D,'Modelling New'!$T:$T)*1000,"")</f>
        <v>21483.872714890964</v>
      </c>
      <c r="AE137" s="94">
        <f>IFERROR(_xlfn.XLOOKUP($D137,'Modelling New'!$D:$D,'Modelling New'!$O:$O),"")</f>
        <v>0.73177375236499143</v>
      </c>
      <c r="AF137" s="94">
        <f>IFERROR(_xlfn.XLOOKUP($D137,'Modelling New'!$D:$D,'Modelling New'!$W:$W),"")</f>
        <v>0.12609327292095684</v>
      </c>
      <c r="AG137" s="94">
        <f>IFERROR(_xlfn.XLOOKUP($D137,'Modelling New'!$D:$D,'Modelling New'!$AE:$AE),"")</f>
        <v>0.98040000000000005</v>
      </c>
      <c r="AH137" s="94">
        <f>IFERROR(_xlfn.XLOOKUP($D137,'Modelling New'!$D:$D,'Modelling New'!$AF:$AF),"")</f>
        <v>0.98</v>
      </c>
      <c r="AN137" s="85"/>
      <c r="AO137" s="84"/>
      <c r="AP137" s="84"/>
      <c r="AQ137" s="84"/>
      <c r="AR137" s="86">
        <f>'Basic Data'!$J$2</f>
        <v>7.0991999999999997</v>
      </c>
      <c r="AT137" s="7" t="str">
        <f>IFERROR(_xlfn.XLOOKUP(Table13[[#This Row],[Date]],'Raw Data'!$E:$E,'Raw Data'!$AN:$AN),"")</f>
        <v/>
      </c>
      <c r="AU137" s="7">
        <f>IFERROR(_xlfn.XLOOKUP(Table13[[#This Row],[Month Year]],'Modelling New'!$D:$D,'Modelling New'!$AO:$AO),"")</f>
        <v>7</v>
      </c>
      <c r="AV137" s="7">
        <f>IFERROR(SUMIF('Curtailment Records'!$C:$C,Table13[[#This Row],[Date]],'Curtailment Records'!$R:$R)/1000,"")</f>
        <v>0</v>
      </c>
    </row>
    <row r="138" spans="1:48" x14ac:dyDescent="0.25">
      <c r="A138" s="93">
        <f t="shared" si="10"/>
        <v>45881</v>
      </c>
      <c r="B138" s="86">
        <f>YEAR(Table13[[#This Row],[Date]])+IF(MONTH(Table13[[#This Row],[Date]])&gt;=4,1,0)</f>
        <v>2026</v>
      </c>
      <c r="C138" s="7">
        <f>YEAR(Table13[[#This Row],[Date]])</f>
        <v>2025</v>
      </c>
      <c r="D138" s="92">
        <f>Table13[[#This Row],[Date]]-DAY(Table13[[#This Row],[Date]])+1</f>
        <v>45870</v>
      </c>
      <c r="E138" s="7">
        <f t="shared" si="11"/>
        <v>31</v>
      </c>
      <c r="F138" s="91" t="str">
        <f>IFERROR(_xlfn.XLOOKUP($A138,'Raw Data'!$G:$G,'Raw Data'!$AM:$AM),"")</f>
        <v/>
      </c>
      <c r="G138" s="90" t="str">
        <f>IFERROR(_xlfn.XLOOKUP($A138,'Raw Data'!$G:$G,'Raw Data'!$AB:$AB),"")</f>
        <v/>
      </c>
      <c r="H138" s="90"/>
      <c r="I138" s="90" t="str">
        <f>IFERROR(_xlfn.XLOOKUP($A138,'Raw Data'!$G:$G,'Raw Data'!$AC:$AC),"")</f>
        <v/>
      </c>
      <c r="J138" s="90"/>
      <c r="K138" s="90" t="str">
        <f>IFERROR(_xlfn.XLOOKUP($A138,'Raw Data'!$G:$G,'Raw Data'!AD:AD),"")</f>
        <v/>
      </c>
      <c r="L138" s="90" t="str">
        <f>IFERROR(_xlfn.XLOOKUP($A138,'Raw Data'!$G:$G,'Raw Data'!AE:AE),"")</f>
        <v/>
      </c>
      <c r="M138" s="90" t="str">
        <f>IFERROR(_xlfn.XLOOKUP($A138,'Raw Data'!$G:$G,'Raw Data'!AF:AF),"")</f>
        <v/>
      </c>
      <c r="N138" s="90" t="str">
        <f>IFERROR(_xlfn.XLOOKUP($A138,'Raw Data'!$G:$G,'Raw Data'!AG:AG),"")</f>
        <v/>
      </c>
      <c r="O138" s="85" t="str">
        <f>IFERROR(1-SUMIF('Plant BD'!$B:$B,$A138,'Plant BD'!$AM:$AM)/($AA138+SUMIF('Plant BD'!$B:$B,$A138,'Plant BD'!$AM:$AM)),"")</f>
        <v/>
      </c>
      <c r="P138" s="85"/>
      <c r="Q138" s="89"/>
      <c r="R138" s="85" t="str">
        <f>IFERROR(1-SUMIF('Grid BD'!$B:$B,$A138,'Grid BD'!$AE:$AE)/($AA138+SUMIF('Grid BD'!$B:$B,$A138,'Grid BD'!$AE:$AE)),"")</f>
        <v/>
      </c>
      <c r="T138" s="89"/>
      <c r="U138" s="88" t="str">
        <f t="shared" si="9"/>
        <v/>
      </c>
      <c r="V138" s="88"/>
      <c r="W138" s="84" t="str">
        <f t="shared" si="8"/>
        <v/>
      </c>
      <c r="X138" s="86" t="str">
        <f>IFERROR(_xlfn.XLOOKUP($A138,'Raw Data'!$G:$G,'Raw Data'!AI:AI),"")</f>
        <v/>
      </c>
      <c r="Y138" s="86" t="str">
        <f>IFERROR(_xlfn.XLOOKUP($A138,'Raw Data'!$G:$G,'Raw Data'!AJ:AJ),"")</f>
        <v/>
      </c>
      <c r="Z138" s="86" t="str">
        <f>IFERROR(_xlfn.XLOOKUP($A138,'Raw Data'!$G:$G,'Raw Data'!AK:AK),"")</f>
        <v/>
      </c>
      <c r="AA138" s="86" t="str">
        <f>IFERROR(_xlfn.XLOOKUP($A138,'Raw Data'!$G:$G,'Raw Data'!$AL:$AL)*(1+(_xlfn.XLOOKUP(Table13[[#This Row],[Month Year]],JMR!$A:$A,JMR!$J:$J))),"")</f>
        <v/>
      </c>
      <c r="AB138" s="86" t="str">
        <f>IFERROR(_xlfn.XLOOKUP($A138,'Raw Data'!$G:$G,'Raw Data'!$H:$H),"")</f>
        <v/>
      </c>
      <c r="AC138" s="87">
        <f>IFERROR(_xlfn.XLOOKUP($D138,'Modelling New'!$D:$D,'Modelling New'!$P:$P),"")</f>
        <v>4.1354838709677413</v>
      </c>
      <c r="AD138" s="86">
        <f>IFERROR(_xlfn.XLOOKUP($D138,'Modelling New'!$D:$D,'Modelling New'!$T:$T)*1000,"")</f>
        <v>21483.872714890964</v>
      </c>
      <c r="AE138" s="94">
        <f>IFERROR(_xlfn.XLOOKUP($D138,'Modelling New'!$D:$D,'Modelling New'!$O:$O),"")</f>
        <v>0.73177375236499143</v>
      </c>
      <c r="AF138" s="94">
        <f>IFERROR(_xlfn.XLOOKUP($D138,'Modelling New'!$D:$D,'Modelling New'!$W:$W),"")</f>
        <v>0.12609327292095684</v>
      </c>
      <c r="AG138" s="94">
        <f>IFERROR(_xlfn.XLOOKUP($D138,'Modelling New'!$D:$D,'Modelling New'!$AE:$AE),"")</f>
        <v>0.98040000000000005</v>
      </c>
      <c r="AH138" s="94">
        <f>IFERROR(_xlfn.XLOOKUP($D138,'Modelling New'!$D:$D,'Modelling New'!$AF:$AF),"")</f>
        <v>0.98</v>
      </c>
      <c r="AN138" s="85"/>
      <c r="AO138" s="84"/>
      <c r="AP138" s="84"/>
      <c r="AQ138" s="84"/>
      <c r="AR138" s="86">
        <f>'Basic Data'!$J$2</f>
        <v>7.0991999999999997</v>
      </c>
      <c r="AT138" s="7" t="str">
        <f>IFERROR(_xlfn.XLOOKUP(Table13[[#This Row],[Date]],'Raw Data'!$E:$E,'Raw Data'!$AN:$AN),"")</f>
        <v/>
      </c>
      <c r="AU138" s="7">
        <f>IFERROR(_xlfn.XLOOKUP(Table13[[#This Row],[Month Year]],'Modelling New'!$D:$D,'Modelling New'!$AO:$AO),"")</f>
        <v>7</v>
      </c>
      <c r="AV138" s="7">
        <f>IFERROR(SUMIF('Curtailment Records'!$C:$C,Table13[[#This Row],[Date]],'Curtailment Records'!$R:$R)/1000,"")</f>
        <v>0</v>
      </c>
    </row>
    <row r="139" spans="1:48" x14ac:dyDescent="0.25">
      <c r="A139" s="93">
        <f t="shared" si="10"/>
        <v>45882</v>
      </c>
      <c r="B139" s="86">
        <f>YEAR(Table13[[#This Row],[Date]])+IF(MONTH(Table13[[#This Row],[Date]])&gt;=4,1,0)</f>
        <v>2026</v>
      </c>
      <c r="C139" s="7">
        <f>YEAR(Table13[[#This Row],[Date]])</f>
        <v>2025</v>
      </c>
      <c r="D139" s="92">
        <f>Table13[[#This Row],[Date]]-DAY(Table13[[#This Row],[Date]])+1</f>
        <v>45870</v>
      </c>
      <c r="E139" s="7">
        <f t="shared" si="11"/>
        <v>31</v>
      </c>
      <c r="F139" s="91" t="str">
        <f>IFERROR(_xlfn.XLOOKUP($A139,'Raw Data'!$G:$G,'Raw Data'!$AM:$AM),"")</f>
        <v/>
      </c>
      <c r="G139" s="90" t="str">
        <f>IFERROR(_xlfn.XLOOKUP($A139,'Raw Data'!$G:$G,'Raw Data'!$AB:$AB),"")</f>
        <v/>
      </c>
      <c r="H139" s="90"/>
      <c r="I139" s="90" t="str">
        <f>IFERROR(_xlfn.XLOOKUP($A139,'Raw Data'!$G:$G,'Raw Data'!$AC:$AC),"")</f>
        <v/>
      </c>
      <c r="J139" s="90"/>
      <c r="K139" s="90" t="str">
        <f>IFERROR(_xlfn.XLOOKUP($A139,'Raw Data'!$G:$G,'Raw Data'!AD:AD),"")</f>
        <v/>
      </c>
      <c r="L139" s="90" t="str">
        <f>IFERROR(_xlfn.XLOOKUP($A139,'Raw Data'!$G:$G,'Raw Data'!AE:AE),"")</f>
        <v/>
      </c>
      <c r="M139" s="90" t="str">
        <f>IFERROR(_xlfn.XLOOKUP($A139,'Raw Data'!$G:$G,'Raw Data'!AF:AF),"")</f>
        <v/>
      </c>
      <c r="N139" s="90" t="str">
        <f>IFERROR(_xlfn.XLOOKUP($A139,'Raw Data'!$G:$G,'Raw Data'!AG:AG),"")</f>
        <v/>
      </c>
      <c r="O139" s="85" t="str">
        <f>IFERROR(1-SUMIF('Plant BD'!$B:$B,$A139,'Plant BD'!$AM:$AM)/($AA139+SUMIF('Plant BD'!$B:$B,$A139,'Plant BD'!$AM:$AM)),"")</f>
        <v/>
      </c>
      <c r="P139" s="85"/>
      <c r="Q139" s="89"/>
      <c r="R139" s="85" t="str">
        <f>IFERROR(1-SUMIF('Grid BD'!$B:$B,$A139,'Grid BD'!$AE:$AE)/($AA139+SUMIF('Grid BD'!$B:$B,$A139,'Grid BD'!$AE:$AE)),"")</f>
        <v/>
      </c>
      <c r="T139" s="89"/>
      <c r="U139" s="88" t="str">
        <f t="shared" si="9"/>
        <v/>
      </c>
      <c r="V139" s="88"/>
      <c r="W139" s="84" t="str">
        <f t="shared" si="8"/>
        <v/>
      </c>
      <c r="X139" s="86" t="str">
        <f>IFERROR(_xlfn.XLOOKUP($A139,'Raw Data'!$G:$G,'Raw Data'!AI:AI),"")</f>
        <v/>
      </c>
      <c r="Y139" s="86" t="str">
        <f>IFERROR(_xlfn.XLOOKUP($A139,'Raw Data'!$G:$G,'Raw Data'!AJ:AJ),"")</f>
        <v/>
      </c>
      <c r="Z139" s="86" t="str">
        <f>IFERROR(_xlfn.XLOOKUP($A139,'Raw Data'!$G:$G,'Raw Data'!AK:AK),"")</f>
        <v/>
      </c>
      <c r="AA139" s="86" t="str">
        <f>IFERROR(_xlfn.XLOOKUP($A139,'Raw Data'!$G:$G,'Raw Data'!$AL:$AL)*(1+(_xlfn.XLOOKUP(Table13[[#This Row],[Month Year]],JMR!$A:$A,JMR!$J:$J))),"")</f>
        <v/>
      </c>
      <c r="AB139" s="86" t="str">
        <f>IFERROR(_xlfn.XLOOKUP($A139,'Raw Data'!$G:$G,'Raw Data'!$H:$H),"")</f>
        <v/>
      </c>
      <c r="AC139" s="87">
        <f>IFERROR(_xlfn.XLOOKUP($D139,'Modelling New'!$D:$D,'Modelling New'!$P:$P),"")</f>
        <v>4.1354838709677413</v>
      </c>
      <c r="AD139" s="86">
        <f>IFERROR(_xlfn.XLOOKUP($D139,'Modelling New'!$D:$D,'Modelling New'!$T:$T)*1000,"")</f>
        <v>21483.872714890964</v>
      </c>
      <c r="AE139" s="94">
        <f>IFERROR(_xlfn.XLOOKUP($D139,'Modelling New'!$D:$D,'Modelling New'!$O:$O),"")</f>
        <v>0.73177375236499143</v>
      </c>
      <c r="AF139" s="94">
        <f>IFERROR(_xlfn.XLOOKUP($D139,'Modelling New'!$D:$D,'Modelling New'!$W:$W),"")</f>
        <v>0.12609327292095684</v>
      </c>
      <c r="AG139" s="94">
        <f>IFERROR(_xlfn.XLOOKUP($D139,'Modelling New'!$D:$D,'Modelling New'!$AE:$AE),"")</f>
        <v>0.98040000000000005</v>
      </c>
      <c r="AH139" s="94">
        <f>IFERROR(_xlfn.XLOOKUP($D139,'Modelling New'!$D:$D,'Modelling New'!$AF:$AF),"")</f>
        <v>0.98</v>
      </c>
      <c r="AN139" s="85"/>
      <c r="AO139" s="84"/>
      <c r="AP139" s="84"/>
      <c r="AQ139" s="84"/>
      <c r="AR139" s="86">
        <f>'Basic Data'!$J$2</f>
        <v>7.0991999999999997</v>
      </c>
      <c r="AT139" s="7" t="str">
        <f>IFERROR(_xlfn.XLOOKUP(Table13[[#This Row],[Date]],'Raw Data'!$E:$E,'Raw Data'!$AN:$AN),"")</f>
        <v/>
      </c>
      <c r="AU139" s="7">
        <f>IFERROR(_xlfn.XLOOKUP(Table13[[#This Row],[Month Year]],'Modelling New'!$D:$D,'Modelling New'!$AO:$AO),"")</f>
        <v>7</v>
      </c>
      <c r="AV139" s="7">
        <f>IFERROR(SUMIF('Curtailment Records'!$C:$C,Table13[[#This Row],[Date]],'Curtailment Records'!$R:$R)/1000,"")</f>
        <v>0</v>
      </c>
    </row>
    <row r="140" spans="1:48" x14ac:dyDescent="0.25">
      <c r="A140" s="93">
        <f t="shared" si="10"/>
        <v>45883</v>
      </c>
      <c r="B140" s="86">
        <f>YEAR(Table13[[#This Row],[Date]])+IF(MONTH(Table13[[#This Row],[Date]])&gt;=4,1,0)</f>
        <v>2026</v>
      </c>
      <c r="C140" s="7">
        <f>YEAR(Table13[[#This Row],[Date]])</f>
        <v>2025</v>
      </c>
      <c r="D140" s="92">
        <f>Table13[[#This Row],[Date]]-DAY(Table13[[#This Row],[Date]])+1</f>
        <v>45870</v>
      </c>
      <c r="E140" s="7">
        <f t="shared" si="11"/>
        <v>31</v>
      </c>
      <c r="F140" s="91" t="str">
        <f>IFERROR(_xlfn.XLOOKUP($A140,'Raw Data'!$G:$G,'Raw Data'!$AM:$AM),"")</f>
        <v/>
      </c>
      <c r="G140" s="90" t="str">
        <f>IFERROR(_xlfn.XLOOKUP($A140,'Raw Data'!$G:$G,'Raw Data'!$AB:$AB),"")</f>
        <v/>
      </c>
      <c r="H140" s="90"/>
      <c r="I140" s="90" t="str">
        <f>IFERROR(_xlfn.XLOOKUP($A140,'Raw Data'!$G:$G,'Raw Data'!$AC:$AC),"")</f>
        <v/>
      </c>
      <c r="J140" s="90"/>
      <c r="K140" s="90" t="str">
        <f>IFERROR(_xlfn.XLOOKUP($A140,'Raw Data'!$G:$G,'Raw Data'!AD:AD),"")</f>
        <v/>
      </c>
      <c r="L140" s="90" t="str">
        <f>IFERROR(_xlfn.XLOOKUP($A140,'Raw Data'!$G:$G,'Raw Data'!AE:AE),"")</f>
        <v/>
      </c>
      <c r="M140" s="90" t="str">
        <f>IFERROR(_xlfn.XLOOKUP($A140,'Raw Data'!$G:$G,'Raw Data'!AF:AF),"")</f>
        <v/>
      </c>
      <c r="N140" s="90" t="str">
        <f>IFERROR(_xlfn.XLOOKUP($A140,'Raw Data'!$G:$G,'Raw Data'!AG:AG),"")</f>
        <v/>
      </c>
      <c r="O140" s="85" t="str">
        <f>IFERROR(1-SUMIF('Plant BD'!$B:$B,$A140,'Plant BD'!$AM:$AM)/($AA140+SUMIF('Plant BD'!$B:$B,$A140,'Plant BD'!$AM:$AM)),"")</f>
        <v/>
      </c>
      <c r="P140" s="85"/>
      <c r="Q140" s="89"/>
      <c r="R140" s="85" t="str">
        <f>IFERROR(1-SUMIF('Grid BD'!$B:$B,$A140,'Grid BD'!$AE:$AE)/($AA140+SUMIF('Grid BD'!$B:$B,$A140,'Grid BD'!$AE:$AE)),"")</f>
        <v/>
      </c>
      <c r="T140" s="89"/>
      <c r="U140" s="88" t="str">
        <f t="shared" si="9"/>
        <v/>
      </c>
      <c r="V140" s="88"/>
      <c r="W140" s="84" t="str">
        <f t="shared" si="8"/>
        <v/>
      </c>
      <c r="X140" s="86" t="str">
        <f>IFERROR(_xlfn.XLOOKUP($A140,'Raw Data'!$G:$G,'Raw Data'!AI:AI),"")</f>
        <v/>
      </c>
      <c r="Y140" s="86" t="str">
        <f>IFERROR(_xlfn.XLOOKUP($A140,'Raw Data'!$G:$G,'Raw Data'!AJ:AJ),"")</f>
        <v/>
      </c>
      <c r="Z140" s="86" t="str">
        <f>IFERROR(_xlfn.XLOOKUP($A140,'Raw Data'!$G:$G,'Raw Data'!AK:AK),"")</f>
        <v/>
      </c>
      <c r="AA140" s="86" t="str">
        <f>IFERROR(_xlfn.XLOOKUP($A140,'Raw Data'!$G:$G,'Raw Data'!$AL:$AL)*(1+(_xlfn.XLOOKUP(Table13[[#This Row],[Month Year]],JMR!$A:$A,JMR!$J:$J))),"")</f>
        <v/>
      </c>
      <c r="AB140" s="86" t="str">
        <f>IFERROR(_xlfn.XLOOKUP($A140,'Raw Data'!$G:$G,'Raw Data'!$H:$H),"")</f>
        <v/>
      </c>
      <c r="AC140" s="87">
        <f>IFERROR(_xlfn.XLOOKUP($D140,'Modelling New'!$D:$D,'Modelling New'!$P:$P),"")</f>
        <v>4.1354838709677413</v>
      </c>
      <c r="AD140" s="86">
        <f>IFERROR(_xlfn.XLOOKUP($D140,'Modelling New'!$D:$D,'Modelling New'!$T:$T)*1000,"")</f>
        <v>21483.872714890964</v>
      </c>
      <c r="AE140" s="94">
        <f>IFERROR(_xlfn.XLOOKUP($D140,'Modelling New'!$D:$D,'Modelling New'!$O:$O),"")</f>
        <v>0.73177375236499143</v>
      </c>
      <c r="AF140" s="94">
        <f>IFERROR(_xlfn.XLOOKUP($D140,'Modelling New'!$D:$D,'Modelling New'!$W:$W),"")</f>
        <v>0.12609327292095684</v>
      </c>
      <c r="AG140" s="94">
        <f>IFERROR(_xlfn.XLOOKUP($D140,'Modelling New'!$D:$D,'Modelling New'!$AE:$AE),"")</f>
        <v>0.98040000000000005</v>
      </c>
      <c r="AH140" s="94">
        <f>IFERROR(_xlfn.XLOOKUP($D140,'Modelling New'!$D:$D,'Modelling New'!$AF:$AF),"")</f>
        <v>0.98</v>
      </c>
      <c r="AN140" s="85"/>
      <c r="AO140" s="84"/>
      <c r="AP140" s="84"/>
      <c r="AQ140" s="84"/>
      <c r="AR140" s="86">
        <f>'Basic Data'!$J$2</f>
        <v>7.0991999999999997</v>
      </c>
      <c r="AT140" s="7" t="str">
        <f>IFERROR(_xlfn.XLOOKUP(Table13[[#This Row],[Date]],'Raw Data'!$E:$E,'Raw Data'!$AN:$AN),"")</f>
        <v/>
      </c>
      <c r="AU140" s="7">
        <f>IFERROR(_xlfn.XLOOKUP(Table13[[#This Row],[Month Year]],'Modelling New'!$D:$D,'Modelling New'!$AO:$AO),"")</f>
        <v>7</v>
      </c>
      <c r="AV140" s="7">
        <f>IFERROR(SUMIF('Curtailment Records'!$C:$C,Table13[[#This Row],[Date]],'Curtailment Records'!$R:$R)/1000,"")</f>
        <v>0</v>
      </c>
    </row>
    <row r="141" spans="1:48" x14ac:dyDescent="0.25">
      <c r="A141" s="93">
        <f t="shared" si="10"/>
        <v>45884</v>
      </c>
      <c r="B141" s="86">
        <f>YEAR(Table13[[#This Row],[Date]])+IF(MONTH(Table13[[#This Row],[Date]])&gt;=4,1,0)</f>
        <v>2026</v>
      </c>
      <c r="C141" s="7">
        <f>YEAR(Table13[[#This Row],[Date]])</f>
        <v>2025</v>
      </c>
      <c r="D141" s="92">
        <f>Table13[[#This Row],[Date]]-DAY(Table13[[#This Row],[Date]])+1</f>
        <v>45870</v>
      </c>
      <c r="E141" s="7">
        <f t="shared" si="11"/>
        <v>31</v>
      </c>
      <c r="F141" s="91" t="str">
        <f>IFERROR(_xlfn.XLOOKUP($A141,'Raw Data'!$G:$G,'Raw Data'!$AM:$AM),"")</f>
        <v/>
      </c>
      <c r="G141" s="90" t="str">
        <f>IFERROR(_xlfn.XLOOKUP($A141,'Raw Data'!$G:$G,'Raw Data'!$AB:$AB),"")</f>
        <v/>
      </c>
      <c r="H141" s="90"/>
      <c r="I141" s="90" t="str">
        <f>IFERROR(_xlfn.XLOOKUP($A141,'Raw Data'!$G:$G,'Raw Data'!$AC:$AC),"")</f>
        <v/>
      </c>
      <c r="J141" s="90"/>
      <c r="K141" s="90" t="str">
        <f>IFERROR(_xlfn.XLOOKUP($A141,'Raw Data'!$G:$G,'Raw Data'!AD:AD),"")</f>
        <v/>
      </c>
      <c r="L141" s="90" t="str">
        <f>IFERROR(_xlfn.XLOOKUP($A141,'Raw Data'!$G:$G,'Raw Data'!AE:AE),"")</f>
        <v/>
      </c>
      <c r="M141" s="90" t="str">
        <f>IFERROR(_xlfn.XLOOKUP($A141,'Raw Data'!$G:$G,'Raw Data'!AF:AF),"")</f>
        <v/>
      </c>
      <c r="N141" s="90" t="str">
        <f>IFERROR(_xlfn.XLOOKUP($A141,'Raw Data'!$G:$G,'Raw Data'!AG:AG),"")</f>
        <v/>
      </c>
      <c r="O141" s="85" t="str">
        <f>IFERROR(1-SUMIF('Plant BD'!$B:$B,$A141,'Plant BD'!$AM:$AM)/($AA141+SUMIF('Plant BD'!$B:$B,$A141,'Plant BD'!$AM:$AM)),"")</f>
        <v/>
      </c>
      <c r="P141" s="85"/>
      <c r="Q141" s="89"/>
      <c r="R141" s="85" t="str">
        <f>IFERROR(1-SUMIF('Grid BD'!$B:$B,$A141,'Grid BD'!$AE:$AE)/($AA141+SUMIF('Grid BD'!$B:$B,$A141,'Grid BD'!$AE:$AE)),"")</f>
        <v/>
      </c>
      <c r="T141" s="89"/>
      <c r="U141" s="88" t="str">
        <f t="shared" si="9"/>
        <v/>
      </c>
      <c r="V141" s="88"/>
      <c r="W141" s="84" t="str">
        <f t="shared" si="8"/>
        <v/>
      </c>
      <c r="X141" s="86" t="str">
        <f>IFERROR(_xlfn.XLOOKUP($A141,'Raw Data'!$G:$G,'Raw Data'!AI:AI),"")</f>
        <v/>
      </c>
      <c r="Y141" s="86" t="str">
        <f>IFERROR(_xlfn.XLOOKUP($A141,'Raw Data'!$G:$G,'Raw Data'!AJ:AJ),"")</f>
        <v/>
      </c>
      <c r="Z141" s="86" t="str">
        <f>IFERROR(_xlfn.XLOOKUP($A141,'Raw Data'!$G:$G,'Raw Data'!AK:AK),"")</f>
        <v/>
      </c>
      <c r="AA141" s="86" t="str">
        <f>IFERROR(_xlfn.XLOOKUP($A141,'Raw Data'!$G:$G,'Raw Data'!$AL:$AL)*(1+(_xlfn.XLOOKUP(Table13[[#This Row],[Month Year]],JMR!$A:$A,JMR!$J:$J))),"")</f>
        <v/>
      </c>
      <c r="AB141" s="86" t="str">
        <f>IFERROR(_xlfn.XLOOKUP($A141,'Raw Data'!$G:$G,'Raw Data'!$H:$H),"")</f>
        <v/>
      </c>
      <c r="AC141" s="87">
        <f>IFERROR(_xlfn.XLOOKUP($D141,'Modelling New'!$D:$D,'Modelling New'!$P:$P),"")</f>
        <v>4.1354838709677413</v>
      </c>
      <c r="AD141" s="86">
        <f>IFERROR(_xlfn.XLOOKUP($D141,'Modelling New'!$D:$D,'Modelling New'!$T:$T)*1000,"")</f>
        <v>21483.872714890964</v>
      </c>
      <c r="AE141" s="94">
        <f>IFERROR(_xlfn.XLOOKUP($D141,'Modelling New'!$D:$D,'Modelling New'!$O:$O),"")</f>
        <v>0.73177375236499143</v>
      </c>
      <c r="AF141" s="94">
        <f>IFERROR(_xlfn.XLOOKUP($D141,'Modelling New'!$D:$D,'Modelling New'!$W:$W),"")</f>
        <v>0.12609327292095684</v>
      </c>
      <c r="AG141" s="94">
        <f>IFERROR(_xlfn.XLOOKUP($D141,'Modelling New'!$D:$D,'Modelling New'!$AE:$AE),"")</f>
        <v>0.98040000000000005</v>
      </c>
      <c r="AH141" s="94">
        <f>IFERROR(_xlfn.XLOOKUP($D141,'Modelling New'!$D:$D,'Modelling New'!$AF:$AF),"")</f>
        <v>0.98</v>
      </c>
      <c r="AN141" s="85"/>
      <c r="AO141" s="84"/>
      <c r="AP141" s="84"/>
      <c r="AQ141" s="84"/>
      <c r="AR141" s="86">
        <f>'Basic Data'!$J$2</f>
        <v>7.0991999999999997</v>
      </c>
      <c r="AT141" s="7" t="str">
        <f>IFERROR(_xlfn.XLOOKUP(Table13[[#This Row],[Date]],'Raw Data'!$E:$E,'Raw Data'!$AN:$AN),"")</f>
        <v/>
      </c>
      <c r="AU141" s="7">
        <f>IFERROR(_xlfn.XLOOKUP(Table13[[#This Row],[Month Year]],'Modelling New'!$D:$D,'Modelling New'!$AO:$AO),"")</f>
        <v>7</v>
      </c>
      <c r="AV141" s="7">
        <f>IFERROR(SUMIF('Curtailment Records'!$C:$C,Table13[[#This Row],[Date]],'Curtailment Records'!$R:$R)/1000,"")</f>
        <v>0</v>
      </c>
    </row>
    <row r="142" spans="1:48" x14ac:dyDescent="0.25">
      <c r="A142" s="93">
        <f t="shared" si="10"/>
        <v>45885</v>
      </c>
      <c r="B142" s="86">
        <f>YEAR(Table13[[#This Row],[Date]])+IF(MONTH(Table13[[#This Row],[Date]])&gt;=4,1,0)</f>
        <v>2026</v>
      </c>
      <c r="C142" s="7">
        <f>YEAR(Table13[[#This Row],[Date]])</f>
        <v>2025</v>
      </c>
      <c r="D142" s="92">
        <f>Table13[[#This Row],[Date]]-DAY(Table13[[#This Row],[Date]])+1</f>
        <v>45870</v>
      </c>
      <c r="E142" s="7">
        <f t="shared" si="11"/>
        <v>31</v>
      </c>
      <c r="F142" s="91" t="str">
        <f>IFERROR(_xlfn.XLOOKUP($A142,'Raw Data'!$G:$G,'Raw Data'!$AM:$AM),"")</f>
        <v/>
      </c>
      <c r="G142" s="90" t="str">
        <f>IFERROR(_xlfn.XLOOKUP($A142,'Raw Data'!$G:$G,'Raw Data'!$AB:$AB),"")</f>
        <v/>
      </c>
      <c r="H142" s="90"/>
      <c r="I142" s="90" t="str">
        <f>IFERROR(_xlfn.XLOOKUP($A142,'Raw Data'!$G:$G,'Raw Data'!$AC:$AC),"")</f>
        <v/>
      </c>
      <c r="J142" s="90"/>
      <c r="K142" s="90" t="str">
        <f>IFERROR(_xlfn.XLOOKUP($A142,'Raw Data'!$G:$G,'Raw Data'!AD:AD),"")</f>
        <v/>
      </c>
      <c r="L142" s="90" t="str">
        <f>IFERROR(_xlfn.XLOOKUP($A142,'Raw Data'!$G:$G,'Raw Data'!AE:AE),"")</f>
        <v/>
      </c>
      <c r="M142" s="90" t="str">
        <f>IFERROR(_xlfn.XLOOKUP($A142,'Raw Data'!$G:$G,'Raw Data'!AF:AF),"")</f>
        <v/>
      </c>
      <c r="N142" s="90" t="str">
        <f>IFERROR(_xlfn.XLOOKUP($A142,'Raw Data'!$G:$G,'Raw Data'!AG:AG),"")</f>
        <v/>
      </c>
      <c r="O142" s="85" t="str">
        <f>IFERROR(1-SUMIF('Plant BD'!$B:$B,$A142,'Plant BD'!$AM:$AM)/($AA142+SUMIF('Plant BD'!$B:$B,$A142,'Plant BD'!$AM:$AM)),"")</f>
        <v/>
      </c>
      <c r="P142" s="85"/>
      <c r="Q142" s="89"/>
      <c r="R142" s="85" t="str">
        <f>IFERROR(1-SUMIF('Grid BD'!$B:$B,$A142,'Grid BD'!$AE:$AE)/($AA142+SUMIF('Grid BD'!$B:$B,$A142,'Grid BD'!$AE:$AE)),"")</f>
        <v/>
      </c>
      <c r="T142" s="89"/>
      <c r="U142" s="88" t="str">
        <f t="shared" si="9"/>
        <v/>
      </c>
      <c r="V142" s="88"/>
      <c r="W142" s="84" t="str">
        <f t="shared" si="8"/>
        <v/>
      </c>
      <c r="X142" s="86" t="str">
        <f>IFERROR(_xlfn.XLOOKUP($A142,'Raw Data'!$G:$G,'Raw Data'!AI:AI),"")</f>
        <v/>
      </c>
      <c r="Y142" s="86" t="str">
        <f>IFERROR(_xlfn.XLOOKUP($A142,'Raw Data'!$G:$G,'Raw Data'!AJ:AJ),"")</f>
        <v/>
      </c>
      <c r="Z142" s="86" t="str">
        <f>IFERROR(_xlfn.XLOOKUP($A142,'Raw Data'!$G:$G,'Raw Data'!AK:AK),"")</f>
        <v/>
      </c>
      <c r="AA142" s="86" t="str">
        <f>IFERROR(_xlfn.XLOOKUP($A142,'Raw Data'!$G:$G,'Raw Data'!$AL:$AL)*(1+(_xlfn.XLOOKUP(Table13[[#This Row],[Month Year]],JMR!$A:$A,JMR!$J:$J))),"")</f>
        <v/>
      </c>
      <c r="AB142" s="86" t="str">
        <f>IFERROR(_xlfn.XLOOKUP($A142,'Raw Data'!$G:$G,'Raw Data'!$H:$H),"")</f>
        <v/>
      </c>
      <c r="AC142" s="87">
        <f>IFERROR(_xlfn.XLOOKUP($D142,'Modelling New'!$D:$D,'Modelling New'!$P:$P),"")</f>
        <v>4.1354838709677413</v>
      </c>
      <c r="AD142" s="86">
        <f>IFERROR(_xlfn.XLOOKUP($D142,'Modelling New'!$D:$D,'Modelling New'!$T:$T)*1000,"")</f>
        <v>21483.872714890964</v>
      </c>
      <c r="AE142" s="94">
        <f>IFERROR(_xlfn.XLOOKUP($D142,'Modelling New'!$D:$D,'Modelling New'!$O:$O),"")</f>
        <v>0.73177375236499143</v>
      </c>
      <c r="AF142" s="94">
        <f>IFERROR(_xlfn.XLOOKUP($D142,'Modelling New'!$D:$D,'Modelling New'!$W:$W),"")</f>
        <v>0.12609327292095684</v>
      </c>
      <c r="AG142" s="94">
        <f>IFERROR(_xlfn.XLOOKUP($D142,'Modelling New'!$D:$D,'Modelling New'!$AE:$AE),"")</f>
        <v>0.98040000000000005</v>
      </c>
      <c r="AH142" s="94">
        <f>IFERROR(_xlfn.XLOOKUP($D142,'Modelling New'!$D:$D,'Modelling New'!$AF:$AF),"")</f>
        <v>0.98</v>
      </c>
      <c r="AN142" s="85"/>
      <c r="AO142" s="84"/>
      <c r="AP142" s="84"/>
      <c r="AQ142" s="84"/>
      <c r="AR142" s="86">
        <f>'Basic Data'!$J$2</f>
        <v>7.0991999999999997</v>
      </c>
      <c r="AT142" s="7" t="str">
        <f>IFERROR(_xlfn.XLOOKUP(Table13[[#This Row],[Date]],'Raw Data'!$E:$E,'Raw Data'!$AN:$AN),"")</f>
        <v/>
      </c>
      <c r="AU142" s="7">
        <f>IFERROR(_xlfn.XLOOKUP(Table13[[#This Row],[Month Year]],'Modelling New'!$D:$D,'Modelling New'!$AO:$AO),"")</f>
        <v>7</v>
      </c>
      <c r="AV142" s="7">
        <f>IFERROR(SUMIF('Curtailment Records'!$C:$C,Table13[[#This Row],[Date]],'Curtailment Records'!$R:$R)/1000,"")</f>
        <v>0</v>
      </c>
    </row>
    <row r="143" spans="1:48" x14ac:dyDescent="0.25">
      <c r="A143" s="93">
        <f t="shared" si="10"/>
        <v>45886</v>
      </c>
      <c r="B143" s="86">
        <f>YEAR(Table13[[#This Row],[Date]])+IF(MONTH(Table13[[#This Row],[Date]])&gt;=4,1,0)</f>
        <v>2026</v>
      </c>
      <c r="C143" s="7">
        <f>YEAR(Table13[[#This Row],[Date]])</f>
        <v>2025</v>
      </c>
      <c r="D143" s="92">
        <f>Table13[[#This Row],[Date]]-DAY(Table13[[#This Row],[Date]])+1</f>
        <v>45870</v>
      </c>
      <c r="E143" s="7">
        <f t="shared" si="11"/>
        <v>31</v>
      </c>
      <c r="F143" s="91" t="str">
        <f>IFERROR(_xlfn.XLOOKUP($A143,'Raw Data'!$G:$G,'Raw Data'!$AM:$AM),"")</f>
        <v/>
      </c>
      <c r="G143" s="90" t="str">
        <f>IFERROR(_xlfn.XLOOKUP($A143,'Raw Data'!$G:$G,'Raw Data'!$AB:$AB),"")</f>
        <v/>
      </c>
      <c r="H143" s="90"/>
      <c r="I143" s="90" t="str">
        <f>IFERROR(_xlfn.XLOOKUP($A143,'Raw Data'!$G:$G,'Raw Data'!$AC:$AC),"")</f>
        <v/>
      </c>
      <c r="J143" s="90"/>
      <c r="K143" s="90" t="str">
        <f>IFERROR(_xlfn.XLOOKUP($A143,'Raw Data'!$G:$G,'Raw Data'!AD:AD),"")</f>
        <v/>
      </c>
      <c r="L143" s="90" t="str">
        <f>IFERROR(_xlfn.XLOOKUP($A143,'Raw Data'!$G:$G,'Raw Data'!AE:AE),"")</f>
        <v/>
      </c>
      <c r="M143" s="90" t="str">
        <f>IFERROR(_xlfn.XLOOKUP($A143,'Raw Data'!$G:$G,'Raw Data'!AF:AF),"")</f>
        <v/>
      </c>
      <c r="N143" s="90" t="str">
        <f>IFERROR(_xlfn.XLOOKUP($A143,'Raw Data'!$G:$G,'Raw Data'!AG:AG),"")</f>
        <v/>
      </c>
      <c r="O143" s="85" t="str">
        <f>IFERROR(1-SUMIF('Plant BD'!$B:$B,$A143,'Plant BD'!$AM:$AM)/($AA143+SUMIF('Plant BD'!$B:$B,$A143,'Plant BD'!$AM:$AM)),"")</f>
        <v/>
      </c>
      <c r="P143" s="85"/>
      <c r="Q143" s="89"/>
      <c r="R143" s="85" t="str">
        <f>IFERROR(1-SUMIF('Grid BD'!$B:$B,$A143,'Grid BD'!$AE:$AE)/($AA143+SUMIF('Grid BD'!$B:$B,$A143,'Grid BD'!$AE:$AE)),"")</f>
        <v/>
      </c>
      <c r="T143" s="89"/>
      <c r="U143" s="88" t="str">
        <f t="shared" si="9"/>
        <v/>
      </c>
      <c r="V143" s="88"/>
      <c r="W143" s="84" t="str">
        <f t="shared" si="8"/>
        <v/>
      </c>
      <c r="X143" s="86" t="str">
        <f>IFERROR(_xlfn.XLOOKUP($A143,'Raw Data'!$G:$G,'Raw Data'!AI:AI),"")</f>
        <v/>
      </c>
      <c r="Y143" s="86" t="str">
        <f>IFERROR(_xlfn.XLOOKUP($A143,'Raw Data'!$G:$G,'Raw Data'!AJ:AJ),"")</f>
        <v/>
      </c>
      <c r="Z143" s="86" t="str">
        <f>IFERROR(_xlfn.XLOOKUP($A143,'Raw Data'!$G:$G,'Raw Data'!AK:AK),"")</f>
        <v/>
      </c>
      <c r="AA143" s="86" t="str">
        <f>IFERROR(_xlfn.XLOOKUP($A143,'Raw Data'!$G:$G,'Raw Data'!$AL:$AL)*(1+(_xlfn.XLOOKUP(Table13[[#This Row],[Month Year]],JMR!$A:$A,JMR!$J:$J))),"")</f>
        <v/>
      </c>
      <c r="AB143" s="86" t="str">
        <f>IFERROR(_xlfn.XLOOKUP($A143,'Raw Data'!$G:$G,'Raw Data'!$H:$H),"")</f>
        <v/>
      </c>
      <c r="AC143" s="87">
        <f>IFERROR(_xlfn.XLOOKUP($D143,'Modelling New'!$D:$D,'Modelling New'!$P:$P),"")</f>
        <v>4.1354838709677413</v>
      </c>
      <c r="AD143" s="86">
        <f>IFERROR(_xlfn.XLOOKUP($D143,'Modelling New'!$D:$D,'Modelling New'!$T:$T)*1000,"")</f>
        <v>21483.872714890964</v>
      </c>
      <c r="AE143" s="94">
        <f>IFERROR(_xlfn.XLOOKUP($D143,'Modelling New'!$D:$D,'Modelling New'!$O:$O),"")</f>
        <v>0.73177375236499143</v>
      </c>
      <c r="AF143" s="94">
        <f>IFERROR(_xlfn.XLOOKUP($D143,'Modelling New'!$D:$D,'Modelling New'!$W:$W),"")</f>
        <v>0.12609327292095684</v>
      </c>
      <c r="AG143" s="94">
        <f>IFERROR(_xlfn.XLOOKUP($D143,'Modelling New'!$D:$D,'Modelling New'!$AE:$AE),"")</f>
        <v>0.98040000000000005</v>
      </c>
      <c r="AH143" s="94">
        <f>IFERROR(_xlfn.XLOOKUP($D143,'Modelling New'!$D:$D,'Modelling New'!$AF:$AF),"")</f>
        <v>0.98</v>
      </c>
      <c r="AN143" s="85"/>
      <c r="AO143" s="84"/>
      <c r="AP143" s="84"/>
      <c r="AQ143" s="84"/>
      <c r="AR143" s="86">
        <f>'Basic Data'!$J$2</f>
        <v>7.0991999999999997</v>
      </c>
      <c r="AT143" s="7" t="str">
        <f>IFERROR(_xlfn.XLOOKUP(Table13[[#This Row],[Date]],'Raw Data'!$E:$E,'Raw Data'!$AN:$AN),"")</f>
        <v/>
      </c>
      <c r="AU143" s="7">
        <f>IFERROR(_xlfn.XLOOKUP(Table13[[#This Row],[Month Year]],'Modelling New'!$D:$D,'Modelling New'!$AO:$AO),"")</f>
        <v>7</v>
      </c>
      <c r="AV143" s="7">
        <f>IFERROR(SUMIF('Curtailment Records'!$C:$C,Table13[[#This Row],[Date]],'Curtailment Records'!$R:$R)/1000,"")</f>
        <v>0</v>
      </c>
    </row>
    <row r="144" spans="1:48" x14ac:dyDescent="0.25">
      <c r="A144" s="93">
        <f t="shared" si="10"/>
        <v>45887</v>
      </c>
      <c r="B144" s="86">
        <f>YEAR(Table13[[#This Row],[Date]])+IF(MONTH(Table13[[#This Row],[Date]])&gt;=4,1,0)</f>
        <v>2026</v>
      </c>
      <c r="C144" s="7">
        <f>YEAR(Table13[[#This Row],[Date]])</f>
        <v>2025</v>
      </c>
      <c r="D144" s="92">
        <f>Table13[[#This Row],[Date]]-DAY(Table13[[#This Row],[Date]])+1</f>
        <v>45870</v>
      </c>
      <c r="E144" s="7">
        <f t="shared" si="11"/>
        <v>31</v>
      </c>
      <c r="F144" s="91" t="str">
        <f>IFERROR(_xlfn.XLOOKUP($A144,'Raw Data'!$G:$G,'Raw Data'!$AM:$AM),"")</f>
        <v/>
      </c>
      <c r="G144" s="90" t="str">
        <f>IFERROR(_xlfn.XLOOKUP($A144,'Raw Data'!$G:$G,'Raw Data'!$AB:$AB),"")</f>
        <v/>
      </c>
      <c r="H144" s="90"/>
      <c r="I144" s="90" t="str">
        <f>IFERROR(_xlfn.XLOOKUP($A144,'Raw Data'!$G:$G,'Raw Data'!$AC:$AC),"")</f>
        <v/>
      </c>
      <c r="J144" s="90"/>
      <c r="K144" s="90" t="str">
        <f>IFERROR(_xlfn.XLOOKUP($A144,'Raw Data'!$G:$G,'Raw Data'!AD:AD),"")</f>
        <v/>
      </c>
      <c r="L144" s="90" t="str">
        <f>IFERROR(_xlfn.XLOOKUP($A144,'Raw Data'!$G:$G,'Raw Data'!AE:AE),"")</f>
        <v/>
      </c>
      <c r="M144" s="90" t="str">
        <f>IFERROR(_xlfn.XLOOKUP($A144,'Raw Data'!$G:$G,'Raw Data'!AF:AF),"")</f>
        <v/>
      </c>
      <c r="N144" s="90" t="str">
        <f>IFERROR(_xlfn.XLOOKUP($A144,'Raw Data'!$G:$G,'Raw Data'!AG:AG),"")</f>
        <v/>
      </c>
      <c r="O144" s="85" t="str">
        <f>IFERROR(1-SUMIF('Plant BD'!$B:$B,$A144,'Plant BD'!$AM:$AM)/($AA144+SUMIF('Plant BD'!$B:$B,$A144,'Plant BD'!$AM:$AM)),"")</f>
        <v/>
      </c>
      <c r="P144" s="85"/>
      <c r="Q144" s="89"/>
      <c r="R144" s="85" t="str">
        <f>IFERROR(1-SUMIF('Grid BD'!$B:$B,$A144,'Grid BD'!$AE:$AE)/($AA144+SUMIF('Grid BD'!$B:$B,$A144,'Grid BD'!$AE:$AE)),"")</f>
        <v/>
      </c>
      <c r="T144" s="89"/>
      <c r="U144" s="88" t="str">
        <f t="shared" si="9"/>
        <v/>
      </c>
      <c r="V144" s="88"/>
      <c r="W144" s="84" t="str">
        <f t="shared" si="8"/>
        <v/>
      </c>
      <c r="X144" s="86" t="str">
        <f>IFERROR(_xlfn.XLOOKUP($A144,'Raw Data'!$G:$G,'Raw Data'!AI:AI),"")</f>
        <v/>
      </c>
      <c r="Y144" s="86" t="str">
        <f>IFERROR(_xlfn.XLOOKUP($A144,'Raw Data'!$G:$G,'Raw Data'!AJ:AJ),"")</f>
        <v/>
      </c>
      <c r="Z144" s="86" t="str">
        <f>IFERROR(_xlfn.XLOOKUP($A144,'Raw Data'!$G:$G,'Raw Data'!AK:AK),"")</f>
        <v/>
      </c>
      <c r="AA144" s="86" t="str">
        <f>IFERROR(_xlfn.XLOOKUP($A144,'Raw Data'!$G:$G,'Raw Data'!$AL:$AL)*(1+(_xlfn.XLOOKUP(Table13[[#This Row],[Month Year]],JMR!$A:$A,JMR!$J:$J))),"")</f>
        <v/>
      </c>
      <c r="AB144" s="86" t="str">
        <f>IFERROR(_xlfn.XLOOKUP($A144,'Raw Data'!$G:$G,'Raw Data'!$H:$H),"")</f>
        <v/>
      </c>
      <c r="AC144" s="87">
        <f>IFERROR(_xlfn.XLOOKUP($D144,'Modelling New'!$D:$D,'Modelling New'!$P:$P),"")</f>
        <v>4.1354838709677413</v>
      </c>
      <c r="AD144" s="86">
        <f>IFERROR(_xlfn.XLOOKUP($D144,'Modelling New'!$D:$D,'Modelling New'!$T:$T)*1000,"")</f>
        <v>21483.872714890964</v>
      </c>
      <c r="AE144" s="94">
        <f>IFERROR(_xlfn.XLOOKUP($D144,'Modelling New'!$D:$D,'Modelling New'!$O:$O),"")</f>
        <v>0.73177375236499143</v>
      </c>
      <c r="AF144" s="94">
        <f>IFERROR(_xlfn.XLOOKUP($D144,'Modelling New'!$D:$D,'Modelling New'!$W:$W),"")</f>
        <v>0.12609327292095684</v>
      </c>
      <c r="AG144" s="94">
        <f>IFERROR(_xlfn.XLOOKUP($D144,'Modelling New'!$D:$D,'Modelling New'!$AE:$AE),"")</f>
        <v>0.98040000000000005</v>
      </c>
      <c r="AH144" s="94">
        <f>IFERROR(_xlfn.XLOOKUP($D144,'Modelling New'!$D:$D,'Modelling New'!$AF:$AF),"")</f>
        <v>0.98</v>
      </c>
      <c r="AN144" s="85"/>
      <c r="AO144" s="84"/>
      <c r="AP144" s="84"/>
      <c r="AQ144" s="84"/>
      <c r="AR144" s="86">
        <f>'Basic Data'!$J$2</f>
        <v>7.0991999999999997</v>
      </c>
      <c r="AT144" s="7" t="str">
        <f>IFERROR(_xlfn.XLOOKUP(Table13[[#This Row],[Date]],'Raw Data'!$E:$E,'Raw Data'!$AN:$AN),"")</f>
        <v/>
      </c>
      <c r="AU144" s="7">
        <f>IFERROR(_xlfn.XLOOKUP(Table13[[#This Row],[Month Year]],'Modelling New'!$D:$D,'Modelling New'!$AO:$AO),"")</f>
        <v>7</v>
      </c>
      <c r="AV144" s="7">
        <f>IFERROR(SUMIF('Curtailment Records'!$C:$C,Table13[[#This Row],[Date]],'Curtailment Records'!$R:$R)/1000,"")</f>
        <v>0</v>
      </c>
    </row>
    <row r="145" spans="1:48" x14ac:dyDescent="0.25">
      <c r="A145" s="93">
        <f t="shared" si="10"/>
        <v>45888</v>
      </c>
      <c r="B145" s="86">
        <f>YEAR(Table13[[#This Row],[Date]])+IF(MONTH(Table13[[#This Row],[Date]])&gt;=4,1,0)</f>
        <v>2026</v>
      </c>
      <c r="C145" s="7">
        <f>YEAR(Table13[[#This Row],[Date]])</f>
        <v>2025</v>
      </c>
      <c r="D145" s="92">
        <f>Table13[[#This Row],[Date]]-DAY(Table13[[#This Row],[Date]])+1</f>
        <v>45870</v>
      </c>
      <c r="E145" s="7">
        <f t="shared" si="11"/>
        <v>31</v>
      </c>
      <c r="F145" s="91" t="str">
        <f>IFERROR(_xlfn.XLOOKUP($A145,'Raw Data'!$G:$G,'Raw Data'!$AM:$AM),"")</f>
        <v/>
      </c>
      <c r="G145" s="90" t="str">
        <f>IFERROR(_xlfn.XLOOKUP($A145,'Raw Data'!$G:$G,'Raw Data'!$AB:$AB),"")</f>
        <v/>
      </c>
      <c r="H145" s="90"/>
      <c r="I145" s="90" t="str">
        <f>IFERROR(_xlfn.XLOOKUP($A145,'Raw Data'!$G:$G,'Raw Data'!$AC:$AC),"")</f>
        <v/>
      </c>
      <c r="J145" s="90"/>
      <c r="K145" s="90" t="str">
        <f>IFERROR(_xlfn.XLOOKUP($A145,'Raw Data'!$G:$G,'Raw Data'!AD:AD),"")</f>
        <v/>
      </c>
      <c r="L145" s="90" t="str">
        <f>IFERROR(_xlfn.XLOOKUP($A145,'Raw Data'!$G:$G,'Raw Data'!AE:AE),"")</f>
        <v/>
      </c>
      <c r="M145" s="90" t="str">
        <f>IFERROR(_xlfn.XLOOKUP($A145,'Raw Data'!$G:$G,'Raw Data'!AF:AF),"")</f>
        <v/>
      </c>
      <c r="N145" s="90" t="str">
        <f>IFERROR(_xlfn.XLOOKUP($A145,'Raw Data'!$G:$G,'Raw Data'!AG:AG),"")</f>
        <v/>
      </c>
      <c r="O145" s="85" t="str">
        <f>IFERROR(1-SUMIF('Plant BD'!$B:$B,$A145,'Plant BD'!$AM:$AM)/($AA145+SUMIF('Plant BD'!$B:$B,$A145,'Plant BD'!$AM:$AM)),"")</f>
        <v/>
      </c>
      <c r="P145" s="85"/>
      <c r="Q145" s="89"/>
      <c r="R145" s="85" t="str">
        <f>IFERROR(1-SUMIF('Grid BD'!$B:$B,$A145,'Grid BD'!$AE:$AE)/($AA145+SUMIF('Grid BD'!$B:$B,$A145,'Grid BD'!$AE:$AE)),"")</f>
        <v/>
      </c>
      <c r="T145" s="89"/>
      <c r="U145" s="88" t="str">
        <f t="shared" si="9"/>
        <v/>
      </c>
      <c r="V145" s="88"/>
      <c r="W145" s="84" t="str">
        <f t="shared" si="8"/>
        <v/>
      </c>
      <c r="X145" s="86" t="str">
        <f>IFERROR(_xlfn.XLOOKUP($A145,'Raw Data'!$G:$G,'Raw Data'!AI:AI),"")</f>
        <v/>
      </c>
      <c r="Y145" s="86" t="str">
        <f>IFERROR(_xlfn.XLOOKUP($A145,'Raw Data'!$G:$G,'Raw Data'!AJ:AJ),"")</f>
        <v/>
      </c>
      <c r="Z145" s="86" t="str">
        <f>IFERROR(_xlfn.XLOOKUP($A145,'Raw Data'!$G:$G,'Raw Data'!AK:AK),"")</f>
        <v/>
      </c>
      <c r="AA145" s="86" t="str">
        <f>IFERROR(_xlfn.XLOOKUP($A145,'Raw Data'!$G:$G,'Raw Data'!$AL:$AL)*(1+(_xlfn.XLOOKUP(Table13[[#This Row],[Month Year]],JMR!$A:$A,JMR!$J:$J))),"")</f>
        <v/>
      </c>
      <c r="AB145" s="86" t="str">
        <f>IFERROR(_xlfn.XLOOKUP($A145,'Raw Data'!$G:$G,'Raw Data'!$H:$H),"")</f>
        <v/>
      </c>
      <c r="AC145" s="87">
        <f>IFERROR(_xlfn.XLOOKUP($D145,'Modelling New'!$D:$D,'Modelling New'!$P:$P),"")</f>
        <v>4.1354838709677413</v>
      </c>
      <c r="AD145" s="86">
        <f>IFERROR(_xlfn.XLOOKUP($D145,'Modelling New'!$D:$D,'Modelling New'!$T:$T)*1000,"")</f>
        <v>21483.872714890964</v>
      </c>
      <c r="AE145" s="94">
        <f>IFERROR(_xlfn.XLOOKUP($D145,'Modelling New'!$D:$D,'Modelling New'!$O:$O),"")</f>
        <v>0.73177375236499143</v>
      </c>
      <c r="AF145" s="94">
        <f>IFERROR(_xlfn.XLOOKUP($D145,'Modelling New'!$D:$D,'Modelling New'!$W:$W),"")</f>
        <v>0.12609327292095684</v>
      </c>
      <c r="AG145" s="94">
        <f>IFERROR(_xlfn.XLOOKUP($D145,'Modelling New'!$D:$D,'Modelling New'!$AE:$AE),"")</f>
        <v>0.98040000000000005</v>
      </c>
      <c r="AH145" s="94">
        <f>IFERROR(_xlfn.XLOOKUP($D145,'Modelling New'!$D:$D,'Modelling New'!$AF:$AF),"")</f>
        <v>0.98</v>
      </c>
      <c r="AN145" s="85"/>
      <c r="AO145" s="84"/>
      <c r="AP145" s="84"/>
      <c r="AQ145" s="84"/>
      <c r="AR145" s="86">
        <f>'Basic Data'!$J$2</f>
        <v>7.0991999999999997</v>
      </c>
      <c r="AT145" s="7" t="str">
        <f>IFERROR(_xlfn.XLOOKUP(Table13[[#This Row],[Date]],'Raw Data'!$E:$E,'Raw Data'!$AN:$AN),"")</f>
        <v/>
      </c>
      <c r="AU145" s="7">
        <f>IFERROR(_xlfn.XLOOKUP(Table13[[#This Row],[Month Year]],'Modelling New'!$D:$D,'Modelling New'!$AO:$AO),"")</f>
        <v>7</v>
      </c>
      <c r="AV145" s="7">
        <f>IFERROR(SUMIF('Curtailment Records'!$C:$C,Table13[[#This Row],[Date]],'Curtailment Records'!$R:$R)/1000,"")</f>
        <v>0</v>
      </c>
    </row>
    <row r="146" spans="1:48" x14ac:dyDescent="0.25">
      <c r="A146" s="93">
        <f t="shared" si="10"/>
        <v>45889</v>
      </c>
      <c r="B146" s="86">
        <f>YEAR(Table13[[#This Row],[Date]])+IF(MONTH(Table13[[#This Row],[Date]])&gt;=4,1,0)</f>
        <v>2026</v>
      </c>
      <c r="C146" s="7">
        <f>YEAR(Table13[[#This Row],[Date]])</f>
        <v>2025</v>
      </c>
      <c r="D146" s="92">
        <f>Table13[[#This Row],[Date]]-DAY(Table13[[#This Row],[Date]])+1</f>
        <v>45870</v>
      </c>
      <c r="E146" s="7">
        <f t="shared" si="11"/>
        <v>31</v>
      </c>
      <c r="F146" s="91" t="str">
        <f>IFERROR(_xlfn.XLOOKUP($A146,'Raw Data'!$G:$G,'Raw Data'!$AM:$AM),"")</f>
        <v/>
      </c>
      <c r="G146" s="90" t="str">
        <f>IFERROR(_xlfn.XLOOKUP($A146,'Raw Data'!$G:$G,'Raw Data'!$AB:$AB),"")</f>
        <v/>
      </c>
      <c r="H146" s="90"/>
      <c r="I146" s="90" t="str">
        <f>IFERROR(_xlfn.XLOOKUP($A146,'Raw Data'!$G:$G,'Raw Data'!$AC:$AC),"")</f>
        <v/>
      </c>
      <c r="J146" s="90"/>
      <c r="K146" s="90" t="str">
        <f>IFERROR(_xlfn.XLOOKUP($A146,'Raw Data'!$G:$G,'Raw Data'!AD:AD),"")</f>
        <v/>
      </c>
      <c r="L146" s="90" t="str">
        <f>IFERROR(_xlfn.XLOOKUP($A146,'Raw Data'!$G:$G,'Raw Data'!AE:AE),"")</f>
        <v/>
      </c>
      <c r="M146" s="90" t="str">
        <f>IFERROR(_xlfn.XLOOKUP($A146,'Raw Data'!$G:$G,'Raw Data'!AF:AF),"")</f>
        <v/>
      </c>
      <c r="N146" s="90" t="str">
        <f>IFERROR(_xlfn.XLOOKUP($A146,'Raw Data'!$G:$G,'Raw Data'!AG:AG),"")</f>
        <v/>
      </c>
      <c r="O146" s="85" t="str">
        <f>IFERROR(1-SUMIF('Plant BD'!$B:$B,$A146,'Plant BD'!$AM:$AM)/($AA146+SUMIF('Plant BD'!$B:$B,$A146,'Plant BD'!$AM:$AM)),"")</f>
        <v/>
      </c>
      <c r="P146" s="85"/>
      <c r="Q146" s="89"/>
      <c r="R146" s="85" t="str">
        <f>IFERROR(1-SUMIF('Grid BD'!$B:$B,$A146,'Grid BD'!$AE:$AE)/($AA146+SUMIF('Grid BD'!$B:$B,$A146,'Grid BD'!$AE:$AE)),"")</f>
        <v/>
      </c>
      <c r="T146" s="89"/>
      <c r="U146" s="88" t="str">
        <f t="shared" si="9"/>
        <v/>
      </c>
      <c r="V146" s="88"/>
      <c r="W146" s="84" t="str">
        <f t="shared" si="8"/>
        <v/>
      </c>
      <c r="X146" s="86" t="str">
        <f>IFERROR(_xlfn.XLOOKUP($A146,'Raw Data'!$G:$G,'Raw Data'!AI:AI),"")</f>
        <v/>
      </c>
      <c r="Y146" s="86" t="str">
        <f>IFERROR(_xlfn.XLOOKUP($A146,'Raw Data'!$G:$G,'Raw Data'!AJ:AJ),"")</f>
        <v/>
      </c>
      <c r="Z146" s="86" t="str">
        <f>IFERROR(_xlfn.XLOOKUP($A146,'Raw Data'!$G:$G,'Raw Data'!AK:AK),"")</f>
        <v/>
      </c>
      <c r="AA146" s="86" t="str">
        <f>IFERROR(_xlfn.XLOOKUP($A146,'Raw Data'!$G:$G,'Raw Data'!$AL:$AL)*(1+(_xlfn.XLOOKUP(Table13[[#This Row],[Month Year]],JMR!$A:$A,JMR!$J:$J))),"")</f>
        <v/>
      </c>
      <c r="AB146" s="86" t="str">
        <f>IFERROR(_xlfn.XLOOKUP($A146,'Raw Data'!$G:$G,'Raw Data'!$H:$H),"")</f>
        <v/>
      </c>
      <c r="AC146" s="87">
        <f>IFERROR(_xlfn.XLOOKUP($D146,'Modelling New'!$D:$D,'Modelling New'!$P:$P),"")</f>
        <v>4.1354838709677413</v>
      </c>
      <c r="AD146" s="86">
        <f>IFERROR(_xlfn.XLOOKUP($D146,'Modelling New'!$D:$D,'Modelling New'!$T:$T)*1000,"")</f>
        <v>21483.872714890964</v>
      </c>
      <c r="AE146" s="94">
        <f>IFERROR(_xlfn.XLOOKUP($D146,'Modelling New'!$D:$D,'Modelling New'!$O:$O),"")</f>
        <v>0.73177375236499143</v>
      </c>
      <c r="AF146" s="94">
        <f>IFERROR(_xlfn.XLOOKUP($D146,'Modelling New'!$D:$D,'Modelling New'!$W:$W),"")</f>
        <v>0.12609327292095684</v>
      </c>
      <c r="AG146" s="94">
        <f>IFERROR(_xlfn.XLOOKUP($D146,'Modelling New'!$D:$D,'Modelling New'!$AE:$AE),"")</f>
        <v>0.98040000000000005</v>
      </c>
      <c r="AH146" s="94">
        <f>IFERROR(_xlfn.XLOOKUP($D146,'Modelling New'!$D:$D,'Modelling New'!$AF:$AF),"")</f>
        <v>0.98</v>
      </c>
      <c r="AN146" s="85"/>
      <c r="AO146" s="84"/>
      <c r="AP146" s="84"/>
      <c r="AQ146" s="84"/>
      <c r="AR146" s="86">
        <f>'Basic Data'!$J$2</f>
        <v>7.0991999999999997</v>
      </c>
      <c r="AT146" s="7" t="str">
        <f>IFERROR(_xlfn.XLOOKUP(Table13[[#This Row],[Date]],'Raw Data'!$E:$E,'Raw Data'!$AN:$AN),"")</f>
        <v/>
      </c>
      <c r="AU146" s="7">
        <f>IFERROR(_xlfn.XLOOKUP(Table13[[#This Row],[Month Year]],'Modelling New'!$D:$D,'Modelling New'!$AO:$AO),"")</f>
        <v>7</v>
      </c>
      <c r="AV146" s="7">
        <f>IFERROR(SUMIF('Curtailment Records'!$C:$C,Table13[[#This Row],[Date]],'Curtailment Records'!$R:$R)/1000,"")</f>
        <v>0</v>
      </c>
    </row>
    <row r="147" spans="1:48" x14ac:dyDescent="0.25">
      <c r="A147" s="93">
        <f t="shared" si="10"/>
        <v>45890</v>
      </c>
      <c r="B147" s="86">
        <f>YEAR(Table13[[#This Row],[Date]])+IF(MONTH(Table13[[#This Row],[Date]])&gt;=4,1,0)</f>
        <v>2026</v>
      </c>
      <c r="C147" s="7">
        <f>YEAR(Table13[[#This Row],[Date]])</f>
        <v>2025</v>
      </c>
      <c r="D147" s="92">
        <f>Table13[[#This Row],[Date]]-DAY(Table13[[#This Row],[Date]])+1</f>
        <v>45870</v>
      </c>
      <c r="E147" s="7">
        <f t="shared" si="11"/>
        <v>31</v>
      </c>
      <c r="F147" s="91" t="str">
        <f>IFERROR(_xlfn.XLOOKUP($A147,'Raw Data'!$G:$G,'Raw Data'!$AM:$AM),"")</f>
        <v/>
      </c>
      <c r="G147" s="90" t="str">
        <f>IFERROR(_xlfn.XLOOKUP($A147,'Raw Data'!$G:$G,'Raw Data'!$AB:$AB),"")</f>
        <v/>
      </c>
      <c r="H147" s="90"/>
      <c r="I147" s="90" t="str">
        <f>IFERROR(_xlfn.XLOOKUP($A147,'Raw Data'!$G:$G,'Raw Data'!$AC:$AC),"")</f>
        <v/>
      </c>
      <c r="J147" s="90"/>
      <c r="K147" s="90" t="str">
        <f>IFERROR(_xlfn.XLOOKUP($A147,'Raw Data'!$G:$G,'Raw Data'!AD:AD),"")</f>
        <v/>
      </c>
      <c r="L147" s="90" t="str">
        <f>IFERROR(_xlfn.XLOOKUP($A147,'Raw Data'!$G:$G,'Raw Data'!AE:AE),"")</f>
        <v/>
      </c>
      <c r="M147" s="90" t="str">
        <f>IFERROR(_xlfn.XLOOKUP($A147,'Raw Data'!$G:$G,'Raw Data'!AF:AF),"")</f>
        <v/>
      </c>
      <c r="N147" s="90" t="str">
        <f>IFERROR(_xlfn.XLOOKUP($A147,'Raw Data'!$G:$G,'Raw Data'!AG:AG),"")</f>
        <v/>
      </c>
      <c r="O147" s="85" t="str">
        <f>IFERROR(1-SUMIF('Plant BD'!$B:$B,$A147,'Plant BD'!$AM:$AM)/($AA147+SUMIF('Plant BD'!$B:$B,$A147,'Plant BD'!$AM:$AM)),"")</f>
        <v/>
      </c>
      <c r="P147" s="85"/>
      <c r="Q147" s="89"/>
      <c r="R147" s="85" t="str">
        <f>IFERROR(1-SUMIF('Grid BD'!$B:$B,$A147,'Grid BD'!$AE:$AE)/($AA147+SUMIF('Grid BD'!$B:$B,$A147,'Grid BD'!$AE:$AE)),"")</f>
        <v/>
      </c>
      <c r="T147" s="89"/>
      <c r="U147" s="88" t="str">
        <f t="shared" si="9"/>
        <v/>
      </c>
      <c r="V147" s="88"/>
      <c r="W147" s="84" t="str">
        <f t="shared" si="8"/>
        <v/>
      </c>
      <c r="X147" s="86" t="str">
        <f>IFERROR(_xlfn.XLOOKUP($A147,'Raw Data'!$G:$G,'Raw Data'!AI:AI),"")</f>
        <v/>
      </c>
      <c r="Y147" s="86" t="str">
        <f>IFERROR(_xlfn.XLOOKUP($A147,'Raw Data'!$G:$G,'Raw Data'!AJ:AJ),"")</f>
        <v/>
      </c>
      <c r="Z147" s="86" t="str">
        <f>IFERROR(_xlfn.XLOOKUP($A147,'Raw Data'!$G:$G,'Raw Data'!AK:AK),"")</f>
        <v/>
      </c>
      <c r="AA147" s="86" t="str">
        <f>IFERROR(_xlfn.XLOOKUP($A147,'Raw Data'!$G:$G,'Raw Data'!$AL:$AL)*(1+(_xlfn.XLOOKUP(Table13[[#This Row],[Month Year]],JMR!$A:$A,JMR!$J:$J))),"")</f>
        <v/>
      </c>
      <c r="AB147" s="86" t="str">
        <f>IFERROR(_xlfn.XLOOKUP($A147,'Raw Data'!$G:$G,'Raw Data'!$H:$H),"")</f>
        <v/>
      </c>
      <c r="AC147" s="87">
        <f>IFERROR(_xlfn.XLOOKUP($D147,'Modelling New'!$D:$D,'Modelling New'!$P:$P),"")</f>
        <v>4.1354838709677413</v>
      </c>
      <c r="AD147" s="86">
        <f>IFERROR(_xlfn.XLOOKUP($D147,'Modelling New'!$D:$D,'Modelling New'!$T:$T)*1000,"")</f>
        <v>21483.872714890964</v>
      </c>
      <c r="AE147" s="94">
        <f>IFERROR(_xlfn.XLOOKUP($D147,'Modelling New'!$D:$D,'Modelling New'!$O:$O),"")</f>
        <v>0.73177375236499143</v>
      </c>
      <c r="AF147" s="94">
        <f>IFERROR(_xlfn.XLOOKUP($D147,'Modelling New'!$D:$D,'Modelling New'!$W:$W),"")</f>
        <v>0.12609327292095684</v>
      </c>
      <c r="AG147" s="94">
        <f>IFERROR(_xlfn.XLOOKUP($D147,'Modelling New'!$D:$D,'Modelling New'!$AE:$AE),"")</f>
        <v>0.98040000000000005</v>
      </c>
      <c r="AH147" s="94">
        <f>IFERROR(_xlfn.XLOOKUP($D147,'Modelling New'!$D:$D,'Modelling New'!$AF:$AF),"")</f>
        <v>0.98</v>
      </c>
      <c r="AN147" s="85"/>
      <c r="AO147" s="84"/>
      <c r="AP147" s="84"/>
      <c r="AQ147" s="84"/>
      <c r="AR147" s="86">
        <f>'Basic Data'!$J$2</f>
        <v>7.0991999999999997</v>
      </c>
      <c r="AT147" s="7" t="str">
        <f>IFERROR(_xlfn.XLOOKUP(Table13[[#This Row],[Date]],'Raw Data'!$E:$E,'Raw Data'!$AN:$AN),"")</f>
        <v/>
      </c>
      <c r="AU147" s="7">
        <f>IFERROR(_xlfn.XLOOKUP(Table13[[#This Row],[Month Year]],'Modelling New'!$D:$D,'Modelling New'!$AO:$AO),"")</f>
        <v>7</v>
      </c>
      <c r="AV147" s="7">
        <f>IFERROR(SUMIF('Curtailment Records'!$C:$C,Table13[[#This Row],[Date]],'Curtailment Records'!$R:$R)/1000,"")</f>
        <v>0</v>
      </c>
    </row>
    <row r="148" spans="1:48" x14ac:dyDescent="0.25">
      <c r="A148" s="93">
        <f t="shared" si="10"/>
        <v>45891</v>
      </c>
      <c r="B148" s="86">
        <f>YEAR(Table13[[#This Row],[Date]])+IF(MONTH(Table13[[#This Row],[Date]])&gt;=4,1,0)</f>
        <v>2026</v>
      </c>
      <c r="C148" s="7">
        <f>YEAR(Table13[[#This Row],[Date]])</f>
        <v>2025</v>
      </c>
      <c r="D148" s="92">
        <f>Table13[[#This Row],[Date]]-DAY(Table13[[#This Row],[Date]])+1</f>
        <v>45870</v>
      </c>
      <c r="E148" s="7">
        <f t="shared" si="11"/>
        <v>31</v>
      </c>
      <c r="F148" s="91" t="str">
        <f>IFERROR(_xlfn.XLOOKUP($A148,'Raw Data'!$G:$G,'Raw Data'!$AM:$AM),"")</f>
        <v/>
      </c>
      <c r="G148" s="90" t="str">
        <f>IFERROR(_xlfn.XLOOKUP($A148,'Raw Data'!$G:$G,'Raw Data'!$AB:$AB),"")</f>
        <v/>
      </c>
      <c r="H148" s="90"/>
      <c r="I148" s="90" t="str">
        <f>IFERROR(_xlfn.XLOOKUP($A148,'Raw Data'!$G:$G,'Raw Data'!$AC:$AC),"")</f>
        <v/>
      </c>
      <c r="J148" s="90"/>
      <c r="K148" s="90" t="str">
        <f>IFERROR(_xlfn.XLOOKUP($A148,'Raw Data'!$G:$G,'Raw Data'!AD:AD),"")</f>
        <v/>
      </c>
      <c r="L148" s="90" t="str">
        <f>IFERROR(_xlfn.XLOOKUP($A148,'Raw Data'!$G:$G,'Raw Data'!AE:AE),"")</f>
        <v/>
      </c>
      <c r="M148" s="90" t="str">
        <f>IFERROR(_xlfn.XLOOKUP($A148,'Raw Data'!$G:$G,'Raw Data'!AF:AF),"")</f>
        <v/>
      </c>
      <c r="N148" s="90" t="str">
        <f>IFERROR(_xlfn.XLOOKUP($A148,'Raw Data'!$G:$G,'Raw Data'!AG:AG),"")</f>
        <v/>
      </c>
      <c r="O148" s="85" t="str">
        <f>IFERROR(1-SUMIF('Plant BD'!$B:$B,$A148,'Plant BD'!$AM:$AM)/($AA148+SUMIF('Plant BD'!$B:$B,$A148,'Plant BD'!$AM:$AM)),"")</f>
        <v/>
      </c>
      <c r="P148" s="85"/>
      <c r="Q148" s="89"/>
      <c r="R148" s="85" t="str">
        <f>IFERROR(1-SUMIF('Grid BD'!$B:$B,$A148,'Grid BD'!$AE:$AE)/($AA148+SUMIF('Grid BD'!$B:$B,$A148,'Grid BD'!$AE:$AE)),"")</f>
        <v/>
      </c>
      <c r="T148" s="89"/>
      <c r="U148" s="88" t="str">
        <f t="shared" si="9"/>
        <v/>
      </c>
      <c r="V148" s="88"/>
      <c r="W148" s="84" t="str">
        <f t="shared" si="8"/>
        <v/>
      </c>
      <c r="X148" s="86" t="str">
        <f>IFERROR(_xlfn.XLOOKUP($A148,'Raw Data'!$G:$G,'Raw Data'!AI:AI),"")</f>
        <v/>
      </c>
      <c r="Y148" s="86" t="str">
        <f>IFERROR(_xlfn.XLOOKUP($A148,'Raw Data'!$G:$G,'Raw Data'!AJ:AJ),"")</f>
        <v/>
      </c>
      <c r="Z148" s="86" t="str">
        <f>IFERROR(_xlfn.XLOOKUP($A148,'Raw Data'!$G:$G,'Raw Data'!AK:AK),"")</f>
        <v/>
      </c>
      <c r="AA148" s="86" t="str">
        <f>IFERROR(_xlfn.XLOOKUP($A148,'Raw Data'!$G:$G,'Raw Data'!$AL:$AL)*(1+(_xlfn.XLOOKUP(Table13[[#This Row],[Month Year]],JMR!$A:$A,JMR!$J:$J))),"")</f>
        <v/>
      </c>
      <c r="AB148" s="86" t="str">
        <f>IFERROR(_xlfn.XLOOKUP($A148,'Raw Data'!$G:$G,'Raw Data'!$H:$H),"")</f>
        <v/>
      </c>
      <c r="AC148" s="87">
        <f>IFERROR(_xlfn.XLOOKUP($D148,'Modelling New'!$D:$D,'Modelling New'!$P:$P),"")</f>
        <v>4.1354838709677413</v>
      </c>
      <c r="AD148" s="86">
        <f>IFERROR(_xlfn.XLOOKUP($D148,'Modelling New'!$D:$D,'Modelling New'!$T:$T)*1000,"")</f>
        <v>21483.872714890964</v>
      </c>
      <c r="AE148" s="94">
        <f>IFERROR(_xlfn.XLOOKUP($D148,'Modelling New'!$D:$D,'Modelling New'!$O:$O),"")</f>
        <v>0.73177375236499143</v>
      </c>
      <c r="AF148" s="94">
        <f>IFERROR(_xlfn.XLOOKUP($D148,'Modelling New'!$D:$D,'Modelling New'!$W:$W),"")</f>
        <v>0.12609327292095684</v>
      </c>
      <c r="AG148" s="94">
        <f>IFERROR(_xlfn.XLOOKUP($D148,'Modelling New'!$D:$D,'Modelling New'!$AE:$AE),"")</f>
        <v>0.98040000000000005</v>
      </c>
      <c r="AH148" s="94">
        <f>IFERROR(_xlfn.XLOOKUP($D148,'Modelling New'!$D:$D,'Modelling New'!$AF:$AF),"")</f>
        <v>0.98</v>
      </c>
      <c r="AN148" s="85"/>
      <c r="AO148" s="84"/>
      <c r="AP148" s="84"/>
      <c r="AQ148" s="84"/>
      <c r="AR148" s="86">
        <f>'Basic Data'!$J$2</f>
        <v>7.0991999999999997</v>
      </c>
      <c r="AT148" s="7" t="str">
        <f>IFERROR(_xlfn.XLOOKUP(Table13[[#This Row],[Date]],'Raw Data'!$E:$E,'Raw Data'!$AN:$AN),"")</f>
        <v/>
      </c>
      <c r="AU148" s="7">
        <f>IFERROR(_xlfn.XLOOKUP(Table13[[#This Row],[Month Year]],'Modelling New'!$D:$D,'Modelling New'!$AO:$AO),"")</f>
        <v>7</v>
      </c>
      <c r="AV148" s="7">
        <f>IFERROR(SUMIF('Curtailment Records'!$C:$C,Table13[[#This Row],[Date]],'Curtailment Records'!$R:$R)/1000,"")</f>
        <v>0</v>
      </c>
    </row>
    <row r="149" spans="1:48" x14ac:dyDescent="0.25">
      <c r="A149" s="93">
        <f t="shared" si="10"/>
        <v>45892</v>
      </c>
      <c r="B149" s="86">
        <f>YEAR(Table13[[#This Row],[Date]])+IF(MONTH(Table13[[#This Row],[Date]])&gt;=4,1,0)</f>
        <v>2026</v>
      </c>
      <c r="C149" s="7">
        <f>YEAR(Table13[[#This Row],[Date]])</f>
        <v>2025</v>
      </c>
      <c r="D149" s="92">
        <f>Table13[[#This Row],[Date]]-DAY(Table13[[#This Row],[Date]])+1</f>
        <v>45870</v>
      </c>
      <c r="E149" s="7">
        <f t="shared" si="11"/>
        <v>31</v>
      </c>
      <c r="F149" s="91" t="str">
        <f>IFERROR(_xlfn.XLOOKUP($A149,'Raw Data'!$G:$G,'Raw Data'!$AM:$AM),"")</f>
        <v/>
      </c>
      <c r="G149" s="90" t="str">
        <f>IFERROR(_xlfn.XLOOKUP($A149,'Raw Data'!$G:$G,'Raw Data'!$AB:$AB),"")</f>
        <v/>
      </c>
      <c r="H149" s="90"/>
      <c r="I149" s="90" t="str">
        <f>IFERROR(_xlfn.XLOOKUP($A149,'Raw Data'!$G:$G,'Raw Data'!$AC:$AC),"")</f>
        <v/>
      </c>
      <c r="J149" s="90"/>
      <c r="K149" s="90" t="str">
        <f>IFERROR(_xlfn.XLOOKUP($A149,'Raw Data'!$G:$G,'Raw Data'!AD:AD),"")</f>
        <v/>
      </c>
      <c r="L149" s="90" t="str">
        <f>IFERROR(_xlfn.XLOOKUP($A149,'Raw Data'!$G:$G,'Raw Data'!AE:AE),"")</f>
        <v/>
      </c>
      <c r="M149" s="90" t="str">
        <f>IFERROR(_xlfn.XLOOKUP($A149,'Raw Data'!$G:$G,'Raw Data'!AF:AF),"")</f>
        <v/>
      </c>
      <c r="N149" s="90" t="str">
        <f>IFERROR(_xlfn.XLOOKUP($A149,'Raw Data'!$G:$G,'Raw Data'!AG:AG),"")</f>
        <v/>
      </c>
      <c r="O149" s="85" t="str">
        <f>IFERROR(1-SUMIF('Plant BD'!$B:$B,$A149,'Plant BD'!$AM:$AM)/($AA149+SUMIF('Plant BD'!$B:$B,$A149,'Plant BD'!$AM:$AM)),"")</f>
        <v/>
      </c>
      <c r="P149" s="85"/>
      <c r="Q149" s="89"/>
      <c r="R149" s="85" t="str">
        <f>IFERROR(1-SUMIF('Grid BD'!$B:$B,$A149,'Grid BD'!$AE:$AE)/($AA149+SUMIF('Grid BD'!$B:$B,$A149,'Grid BD'!$AE:$AE)),"")</f>
        <v/>
      </c>
      <c r="T149" s="89"/>
      <c r="U149" s="88" t="str">
        <f t="shared" si="9"/>
        <v/>
      </c>
      <c r="V149" s="88"/>
      <c r="W149" s="84" t="str">
        <f t="shared" si="8"/>
        <v/>
      </c>
      <c r="X149" s="86" t="str">
        <f>IFERROR(_xlfn.XLOOKUP($A149,'Raw Data'!$G:$G,'Raw Data'!AI:AI),"")</f>
        <v/>
      </c>
      <c r="Y149" s="86" t="str">
        <f>IFERROR(_xlfn.XLOOKUP($A149,'Raw Data'!$G:$G,'Raw Data'!AJ:AJ),"")</f>
        <v/>
      </c>
      <c r="Z149" s="86" t="str">
        <f>IFERROR(_xlfn.XLOOKUP($A149,'Raw Data'!$G:$G,'Raw Data'!AK:AK),"")</f>
        <v/>
      </c>
      <c r="AA149" s="86" t="str">
        <f>IFERROR(_xlfn.XLOOKUP($A149,'Raw Data'!$G:$G,'Raw Data'!$AL:$AL)*(1+(_xlfn.XLOOKUP(Table13[[#This Row],[Month Year]],JMR!$A:$A,JMR!$J:$J))),"")</f>
        <v/>
      </c>
      <c r="AB149" s="86" t="str">
        <f>IFERROR(_xlfn.XLOOKUP($A149,'Raw Data'!$G:$G,'Raw Data'!$H:$H),"")</f>
        <v/>
      </c>
      <c r="AC149" s="87">
        <f>IFERROR(_xlfn.XLOOKUP($D149,'Modelling New'!$D:$D,'Modelling New'!$P:$P),"")</f>
        <v>4.1354838709677413</v>
      </c>
      <c r="AD149" s="86">
        <f>IFERROR(_xlfn.XLOOKUP($D149,'Modelling New'!$D:$D,'Modelling New'!$T:$T)*1000,"")</f>
        <v>21483.872714890964</v>
      </c>
      <c r="AE149" s="94">
        <f>IFERROR(_xlfn.XLOOKUP($D149,'Modelling New'!$D:$D,'Modelling New'!$O:$O),"")</f>
        <v>0.73177375236499143</v>
      </c>
      <c r="AF149" s="94">
        <f>IFERROR(_xlfn.XLOOKUP($D149,'Modelling New'!$D:$D,'Modelling New'!$W:$W),"")</f>
        <v>0.12609327292095684</v>
      </c>
      <c r="AG149" s="94">
        <f>IFERROR(_xlfn.XLOOKUP($D149,'Modelling New'!$D:$D,'Modelling New'!$AE:$AE),"")</f>
        <v>0.98040000000000005</v>
      </c>
      <c r="AH149" s="94">
        <f>IFERROR(_xlfn.XLOOKUP($D149,'Modelling New'!$D:$D,'Modelling New'!$AF:$AF),"")</f>
        <v>0.98</v>
      </c>
      <c r="AN149" s="85"/>
      <c r="AO149" s="84"/>
      <c r="AP149" s="84"/>
      <c r="AQ149" s="84"/>
      <c r="AR149" s="86">
        <f>'Basic Data'!$J$2</f>
        <v>7.0991999999999997</v>
      </c>
      <c r="AT149" s="7" t="str">
        <f>IFERROR(_xlfn.XLOOKUP(Table13[[#This Row],[Date]],'Raw Data'!$E:$E,'Raw Data'!$AN:$AN),"")</f>
        <v/>
      </c>
      <c r="AU149" s="7">
        <f>IFERROR(_xlfn.XLOOKUP(Table13[[#This Row],[Month Year]],'Modelling New'!$D:$D,'Modelling New'!$AO:$AO),"")</f>
        <v>7</v>
      </c>
      <c r="AV149" s="7">
        <f>IFERROR(SUMIF('Curtailment Records'!$C:$C,Table13[[#This Row],[Date]],'Curtailment Records'!$R:$R)/1000,"")</f>
        <v>0</v>
      </c>
    </row>
    <row r="150" spans="1:48" x14ac:dyDescent="0.25">
      <c r="A150" s="93">
        <f t="shared" si="10"/>
        <v>45893</v>
      </c>
      <c r="B150" s="86">
        <f>YEAR(Table13[[#This Row],[Date]])+IF(MONTH(Table13[[#This Row],[Date]])&gt;=4,1,0)</f>
        <v>2026</v>
      </c>
      <c r="C150" s="7">
        <f>YEAR(Table13[[#This Row],[Date]])</f>
        <v>2025</v>
      </c>
      <c r="D150" s="92">
        <f>Table13[[#This Row],[Date]]-DAY(Table13[[#This Row],[Date]])+1</f>
        <v>45870</v>
      </c>
      <c r="E150" s="7">
        <f t="shared" si="11"/>
        <v>31</v>
      </c>
      <c r="F150" s="91" t="str">
        <f>IFERROR(_xlfn.XLOOKUP($A150,'Raw Data'!$G:$G,'Raw Data'!$AM:$AM),"")</f>
        <v/>
      </c>
      <c r="G150" s="90" t="str">
        <f>IFERROR(_xlfn.XLOOKUP($A150,'Raw Data'!$G:$G,'Raw Data'!$AB:$AB),"")</f>
        <v/>
      </c>
      <c r="H150" s="90"/>
      <c r="I150" s="90" t="str">
        <f>IFERROR(_xlfn.XLOOKUP($A150,'Raw Data'!$G:$G,'Raw Data'!$AC:$AC),"")</f>
        <v/>
      </c>
      <c r="J150" s="90"/>
      <c r="K150" s="90" t="str">
        <f>IFERROR(_xlfn.XLOOKUP($A150,'Raw Data'!$G:$G,'Raw Data'!AD:AD),"")</f>
        <v/>
      </c>
      <c r="L150" s="90" t="str">
        <f>IFERROR(_xlfn.XLOOKUP($A150,'Raw Data'!$G:$G,'Raw Data'!AE:AE),"")</f>
        <v/>
      </c>
      <c r="M150" s="90" t="str">
        <f>IFERROR(_xlfn.XLOOKUP($A150,'Raw Data'!$G:$G,'Raw Data'!AF:AF),"")</f>
        <v/>
      </c>
      <c r="N150" s="90" t="str">
        <f>IFERROR(_xlfn.XLOOKUP($A150,'Raw Data'!$G:$G,'Raw Data'!AG:AG),"")</f>
        <v/>
      </c>
      <c r="O150" s="85" t="str">
        <f>IFERROR(1-SUMIF('Plant BD'!$B:$B,$A150,'Plant BD'!$AM:$AM)/($AA150+SUMIF('Plant BD'!$B:$B,$A150,'Plant BD'!$AM:$AM)),"")</f>
        <v/>
      </c>
      <c r="P150" s="85"/>
      <c r="Q150" s="89"/>
      <c r="R150" s="85" t="str">
        <f>IFERROR(1-SUMIF('Grid BD'!$B:$B,$A150,'Grid BD'!$AE:$AE)/($AA150+SUMIF('Grid BD'!$B:$B,$A150,'Grid BD'!$AE:$AE)),"")</f>
        <v/>
      </c>
      <c r="T150" s="89"/>
      <c r="U150" s="88" t="str">
        <f t="shared" si="9"/>
        <v/>
      </c>
      <c r="V150" s="88"/>
      <c r="W150" s="84" t="str">
        <f t="shared" si="8"/>
        <v/>
      </c>
      <c r="X150" s="86" t="str">
        <f>IFERROR(_xlfn.XLOOKUP($A150,'Raw Data'!$G:$G,'Raw Data'!AI:AI),"")</f>
        <v/>
      </c>
      <c r="Y150" s="86" t="str">
        <f>IFERROR(_xlfn.XLOOKUP($A150,'Raw Data'!$G:$G,'Raw Data'!AJ:AJ),"")</f>
        <v/>
      </c>
      <c r="Z150" s="86" t="str">
        <f>IFERROR(_xlfn.XLOOKUP($A150,'Raw Data'!$G:$G,'Raw Data'!AK:AK),"")</f>
        <v/>
      </c>
      <c r="AA150" s="86" t="str">
        <f>IFERROR(_xlfn.XLOOKUP($A150,'Raw Data'!$G:$G,'Raw Data'!$AL:$AL)*(1+(_xlfn.XLOOKUP(Table13[[#This Row],[Month Year]],JMR!$A:$A,JMR!$J:$J))),"")</f>
        <v/>
      </c>
      <c r="AB150" s="86" t="str">
        <f>IFERROR(_xlfn.XLOOKUP($A150,'Raw Data'!$G:$G,'Raw Data'!$H:$H),"")</f>
        <v/>
      </c>
      <c r="AC150" s="87">
        <f>IFERROR(_xlfn.XLOOKUP($D150,'Modelling New'!$D:$D,'Modelling New'!$P:$P),"")</f>
        <v>4.1354838709677413</v>
      </c>
      <c r="AD150" s="86">
        <f>IFERROR(_xlfn.XLOOKUP($D150,'Modelling New'!$D:$D,'Modelling New'!$T:$T)*1000,"")</f>
        <v>21483.872714890964</v>
      </c>
      <c r="AE150" s="94">
        <f>IFERROR(_xlfn.XLOOKUP($D150,'Modelling New'!$D:$D,'Modelling New'!$O:$O),"")</f>
        <v>0.73177375236499143</v>
      </c>
      <c r="AF150" s="94">
        <f>IFERROR(_xlfn.XLOOKUP($D150,'Modelling New'!$D:$D,'Modelling New'!$W:$W),"")</f>
        <v>0.12609327292095684</v>
      </c>
      <c r="AG150" s="94">
        <f>IFERROR(_xlfn.XLOOKUP($D150,'Modelling New'!$D:$D,'Modelling New'!$AE:$AE),"")</f>
        <v>0.98040000000000005</v>
      </c>
      <c r="AH150" s="94">
        <f>IFERROR(_xlfn.XLOOKUP($D150,'Modelling New'!$D:$D,'Modelling New'!$AF:$AF),"")</f>
        <v>0.98</v>
      </c>
      <c r="AN150" s="85"/>
      <c r="AO150" s="84"/>
      <c r="AP150" s="84"/>
      <c r="AQ150" s="84"/>
      <c r="AR150" s="86">
        <f>'Basic Data'!$J$2</f>
        <v>7.0991999999999997</v>
      </c>
      <c r="AT150" s="7" t="str">
        <f>IFERROR(_xlfn.XLOOKUP(Table13[[#This Row],[Date]],'Raw Data'!$E:$E,'Raw Data'!$AN:$AN),"")</f>
        <v/>
      </c>
      <c r="AU150" s="7">
        <f>IFERROR(_xlfn.XLOOKUP(Table13[[#This Row],[Month Year]],'Modelling New'!$D:$D,'Modelling New'!$AO:$AO),"")</f>
        <v>7</v>
      </c>
      <c r="AV150" s="7">
        <f>IFERROR(SUMIF('Curtailment Records'!$C:$C,Table13[[#This Row],[Date]],'Curtailment Records'!$R:$R)/1000,"")</f>
        <v>0</v>
      </c>
    </row>
    <row r="151" spans="1:48" x14ac:dyDescent="0.25">
      <c r="A151" s="93">
        <f t="shared" si="10"/>
        <v>45894</v>
      </c>
      <c r="B151" s="86">
        <f>YEAR(Table13[[#This Row],[Date]])+IF(MONTH(Table13[[#This Row],[Date]])&gt;=4,1,0)</f>
        <v>2026</v>
      </c>
      <c r="C151" s="7">
        <f>YEAR(Table13[[#This Row],[Date]])</f>
        <v>2025</v>
      </c>
      <c r="D151" s="92">
        <f>Table13[[#This Row],[Date]]-DAY(Table13[[#This Row],[Date]])+1</f>
        <v>45870</v>
      </c>
      <c r="E151" s="7">
        <f t="shared" si="11"/>
        <v>31</v>
      </c>
      <c r="F151" s="91" t="str">
        <f>IFERROR(_xlfn.XLOOKUP($A151,'Raw Data'!$G:$G,'Raw Data'!$AM:$AM),"")</f>
        <v/>
      </c>
      <c r="G151" s="90" t="str">
        <f>IFERROR(_xlfn.XLOOKUP($A151,'Raw Data'!$G:$G,'Raw Data'!$AB:$AB),"")</f>
        <v/>
      </c>
      <c r="H151" s="90"/>
      <c r="I151" s="90" t="str">
        <f>IFERROR(_xlfn.XLOOKUP($A151,'Raw Data'!$G:$G,'Raw Data'!$AC:$AC),"")</f>
        <v/>
      </c>
      <c r="J151" s="90"/>
      <c r="K151" s="90" t="str">
        <f>IFERROR(_xlfn.XLOOKUP($A151,'Raw Data'!$G:$G,'Raw Data'!AD:AD),"")</f>
        <v/>
      </c>
      <c r="L151" s="90" t="str">
        <f>IFERROR(_xlfn.XLOOKUP($A151,'Raw Data'!$G:$G,'Raw Data'!AE:AE),"")</f>
        <v/>
      </c>
      <c r="M151" s="90" t="str">
        <f>IFERROR(_xlfn.XLOOKUP($A151,'Raw Data'!$G:$G,'Raw Data'!AF:AF),"")</f>
        <v/>
      </c>
      <c r="N151" s="90" t="str">
        <f>IFERROR(_xlfn.XLOOKUP($A151,'Raw Data'!$G:$G,'Raw Data'!AG:AG),"")</f>
        <v/>
      </c>
      <c r="O151" s="85" t="str">
        <f>IFERROR(1-SUMIF('Plant BD'!$B:$B,$A151,'Plant BD'!$AM:$AM)/($AA151+SUMIF('Plant BD'!$B:$B,$A151,'Plant BD'!$AM:$AM)),"")</f>
        <v/>
      </c>
      <c r="P151" s="85"/>
      <c r="Q151" s="89"/>
      <c r="R151" s="85" t="str">
        <f>IFERROR(1-SUMIF('Grid BD'!$B:$B,$A151,'Grid BD'!$AE:$AE)/($AA151+SUMIF('Grid BD'!$B:$B,$A151,'Grid BD'!$AE:$AE)),"")</f>
        <v/>
      </c>
      <c r="T151" s="89"/>
      <c r="U151" s="88" t="str">
        <f t="shared" si="9"/>
        <v/>
      </c>
      <c r="V151" s="88"/>
      <c r="W151" s="84" t="str">
        <f t="shared" si="8"/>
        <v/>
      </c>
      <c r="X151" s="86" t="str">
        <f>IFERROR(_xlfn.XLOOKUP($A151,'Raw Data'!$G:$G,'Raw Data'!AI:AI),"")</f>
        <v/>
      </c>
      <c r="Y151" s="86" t="str">
        <f>IFERROR(_xlfn.XLOOKUP($A151,'Raw Data'!$G:$G,'Raw Data'!AJ:AJ),"")</f>
        <v/>
      </c>
      <c r="Z151" s="86" t="str">
        <f>IFERROR(_xlfn.XLOOKUP($A151,'Raw Data'!$G:$G,'Raw Data'!AK:AK),"")</f>
        <v/>
      </c>
      <c r="AA151" s="86" t="str">
        <f>IFERROR(_xlfn.XLOOKUP($A151,'Raw Data'!$G:$G,'Raw Data'!$AL:$AL)*(1+(_xlfn.XLOOKUP(Table13[[#This Row],[Month Year]],JMR!$A:$A,JMR!$J:$J))),"")</f>
        <v/>
      </c>
      <c r="AB151" s="86" t="str">
        <f>IFERROR(_xlfn.XLOOKUP($A151,'Raw Data'!$G:$G,'Raw Data'!$H:$H),"")</f>
        <v/>
      </c>
      <c r="AC151" s="87">
        <f>IFERROR(_xlfn.XLOOKUP($D151,'Modelling New'!$D:$D,'Modelling New'!$P:$P),"")</f>
        <v>4.1354838709677413</v>
      </c>
      <c r="AD151" s="86">
        <f>IFERROR(_xlfn.XLOOKUP($D151,'Modelling New'!$D:$D,'Modelling New'!$T:$T)*1000,"")</f>
        <v>21483.872714890964</v>
      </c>
      <c r="AE151" s="94">
        <f>IFERROR(_xlfn.XLOOKUP($D151,'Modelling New'!$D:$D,'Modelling New'!$O:$O),"")</f>
        <v>0.73177375236499143</v>
      </c>
      <c r="AF151" s="94">
        <f>IFERROR(_xlfn.XLOOKUP($D151,'Modelling New'!$D:$D,'Modelling New'!$W:$W),"")</f>
        <v>0.12609327292095684</v>
      </c>
      <c r="AG151" s="94">
        <f>IFERROR(_xlfn.XLOOKUP($D151,'Modelling New'!$D:$D,'Modelling New'!$AE:$AE),"")</f>
        <v>0.98040000000000005</v>
      </c>
      <c r="AH151" s="94">
        <f>IFERROR(_xlfn.XLOOKUP($D151,'Modelling New'!$D:$D,'Modelling New'!$AF:$AF),"")</f>
        <v>0.98</v>
      </c>
      <c r="AN151" s="85"/>
      <c r="AO151" s="84"/>
      <c r="AP151" s="84"/>
      <c r="AQ151" s="84"/>
      <c r="AR151" s="86">
        <f>'Basic Data'!$J$2</f>
        <v>7.0991999999999997</v>
      </c>
      <c r="AT151" s="7" t="str">
        <f>IFERROR(_xlfn.XLOOKUP(Table13[[#This Row],[Date]],'Raw Data'!$E:$E,'Raw Data'!$AN:$AN),"")</f>
        <v/>
      </c>
      <c r="AU151" s="7">
        <f>IFERROR(_xlfn.XLOOKUP(Table13[[#This Row],[Month Year]],'Modelling New'!$D:$D,'Modelling New'!$AO:$AO),"")</f>
        <v>7</v>
      </c>
      <c r="AV151" s="7">
        <f>IFERROR(SUMIF('Curtailment Records'!$C:$C,Table13[[#This Row],[Date]],'Curtailment Records'!$R:$R)/1000,"")</f>
        <v>0</v>
      </c>
    </row>
    <row r="152" spans="1:48" x14ac:dyDescent="0.25">
      <c r="A152" s="93">
        <f t="shared" si="10"/>
        <v>45895</v>
      </c>
      <c r="B152" s="86">
        <f>YEAR(Table13[[#This Row],[Date]])+IF(MONTH(Table13[[#This Row],[Date]])&gt;=4,1,0)</f>
        <v>2026</v>
      </c>
      <c r="C152" s="7">
        <f>YEAR(Table13[[#This Row],[Date]])</f>
        <v>2025</v>
      </c>
      <c r="D152" s="92">
        <f>Table13[[#This Row],[Date]]-DAY(Table13[[#This Row],[Date]])+1</f>
        <v>45870</v>
      </c>
      <c r="E152" s="7">
        <f t="shared" si="11"/>
        <v>31</v>
      </c>
      <c r="F152" s="91" t="str">
        <f>IFERROR(_xlfn.XLOOKUP($A152,'Raw Data'!$G:$G,'Raw Data'!$AM:$AM),"")</f>
        <v/>
      </c>
      <c r="G152" s="90" t="str">
        <f>IFERROR(_xlfn.XLOOKUP($A152,'Raw Data'!$G:$G,'Raw Data'!$AB:$AB),"")</f>
        <v/>
      </c>
      <c r="H152" s="90"/>
      <c r="I152" s="90" t="str">
        <f>IFERROR(_xlfn.XLOOKUP($A152,'Raw Data'!$G:$G,'Raw Data'!$AC:$AC),"")</f>
        <v/>
      </c>
      <c r="J152" s="90"/>
      <c r="K152" s="90" t="str">
        <f>IFERROR(_xlfn.XLOOKUP($A152,'Raw Data'!$G:$G,'Raw Data'!AD:AD),"")</f>
        <v/>
      </c>
      <c r="L152" s="90" t="str">
        <f>IFERROR(_xlfn.XLOOKUP($A152,'Raw Data'!$G:$G,'Raw Data'!AE:AE),"")</f>
        <v/>
      </c>
      <c r="M152" s="90" t="str">
        <f>IFERROR(_xlfn.XLOOKUP($A152,'Raw Data'!$G:$G,'Raw Data'!AF:AF),"")</f>
        <v/>
      </c>
      <c r="N152" s="90" t="str">
        <f>IFERROR(_xlfn.XLOOKUP($A152,'Raw Data'!$G:$G,'Raw Data'!AG:AG),"")</f>
        <v/>
      </c>
      <c r="O152" s="85" t="str">
        <f>IFERROR(1-SUMIF('Plant BD'!$B:$B,$A152,'Plant BD'!$AM:$AM)/($AA152+SUMIF('Plant BD'!$B:$B,$A152,'Plant BD'!$AM:$AM)),"")</f>
        <v/>
      </c>
      <c r="P152" s="85"/>
      <c r="Q152" s="89"/>
      <c r="R152" s="85" t="str">
        <f>IFERROR(1-SUMIF('Grid BD'!$B:$B,$A152,'Grid BD'!$AE:$AE)/($AA152+SUMIF('Grid BD'!$B:$B,$A152,'Grid BD'!$AE:$AE)),"")</f>
        <v/>
      </c>
      <c r="T152" s="89"/>
      <c r="U152" s="88" t="str">
        <f t="shared" si="9"/>
        <v/>
      </c>
      <c r="V152" s="88"/>
      <c r="W152" s="84" t="str">
        <f t="shared" si="8"/>
        <v/>
      </c>
      <c r="X152" s="86" t="str">
        <f>IFERROR(_xlfn.XLOOKUP($A152,'Raw Data'!$G:$G,'Raw Data'!AI:AI),"")</f>
        <v/>
      </c>
      <c r="Y152" s="86" t="str">
        <f>IFERROR(_xlfn.XLOOKUP($A152,'Raw Data'!$G:$G,'Raw Data'!AJ:AJ),"")</f>
        <v/>
      </c>
      <c r="Z152" s="86" t="str">
        <f>IFERROR(_xlfn.XLOOKUP($A152,'Raw Data'!$G:$G,'Raw Data'!AK:AK),"")</f>
        <v/>
      </c>
      <c r="AA152" s="86" t="str">
        <f>IFERROR(_xlfn.XLOOKUP($A152,'Raw Data'!$G:$G,'Raw Data'!$AL:$AL)*(1+(_xlfn.XLOOKUP(Table13[[#This Row],[Month Year]],JMR!$A:$A,JMR!$J:$J))),"")</f>
        <v/>
      </c>
      <c r="AB152" s="86" t="str">
        <f>IFERROR(_xlfn.XLOOKUP($A152,'Raw Data'!$G:$G,'Raw Data'!$H:$H),"")</f>
        <v/>
      </c>
      <c r="AC152" s="87">
        <f>IFERROR(_xlfn.XLOOKUP($D152,'Modelling New'!$D:$D,'Modelling New'!$P:$P),"")</f>
        <v>4.1354838709677413</v>
      </c>
      <c r="AD152" s="86">
        <f>IFERROR(_xlfn.XLOOKUP($D152,'Modelling New'!$D:$D,'Modelling New'!$T:$T)*1000,"")</f>
        <v>21483.872714890964</v>
      </c>
      <c r="AE152" s="94">
        <f>IFERROR(_xlfn.XLOOKUP($D152,'Modelling New'!$D:$D,'Modelling New'!$O:$O),"")</f>
        <v>0.73177375236499143</v>
      </c>
      <c r="AF152" s="94">
        <f>IFERROR(_xlfn.XLOOKUP($D152,'Modelling New'!$D:$D,'Modelling New'!$W:$W),"")</f>
        <v>0.12609327292095684</v>
      </c>
      <c r="AG152" s="94">
        <f>IFERROR(_xlfn.XLOOKUP($D152,'Modelling New'!$D:$D,'Modelling New'!$AE:$AE),"")</f>
        <v>0.98040000000000005</v>
      </c>
      <c r="AH152" s="94">
        <f>IFERROR(_xlfn.XLOOKUP($D152,'Modelling New'!$D:$D,'Modelling New'!$AF:$AF),"")</f>
        <v>0.98</v>
      </c>
      <c r="AN152" s="85"/>
      <c r="AO152" s="84"/>
      <c r="AP152" s="84"/>
      <c r="AQ152" s="84"/>
      <c r="AR152" s="86">
        <f>'Basic Data'!$J$2</f>
        <v>7.0991999999999997</v>
      </c>
      <c r="AT152" s="7" t="str">
        <f>IFERROR(_xlfn.XLOOKUP(Table13[[#This Row],[Date]],'Raw Data'!$E:$E,'Raw Data'!$AN:$AN),"")</f>
        <v/>
      </c>
      <c r="AU152" s="7">
        <f>IFERROR(_xlfn.XLOOKUP(Table13[[#This Row],[Month Year]],'Modelling New'!$D:$D,'Modelling New'!$AO:$AO),"")</f>
        <v>7</v>
      </c>
      <c r="AV152" s="7">
        <f>IFERROR(SUMIF('Curtailment Records'!$C:$C,Table13[[#This Row],[Date]],'Curtailment Records'!$R:$R)/1000,"")</f>
        <v>0</v>
      </c>
    </row>
    <row r="153" spans="1:48" x14ac:dyDescent="0.25">
      <c r="A153" s="93">
        <f t="shared" si="10"/>
        <v>45896</v>
      </c>
      <c r="B153" s="86">
        <f>YEAR(Table13[[#This Row],[Date]])+IF(MONTH(Table13[[#This Row],[Date]])&gt;=4,1,0)</f>
        <v>2026</v>
      </c>
      <c r="C153" s="7">
        <f>YEAR(Table13[[#This Row],[Date]])</f>
        <v>2025</v>
      </c>
      <c r="D153" s="92">
        <f>Table13[[#This Row],[Date]]-DAY(Table13[[#This Row],[Date]])+1</f>
        <v>45870</v>
      </c>
      <c r="E153" s="7">
        <f t="shared" si="11"/>
        <v>31</v>
      </c>
      <c r="F153" s="91" t="str">
        <f>IFERROR(_xlfn.XLOOKUP($A153,'Raw Data'!$G:$G,'Raw Data'!$AM:$AM),"")</f>
        <v/>
      </c>
      <c r="G153" s="90" t="str">
        <f>IFERROR(_xlfn.XLOOKUP($A153,'Raw Data'!$G:$G,'Raw Data'!$AB:$AB),"")</f>
        <v/>
      </c>
      <c r="H153" s="90"/>
      <c r="I153" s="90" t="str">
        <f>IFERROR(_xlfn.XLOOKUP($A153,'Raw Data'!$G:$G,'Raw Data'!$AC:$AC),"")</f>
        <v/>
      </c>
      <c r="J153" s="90"/>
      <c r="K153" s="90" t="str">
        <f>IFERROR(_xlfn.XLOOKUP($A153,'Raw Data'!$G:$G,'Raw Data'!AD:AD),"")</f>
        <v/>
      </c>
      <c r="L153" s="90" t="str">
        <f>IFERROR(_xlfn.XLOOKUP($A153,'Raw Data'!$G:$G,'Raw Data'!AE:AE),"")</f>
        <v/>
      </c>
      <c r="M153" s="90" t="str">
        <f>IFERROR(_xlfn.XLOOKUP($A153,'Raw Data'!$G:$G,'Raw Data'!AF:AF),"")</f>
        <v/>
      </c>
      <c r="N153" s="90" t="str">
        <f>IFERROR(_xlfn.XLOOKUP($A153,'Raw Data'!$G:$G,'Raw Data'!AG:AG),"")</f>
        <v/>
      </c>
      <c r="O153" s="85" t="str">
        <f>IFERROR(1-SUMIF('Plant BD'!$B:$B,$A153,'Plant BD'!$AM:$AM)/($AA153+SUMIF('Plant BD'!$B:$B,$A153,'Plant BD'!$AM:$AM)),"")</f>
        <v/>
      </c>
      <c r="P153" s="85"/>
      <c r="Q153" s="89"/>
      <c r="R153" s="85" t="str">
        <f>IFERROR(1-SUMIF('Grid BD'!$B:$B,$A153,'Grid BD'!$AE:$AE)/($AA153+SUMIF('Grid BD'!$B:$B,$A153,'Grid BD'!$AE:$AE)),"")</f>
        <v/>
      </c>
      <c r="T153" s="89"/>
      <c r="U153" s="88" t="str">
        <f t="shared" si="9"/>
        <v/>
      </c>
      <c r="V153" s="88"/>
      <c r="W153" s="84" t="str">
        <f t="shared" si="8"/>
        <v/>
      </c>
      <c r="X153" s="86" t="str">
        <f>IFERROR(_xlfn.XLOOKUP($A153,'Raw Data'!$G:$G,'Raw Data'!AI:AI),"")</f>
        <v/>
      </c>
      <c r="Y153" s="86" t="str">
        <f>IFERROR(_xlfn.XLOOKUP($A153,'Raw Data'!$G:$G,'Raw Data'!AJ:AJ),"")</f>
        <v/>
      </c>
      <c r="Z153" s="86" t="str">
        <f>IFERROR(_xlfn.XLOOKUP($A153,'Raw Data'!$G:$G,'Raw Data'!AK:AK),"")</f>
        <v/>
      </c>
      <c r="AA153" s="86" t="str">
        <f>IFERROR(_xlfn.XLOOKUP($A153,'Raw Data'!$G:$G,'Raw Data'!$AL:$AL)*(1+(_xlfn.XLOOKUP(Table13[[#This Row],[Month Year]],JMR!$A:$A,JMR!$J:$J))),"")</f>
        <v/>
      </c>
      <c r="AB153" s="86" t="str">
        <f>IFERROR(_xlfn.XLOOKUP($A153,'Raw Data'!$G:$G,'Raw Data'!$H:$H),"")</f>
        <v/>
      </c>
      <c r="AC153" s="87">
        <f>IFERROR(_xlfn.XLOOKUP($D153,'Modelling New'!$D:$D,'Modelling New'!$P:$P),"")</f>
        <v>4.1354838709677413</v>
      </c>
      <c r="AD153" s="86">
        <f>IFERROR(_xlfn.XLOOKUP($D153,'Modelling New'!$D:$D,'Modelling New'!$T:$T)*1000,"")</f>
        <v>21483.872714890964</v>
      </c>
      <c r="AE153" s="94">
        <f>IFERROR(_xlfn.XLOOKUP($D153,'Modelling New'!$D:$D,'Modelling New'!$O:$O),"")</f>
        <v>0.73177375236499143</v>
      </c>
      <c r="AF153" s="94">
        <f>IFERROR(_xlfn.XLOOKUP($D153,'Modelling New'!$D:$D,'Modelling New'!$W:$W),"")</f>
        <v>0.12609327292095684</v>
      </c>
      <c r="AG153" s="94">
        <f>IFERROR(_xlfn.XLOOKUP($D153,'Modelling New'!$D:$D,'Modelling New'!$AE:$AE),"")</f>
        <v>0.98040000000000005</v>
      </c>
      <c r="AH153" s="94">
        <f>IFERROR(_xlfn.XLOOKUP($D153,'Modelling New'!$D:$D,'Modelling New'!$AF:$AF),"")</f>
        <v>0.98</v>
      </c>
      <c r="AN153" s="85"/>
      <c r="AO153" s="84"/>
      <c r="AP153" s="84"/>
      <c r="AQ153" s="84"/>
      <c r="AR153" s="86">
        <f>'Basic Data'!$J$2</f>
        <v>7.0991999999999997</v>
      </c>
      <c r="AT153" s="7" t="str">
        <f>IFERROR(_xlfn.XLOOKUP(Table13[[#This Row],[Date]],'Raw Data'!$E:$E,'Raw Data'!$AN:$AN),"")</f>
        <v/>
      </c>
      <c r="AU153" s="7">
        <f>IFERROR(_xlfn.XLOOKUP(Table13[[#This Row],[Month Year]],'Modelling New'!$D:$D,'Modelling New'!$AO:$AO),"")</f>
        <v>7</v>
      </c>
      <c r="AV153" s="7">
        <f>IFERROR(SUMIF('Curtailment Records'!$C:$C,Table13[[#This Row],[Date]],'Curtailment Records'!$R:$R)/1000,"")</f>
        <v>0</v>
      </c>
    </row>
    <row r="154" spans="1:48" x14ac:dyDescent="0.25">
      <c r="A154" s="93">
        <f t="shared" si="10"/>
        <v>45897</v>
      </c>
      <c r="B154" s="86">
        <f>YEAR(Table13[[#This Row],[Date]])+IF(MONTH(Table13[[#This Row],[Date]])&gt;=4,1,0)</f>
        <v>2026</v>
      </c>
      <c r="C154" s="7">
        <f>YEAR(Table13[[#This Row],[Date]])</f>
        <v>2025</v>
      </c>
      <c r="D154" s="92">
        <f>Table13[[#This Row],[Date]]-DAY(Table13[[#This Row],[Date]])+1</f>
        <v>45870</v>
      </c>
      <c r="E154" s="7">
        <f t="shared" si="11"/>
        <v>31</v>
      </c>
      <c r="F154" s="91" t="str">
        <f>IFERROR(_xlfn.XLOOKUP($A154,'Raw Data'!$G:$G,'Raw Data'!$AM:$AM),"")</f>
        <v/>
      </c>
      <c r="G154" s="90" t="str">
        <f>IFERROR(_xlfn.XLOOKUP($A154,'Raw Data'!$G:$G,'Raw Data'!$AB:$AB),"")</f>
        <v/>
      </c>
      <c r="H154" s="90"/>
      <c r="I154" s="90" t="str">
        <f>IFERROR(_xlfn.XLOOKUP($A154,'Raw Data'!$G:$G,'Raw Data'!$AC:$AC),"")</f>
        <v/>
      </c>
      <c r="J154" s="90"/>
      <c r="K154" s="90" t="str">
        <f>IFERROR(_xlfn.XLOOKUP($A154,'Raw Data'!$G:$G,'Raw Data'!AD:AD),"")</f>
        <v/>
      </c>
      <c r="L154" s="90" t="str">
        <f>IFERROR(_xlfn.XLOOKUP($A154,'Raw Data'!$G:$G,'Raw Data'!AE:AE),"")</f>
        <v/>
      </c>
      <c r="M154" s="90" t="str">
        <f>IFERROR(_xlfn.XLOOKUP($A154,'Raw Data'!$G:$G,'Raw Data'!AF:AF),"")</f>
        <v/>
      </c>
      <c r="N154" s="90" t="str">
        <f>IFERROR(_xlfn.XLOOKUP($A154,'Raw Data'!$G:$G,'Raw Data'!AG:AG),"")</f>
        <v/>
      </c>
      <c r="O154" s="85" t="str">
        <f>IFERROR(1-SUMIF('Plant BD'!$B:$B,$A154,'Plant BD'!$AM:$AM)/($AA154+SUMIF('Plant BD'!$B:$B,$A154,'Plant BD'!$AM:$AM)),"")</f>
        <v/>
      </c>
      <c r="P154" s="85"/>
      <c r="Q154" s="89"/>
      <c r="R154" s="85" t="str">
        <f>IFERROR(1-SUMIF('Grid BD'!$B:$B,$A154,'Grid BD'!$AE:$AE)/($AA154+SUMIF('Grid BD'!$B:$B,$A154,'Grid BD'!$AE:$AE)),"")</f>
        <v/>
      </c>
      <c r="T154" s="89"/>
      <c r="U154" s="88" t="str">
        <f t="shared" si="9"/>
        <v/>
      </c>
      <c r="V154" s="88"/>
      <c r="W154" s="84" t="str">
        <f t="shared" si="8"/>
        <v/>
      </c>
      <c r="X154" s="86" t="str">
        <f>IFERROR(_xlfn.XLOOKUP($A154,'Raw Data'!$G:$G,'Raw Data'!AI:AI),"")</f>
        <v/>
      </c>
      <c r="Y154" s="86" t="str">
        <f>IFERROR(_xlfn.XLOOKUP($A154,'Raw Data'!$G:$G,'Raw Data'!AJ:AJ),"")</f>
        <v/>
      </c>
      <c r="Z154" s="86" t="str">
        <f>IFERROR(_xlfn.XLOOKUP($A154,'Raw Data'!$G:$G,'Raw Data'!AK:AK),"")</f>
        <v/>
      </c>
      <c r="AA154" s="86" t="str">
        <f>IFERROR(_xlfn.XLOOKUP($A154,'Raw Data'!$G:$G,'Raw Data'!$AL:$AL)*(1+(_xlfn.XLOOKUP(Table13[[#This Row],[Month Year]],JMR!$A:$A,JMR!$J:$J))),"")</f>
        <v/>
      </c>
      <c r="AB154" s="86" t="str">
        <f>IFERROR(_xlfn.XLOOKUP($A154,'Raw Data'!$G:$G,'Raw Data'!$H:$H),"")</f>
        <v/>
      </c>
      <c r="AC154" s="87">
        <f>IFERROR(_xlfn.XLOOKUP($D154,'Modelling New'!$D:$D,'Modelling New'!$P:$P),"")</f>
        <v>4.1354838709677413</v>
      </c>
      <c r="AD154" s="86">
        <f>IFERROR(_xlfn.XLOOKUP($D154,'Modelling New'!$D:$D,'Modelling New'!$T:$T)*1000,"")</f>
        <v>21483.872714890964</v>
      </c>
      <c r="AE154" s="94">
        <f>IFERROR(_xlfn.XLOOKUP($D154,'Modelling New'!$D:$D,'Modelling New'!$O:$O),"")</f>
        <v>0.73177375236499143</v>
      </c>
      <c r="AF154" s="94">
        <f>IFERROR(_xlfn.XLOOKUP($D154,'Modelling New'!$D:$D,'Modelling New'!$W:$W),"")</f>
        <v>0.12609327292095684</v>
      </c>
      <c r="AG154" s="94">
        <f>IFERROR(_xlfn.XLOOKUP($D154,'Modelling New'!$D:$D,'Modelling New'!$AE:$AE),"")</f>
        <v>0.98040000000000005</v>
      </c>
      <c r="AH154" s="94">
        <f>IFERROR(_xlfn.XLOOKUP($D154,'Modelling New'!$D:$D,'Modelling New'!$AF:$AF),"")</f>
        <v>0.98</v>
      </c>
      <c r="AN154" s="85"/>
      <c r="AO154" s="84"/>
      <c r="AP154" s="84"/>
      <c r="AQ154" s="84"/>
      <c r="AR154" s="86">
        <f>'Basic Data'!$J$2</f>
        <v>7.0991999999999997</v>
      </c>
      <c r="AT154" s="7" t="str">
        <f>IFERROR(_xlfn.XLOOKUP(Table13[[#This Row],[Date]],'Raw Data'!$E:$E,'Raw Data'!$AN:$AN),"")</f>
        <v/>
      </c>
      <c r="AU154" s="7">
        <f>IFERROR(_xlfn.XLOOKUP(Table13[[#This Row],[Month Year]],'Modelling New'!$D:$D,'Modelling New'!$AO:$AO),"")</f>
        <v>7</v>
      </c>
      <c r="AV154" s="7">
        <f>IFERROR(SUMIF('Curtailment Records'!$C:$C,Table13[[#This Row],[Date]],'Curtailment Records'!$R:$R)/1000,"")</f>
        <v>0</v>
      </c>
    </row>
    <row r="155" spans="1:48" x14ac:dyDescent="0.25">
      <c r="A155" s="93">
        <f t="shared" si="10"/>
        <v>45898</v>
      </c>
      <c r="B155" s="86">
        <f>YEAR(Table13[[#This Row],[Date]])+IF(MONTH(Table13[[#This Row],[Date]])&gt;=4,1,0)</f>
        <v>2026</v>
      </c>
      <c r="C155" s="7">
        <f>YEAR(Table13[[#This Row],[Date]])</f>
        <v>2025</v>
      </c>
      <c r="D155" s="92">
        <f>Table13[[#This Row],[Date]]-DAY(Table13[[#This Row],[Date]])+1</f>
        <v>45870</v>
      </c>
      <c r="E155" s="7">
        <f t="shared" si="11"/>
        <v>31</v>
      </c>
      <c r="F155" s="91" t="str">
        <f>IFERROR(_xlfn.XLOOKUP($A155,'Raw Data'!$G:$G,'Raw Data'!$AM:$AM),"")</f>
        <v/>
      </c>
      <c r="G155" s="90" t="str">
        <f>IFERROR(_xlfn.XLOOKUP($A155,'Raw Data'!$G:$G,'Raw Data'!$AB:$AB),"")</f>
        <v/>
      </c>
      <c r="H155" s="90"/>
      <c r="I155" s="90" t="str">
        <f>IFERROR(_xlfn.XLOOKUP($A155,'Raw Data'!$G:$G,'Raw Data'!$AC:$AC),"")</f>
        <v/>
      </c>
      <c r="J155" s="90"/>
      <c r="K155" s="90" t="str">
        <f>IFERROR(_xlfn.XLOOKUP($A155,'Raw Data'!$G:$G,'Raw Data'!AD:AD),"")</f>
        <v/>
      </c>
      <c r="L155" s="90" t="str">
        <f>IFERROR(_xlfn.XLOOKUP($A155,'Raw Data'!$G:$G,'Raw Data'!AE:AE),"")</f>
        <v/>
      </c>
      <c r="M155" s="90" t="str">
        <f>IFERROR(_xlfn.XLOOKUP($A155,'Raw Data'!$G:$G,'Raw Data'!AF:AF),"")</f>
        <v/>
      </c>
      <c r="N155" s="90" t="str">
        <f>IFERROR(_xlfn.XLOOKUP($A155,'Raw Data'!$G:$G,'Raw Data'!AG:AG),"")</f>
        <v/>
      </c>
      <c r="O155" s="85" t="str">
        <f>IFERROR(1-SUMIF('Plant BD'!$B:$B,$A155,'Plant BD'!$AM:$AM)/($AA155+SUMIF('Plant BD'!$B:$B,$A155,'Plant BD'!$AM:$AM)),"")</f>
        <v/>
      </c>
      <c r="P155" s="85"/>
      <c r="Q155" s="89"/>
      <c r="R155" s="85" t="str">
        <f>IFERROR(1-SUMIF('Grid BD'!$B:$B,$A155,'Grid BD'!$AE:$AE)/($AA155+SUMIF('Grid BD'!$B:$B,$A155,'Grid BD'!$AE:$AE)),"")</f>
        <v/>
      </c>
      <c r="T155" s="89"/>
      <c r="U155" s="88" t="str">
        <f t="shared" si="9"/>
        <v/>
      </c>
      <c r="V155" s="88"/>
      <c r="W155" s="84" t="str">
        <f t="shared" si="8"/>
        <v/>
      </c>
      <c r="X155" s="86" t="str">
        <f>IFERROR(_xlfn.XLOOKUP($A155,'Raw Data'!$G:$G,'Raw Data'!AI:AI),"")</f>
        <v/>
      </c>
      <c r="Y155" s="86" t="str">
        <f>IFERROR(_xlfn.XLOOKUP($A155,'Raw Data'!$G:$G,'Raw Data'!AJ:AJ),"")</f>
        <v/>
      </c>
      <c r="Z155" s="86" t="str">
        <f>IFERROR(_xlfn.XLOOKUP($A155,'Raw Data'!$G:$G,'Raw Data'!AK:AK),"")</f>
        <v/>
      </c>
      <c r="AA155" s="86" t="str">
        <f>IFERROR(_xlfn.XLOOKUP($A155,'Raw Data'!$G:$G,'Raw Data'!$AL:$AL)*(1+(_xlfn.XLOOKUP(Table13[[#This Row],[Month Year]],JMR!$A:$A,JMR!$J:$J))),"")</f>
        <v/>
      </c>
      <c r="AB155" s="86" t="str">
        <f>IFERROR(_xlfn.XLOOKUP($A155,'Raw Data'!$G:$G,'Raw Data'!$H:$H),"")</f>
        <v/>
      </c>
      <c r="AC155" s="87">
        <f>IFERROR(_xlfn.XLOOKUP($D155,'Modelling New'!$D:$D,'Modelling New'!$P:$P),"")</f>
        <v>4.1354838709677413</v>
      </c>
      <c r="AD155" s="86">
        <f>IFERROR(_xlfn.XLOOKUP($D155,'Modelling New'!$D:$D,'Modelling New'!$T:$T)*1000,"")</f>
        <v>21483.872714890964</v>
      </c>
      <c r="AE155" s="94">
        <f>IFERROR(_xlfn.XLOOKUP($D155,'Modelling New'!$D:$D,'Modelling New'!$O:$O),"")</f>
        <v>0.73177375236499143</v>
      </c>
      <c r="AF155" s="94">
        <f>IFERROR(_xlfn.XLOOKUP($D155,'Modelling New'!$D:$D,'Modelling New'!$W:$W),"")</f>
        <v>0.12609327292095684</v>
      </c>
      <c r="AG155" s="94">
        <f>IFERROR(_xlfn.XLOOKUP($D155,'Modelling New'!$D:$D,'Modelling New'!$AE:$AE),"")</f>
        <v>0.98040000000000005</v>
      </c>
      <c r="AH155" s="94">
        <f>IFERROR(_xlfn.XLOOKUP($D155,'Modelling New'!$D:$D,'Modelling New'!$AF:$AF),"")</f>
        <v>0.98</v>
      </c>
      <c r="AN155" s="85"/>
      <c r="AO155" s="84"/>
      <c r="AP155" s="84"/>
      <c r="AQ155" s="84"/>
      <c r="AR155" s="86">
        <f>'Basic Data'!$J$2</f>
        <v>7.0991999999999997</v>
      </c>
      <c r="AT155" s="7" t="str">
        <f>IFERROR(_xlfn.XLOOKUP(Table13[[#This Row],[Date]],'Raw Data'!$E:$E,'Raw Data'!$AN:$AN),"")</f>
        <v/>
      </c>
      <c r="AU155" s="7">
        <f>IFERROR(_xlfn.XLOOKUP(Table13[[#This Row],[Month Year]],'Modelling New'!$D:$D,'Modelling New'!$AO:$AO),"")</f>
        <v>7</v>
      </c>
      <c r="AV155" s="7">
        <f>IFERROR(SUMIF('Curtailment Records'!$C:$C,Table13[[#This Row],[Date]],'Curtailment Records'!$R:$R)/1000,"")</f>
        <v>0</v>
      </c>
    </row>
    <row r="156" spans="1:48" x14ac:dyDescent="0.25">
      <c r="A156" s="93">
        <f t="shared" si="10"/>
        <v>45899</v>
      </c>
      <c r="B156" s="86">
        <f>YEAR(Table13[[#This Row],[Date]])+IF(MONTH(Table13[[#This Row],[Date]])&gt;=4,1,0)</f>
        <v>2026</v>
      </c>
      <c r="C156" s="7">
        <f>YEAR(Table13[[#This Row],[Date]])</f>
        <v>2025</v>
      </c>
      <c r="D156" s="92">
        <f>Table13[[#This Row],[Date]]-DAY(Table13[[#This Row],[Date]])+1</f>
        <v>45870</v>
      </c>
      <c r="E156" s="7">
        <f t="shared" si="11"/>
        <v>31</v>
      </c>
      <c r="F156" s="91" t="str">
        <f>IFERROR(_xlfn.XLOOKUP($A156,'Raw Data'!$G:$G,'Raw Data'!$AM:$AM),"")</f>
        <v/>
      </c>
      <c r="G156" s="90" t="str">
        <f>IFERROR(_xlfn.XLOOKUP($A156,'Raw Data'!$G:$G,'Raw Data'!$AB:$AB),"")</f>
        <v/>
      </c>
      <c r="H156" s="90"/>
      <c r="I156" s="90" t="str">
        <f>IFERROR(_xlfn.XLOOKUP($A156,'Raw Data'!$G:$G,'Raw Data'!$AC:$AC),"")</f>
        <v/>
      </c>
      <c r="J156" s="90"/>
      <c r="K156" s="90" t="str">
        <f>IFERROR(_xlfn.XLOOKUP($A156,'Raw Data'!$G:$G,'Raw Data'!AD:AD),"")</f>
        <v/>
      </c>
      <c r="L156" s="90" t="str">
        <f>IFERROR(_xlfn.XLOOKUP($A156,'Raw Data'!$G:$G,'Raw Data'!AE:AE),"")</f>
        <v/>
      </c>
      <c r="M156" s="90" t="str">
        <f>IFERROR(_xlfn.XLOOKUP($A156,'Raw Data'!$G:$G,'Raw Data'!AF:AF),"")</f>
        <v/>
      </c>
      <c r="N156" s="90" t="str">
        <f>IFERROR(_xlfn.XLOOKUP($A156,'Raw Data'!$G:$G,'Raw Data'!AG:AG),"")</f>
        <v/>
      </c>
      <c r="O156" s="85" t="str">
        <f>IFERROR(1-SUMIF('Plant BD'!$B:$B,$A156,'Plant BD'!$AM:$AM)/($AA156+SUMIF('Plant BD'!$B:$B,$A156,'Plant BD'!$AM:$AM)),"")</f>
        <v/>
      </c>
      <c r="P156" s="85"/>
      <c r="Q156" s="89"/>
      <c r="R156" s="85" t="str">
        <f>IFERROR(1-SUMIF('Grid BD'!$B:$B,$A156,'Grid BD'!$AE:$AE)/($AA156+SUMIF('Grid BD'!$B:$B,$A156,'Grid BD'!$AE:$AE)),"")</f>
        <v/>
      </c>
      <c r="T156" s="89"/>
      <c r="U156" s="88" t="str">
        <f t="shared" si="9"/>
        <v/>
      </c>
      <c r="V156" s="88"/>
      <c r="W156" s="84" t="str">
        <f t="shared" si="8"/>
        <v/>
      </c>
      <c r="X156" s="86" t="str">
        <f>IFERROR(_xlfn.XLOOKUP($A156,'Raw Data'!$G:$G,'Raw Data'!AI:AI),"")</f>
        <v/>
      </c>
      <c r="Y156" s="86" t="str">
        <f>IFERROR(_xlfn.XLOOKUP($A156,'Raw Data'!$G:$G,'Raw Data'!AJ:AJ),"")</f>
        <v/>
      </c>
      <c r="Z156" s="86" t="str">
        <f>IFERROR(_xlfn.XLOOKUP($A156,'Raw Data'!$G:$G,'Raw Data'!AK:AK),"")</f>
        <v/>
      </c>
      <c r="AA156" s="86" t="str">
        <f>IFERROR(_xlfn.XLOOKUP($A156,'Raw Data'!$G:$G,'Raw Data'!$AL:$AL)*(1+(_xlfn.XLOOKUP(Table13[[#This Row],[Month Year]],JMR!$A:$A,JMR!$J:$J))),"")</f>
        <v/>
      </c>
      <c r="AB156" s="86" t="str">
        <f>IFERROR(_xlfn.XLOOKUP($A156,'Raw Data'!$G:$G,'Raw Data'!$H:$H),"")</f>
        <v/>
      </c>
      <c r="AC156" s="87">
        <f>IFERROR(_xlfn.XLOOKUP($D156,'Modelling New'!$D:$D,'Modelling New'!$P:$P),"")</f>
        <v>4.1354838709677413</v>
      </c>
      <c r="AD156" s="86">
        <f>IFERROR(_xlfn.XLOOKUP($D156,'Modelling New'!$D:$D,'Modelling New'!$T:$T)*1000,"")</f>
        <v>21483.872714890964</v>
      </c>
      <c r="AE156" s="94">
        <f>IFERROR(_xlfn.XLOOKUP($D156,'Modelling New'!$D:$D,'Modelling New'!$O:$O),"")</f>
        <v>0.73177375236499143</v>
      </c>
      <c r="AF156" s="94">
        <f>IFERROR(_xlfn.XLOOKUP($D156,'Modelling New'!$D:$D,'Modelling New'!$W:$W),"")</f>
        <v>0.12609327292095684</v>
      </c>
      <c r="AG156" s="94">
        <f>IFERROR(_xlfn.XLOOKUP($D156,'Modelling New'!$D:$D,'Modelling New'!$AE:$AE),"")</f>
        <v>0.98040000000000005</v>
      </c>
      <c r="AH156" s="94">
        <f>IFERROR(_xlfn.XLOOKUP($D156,'Modelling New'!$D:$D,'Modelling New'!$AF:$AF),"")</f>
        <v>0.98</v>
      </c>
      <c r="AN156" s="85"/>
      <c r="AO156" s="84"/>
      <c r="AP156" s="84"/>
      <c r="AQ156" s="84"/>
      <c r="AR156" s="86">
        <f>'Basic Data'!$J$2</f>
        <v>7.0991999999999997</v>
      </c>
      <c r="AT156" s="7" t="str">
        <f>IFERROR(_xlfn.XLOOKUP(Table13[[#This Row],[Date]],'Raw Data'!$E:$E,'Raw Data'!$AN:$AN),"")</f>
        <v/>
      </c>
      <c r="AU156" s="7">
        <f>IFERROR(_xlfn.XLOOKUP(Table13[[#This Row],[Month Year]],'Modelling New'!$D:$D,'Modelling New'!$AO:$AO),"")</f>
        <v>7</v>
      </c>
      <c r="AV156" s="7">
        <f>IFERROR(SUMIF('Curtailment Records'!$C:$C,Table13[[#This Row],[Date]],'Curtailment Records'!$R:$R)/1000,"")</f>
        <v>0</v>
      </c>
    </row>
    <row r="157" spans="1:48" x14ac:dyDescent="0.25">
      <c r="A157" s="93">
        <f t="shared" si="10"/>
        <v>45900</v>
      </c>
      <c r="B157" s="86">
        <f>YEAR(Table13[[#This Row],[Date]])+IF(MONTH(Table13[[#This Row],[Date]])&gt;=4,1,0)</f>
        <v>2026</v>
      </c>
      <c r="C157" s="7">
        <f>YEAR(Table13[[#This Row],[Date]])</f>
        <v>2025</v>
      </c>
      <c r="D157" s="92">
        <f>Table13[[#This Row],[Date]]-DAY(Table13[[#This Row],[Date]])+1</f>
        <v>45870</v>
      </c>
      <c r="E157" s="7">
        <f t="shared" si="11"/>
        <v>31</v>
      </c>
      <c r="F157" s="91" t="str">
        <f>IFERROR(_xlfn.XLOOKUP($A157,'Raw Data'!$G:$G,'Raw Data'!$AM:$AM),"")</f>
        <v/>
      </c>
      <c r="G157" s="90" t="str">
        <f>IFERROR(_xlfn.XLOOKUP($A157,'Raw Data'!$G:$G,'Raw Data'!$AB:$AB),"")</f>
        <v/>
      </c>
      <c r="H157" s="90"/>
      <c r="I157" s="90" t="str">
        <f>IFERROR(_xlfn.XLOOKUP($A157,'Raw Data'!$G:$G,'Raw Data'!$AC:$AC),"")</f>
        <v/>
      </c>
      <c r="J157" s="90"/>
      <c r="K157" s="90" t="str">
        <f>IFERROR(_xlfn.XLOOKUP($A157,'Raw Data'!$G:$G,'Raw Data'!AD:AD),"")</f>
        <v/>
      </c>
      <c r="L157" s="90" t="str">
        <f>IFERROR(_xlfn.XLOOKUP($A157,'Raw Data'!$G:$G,'Raw Data'!AE:AE),"")</f>
        <v/>
      </c>
      <c r="M157" s="90" t="str">
        <f>IFERROR(_xlfn.XLOOKUP($A157,'Raw Data'!$G:$G,'Raw Data'!AF:AF),"")</f>
        <v/>
      </c>
      <c r="N157" s="90" t="str">
        <f>IFERROR(_xlfn.XLOOKUP($A157,'Raw Data'!$G:$G,'Raw Data'!AG:AG),"")</f>
        <v/>
      </c>
      <c r="O157" s="85" t="str">
        <f>IFERROR(1-SUMIF('Plant BD'!$B:$B,$A157,'Plant BD'!$AM:$AM)/($AA157+SUMIF('Plant BD'!$B:$B,$A157,'Plant BD'!$AM:$AM)),"")</f>
        <v/>
      </c>
      <c r="P157" s="85"/>
      <c r="Q157" s="89"/>
      <c r="R157" s="85" t="str">
        <f>IFERROR(1-SUMIF('Grid BD'!$B:$B,$A157,'Grid BD'!$AE:$AE)/($AA157+SUMIF('Grid BD'!$B:$B,$A157,'Grid BD'!$AE:$AE)),"")</f>
        <v/>
      </c>
      <c r="T157" s="89"/>
      <c r="U157" s="88" t="str">
        <f t="shared" si="9"/>
        <v/>
      </c>
      <c r="V157" s="88"/>
      <c r="W157" s="84" t="str">
        <f t="shared" si="8"/>
        <v/>
      </c>
      <c r="X157" s="86" t="str">
        <f>IFERROR(_xlfn.XLOOKUP($A157,'Raw Data'!$G:$G,'Raw Data'!AI:AI),"")</f>
        <v/>
      </c>
      <c r="Y157" s="86" t="str">
        <f>IFERROR(_xlfn.XLOOKUP($A157,'Raw Data'!$G:$G,'Raw Data'!AJ:AJ),"")</f>
        <v/>
      </c>
      <c r="Z157" s="86" t="str">
        <f>IFERROR(_xlfn.XLOOKUP($A157,'Raw Data'!$G:$G,'Raw Data'!AK:AK),"")</f>
        <v/>
      </c>
      <c r="AA157" s="86" t="str">
        <f>IFERROR(_xlfn.XLOOKUP($A157,'Raw Data'!$G:$G,'Raw Data'!$AL:$AL)*(1+(_xlfn.XLOOKUP(Table13[[#This Row],[Month Year]],JMR!$A:$A,JMR!$J:$J))),"")</f>
        <v/>
      </c>
      <c r="AB157" s="86" t="str">
        <f>IFERROR(_xlfn.XLOOKUP($A157,'Raw Data'!$G:$G,'Raw Data'!$H:$H),"")</f>
        <v/>
      </c>
      <c r="AC157" s="87">
        <f>IFERROR(_xlfn.XLOOKUP($D157,'Modelling New'!$D:$D,'Modelling New'!$P:$P),"")</f>
        <v>4.1354838709677413</v>
      </c>
      <c r="AD157" s="86">
        <f>IFERROR(_xlfn.XLOOKUP($D157,'Modelling New'!$D:$D,'Modelling New'!$T:$T)*1000,"")</f>
        <v>21483.872714890964</v>
      </c>
      <c r="AE157" s="94">
        <f>IFERROR(_xlfn.XLOOKUP($D157,'Modelling New'!$D:$D,'Modelling New'!$O:$O),"")</f>
        <v>0.73177375236499143</v>
      </c>
      <c r="AF157" s="94">
        <f>IFERROR(_xlfn.XLOOKUP($D157,'Modelling New'!$D:$D,'Modelling New'!$W:$W),"")</f>
        <v>0.12609327292095684</v>
      </c>
      <c r="AG157" s="94">
        <f>IFERROR(_xlfn.XLOOKUP($D157,'Modelling New'!$D:$D,'Modelling New'!$AE:$AE),"")</f>
        <v>0.98040000000000005</v>
      </c>
      <c r="AH157" s="94">
        <f>IFERROR(_xlfn.XLOOKUP($D157,'Modelling New'!$D:$D,'Modelling New'!$AF:$AF),"")</f>
        <v>0.98</v>
      </c>
      <c r="AN157" s="85"/>
      <c r="AO157" s="84"/>
      <c r="AP157" s="84"/>
      <c r="AQ157" s="84"/>
      <c r="AR157" s="86">
        <f>'Basic Data'!$J$2</f>
        <v>7.0991999999999997</v>
      </c>
      <c r="AT157" s="7" t="str">
        <f>IFERROR(_xlfn.XLOOKUP(Table13[[#This Row],[Date]],'Raw Data'!$E:$E,'Raw Data'!$AN:$AN),"")</f>
        <v/>
      </c>
      <c r="AU157" s="7">
        <f>IFERROR(_xlfn.XLOOKUP(Table13[[#This Row],[Month Year]],'Modelling New'!$D:$D,'Modelling New'!$AO:$AO),"")</f>
        <v>7</v>
      </c>
      <c r="AV157" s="7">
        <f>IFERROR(SUMIF('Curtailment Records'!$C:$C,Table13[[#This Row],[Date]],'Curtailment Records'!$R:$R)/1000,"")</f>
        <v>0</v>
      </c>
    </row>
    <row r="158" spans="1:48" x14ac:dyDescent="0.25">
      <c r="A158" s="93">
        <f t="shared" si="10"/>
        <v>45901</v>
      </c>
      <c r="B158" s="86">
        <f>YEAR(Table13[[#This Row],[Date]])+IF(MONTH(Table13[[#This Row],[Date]])&gt;=4,1,0)</f>
        <v>2026</v>
      </c>
      <c r="C158" s="7">
        <f>YEAR(Table13[[#This Row],[Date]])</f>
        <v>2025</v>
      </c>
      <c r="D158" s="92">
        <f>Table13[[#This Row],[Date]]-DAY(Table13[[#This Row],[Date]])+1</f>
        <v>45901</v>
      </c>
      <c r="E158" s="7">
        <f t="shared" si="11"/>
        <v>30</v>
      </c>
      <c r="F158" s="91" t="str">
        <f>IFERROR(_xlfn.XLOOKUP($A158,'Raw Data'!$G:$G,'Raw Data'!$AM:$AM),"")</f>
        <v/>
      </c>
      <c r="G158" s="90" t="str">
        <f>IFERROR(_xlfn.XLOOKUP($A158,'Raw Data'!$G:$G,'Raw Data'!$AB:$AB),"")</f>
        <v/>
      </c>
      <c r="H158" s="90"/>
      <c r="I158" s="90" t="str">
        <f>IFERROR(_xlfn.XLOOKUP($A158,'Raw Data'!$G:$G,'Raw Data'!$AC:$AC),"")</f>
        <v/>
      </c>
      <c r="J158" s="90"/>
      <c r="K158" s="90" t="str">
        <f>IFERROR(_xlfn.XLOOKUP($A158,'Raw Data'!$G:$G,'Raw Data'!AD:AD),"")</f>
        <v/>
      </c>
      <c r="L158" s="90" t="str">
        <f>IFERROR(_xlfn.XLOOKUP($A158,'Raw Data'!$G:$G,'Raw Data'!AE:AE),"")</f>
        <v/>
      </c>
      <c r="M158" s="90" t="str">
        <f>IFERROR(_xlfn.XLOOKUP($A158,'Raw Data'!$G:$G,'Raw Data'!AF:AF),"")</f>
        <v/>
      </c>
      <c r="N158" s="90" t="str">
        <f>IFERROR(_xlfn.XLOOKUP($A158,'Raw Data'!$G:$G,'Raw Data'!AG:AG),"")</f>
        <v/>
      </c>
      <c r="O158" s="85" t="str">
        <f>IFERROR(1-SUMIF('Plant BD'!$B:$B,$A158,'Plant BD'!$AM:$AM)/($AA158+SUMIF('Plant BD'!$B:$B,$A158,'Plant BD'!$AM:$AM)),"")</f>
        <v/>
      </c>
      <c r="P158" s="85"/>
      <c r="Q158" s="89"/>
      <c r="R158" s="85" t="str">
        <f>IFERROR(1-SUMIF('Grid BD'!$B:$B,$A158,'Grid BD'!$AE:$AE)/($AA158+SUMIF('Grid BD'!$B:$B,$A158,'Grid BD'!$AE:$AE)),"")</f>
        <v/>
      </c>
      <c r="T158" s="89"/>
      <c r="U158" s="88" t="str">
        <f t="shared" si="9"/>
        <v/>
      </c>
      <c r="V158" s="88"/>
      <c r="W158" s="84" t="str">
        <f t="shared" si="8"/>
        <v/>
      </c>
      <c r="X158" s="86" t="str">
        <f>IFERROR(_xlfn.XLOOKUP($A158,'Raw Data'!$G:$G,'Raw Data'!AI:AI),"")</f>
        <v/>
      </c>
      <c r="Y158" s="86" t="str">
        <f>IFERROR(_xlfn.XLOOKUP($A158,'Raw Data'!$G:$G,'Raw Data'!AJ:AJ),"")</f>
        <v/>
      </c>
      <c r="Z158" s="86" t="str">
        <f>IFERROR(_xlfn.XLOOKUP($A158,'Raw Data'!$G:$G,'Raw Data'!AK:AK),"")</f>
        <v/>
      </c>
      <c r="AA158" s="86" t="str">
        <f>IFERROR(_xlfn.XLOOKUP($A158,'Raw Data'!$G:$G,'Raw Data'!$AL:$AL)*(1+(_xlfn.XLOOKUP(Table13[[#This Row],[Month Year]],JMR!$A:$A,JMR!$J:$J))),"")</f>
        <v/>
      </c>
      <c r="AB158" s="86" t="str">
        <f>IFERROR(_xlfn.XLOOKUP($A158,'Raw Data'!$G:$G,'Raw Data'!$H:$H),"")</f>
        <v/>
      </c>
      <c r="AC158" s="87">
        <f>IFERROR(_xlfn.XLOOKUP($D158,'Modelling New'!$D:$D,'Modelling New'!$P:$P),"")</f>
        <v>4.83</v>
      </c>
      <c r="AD158" s="86">
        <f>IFERROR(_xlfn.XLOOKUP($D158,'Modelling New'!$D:$D,'Modelling New'!$T:$T)*1000,"")</f>
        <v>23985.019069663569</v>
      </c>
      <c r="AE158" s="94">
        <f>IFERROR(_xlfn.XLOOKUP($D158,'Modelling New'!$D:$D,'Modelling New'!$O:$O),"")</f>
        <v>0.69949324677249292</v>
      </c>
      <c r="AF158" s="94">
        <f>IFERROR(_xlfn.XLOOKUP($D158,'Modelling New'!$D:$D,'Modelling New'!$W:$W),"")</f>
        <v>0.14077301591296421</v>
      </c>
      <c r="AG158" s="94">
        <f>IFERROR(_xlfn.XLOOKUP($D158,'Modelling New'!$D:$D,'Modelling New'!$AE:$AE),"")</f>
        <v>0.98040000000000005</v>
      </c>
      <c r="AH158" s="94">
        <f>IFERROR(_xlfn.XLOOKUP($D158,'Modelling New'!$D:$D,'Modelling New'!$AF:$AF),"")</f>
        <v>0.98</v>
      </c>
      <c r="AN158" s="85"/>
      <c r="AO158" s="84"/>
      <c r="AP158" s="84"/>
      <c r="AQ158" s="84"/>
      <c r="AR158" s="86">
        <f>'Basic Data'!$J$2</f>
        <v>7.0991999999999997</v>
      </c>
      <c r="AT158" s="7" t="str">
        <f>IFERROR(_xlfn.XLOOKUP(Table13[[#This Row],[Date]],'Raw Data'!$E:$E,'Raw Data'!$AN:$AN),"")</f>
        <v/>
      </c>
      <c r="AU158" s="7">
        <f>IFERROR(_xlfn.XLOOKUP(Table13[[#This Row],[Month Year]],'Modelling New'!$D:$D,'Modelling New'!$AO:$AO),"")</f>
        <v>7</v>
      </c>
      <c r="AV158" s="7">
        <f>IFERROR(SUMIF('Curtailment Records'!$C:$C,Table13[[#This Row],[Date]],'Curtailment Records'!$R:$R)/1000,"")</f>
        <v>0</v>
      </c>
    </row>
    <row r="159" spans="1:48" x14ac:dyDescent="0.25">
      <c r="A159" s="93">
        <f t="shared" si="10"/>
        <v>45902</v>
      </c>
      <c r="B159" s="86">
        <f>YEAR(Table13[[#This Row],[Date]])+IF(MONTH(Table13[[#This Row],[Date]])&gt;=4,1,0)</f>
        <v>2026</v>
      </c>
      <c r="C159" s="7">
        <f>YEAR(Table13[[#This Row],[Date]])</f>
        <v>2025</v>
      </c>
      <c r="D159" s="92">
        <f>Table13[[#This Row],[Date]]-DAY(Table13[[#This Row],[Date]])+1</f>
        <v>45901</v>
      </c>
      <c r="E159" s="7">
        <f t="shared" si="11"/>
        <v>30</v>
      </c>
      <c r="F159" s="91" t="str">
        <f>IFERROR(_xlfn.XLOOKUP($A159,'Raw Data'!$G:$G,'Raw Data'!$AM:$AM),"")</f>
        <v/>
      </c>
      <c r="G159" s="90" t="str">
        <f>IFERROR(_xlfn.XLOOKUP($A159,'Raw Data'!$G:$G,'Raw Data'!$AB:$AB),"")</f>
        <v/>
      </c>
      <c r="H159" s="90"/>
      <c r="I159" s="90" t="str">
        <f>IFERROR(_xlfn.XLOOKUP($A159,'Raw Data'!$G:$G,'Raw Data'!$AC:$AC),"")</f>
        <v/>
      </c>
      <c r="J159" s="90"/>
      <c r="K159" s="90" t="str">
        <f>IFERROR(_xlfn.XLOOKUP($A159,'Raw Data'!$G:$G,'Raw Data'!AD:AD),"")</f>
        <v/>
      </c>
      <c r="L159" s="90" t="str">
        <f>IFERROR(_xlfn.XLOOKUP($A159,'Raw Data'!$G:$G,'Raw Data'!AE:AE),"")</f>
        <v/>
      </c>
      <c r="M159" s="90" t="str">
        <f>IFERROR(_xlfn.XLOOKUP($A159,'Raw Data'!$G:$G,'Raw Data'!AF:AF),"")</f>
        <v/>
      </c>
      <c r="N159" s="90" t="str">
        <f>IFERROR(_xlfn.XLOOKUP($A159,'Raw Data'!$G:$G,'Raw Data'!AG:AG),"")</f>
        <v/>
      </c>
      <c r="O159" s="85" t="str">
        <f>IFERROR(1-SUMIF('Plant BD'!$B:$B,$A159,'Plant BD'!$AM:$AM)/($AA159+SUMIF('Plant BD'!$B:$B,$A159,'Plant BD'!$AM:$AM)),"")</f>
        <v/>
      </c>
      <c r="P159" s="85"/>
      <c r="Q159" s="89"/>
      <c r="R159" s="85" t="str">
        <f>IFERROR(1-SUMIF('Grid BD'!$B:$B,$A159,'Grid BD'!$AE:$AE)/($AA159+SUMIF('Grid BD'!$B:$B,$A159,'Grid BD'!$AE:$AE)),"")</f>
        <v/>
      </c>
      <c r="T159" s="89"/>
      <c r="U159" s="88" t="str">
        <f t="shared" si="9"/>
        <v/>
      </c>
      <c r="V159" s="88"/>
      <c r="W159" s="84" t="str">
        <f t="shared" si="8"/>
        <v/>
      </c>
      <c r="X159" s="86" t="str">
        <f>IFERROR(_xlfn.XLOOKUP($A159,'Raw Data'!$G:$G,'Raw Data'!AI:AI),"")</f>
        <v/>
      </c>
      <c r="Y159" s="86" t="str">
        <f>IFERROR(_xlfn.XLOOKUP($A159,'Raw Data'!$G:$G,'Raw Data'!AJ:AJ),"")</f>
        <v/>
      </c>
      <c r="Z159" s="86" t="str">
        <f>IFERROR(_xlfn.XLOOKUP($A159,'Raw Data'!$G:$G,'Raw Data'!AK:AK),"")</f>
        <v/>
      </c>
      <c r="AA159" s="86" t="str">
        <f>IFERROR(_xlfn.XLOOKUP($A159,'Raw Data'!$G:$G,'Raw Data'!$AL:$AL)*(1+(_xlfn.XLOOKUP(Table13[[#This Row],[Month Year]],JMR!$A:$A,JMR!$J:$J))),"")</f>
        <v/>
      </c>
      <c r="AB159" s="86" t="str">
        <f>IFERROR(_xlfn.XLOOKUP($A159,'Raw Data'!$G:$G,'Raw Data'!$H:$H),"")</f>
        <v/>
      </c>
      <c r="AC159" s="87">
        <f>IFERROR(_xlfn.XLOOKUP($D159,'Modelling New'!$D:$D,'Modelling New'!$P:$P),"")</f>
        <v>4.83</v>
      </c>
      <c r="AD159" s="86">
        <f>IFERROR(_xlfn.XLOOKUP($D159,'Modelling New'!$D:$D,'Modelling New'!$T:$T)*1000,"")</f>
        <v>23985.019069663569</v>
      </c>
      <c r="AE159" s="94">
        <f>IFERROR(_xlfn.XLOOKUP($D159,'Modelling New'!$D:$D,'Modelling New'!$O:$O),"")</f>
        <v>0.69949324677249292</v>
      </c>
      <c r="AF159" s="94">
        <f>IFERROR(_xlfn.XLOOKUP($D159,'Modelling New'!$D:$D,'Modelling New'!$W:$W),"")</f>
        <v>0.14077301591296421</v>
      </c>
      <c r="AG159" s="94">
        <f>IFERROR(_xlfn.XLOOKUP($D159,'Modelling New'!$D:$D,'Modelling New'!$AE:$AE),"")</f>
        <v>0.98040000000000005</v>
      </c>
      <c r="AH159" s="94">
        <f>IFERROR(_xlfn.XLOOKUP($D159,'Modelling New'!$D:$D,'Modelling New'!$AF:$AF),"")</f>
        <v>0.98</v>
      </c>
      <c r="AN159" s="85"/>
      <c r="AO159" s="84"/>
      <c r="AP159" s="84"/>
      <c r="AQ159" s="84"/>
      <c r="AR159" s="86">
        <f>'Basic Data'!$J$2</f>
        <v>7.0991999999999997</v>
      </c>
      <c r="AT159" s="7" t="str">
        <f>IFERROR(_xlfn.XLOOKUP(Table13[[#This Row],[Date]],'Raw Data'!$E:$E,'Raw Data'!$AN:$AN),"")</f>
        <v/>
      </c>
      <c r="AU159" s="7">
        <f>IFERROR(_xlfn.XLOOKUP(Table13[[#This Row],[Month Year]],'Modelling New'!$D:$D,'Modelling New'!$AO:$AO),"")</f>
        <v>7</v>
      </c>
      <c r="AV159" s="7">
        <f>IFERROR(SUMIF('Curtailment Records'!$C:$C,Table13[[#This Row],[Date]],'Curtailment Records'!$R:$R)/1000,"")</f>
        <v>0</v>
      </c>
    </row>
    <row r="160" spans="1:48" x14ac:dyDescent="0.25">
      <c r="A160" s="93">
        <f t="shared" si="10"/>
        <v>45903</v>
      </c>
      <c r="B160" s="86">
        <f>YEAR(Table13[[#This Row],[Date]])+IF(MONTH(Table13[[#This Row],[Date]])&gt;=4,1,0)</f>
        <v>2026</v>
      </c>
      <c r="C160" s="7">
        <f>YEAR(Table13[[#This Row],[Date]])</f>
        <v>2025</v>
      </c>
      <c r="D160" s="92">
        <f>Table13[[#This Row],[Date]]-DAY(Table13[[#This Row],[Date]])+1</f>
        <v>45901</v>
      </c>
      <c r="E160" s="7">
        <f t="shared" si="11"/>
        <v>30</v>
      </c>
      <c r="F160" s="91" t="str">
        <f>IFERROR(_xlfn.XLOOKUP($A160,'Raw Data'!$G:$G,'Raw Data'!$AM:$AM),"")</f>
        <v/>
      </c>
      <c r="G160" s="90" t="str">
        <f>IFERROR(_xlfn.XLOOKUP($A160,'Raw Data'!$G:$G,'Raw Data'!$AB:$AB),"")</f>
        <v/>
      </c>
      <c r="H160" s="90"/>
      <c r="I160" s="90" t="str">
        <f>IFERROR(_xlfn.XLOOKUP($A160,'Raw Data'!$G:$G,'Raw Data'!$AC:$AC),"")</f>
        <v/>
      </c>
      <c r="J160" s="90"/>
      <c r="K160" s="90" t="str">
        <f>IFERROR(_xlfn.XLOOKUP($A160,'Raw Data'!$G:$G,'Raw Data'!AD:AD),"")</f>
        <v/>
      </c>
      <c r="L160" s="90" t="str">
        <f>IFERROR(_xlfn.XLOOKUP($A160,'Raw Data'!$G:$G,'Raw Data'!AE:AE),"")</f>
        <v/>
      </c>
      <c r="M160" s="90" t="str">
        <f>IFERROR(_xlfn.XLOOKUP($A160,'Raw Data'!$G:$G,'Raw Data'!AF:AF),"")</f>
        <v/>
      </c>
      <c r="N160" s="90" t="str">
        <f>IFERROR(_xlfn.XLOOKUP($A160,'Raw Data'!$G:$G,'Raw Data'!AG:AG),"")</f>
        <v/>
      </c>
      <c r="O160" s="85" t="str">
        <f>IFERROR(1-SUMIF('Plant BD'!$B:$B,$A160,'Plant BD'!$AM:$AM)/($AA160+SUMIF('Plant BD'!$B:$B,$A160,'Plant BD'!$AM:$AM)),"")</f>
        <v/>
      </c>
      <c r="P160" s="85"/>
      <c r="Q160" s="89"/>
      <c r="R160" s="85" t="str">
        <f>IFERROR(1-SUMIF('Grid BD'!$B:$B,$A160,'Grid BD'!$AE:$AE)/($AA160+SUMIF('Grid BD'!$B:$B,$A160,'Grid BD'!$AE:$AE)),"")</f>
        <v/>
      </c>
      <c r="T160" s="89"/>
      <c r="U160" s="88" t="str">
        <f t="shared" si="9"/>
        <v/>
      </c>
      <c r="V160" s="88"/>
      <c r="W160" s="84" t="str">
        <f t="shared" si="8"/>
        <v/>
      </c>
      <c r="X160" s="86" t="str">
        <f>IFERROR(_xlfn.XLOOKUP($A160,'Raw Data'!$G:$G,'Raw Data'!AI:AI),"")</f>
        <v/>
      </c>
      <c r="Y160" s="86" t="str">
        <f>IFERROR(_xlfn.XLOOKUP($A160,'Raw Data'!$G:$G,'Raw Data'!AJ:AJ),"")</f>
        <v/>
      </c>
      <c r="Z160" s="86" t="str">
        <f>IFERROR(_xlfn.XLOOKUP($A160,'Raw Data'!$G:$G,'Raw Data'!AK:AK),"")</f>
        <v/>
      </c>
      <c r="AA160" s="86" t="str">
        <f>IFERROR(_xlfn.XLOOKUP($A160,'Raw Data'!$G:$G,'Raw Data'!$AL:$AL)*(1+(_xlfn.XLOOKUP(Table13[[#This Row],[Month Year]],JMR!$A:$A,JMR!$J:$J))),"")</f>
        <v/>
      </c>
      <c r="AB160" s="86" t="str">
        <f>IFERROR(_xlfn.XLOOKUP($A160,'Raw Data'!$G:$G,'Raw Data'!$H:$H),"")</f>
        <v/>
      </c>
      <c r="AC160" s="87">
        <f>IFERROR(_xlfn.XLOOKUP($D160,'Modelling New'!$D:$D,'Modelling New'!$P:$P),"")</f>
        <v>4.83</v>
      </c>
      <c r="AD160" s="86">
        <f>IFERROR(_xlfn.XLOOKUP($D160,'Modelling New'!$D:$D,'Modelling New'!$T:$T)*1000,"")</f>
        <v>23985.019069663569</v>
      </c>
      <c r="AE160" s="94">
        <f>IFERROR(_xlfn.XLOOKUP($D160,'Modelling New'!$D:$D,'Modelling New'!$O:$O),"")</f>
        <v>0.69949324677249292</v>
      </c>
      <c r="AF160" s="94">
        <f>IFERROR(_xlfn.XLOOKUP($D160,'Modelling New'!$D:$D,'Modelling New'!$W:$W),"")</f>
        <v>0.14077301591296421</v>
      </c>
      <c r="AG160" s="94">
        <f>IFERROR(_xlfn.XLOOKUP($D160,'Modelling New'!$D:$D,'Modelling New'!$AE:$AE),"")</f>
        <v>0.98040000000000005</v>
      </c>
      <c r="AH160" s="94">
        <f>IFERROR(_xlfn.XLOOKUP($D160,'Modelling New'!$D:$D,'Modelling New'!$AF:$AF),"")</f>
        <v>0.98</v>
      </c>
      <c r="AN160" s="85"/>
      <c r="AO160" s="84"/>
      <c r="AP160" s="84"/>
      <c r="AQ160" s="84"/>
      <c r="AR160" s="86">
        <f>'Basic Data'!$J$2</f>
        <v>7.0991999999999997</v>
      </c>
      <c r="AT160" s="7" t="str">
        <f>IFERROR(_xlfn.XLOOKUP(Table13[[#This Row],[Date]],'Raw Data'!$E:$E,'Raw Data'!$AN:$AN),"")</f>
        <v/>
      </c>
      <c r="AU160" s="7">
        <f>IFERROR(_xlfn.XLOOKUP(Table13[[#This Row],[Month Year]],'Modelling New'!$D:$D,'Modelling New'!$AO:$AO),"")</f>
        <v>7</v>
      </c>
      <c r="AV160" s="7">
        <f>IFERROR(SUMIF('Curtailment Records'!$C:$C,Table13[[#This Row],[Date]],'Curtailment Records'!$R:$R)/1000,"")</f>
        <v>0</v>
      </c>
    </row>
    <row r="161" spans="1:48" x14ac:dyDescent="0.25">
      <c r="A161" s="93">
        <f t="shared" si="10"/>
        <v>45904</v>
      </c>
      <c r="B161" s="86">
        <f>YEAR(Table13[[#This Row],[Date]])+IF(MONTH(Table13[[#This Row],[Date]])&gt;=4,1,0)</f>
        <v>2026</v>
      </c>
      <c r="C161" s="7">
        <f>YEAR(Table13[[#This Row],[Date]])</f>
        <v>2025</v>
      </c>
      <c r="D161" s="92">
        <f>Table13[[#This Row],[Date]]-DAY(Table13[[#This Row],[Date]])+1</f>
        <v>45901</v>
      </c>
      <c r="E161" s="7">
        <f t="shared" si="11"/>
        <v>30</v>
      </c>
      <c r="F161" s="91" t="str">
        <f>IFERROR(_xlfn.XLOOKUP($A161,'Raw Data'!$G:$G,'Raw Data'!$AM:$AM),"")</f>
        <v/>
      </c>
      <c r="G161" s="90" t="str">
        <f>IFERROR(_xlfn.XLOOKUP($A161,'Raw Data'!$G:$G,'Raw Data'!$AB:$AB),"")</f>
        <v/>
      </c>
      <c r="H161" s="90"/>
      <c r="I161" s="90" t="str">
        <f>IFERROR(_xlfn.XLOOKUP($A161,'Raw Data'!$G:$G,'Raw Data'!$AC:$AC),"")</f>
        <v/>
      </c>
      <c r="J161" s="90"/>
      <c r="K161" s="90" t="str">
        <f>IFERROR(_xlfn.XLOOKUP($A161,'Raw Data'!$G:$G,'Raw Data'!AD:AD),"")</f>
        <v/>
      </c>
      <c r="L161" s="90" t="str">
        <f>IFERROR(_xlfn.XLOOKUP($A161,'Raw Data'!$G:$G,'Raw Data'!AE:AE),"")</f>
        <v/>
      </c>
      <c r="M161" s="90" t="str">
        <f>IFERROR(_xlfn.XLOOKUP($A161,'Raw Data'!$G:$G,'Raw Data'!AF:AF),"")</f>
        <v/>
      </c>
      <c r="N161" s="90" t="str">
        <f>IFERROR(_xlfn.XLOOKUP($A161,'Raw Data'!$G:$G,'Raw Data'!AG:AG),"")</f>
        <v/>
      </c>
      <c r="O161" s="85" t="str">
        <f>IFERROR(1-SUMIF('Plant BD'!$B:$B,$A161,'Plant BD'!$AM:$AM)/($AA161+SUMIF('Plant BD'!$B:$B,$A161,'Plant BD'!$AM:$AM)),"")</f>
        <v/>
      </c>
      <c r="P161" s="85"/>
      <c r="Q161" s="89"/>
      <c r="R161" s="85" t="str">
        <f>IFERROR(1-SUMIF('Grid BD'!$B:$B,$A161,'Grid BD'!$AE:$AE)/($AA161+SUMIF('Grid BD'!$B:$B,$A161,'Grid BD'!$AE:$AE)),"")</f>
        <v/>
      </c>
      <c r="T161" s="89"/>
      <c r="U161" s="88" t="str">
        <f t="shared" si="9"/>
        <v/>
      </c>
      <c r="V161" s="88"/>
      <c r="W161" s="84" t="str">
        <f t="shared" si="8"/>
        <v/>
      </c>
      <c r="X161" s="86" t="str">
        <f>IFERROR(_xlfn.XLOOKUP($A161,'Raw Data'!$G:$G,'Raw Data'!AI:AI),"")</f>
        <v/>
      </c>
      <c r="Y161" s="86" t="str">
        <f>IFERROR(_xlfn.XLOOKUP($A161,'Raw Data'!$G:$G,'Raw Data'!AJ:AJ),"")</f>
        <v/>
      </c>
      <c r="Z161" s="86" t="str">
        <f>IFERROR(_xlfn.XLOOKUP($A161,'Raw Data'!$G:$G,'Raw Data'!AK:AK),"")</f>
        <v/>
      </c>
      <c r="AA161" s="86" t="str">
        <f>IFERROR(_xlfn.XLOOKUP($A161,'Raw Data'!$G:$G,'Raw Data'!$AL:$AL)*(1+(_xlfn.XLOOKUP(Table13[[#This Row],[Month Year]],JMR!$A:$A,JMR!$J:$J))),"")</f>
        <v/>
      </c>
      <c r="AB161" s="86" t="str">
        <f>IFERROR(_xlfn.XLOOKUP($A161,'Raw Data'!$G:$G,'Raw Data'!$H:$H),"")</f>
        <v/>
      </c>
      <c r="AC161" s="87">
        <f>IFERROR(_xlfn.XLOOKUP($D161,'Modelling New'!$D:$D,'Modelling New'!$P:$P),"")</f>
        <v>4.83</v>
      </c>
      <c r="AD161" s="86">
        <f>IFERROR(_xlfn.XLOOKUP($D161,'Modelling New'!$D:$D,'Modelling New'!$T:$T)*1000,"")</f>
        <v>23985.019069663569</v>
      </c>
      <c r="AE161" s="94">
        <f>IFERROR(_xlfn.XLOOKUP($D161,'Modelling New'!$D:$D,'Modelling New'!$O:$O),"")</f>
        <v>0.69949324677249292</v>
      </c>
      <c r="AF161" s="94">
        <f>IFERROR(_xlfn.XLOOKUP($D161,'Modelling New'!$D:$D,'Modelling New'!$W:$W),"")</f>
        <v>0.14077301591296421</v>
      </c>
      <c r="AG161" s="94">
        <f>IFERROR(_xlfn.XLOOKUP($D161,'Modelling New'!$D:$D,'Modelling New'!$AE:$AE),"")</f>
        <v>0.98040000000000005</v>
      </c>
      <c r="AH161" s="94">
        <f>IFERROR(_xlfn.XLOOKUP($D161,'Modelling New'!$D:$D,'Modelling New'!$AF:$AF),"")</f>
        <v>0.98</v>
      </c>
      <c r="AN161" s="85"/>
      <c r="AO161" s="84"/>
      <c r="AP161" s="84"/>
      <c r="AQ161" s="84"/>
      <c r="AR161" s="86">
        <f>'Basic Data'!$J$2</f>
        <v>7.0991999999999997</v>
      </c>
      <c r="AT161" s="7" t="str">
        <f>IFERROR(_xlfn.XLOOKUP(Table13[[#This Row],[Date]],'Raw Data'!$E:$E,'Raw Data'!$AN:$AN),"")</f>
        <v/>
      </c>
      <c r="AU161" s="7">
        <f>IFERROR(_xlfn.XLOOKUP(Table13[[#This Row],[Month Year]],'Modelling New'!$D:$D,'Modelling New'!$AO:$AO),"")</f>
        <v>7</v>
      </c>
      <c r="AV161" s="7">
        <f>IFERROR(SUMIF('Curtailment Records'!$C:$C,Table13[[#This Row],[Date]],'Curtailment Records'!$R:$R)/1000,"")</f>
        <v>0</v>
      </c>
    </row>
    <row r="162" spans="1:48" x14ac:dyDescent="0.25">
      <c r="A162" s="93">
        <f t="shared" si="10"/>
        <v>45905</v>
      </c>
      <c r="B162" s="86">
        <f>YEAR(Table13[[#This Row],[Date]])+IF(MONTH(Table13[[#This Row],[Date]])&gt;=4,1,0)</f>
        <v>2026</v>
      </c>
      <c r="C162" s="7">
        <f>YEAR(Table13[[#This Row],[Date]])</f>
        <v>2025</v>
      </c>
      <c r="D162" s="92">
        <f>Table13[[#This Row],[Date]]-DAY(Table13[[#This Row],[Date]])+1</f>
        <v>45901</v>
      </c>
      <c r="E162" s="7">
        <f t="shared" si="11"/>
        <v>30</v>
      </c>
      <c r="F162" s="91" t="str">
        <f>IFERROR(_xlfn.XLOOKUP($A162,'Raw Data'!$G:$G,'Raw Data'!$AM:$AM),"")</f>
        <v/>
      </c>
      <c r="G162" s="90" t="str">
        <f>IFERROR(_xlfn.XLOOKUP($A162,'Raw Data'!$G:$G,'Raw Data'!$AB:$AB),"")</f>
        <v/>
      </c>
      <c r="H162" s="90"/>
      <c r="I162" s="90" t="str">
        <f>IFERROR(_xlfn.XLOOKUP($A162,'Raw Data'!$G:$G,'Raw Data'!$AC:$AC),"")</f>
        <v/>
      </c>
      <c r="J162" s="90"/>
      <c r="K162" s="90" t="str">
        <f>IFERROR(_xlfn.XLOOKUP($A162,'Raw Data'!$G:$G,'Raw Data'!AD:AD),"")</f>
        <v/>
      </c>
      <c r="L162" s="90" t="str">
        <f>IFERROR(_xlfn.XLOOKUP($A162,'Raw Data'!$G:$G,'Raw Data'!AE:AE),"")</f>
        <v/>
      </c>
      <c r="M162" s="90" t="str">
        <f>IFERROR(_xlfn.XLOOKUP($A162,'Raw Data'!$G:$G,'Raw Data'!AF:AF),"")</f>
        <v/>
      </c>
      <c r="N162" s="90" t="str">
        <f>IFERROR(_xlfn.XLOOKUP($A162,'Raw Data'!$G:$G,'Raw Data'!AG:AG),"")</f>
        <v/>
      </c>
      <c r="O162" s="85" t="str">
        <f>IFERROR(1-SUMIF('Plant BD'!$B:$B,$A162,'Plant BD'!$AM:$AM)/($AA162+SUMIF('Plant BD'!$B:$B,$A162,'Plant BD'!$AM:$AM)),"")</f>
        <v/>
      </c>
      <c r="P162" s="85"/>
      <c r="Q162" s="89"/>
      <c r="R162" s="85" t="str">
        <f>IFERROR(1-SUMIF('Grid BD'!$B:$B,$A162,'Grid BD'!$AE:$AE)/($AA162+SUMIF('Grid BD'!$B:$B,$A162,'Grid BD'!$AE:$AE)),"")</f>
        <v/>
      </c>
      <c r="T162" s="89"/>
      <c r="U162" s="88" t="str">
        <f t="shared" si="9"/>
        <v/>
      </c>
      <c r="V162" s="88"/>
      <c r="W162" s="84" t="str">
        <f t="shared" si="8"/>
        <v/>
      </c>
      <c r="X162" s="86" t="str">
        <f>IFERROR(_xlfn.XLOOKUP($A162,'Raw Data'!$G:$G,'Raw Data'!AI:AI),"")</f>
        <v/>
      </c>
      <c r="Y162" s="86" t="str">
        <f>IFERROR(_xlfn.XLOOKUP($A162,'Raw Data'!$G:$G,'Raw Data'!AJ:AJ),"")</f>
        <v/>
      </c>
      <c r="Z162" s="86" t="str">
        <f>IFERROR(_xlfn.XLOOKUP($A162,'Raw Data'!$G:$G,'Raw Data'!AK:AK),"")</f>
        <v/>
      </c>
      <c r="AA162" s="86" t="str">
        <f>IFERROR(_xlfn.XLOOKUP($A162,'Raw Data'!$G:$G,'Raw Data'!$AL:$AL)*(1+(_xlfn.XLOOKUP(Table13[[#This Row],[Month Year]],JMR!$A:$A,JMR!$J:$J))),"")</f>
        <v/>
      </c>
      <c r="AB162" s="86" t="str">
        <f>IFERROR(_xlfn.XLOOKUP($A162,'Raw Data'!$G:$G,'Raw Data'!$H:$H),"")</f>
        <v/>
      </c>
      <c r="AC162" s="87">
        <f>IFERROR(_xlfn.XLOOKUP($D162,'Modelling New'!$D:$D,'Modelling New'!$P:$P),"")</f>
        <v>4.83</v>
      </c>
      <c r="AD162" s="86">
        <f>IFERROR(_xlfn.XLOOKUP($D162,'Modelling New'!$D:$D,'Modelling New'!$T:$T)*1000,"")</f>
        <v>23985.019069663569</v>
      </c>
      <c r="AE162" s="94">
        <f>IFERROR(_xlfn.XLOOKUP($D162,'Modelling New'!$D:$D,'Modelling New'!$O:$O),"")</f>
        <v>0.69949324677249292</v>
      </c>
      <c r="AF162" s="94">
        <f>IFERROR(_xlfn.XLOOKUP($D162,'Modelling New'!$D:$D,'Modelling New'!$W:$W),"")</f>
        <v>0.14077301591296421</v>
      </c>
      <c r="AG162" s="94">
        <f>IFERROR(_xlfn.XLOOKUP($D162,'Modelling New'!$D:$D,'Modelling New'!$AE:$AE),"")</f>
        <v>0.98040000000000005</v>
      </c>
      <c r="AH162" s="94">
        <f>IFERROR(_xlfn.XLOOKUP($D162,'Modelling New'!$D:$D,'Modelling New'!$AF:$AF),"")</f>
        <v>0.98</v>
      </c>
      <c r="AN162" s="85"/>
      <c r="AO162" s="84"/>
      <c r="AP162" s="84"/>
      <c r="AQ162" s="84"/>
      <c r="AR162" s="86">
        <f>'Basic Data'!$J$2</f>
        <v>7.0991999999999997</v>
      </c>
      <c r="AT162" s="7" t="str">
        <f>IFERROR(_xlfn.XLOOKUP(Table13[[#This Row],[Date]],'Raw Data'!$E:$E,'Raw Data'!$AN:$AN),"")</f>
        <v/>
      </c>
      <c r="AU162" s="7">
        <f>IFERROR(_xlfn.XLOOKUP(Table13[[#This Row],[Month Year]],'Modelling New'!$D:$D,'Modelling New'!$AO:$AO),"")</f>
        <v>7</v>
      </c>
      <c r="AV162" s="7">
        <f>IFERROR(SUMIF('Curtailment Records'!$C:$C,Table13[[#This Row],[Date]],'Curtailment Records'!$R:$R)/1000,"")</f>
        <v>0</v>
      </c>
    </row>
    <row r="163" spans="1:48" x14ac:dyDescent="0.25">
      <c r="A163" s="93">
        <f t="shared" si="10"/>
        <v>45906</v>
      </c>
      <c r="B163" s="86">
        <f>YEAR(Table13[[#This Row],[Date]])+IF(MONTH(Table13[[#This Row],[Date]])&gt;=4,1,0)</f>
        <v>2026</v>
      </c>
      <c r="C163" s="7">
        <f>YEAR(Table13[[#This Row],[Date]])</f>
        <v>2025</v>
      </c>
      <c r="D163" s="92">
        <f>Table13[[#This Row],[Date]]-DAY(Table13[[#This Row],[Date]])+1</f>
        <v>45901</v>
      </c>
      <c r="E163" s="7">
        <f t="shared" si="11"/>
        <v>30</v>
      </c>
      <c r="F163" s="91" t="str">
        <f>IFERROR(_xlfn.XLOOKUP($A163,'Raw Data'!$G:$G,'Raw Data'!$AM:$AM),"")</f>
        <v/>
      </c>
      <c r="G163" s="90" t="str">
        <f>IFERROR(_xlfn.XLOOKUP($A163,'Raw Data'!$G:$G,'Raw Data'!$AB:$AB),"")</f>
        <v/>
      </c>
      <c r="H163" s="90"/>
      <c r="I163" s="90" t="str">
        <f>IFERROR(_xlfn.XLOOKUP($A163,'Raw Data'!$G:$G,'Raw Data'!$AC:$AC),"")</f>
        <v/>
      </c>
      <c r="J163" s="90"/>
      <c r="K163" s="90" t="str">
        <f>IFERROR(_xlfn.XLOOKUP($A163,'Raw Data'!$G:$G,'Raw Data'!AD:AD),"")</f>
        <v/>
      </c>
      <c r="L163" s="90" t="str">
        <f>IFERROR(_xlfn.XLOOKUP($A163,'Raw Data'!$G:$G,'Raw Data'!AE:AE),"")</f>
        <v/>
      </c>
      <c r="M163" s="90" t="str">
        <f>IFERROR(_xlfn.XLOOKUP($A163,'Raw Data'!$G:$G,'Raw Data'!AF:AF),"")</f>
        <v/>
      </c>
      <c r="N163" s="90" t="str">
        <f>IFERROR(_xlfn.XLOOKUP($A163,'Raw Data'!$G:$G,'Raw Data'!AG:AG),"")</f>
        <v/>
      </c>
      <c r="O163" s="85" t="str">
        <f>IFERROR(1-SUMIF('Plant BD'!$B:$B,$A163,'Plant BD'!$AM:$AM)/($AA163+SUMIF('Plant BD'!$B:$B,$A163,'Plant BD'!$AM:$AM)),"")</f>
        <v/>
      </c>
      <c r="P163" s="85"/>
      <c r="Q163" s="89"/>
      <c r="R163" s="85" t="str">
        <f>IFERROR(1-SUMIF('Grid BD'!$B:$B,$A163,'Grid BD'!$AE:$AE)/($AA163+SUMIF('Grid BD'!$B:$B,$A163,'Grid BD'!$AE:$AE)),"")</f>
        <v/>
      </c>
      <c r="T163" s="89"/>
      <c r="U163" s="88" t="str">
        <f t="shared" si="9"/>
        <v/>
      </c>
      <c r="V163" s="88"/>
      <c r="W163" s="84" t="str">
        <f t="shared" si="8"/>
        <v/>
      </c>
      <c r="X163" s="86" t="str">
        <f>IFERROR(_xlfn.XLOOKUP($A163,'Raw Data'!$G:$G,'Raw Data'!AI:AI),"")</f>
        <v/>
      </c>
      <c r="Y163" s="86" t="str">
        <f>IFERROR(_xlfn.XLOOKUP($A163,'Raw Data'!$G:$G,'Raw Data'!AJ:AJ),"")</f>
        <v/>
      </c>
      <c r="Z163" s="86" t="str">
        <f>IFERROR(_xlfn.XLOOKUP($A163,'Raw Data'!$G:$G,'Raw Data'!AK:AK),"")</f>
        <v/>
      </c>
      <c r="AA163" s="86" t="str">
        <f>IFERROR(_xlfn.XLOOKUP($A163,'Raw Data'!$G:$G,'Raw Data'!$AL:$AL)*(1+(_xlfn.XLOOKUP(Table13[[#This Row],[Month Year]],JMR!$A:$A,JMR!$J:$J))),"")</f>
        <v/>
      </c>
      <c r="AB163" s="86" t="str">
        <f>IFERROR(_xlfn.XLOOKUP($A163,'Raw Data'!$G:$G,'Raw Data'!$H:$H),"")</f>
        <v/>
      </c>
      <c r="AC163" s="87">
        <f>IFERROR(_xlfn.XLOOKUP($D163,'Modelling New'!$D:$D,'Modelling New'!$P:$P),"")</f>
        <v>4.83</v>
      </c>
      <c r="AD163" s="86">
        <f>IFERROR(_xlfn.XLOOKUP($D163,'Modelling New'!$D:$D,'Modelling New'!$T:$T)*1000,"")</f>
        <v>23985.019069663569</v>
      </c>
      <c r="AE163" s="94">
        <f>IFERROR(_xlfn.XLOOKUP($D163,'Modelling New'!$D:$D,'Modelling New'!$O:$O),"")</f>
        <v>0.69949324677249292</v>
      </c>
      <c r="AF163" s="94">
        <f>IFERROR(_xlfn.XLOOKUP($D163,'Modelling New'!$D:$D,'Modelling New'!$W:$W),"")</f>
        <v>0.14077301591296421</v>
      </c>
      <c r="AG163" s="94">
        <f>IFERROR(_xlfn.XLOOKUP($D163,'Modelling New'!$D:$D,'Modelling New'!$AE:$AE),"")</f>
        <v>0.98040000000000005</v>
      </c>
      <c r="AH163" s="94">
        <f>IFERROR(_xlfn.XLOOKUP($D163,'Modelling New'!$D:$D,'Modelling New'!$AF:$AF),"")</f>
        <v>0.98</v>
      </c>
      <c r="AN163" s="85"/>
      <c r="AO163" s="84"/>
      <c r="AP163" s="84"/>
      <c r="AQ163" s="84"/>
      <c r="AR163" s="86">
        <f>'Basic Data'!$J$2</f>
        <v>7.0991999999999997</v>
      </c>
      <c r="AT163" s="7" t="str">
        <f>IFERROR(_xlfn.XLOOKUP(Table13[[#This Row],[Date]],'Raw Data'!$E:$E,'Raw Data'!$AN:$AN),"")</f>
        <v/>
      </c>
      <c r="AU163" s="7">
        <f>IFERROR(_xlfn.XLOOKUP(Table13[[#This Row],[Month Year]],'Modelling New'!$D:$D,'Modelling New'!$AO:$AO),"")</f>
        <v>7</v>
      </c>
      <c r="AV163" s="7">
        <f>IFERROR(SUMIF('Curtailment Records'!$C:$C,Table13[[#This Row],[Date]],'Curtailment Records'!$R:$R)/1000,"")</f>
        <v>0</v>
      </c>
    </row>
    <row r="164" spans="1:48" x14ac:dyDescent="0.25">
      <c r="A164" s="93">
        <f t="shared" si="10"/>
        <v>45907</v>
      </c>
      <c r="B164" s="86">
        <f>YEAR(Table13[[#This Row],[Date]])+IF(MONTH(Table13[[#This Row],[Date]])&gt;=4,1,0)</f>
        <v>2026</v>
      </c>
      <c r="C164" s="7">
        <f>YEAR(Table13[[#This Row],[Date]])</f>
        <v>2025</v>
      </c>
      <c r="D164" s="92">
        <f>Table13[[#This Row],[Date]]-DAY(Table13[[#This Row],[Date]])+1</f>
        <v>45901</v>
      </c>
      <c r="E164" s="7">
        <f t="shared" si="11"/>
        <v>30</v>
      </c>
      <c r="F164" s="91" t="str">
        <f>IFERROR(_xlfn.XLOOKUP($A164,'Raw Data'!$G:$G,'Raw Data'!$AM:$AM),"")</f>
        <v/>
      </c>
      <c r="G164" s="90" t="str">
        <f>IFERROR(_xlfn.XLOOKUP($A164,'Raw Data'!$G:$G,'Raw Data'!$AB:$AB),"")</f>
        <v/>
      </c>
      <c r="H164" s="90"/>
      <c r="I164" s="90" t="str">
        <f>IFERROR(_xlfn.XLOOKUP($A164,'Raw Data'!$G:$G,'Raw Data'!$AC:$AC),"")</f>
        <v/>
      </c>
      <c r="J164" s="90"/>
      <c r="K164" s="90" t="str">
        <f>IFERROR(_xlfn.XLOOKUP($A164,'Raw Data'!$G:$G,'Raw Data'!AD:AD),"")</f>
        <v/>
      </c>
      <c r="L164" s="90" t="str">
        <f>IFERROR(_xlfn.XLOOKUP($A164,'Raw Data'!$G:$G,'Raw Data'!AE:AE),"")</f>
        <v/>
      </c>
      <c r="M164" s="90" t="str">
        <f>IFERROR(_xlfn.XLOOKUP($A164,'Raw Data'!$G:$G,'Raw Data'!AF:AF),"")</f>
        <v/>
      </c>
      <c r="N164" s="90" t="str">
        <f>IFERROR(_xlfn.XLOOKUP($A164,'Raw Data'!$G:$G,'Raw Data'!AG:AG),"")</f>
        <v/>
      </c>
      <c r="O164" s="85" t="str">
        <f>IFERROR(1-SUMIF('Plant BD'!$B:$B,$A164,'Plant BD'!$AM:$AM)/($AA164+SUMIF('Plant BD'!$B:$B,$A164,'Plant BD'!$AM:$AM)),"")</f>
        <v/>
      </c>
      <c r="P164" s="85"/>
      <c r="Q164" s="89"/>
      <c r="R164" s="85" t="str">
        <f>IFERROR(1-SUMIF('Grid BD'!$B:$B,$A164,'Grid BD'!$AE:$AE)/($AA164+SUMIF('Grid BD'!$B:$B,$A164,'Grid BD'!$AE:$AE)),"")</f>
        <v/>
      </c>
      <c r="T164" s="89"/>
      <c r="U164" s="88" t="str">
        <f t="shared" si="9"/>
        <v/>
      </c>
      <c r="V164" s="88"/>
      <c r="W164" s="84" t="str">
        <f t="shared" si="8"/>
        <v/>
      </c>
      <c r="X164" s="86" t="str">
        <f>IFERROR(_xlfn.XLOOKUP($A164,'Raw Data'!$G:$G,'Raw Data'!AI:AI),"")</f>
        <v/>
      </c>
      <c r="Y164" s="86" t="str">
        <f>IFERROR(_xlfn.XLOOKUP($A164,'Raw Data'!$G:$G,'Raw Data'!AJ:AJ),"")</f>
        <v/>
      </c>
      <c r="Z164" s="86" t="str">
        <f>IFERROR(_xlfn.XLOOKUP($A164,'Raw Data'!$G:$G,'Raw Data'!AK:AK),"")</f>
        <v/>
      </c>
      <c r="AA164" s="86" t="str">
        <f>IFERROR(_xlfn.XLOOKUP($A164,'Raw Data'!$G:$G,'Raw Data'!$AL:$AL)*(1+(_xlfn.XLOOKUP(Table13[[#This Row],[Month Year]],JMR!$A:$A,JMR!$J:$J))),"")</f>
        <v/>
      </c>
      <c r="AB164" s="86" t="str">
        <f>IFERROR(_xlfn.XLOOKUP($A164,'Raw Data'!$G:$G,'Raw Data'!$H:$H),"")</f>
        <v/>
      </c>
      <c r="AC164" s="87">
        <f>IFERROR(_xlfn.XLOOKUP($D164,'Modelling New'!$D:$D,'Modelling New'!$P:$P),"")</f>
        <v>4.83</v>
      </c>
      <c r="AD164" s="86">
        <f>IFERROR(_xlfn.XLOOKUP($D164,'Modelling New'!$D:$D,'Modelling New'!$T:$T)*1000,"")</f>
        <v>23985.019069663569</v>
      </c>
      <c r="AE164" s="94">
        <f>IFERROR(_xlfn.XLOOKUP($D164,'Modelling New'!$D:$D,'Modelling New'!$O:$O),"")</f>
        <v>0.69949324677249292</v>
      </c>
      <c r="AF164" s="94">
        <f>IFERROR(_xlfn.XLOOKUP($D164,'Modelling New'!$D:$D,'Modelling New'!$W:$W),"")</f>
        <v>0.14077301591296421</v>
      </c>
      <c r="AG164" s="94">
        <f>IFERROR(_xlfn.XLOOKUP($D164,'Modelling New'!$D:$D,'Modelling New'!$AE:$AE),"")</f>
        <v>0.98040000000000005</v>
      </c>
      <c r="AH164" s="94">
        <f>IFERROR(_xlfn.XLOOKUP($D164,'Modelling New'!$D:$D,'Modelling New'!$AF:$AF),"")</f>
        <v>0.98</v>
      </c>
      <c r="AN164" s="85"/>
      <c r="AO164" s="84"/>
      <c r="AP164" s="84"/>
      <c r="AQ164" s="84"/>
      <c r="AR164" s="86">
        <f>'Basic Data'!$J$2</f>
        <v>7.0991999999999997</v>
      </c>
      <c r="AT164" s="7" t="str">
        <f>IFERROR(_xlfn.XLOOKUP(Table13[[#This Row],[Date]],'Raw Data'!$E:$E,'Raw Data'!$AN:$AN),"")</f>
        <v/>
      </c>
      <c r="AU164" s="7">
        <f>IFERROR(_xlfn.XLOOKUP(Table13[[#This Row],[Month Year]],'Modelling New'!$D:$D,'Modelling New'!$AO:$AO),"")</f>
        <v>7</v>
      </c>
      <c r="AV164" s="7">
        <f>IFERROR(SUMIF('Curtailment Records'!$C:$C,Table13[[#This Row],[Date]],'Curtailment Records'!$R:$R)/1000,"")</f>
        <v>0</v>
      </c>
    </row>
    <row r="165" spans="1:48" x14ac:dyDescent="0.25">
      <c r="A165" s="93">
        <f t="shared" si="10"/>
        <v>45908</v>
      </c>
      <c r="B165" s="86">
        <f>YEAR(Table13[[#This Row],[Date]])+IF(MONTH(Table13[[#This Row],[Date]])&gt;=4,1,0)</f>
        <v>2026</v>
      </c>
      <c r="C165" s="7">
        <f>YEAR(Table13[[#This Row],[Date]])</f>
        <v>2025</v>
      </c>
      <c r="D165" s="92">
        <f>Table13[[#This Row],[Date]]-DAY(Table13[[#This Row],[Date]])+1</f>
        <v>45901</v>
      </c>
      <c r="E165" s="7">
        <f t="shared" si="11"/>
        <v>30</v>
      </c>
      <c r="F165" s="91" t="str">
        <f>IFERROR(_xlfn.XLOOKUP($A165,'Raw Data'!$G:$G,'Raw Data'!$AM:$AM),"")</f>
        <v/>
      </c>
      <c r="G165" s="90" t="str">
        <f>IFERROR(_xlfn.XLOOKUP($A165,'Raw Data'!$G:$G,'Raw Data'!$AB:$AB),"")</f>
        <v/>
      </c>
      <c r="H165" s="90"/>
      <c r="I165" s="90" t="str">
        <f>IFERROR(_xlfn.XLOOKUP($A165,'Raw Data'!$G:$G,'Raw Data'!$AC:$AC),"")</f>
        <v/>
      </c>
      <c r="J165" s="90"/>
      <c r="K165" s="90" t="str">
        <f>IFERROR(_xlfn.XLOOKUP($A165,'Raw Data'!$G:$G,'Raw Data'!AD:AD),"")</f>
        <v/>
      </c>
      <c r="L165" s="90" t="str">
        <f>IFERROR(_xlfn.XLOOKUP($A165,'Raw Data'!$G:$G,'Raw Data'!AE:AE),"")</f>
        <v/>
      </c>
      <c r="M165" s="90" t="str">
        <f>IFERROR(_xlfn.XLOOKUP($A165,'Raw Data'!$G:$G,'Raw Data'!AF:AF),"")</f>
        <v/>
      </c>
      <c r="N165" s="90" t="str">
        <f>IFERROR(_xlfn.XLOOKUP($A165,'Raw Data'!$G:$G,'Raw Data'!AG:AG),"")</f>
        <v/>
      </c>
      <c r="O165" s="85" t="str">
        <f>IFERROR(1-SUMIF('Plant BD'!$B:$B,$A165,'Plant BD'!$AM:$AM)/($AA165+SUMIF('Plant BD'!$B:$B,$A165,'Plant BD'!$AM:$AM)),"")</f>
        <v/>
      </c>
      <c r="P165" s="85"/>
      <c r="Q165" s="89"/>
      <c r="R165" s="85" t="str">
        <f>IFERROR(1-SUMIF('Grid BD'!$B:$B,$A165,'Grid BD'!$AE:$AE)/($AA165+SUMIF('Grid BD'!$B:$B,$A165,'Grid BD'!$AE:$AE)),"")</f>
        <v/>
      </c>
      <c r="T165" s="89"/>
      <c r="U165" s="88" t="str">
        <f t="shared" si="9"/>
        <v/>
      </c>
      <c r="V165" s="88"/>
      <c r="W165" s="84" t="str">
        <f t="shared" si="8"/>
        <v/>
      </c>
      <c r="X165" s="86" t="str">
        <f>IFERROR(_xlfn.XLOOKUP($A165,'Raw Data'!$G:$G,'Raw Data'!AI:AI),"")</f>
        <v/>
      </c>
      <c r="Y165" s="86" t="str">
        <f>IFERROR(_xlfn.XLOOKUP($A165,'Raw Data'!$G:$G,'Raw Data'!AJ:AJ),"")</f>
        <v/>
      </c>
      <c r="Z165" s="86" t="str">
        <f>IFERROR(_xlfn.XLOOKUP($A165,'Raw Data'!$G:$G,'Raw Data'!AK:AK),"")</f>
        <v/>
      </c>
      <c r="AA165" s="86" t="str">
        <f>IFERROR(_xlfn.XLOOKUP($A165,'Raw Data'!$G:$G,'Raw Data'!$AL:$AL)*(1+(_xlfn.XLOOKUP(Table13[[#This Row],[Month Year]],JMR!$A:$A,JMR!$J:$J))),"")</f>
        <v/>
      </c>
      <c r="AB165" s="86" t="str">
        <f>IFERROR(_xlfn.XLOOKUP($A165,'Raw Data'!$G:$G,'Raw Data'!$H:$H),"")</f>
        <v/>
      </c>
      <c r="AC165" s="87">
        <f>IFERROR(_xlfn.XLOOKUP($D165,'Modelling New'!$D:$D,'Modelling New'!$P:$P),"")</f>
        <v>4.83</v>
      </c>
      <c r="AD165" s="86">
        <f>IFERROR(_xlfn.XLOOKUP($D165,'Modelling New'!$D:$D,'Modelling New'!$T:$T)*1000,"")</f>
        <v>23985.019069663569</v>
      </c>
      <c r="AE165" s="94">
        <f>IFERROR(_xlfn.XLOOKUP($D165,'Modelling New'!$D:$D,'Modelling New'!$O:$O),"")</f>
        <v>0.69949324677249292</v>
      </c>
      <c r="AF165" s="94">
        <f>IFERROR(_xlfn.XLOOKUP($D165,'Modelling New'!$D:$D,'Modelling New'!$W:$W),"")</f>
        <v>0.14077301591296421</v>
      </c>
      <c r="AG165" s="94">
        <f>IFERROR(_xlfn.XLOOKUP($D165,'Modelling New'!$D:$D,'Modelling New'!$AE:$AE),"")</f>
        <v>0.98040000000000005</v>
      </c>
      <c r="AH165" s="94">
        <f>IFERROR(_xlfn.XLOOKUP($D165,'Modelling New'!$D:$D,'Modelling New'!$AF:$AF),"")</f>
        <v>0.98</v>
      </c>
      <c r="AN165" s="85"/>
      <c r="AO165" s="84"/>
      <c r="AP165" s="84"/>
      <c r="AQ165" s="84"/>
      <c r="AR165" s="86">
        <f>'Basic Data'!$J$2</f>
        <v>7.0991999999999997</v>
      </c>
      <c r="AT165" s="7" t="str">
        <f>IFERROR(_xlfn.XLOOKUP(Table13[[#This Row],[Date]],'Raw Data'!$E:$E,'Raw Data'!$AN:$AN),"")</f>
        <v/>
      </c>
      <c r="AU165" s="7">
        <f>IFERROR(_xlfn.XLOOKUP(Table13[[#This Row],[Month Year]],'Modelling New'!$D:$D,'Modelling New'!$AO:$AO),"")</f>
        <v>7</v>
      </c>
      <c r="AV165" s="7">
        <f>IFERROR(SUMIF('Curtailment Records'!$C:$C,Table13[[#This Row],[Date]],'Curtailment Records'!$R:$R)/1000,"")</f>
        <v>0</v>
      </c>
    </row>
    <row r="166" spans="1:48" x14ac:dyDescent="0.25">
      <c r="A166" s="93">
        <f t="shared" si="10"/>
        <v>45909</v>
      </c>
      <c r="B166" s="86">
        <f>YEAR(Table13[[#This Row],[Date]])+IF(MONTH(Table13[[#This Row],[Date]])&gt;=4,1,0)</f>
        <v>2026</v>
      </c>
      <c r="C166" s="7">
        <f>YEAR(Table13[[#This Row],[Date]])</f>
        <v>2025</v>
      </c>
      <c r="D166" s="92">
        <f>Table13[[#This Row],[Date]]-DAY(Table13[[#This Row],[Date]])+1</f>
        <v>45901</v>
      </c>
      <c r="E166" s="7">
        <f t="shared" si="11"/>
        <v>30</v>
      </c>
      <c r="F166" s="91" t="str">
        <f>IFERROR(_xlfn.XLOOKUP($A166,'Raw Data'!$G:$G,'Raw Data'!$AM:$AM),"")</f>
        <v/>
      </c>
      <c r="G166" s="90" t="str">
        <f>IFERROR(_xlfn.XLOOKUP($A166,'Raw Data'!$G:$G,'Raw Data'!$AB:$AB),"")</f>
        <v/>
      </c>
      <c r="H166" s="90"/>
      <c r="I166" s="90" t="str">
        <f>IFERROR(_xlfn.XLOOKUP($A166,'Raw Data'!$G:$G,'Raw Data'!$AC:$AC),"")</f>
        <v/>
      </c>
      <c r="J166" s="90"/>
      <c r="K166" s="90" t="str">
        <f>IFERROR(_xlfn.XLOOKUP($A166,'Raw Data'!$G:$G,'Raw Data'!AD:AD),"")</f>
        <v/>
      </c>
      <c r="L166" s="90" t="str">
        <f>IFERROR(_xlfn.XLOOKUP($A166,'Raw Data'!$G:$G,'Raw Data'!AE:AE),"")</f>
        <v/>
      </c>
      <c r="M166" s="90" t="str">
        <f>IFERROR(_xlfn.XLOOKUP($A166,'Raw Data'!$G:$G,'Raw Data'!AF:AF),"")</f>
        <v/>
      </c>
      <c r="N166" s="90" t="str">
        <f>IFERROR(_xlfn.XLOOKUP($A166,'Raw Data'!$G:$G,'Raw Data'!AG:AG),"")</f>
        <v/>
      </c>
      <c r="O166" s="85" t="str">
        <f>IFERROR(1-SUMIF('Plant BD'!$B:$B,$A166,'Plant BD'!$AM:$AM)/($AA166+SUMIF('Plant BD'!$B:$B,$A166,'Plant BD'!$AM:$AM)),"")</f>
        <v/>
      </c>
      <c r="P166" s="85"/>
      <c r="Q166" s="89"/>
      <c r="R166" s="85" t="str">
        <f>IFERROR(1-SUMIF('Grid BD'!$B:$B,$A166,'Grid BD'!$AE:$AE)/($AA166+SUMIF('Grid BD'!$B:$B,$A166,'Grid BD'!$AE:$AE)),"")</f>
        <v/>
      </c>
      <c r="T166" s="89"/>
      <c r="U166" s="88" t="str">
        <f t="shared" si="9"/>
        <v/>
      </c>
      <c r="V166" s="88"/>
      <c r="W166" s="84" t="str">
        <f t="shared" si="8"/>
        <v/>
      </c>
      <c r="X166" s="86" t="str">
        <f>IFERROR(_xlfn.XLOOKUP($A166,'Raw Data'!$G:$G,'Raw Data'!AI:AI),"")</f>
        <v/>
      </c>
      <c r="Y166" s="86" t="str">
        <f>IFERROR(_xlfn.XLOOKUP($A166,'Raw Data'!$G:$G,'Raw Data'!AJ:AJ),"")</f>
        <v/>
      </c>
      <c r="Z166" s="86" t="str">
        <f>IFERROR(_xlfn.XLOOKUP($A166,'Raw Data'!$G:$G,'Raw Data'!AK:AK),"")</f>
        <v/>
      </c>
      <c r="AA166" s="86" t="str">
        <f>IFERROR(_xlfn.XLOOKUP($A166,'Raw Data'!$G:$G,'Raw Data'!$AL:$AL)*(1+(_xlfn.XLOOKUP(Table13[[#This Row],[Month Year]],JMR!$A:$A,JMR!$J:$J))),"")</f>
        <v/>
      </c>
      <c r="AB166" s="86" t="str">
        <f>IFERROR(_xlfn.XLOOKUP($A166,'Raw Data'!$G:$G,'Raw Data'!$H:$H),"")</f>
        <v/>
      </c>
      <c r="AC166" s="87">
        <f>IFERROR(_xlfn.XLOOKUP($D166,'Modelling New'!$D:$D,'Modelling New'!$P:$P),"")</f>
        <v>4.83</v>
      </c>
      <c r="AD166" s="86">
        <f>IFERROR(_xlfn.XLOOKUP($D166,'Modelling New'!$D:$D,'Modelling New'!$T:$T)*1000,"")</f>
        <v>23985.019069663569</v>
      </c>
      <c r="AE166" s="94">
        <f>IFERROR(_xlfn.XLOOKUP($D166,'Modelling New'!$D:$D,'Modelling New'!$O:$O),"")</f>
        <v>0.69949324677249292</v>
      </c>
      <c r="AF166" s="94">
        <f>IFERROR(_xlfn.XLOOKUP($D166,'Modelling New'!$D:$D,'Modelling New'!$W:$W),"")</f>
        <v>0.14077301591296421</v>
      </c>
      <c r="AG166" s="94">
        <f>IFERROR(_xlfn.XLOOKUP($D166,'Modelling New'!$D:$D,'Modelling New'!$AE:$AE),"")</f>
        <v>0.98040000000000005</v>
      </c>
      <c r="AH166" s="94">
        <f>IFERROR(_xlfn.XLOOKUP($D166,'Modelling New'!$D:$D,'Modelling New'!$AF:$AF),"")</f>
        <v>0.98</v>
      </c>
      <c r="AN166" s="85"/>
      <c r="AO166" s="84"/>
      <c r="AP166" s="84"/>
      <c r="AQ166" s="84"/>
      <c r="AR166" s="86">
        <f>'Basic Data'!$J$2</f>
        <v>7.0991999999999997</v>
      </c>
      <c r="AT166" s="7" t="str">
        <f>IFERROR(_xlfn.XLOOKUP(Table13[[#This Row],[Date]],'Raw Data'!$E:$E,'Raw Data'!$AN:$AN),"")</f>
        <v/>
      </c>
      <c r="AU166" s="7">
        <f>IFERROR(_xlfn.XLOOKUP(Table13[[#This Row],[Month Year]],'Modelling New'!$D:$D,'Modelling New'!$AO:$AO),"")</f>
        <v>7</v>
      </c>
      <c r="AV166" s="7">
        <f>IFERROR(SUMIF('Curtailment Records'!$C:$C,Table13[[#This Row],[Date]],'Curtailment Records'!$R:$R)/1000,"")</f>
        <v>0</v>
      </c>
    </row>
    <row r="167" spans="1:48" x14ac:dyDescent="0.25">
      <c r="A167" s="93">
        <f t="shared" si="10"/>
        <v>45910</v>
      </c>
      <c r="B167" s="86">
        <f>YEAR(Table13[[#This Row],[Date]])+IF(MONTH(Table13[[#This Row],[Date]])&gt;=4,1,0)</f>
        <v>2026</v>
      </c>
      <c r="C167" s="7">
        <f>YEAR(Table13[[#This Row],[Date]])</f>
        <v>2025</v>
      </c>
      <c r="D167" s="92">
        <f>Table13[[#This Row],[Date]]-DAY(Table13[[#This Row],[Date]])+1</f>
        <v>45901</v>
      </c>
      <c r="E167" s="7">
        <f t="shared" si="11"/>
        <v>30</v>
      </c>
      <c r="F167" s="91" t="str">
        <f>IFERROR(_xlfn.XLOOKUP($A167,'Raw Data'!$G:$G,'Raw Data'!$AM:$AM),"")</f>
        <v/>
      </c>
      <c r="G167" s="90" t="str">
        <f>IFERROR(_xlfn.XLOOKUP($A167,'Raw Data'!$G:$G,'Raw Data'!$AB:$AB),"")</f>
        <v/>
      </c>
      <c r="H167" s="90"/>
      <c r="I167" s="90" t="str">
        <f>IFERROR(_xlfn.XLOOKUP($A167,'Raw Data'!$G:$G,'Raw Data'!$AC:$AC),"")</f>
        <v/>
      </c>
      <c r="J167" s="90"/>
      <c r="K167" s="90" t="str">
        <f>IFERROR(_xlfn.XLOOKUP($A167,'Raw Data'!$G:$G,'Raw Data'!AD:AD),"")</f>
        <v/>
      </c>
      <c r="L167" s="90" t="str">
        <f>IFERROR(_xlfn.XLOOKUP($A167,'Raw Data'!$G:$G,'Raw Data'!AE:AE),"")</f>
        <v/>
      </c>
      <c r="M167" s="90" t="str">
        <f>IFERROR(_xlfn.XLOOKUP($A167,'Raw Data'!$G:$G,'Raw Data'!AF:AF),"")</f>
        <v/>
      </c>
      <c r="N167" s="90" t="str">
        <f>IFERROR(_xlfn.XLOOKUP($A167,'Raw Data'!$G:$G,'Raw Data'!AG:AG),"")</f>
        <v/>
      </c>
      <c r="O167" s="85" t="str">
        <f>IFERROR(1-SUMIF('Plant BD'!$B:$B,$A167,'Plant BD'!$AM:$AM)/($AA167+SUMIF('Plant BD'!$B:$B,$A167,'Plant BD'!$AM:$AM)),"")</f>
        <v/>
      </c>
      <c r="P167" s="85"/>
      <c r="Q167" s="89"/>
      <c r="R167" s="85" t="str">
        <f>IFERROR(1-SUMIF('Grid BD'!$B:$B,$A167,'Grid BD'!$AE:$AE)/($AA167+SUMIF('Grid BD'!$B:$B,$A167,'Grid BD'!$AE:$AE)),"")</f>
        <v/>
      </c>
      <c r="T167" s="89"/>
      <c r="U167" s="88" t="str">
        <f t="shared" si="9"/>
        <v/>
      </c>
      <c r="V167" s="88"/>
      <c r="W167" s="84" t="str">
        <f t="shared" si="8"/>
        <v/>
      </c>
      <c r="X167" s="86" t="str">
        <f>IFERROR(_xlfn.XLOOKUP($A167,'Raw Data'!$G:$G,'Raw Data'!AI:AI),"")</f>
        <v/>
      </c>
      <c r="Y167" s="86" t="str">
        <f>IFERROR(_xlfn.XLOOKUP($A167,'Raw Data'!$G:$G,'Raw Data'!AJ:AJ),"")</f>
        <v/>
      </c>
      <c r="Z167" s="86" t="str">
        <f>IFERROR(_xlfn.XLOOKUP($A167,'Raw Data'!$G:$G,'Raw Data'!AK:AK),"")</f>
        <v/>
      </c>
      <c r="AA167" s="86" t="str">
        <f>IFERROR(_xlfn.XLOOKUP($A167,'Raw Data'!$G:$G,'Raw Data'!$AL:$AL)*(1+(_xlfn.XLOOKUP(Table13[[#This Row],[Month Year]],JMR!$A:$A,JMR!$J:$J))),"")</f>
        <v/>
      </c>
      <c r="AB167" s="86" t="str">
        <f>IFERROR(_xlfn.XLOOKUP($A167,'Raw Data'!$G:$G,'Raw Data'!$H:$H),"")</f>
        <v/>
      </c>
      <c r="AC167" s="87">
        <f>IFERROR(_xlfn.XLOOKUP($D167,'Modelling New'!$D:$D,'Modelling New'!$P:$P),"")</f>
        <v>4.83</v>
      </c>
      <c r="AD167" s="86">
        <f>IFERROR(_xlfn.XLOOKUP($D167,'Modelling New'!$D:$D,'Modelling New'!$T:$T)*1000,"")</f>
        <v>23985.019069663569</v>
      </c>
      <c r="AE167" s="94">
        <f>IFERROR(_xlfn.XLOOKUP($D167,'Modelling New'!$D:$D,'Modelling New'!$O:$O),"")</f>
        <v>0.69949324677249292</v>
      </c>
      <c r="AF167" s="94">
        <f>IFERROR(_xlfn.XLOOKUP($D167,'Modelling New'!$D:$D,'Modelling New'!$W:$W),"")</f>
        <v>0.14077301591296421</v>
      </c>
      <c r="AG167" s="94">
        <f>IFERROR(_xlfn.XLOOKUP($D167,'Modelling New'!$D:$D,'Modelling New'!$AE:$AE),"")</f>
        <v>0.98040000000000005</v>
      </c>
      <c r="AH167" s="94">
        <f>IFERROR(_xlfn.XLOOKUP($D167,'Modelling New'!$D:$D,'Modelling New'!$AF:$AF),"")</f>
        <v>0.98</v>
      </c>
      <c r="AN167" s="85"/>
      <c r="AO167" s="84"/>
      <c r="AP167" s="84"/>
      <c r="AQ167" s="84"/>
      <c r="AR167" s="86">
        <f>'Basic Data'!$J$2</f>
        <v>7.0991999999999997</v>
      </c>
      <c r="AT167" s="7" t="str">
        <f>IFERROR(_xlfn.XLOOKUP(Table13[[#This Row],[Date]],'Raw Data'!$E:$E,'Raw Data'!$AN:$AN),"")</f>
        <v/>
      </c>
      <c r="AU167" s="7">
        <f>IFERROR(_xlfn.XLOOKUP(Table13[[#This Row],[Month Year]],'Modelling New'!$D:$D,'Modelling New'!$AO:$AO),"")</f>
        <v>7</v>
      </c>
      <c r="AV167" s="7">
        <f>IFERROR(SUMIF('Curtailment Records'!$C:$C,Table13[[#This Row],[Date]],'Curtailment Records'!$R:$R)/1000,"")</f>
        <v>0</v>
      </c>
    </row>
    <row r="168" spans="1:48" x14ac:dyDescent="0.25">
      <c r="A168" s="93">
        <f t="shared" si="10"/>
        <v>45911</v>
      </c>
      <c r="B168" s="86">
        <f>YEAR(Table13[[#This Row],[Date]])+IF(MONTH(Table13[[#This Row],[Date]])&gt;=4,1,0)</f>
        <v>2026</v>
      </c>
      <c r="C168" s="7">
        <f>YEAR(Table13[[#This Row],[Date]])</f>
        <v>2025</v>
      </c>
      <c r="D168" s="92">
        <f>Table13[[#This Row],[Date]]-DAY(Table13[[#This Row],[Date]])+1</f>
        <v>45901</v>
      </c>
      <c r="E168" s="7">
        <f t="shared" si="11"/>
        <v>30</v>
      </c>
      <c r="F168" s="91" t="str">
        <f>IFERROR(_xlfn.XLOOKUP($A168,'Raw Data'!$G:$G,'Raw Data'!$AM:$AM),"")</f>
        <v/>
      </c>
      <c r="G168" s="90" t="str">
        <f>IFERROR(_xlfn.XLOOKUP($A168,'Raw Data'!$G:$G,'Raw Data'!$AB:$AB),"")</f>
        <v/>
      </c>
      <c r="H168" s="90"/>
      <c r="I168" s="90" t="str">
        <f>IFERROR(_xlfn.XLOOKUP($A168,'Raw Data'!$G:$G,'Raw Data'!$AC:$AC),"")</f>
        <v/>
      </c>
      <c r="J168" s="90"/>
      <c r="K168" s="90" t="str">
        <f>IFERROR(_xlfn.XLOOKUP($A168,'Raw Data'!$G:$G,'Raw Data'!AD:AD),"")</f>
        <v/>
      </c>
      <c r="L168" s="90" t="str">
        <f>IFERROR(_xlfn.XLOOKUP($A168,'Raw Data'!$G:$G,'Raw Data'!AE:AE),"")</f>
        <v/>
      </c>
      <c r="M168" s="90" t="str">
        <f>IFERROR(_xlfn.XLOOKUP($A168,'Raw Data'!$G:$G,'Raw Data'!AF:AF),"")</f>
        <v/>
      </c>
      <c r="N168" s="90" t="str">
        <f>IFERROR(_xlfn.XLOOKUP($A168,'Raw Data'!$G:$G,'Raw Data'!AG:AG),"")</f>
        <v/>
      </c>
      <c r="O168" s="85" t="str">
        <f>IFERROR(1-SUMIF('Plant BD'!$B:$B,$A168,'Plant BD'!$AM:$AM)/($AA168+SUMIF('Plant BD'!$B:$B,$A168,'Plant BD'!$AM:$AM)),"")</f>
        <v/>
      </c>
      <c r="P168" s="85"/>
      <c r="Q168" s="89"/>
      <c r="R168" s="85" t="str">
        <f>IFERROR(1-SUMIF('Grid BD'!$B:$B,$A168,'Grid BD'!$AE:$AE)/($AA168+SUMIF('Grid BD'!$B:$B,$A168,'Grid BD'!$AE:$AE)),"")</f>
        <v/>
      </c>
      <c r="T168" s="89"/>
      <c r="U168" s="88" t="str">
        <f t="shared" si="9"/>
        <v/>
      </c>
      <c r="V168" s="88"/>
      <c r="W168" s="84" t="str">
        <f t="shared" si="8"/>
        <v/>
      </c>
      <c r="X168" s="86" t="str">
        <f>IFERROR(_xlfn.XLOOKUP($A168,'Raw Data'!$G:$G,'Raw Data'!AI:AI),"")</f>
        <v/>
      </c>
      <c r="Y168" s="86" t="str">
        <f>IFERROR(_xlfn.XLOOKUP($A168,'Raw Data'!$G:$G,'Raw Data'!AJ:AJ),"")</f>
        <v/>
      </c>
      <c r="Z168" s="86" t="str">
        <f>IFERROR(_xlfn.XLOOKUP($A168,'Raw Data'!$G:$G,'Raw Data'!AK:AK),"")</f>
        <v/>
      </c>
      <c r="AA168" s="86" t="str">
        <f>IFERROR(_xlfn.XLOOKUP($A168,'Raw Data'!$G:$G,'Raw Data'!$AL:$AL)*(1+(_xlfn.XLOOKUP(Table13[[#This Row],[Month Year]],JMR!$A:$A,JMR!$J:$J))),"")</f>
        <v/>
      </c>
      <c r="AB168" s="86" t="str">
        <f>IFERROR(_xlfn.XLOOKUP($A168,'Raw Data'!$G:$G,'Raw Data'!$H:$H),"")</f>
        <v/>
      </c>
      <c r="AC168" s="87">
        <f>IFERROR(_xlfn.XLOOKUP($D168,'Modelling New'!$D:$D,'Modelling New'!$P:$P),"")</f>
        <v>4.83</v>
      </c>
      <c r="AD168" s="86">
        <f>IFERROR(_xlfn.XLOOKUP($D168,'Modelling New'!$D:$D,'Modelling New'!$T:$T)*1000,"")</f>
        <v>23985.019069663569</v>
      </c>
      <c r="AE168" s="94">
        <f>IFERROR(_xlfn.XLOOKUP($D168,'Modelling New'!$D:$D,'Modelling New'!$O:$O),"")</f>
        <v>0.69949324677249292</v>
      </c>
      <c r="AF168" s="94">
        <f>IFERROR(_xlfn.XLOOKUP($D168,'Modelling New'!$D:$D,'Modelling New'!$W:$W),"")</f>
        <v>0.14077301591296421</v>
      </c>
      <c r="AG168" s="94">
        <f>IFERROR(_xlfn.XLOOKUP($D168,'Modelling New'!$D:$D,'Modelling New'!$AE:$AE),"")</f>
        <v>0.98040000000000005</v>
      </c>
      <c r="AH168" s="94">
        <f>IFERROR(_xlfn.XLOOKUP($D168,'Modelling New'!$D:$D,'Modelling New'!$AF:$AF),"")</f>
        <v>0.98</v>
      </c>
      <c r="AN168" s="85"/>
      <c r="AO168" s="84"/>
      <c r="AP168" s="84"/>
      <c r="AQ168" s="84"/>
      <c r="AR168" s="86">
        <f>'Basic Data'!$J$2</f>
        <v>7.0991999999999997</v>
      </c>
      <c r="AT168" s="7" t="str">
        <f>IFERROR(_xlfn.XLOOKUP(Table13[[#This Row],[Date]],'Raw Data'!$E:$E,'Raw Data'!$AN:$AN),"")</f>
        <v/>
      </c>
      <c r="AU168" s="7">
        <f>IFERROR(_xlfn.XLOOKUP(Table13[[#This Row],[Month Year]],'Modelling New'!$D:$D,'Modelling New'!$AO:$AO),"")</f>
        <v>7</v>
      </c>
      <c r="AV168" s="7">
        <f>IFERROR(SUMIF('Curtailment Records'!$C:$C,Table13[[#This Row],[Date]],'Curtailment Records'!$R:$R)/1000,"")</f>
        <v>0</v>
      </c>
    </row>
    <row r="169" spans="1:48" x14ac:dyDescent="0.25">
      <c r="A169" s="93">
        <f t="shared" si="10"/>
        <v>45912</v>
      </c>
      <c r="B169" s="86">
        <f>YEAR(Table13[[#This Row],[Date]])+IF(MONTH(Table13[[#This Row],[Date]])&gt;=4,1,0)</f>
        <v>2026</v>
      </c>
      <c r="C169" s="7">
        <f>YEAR(Table13[[#This Row],[Date]])</f>
        <v>2025</v>
      </c>
      <c r="D169" s="92">
        <f>Table13[[#This Row],[Date]]-DAY(Table13[[#This Row],[Date]])+1</f>
        <v>45901</v>
      </c>
      <c r="E169" s="7">
        <f t="shared" si="11"/>
        <v>30</v>
      </c>
      <c r="F169" s="91" t="str">
        <f>IFERROR(_xlfn.XLOOKUP($A169,'Raw Data'!$G:$G,'Raw Data'!$AM:$AM),"")</f>
        <v/>
      </c>
      <c r="G169" s="90" t="str">
        <f>IFERROR(_xlfn.XLOOKUP($A169,'Raw Data'!$G:$G,'Raw Data'!$AB:$AB),"")</f>
        <v/>
      </c>
      <c r="H169" s="90"/>
      <c r="I169" s="90" t="str">
        <f>IFERROR(_xlfn.XLOOKUP($A169,'Raw Data'!$G:$G,'Raw Data'!$AC:$AC),"")</f>
        <v/>
      </c>
      <c r="J169" s="90"/>
      <c r="K169" s="90" t="str">
        <f>IFERROR(_xlfn.XLOOKUP($A169,'Raw Data'!$G:$G,'Raw Data'!AD:AD),"")</f>
        <v/>
      </c>
      <c r="L169" s="90" t="str">
        <f>IFERROR(_xlfn.XLOOKUP($A169,'Raw Data'!$G:$G,'Raw Data'!AE:AE),"")</f>
        <v/>
      </c>
      <c r="M169" s="90" t="str">
        <f>IFERROR(_xlfn.XLOOKUP($A169,'Raw Data'!$G:$G,'Raw Data'!AF:AF),"")</f>
        <v/>
      </c>
      <c r="N169" s="90" t="str">
        <f>IFERROR(_xlfn.XLOOKUP($A169,'Raw Data'!$G:$G,'Raw Data'!AG:AG),"")</f>
        <v/>
      </c>
      <c r="O169" s="85" t="str">
        <f>IFERROR(1-SUMIF('Plant BD'!$B:$B,$A169,'Plant BD'!$AM:$AM)/($AA169+SUMIF('Plant BD'!$B:$B,$A169,'Plant BD'!$AM:$AM)),"")</f>
        <v/>
      </c>
      <c r="P169" s="85"/>
      <c r="Q169" s="89"/>
      <c r="R169" s="85" t="str">
        <f>IFERROR(1-SUMIF('Grid BD'!$B:$B,$A169,'Grid BD'!$AE:$AE)/($AA169+SUMIF('Grid BD'!$B:$B,$A169,'Grid BD'!$AE:$AE)),"")</f>
        <v/>
      </c>
      <c r="T169" s="89"/>
      <c r="U169" s="88" t="str">
        <f t="shared" si="9"/>
        <v/>
      </c>
      <c r="V169" s="88"/>
      <c r="W169" s="84" t="str">
        <f t="shared" si="8"/>
        <v/>
      </c>
      <c r="X169" s="86" t="str">
        <f>IFERROR(_xlfn.XLOOKUP($A169,'Raw Data'!$G:$G,'Raw Data'!AI:AI),"")</f>
        <v/>
      </c>
      <c r="Y169" s="86" t="str">
        <f>IFERROR(_xlfn.XLOOKUP($A169,'Raw Data'!$G:$G,'Raw Data'!AJ:AJ),"")</f>
        <v/>
      </c>
      <c r="Z169" s="86" t="str">
        <f>IFERROR(_xlfn.XLOOKUP($A169,'Raw Data'!$G:$G,'Raw Data'!AK:AK),"")</f>
        <v/>
      </c>
      <c r="AA169" s="86" t="str">
        <f>IFERROR(_xlfn.XLOOKUP($A169,'Raw Data'!$G:$G,'Raw Data'!$AL:$AL)*(1+(_xlfn.XLOOKUP(Table13[[#This Row],[Month Year]],JMR!$A:$A,JMR!$J:$J))),"")</f>
        <v/>
      </c>
      <c r="AB169" s="86" t="str">
        <f>IFERROR(_xlfn.XLOOKUP($A169,'Raw Data'!$G:$G,'Raw Data'!$H:$H),"")</f>
        <v/>
      </c>
      <c r="AC169" s="87">
        <f>IFERROR(_xlfn.XLOOKUP($D169,'Modelling New'!$D:$D,'Modelling New'!$P:$P),"")</f>
        <v>4.83</v>
      </c>
      <c r="AD169" s="86">
        <f>IFERROR(_xlfn.XLOOKUP($D169,'Modelling New'!$D:$D,'Modelling New'!$T:$T)*1000,"")</f>
        <v>23985.019069663569</v>
      </c>
      <c r="AE169" s="94">
        <f>IFERROR(_xlfn.XLOOKUP($D169,'Modelling New'!$D:$D,'Modelling New'!$O:$O),"")</f>
        <v>0.69949324677249292</v>
      </c>
      <c r="AF169" s="94">
        <f>IFERROR(_xlfn.XLOOKUP($D169,'Modelling New'!$D:$D,'Modelling New'!$W:$W),"")</f>
        <v>0.14077301591296421</v>
      </c>
      <c r="AG169" s="94">
        <f>IFERROR(_xlfn.XLOOKUP($D169,'Modelling New'!$D:$D,'Modelling New'!$AE:$AE),"")</f>
        <v>0.98040000000000005</v>
      </c>
      <c r="AH169" s="94">
        <f>IFERROR(_xlfn.XLOOKUP($D169,'Modelling New'!$D:$D,'Modelling New'!$AF:$AF),"")</f>
        <v>0.98</v>
      </c>
      <c r="AN169" s="85"/>
      <c r="AO169" s="84"/>
      <c r="AP169" s="84"/>
      <c r="AQ169" s="84"/>
      <c r="AR169" s="86">
        <f>'Basic Data'!$J$2</f>
        <v>7.0991999999999997</v>
      </c>
      <c r="AT169" s="7" t="str">
        <f>IFERROR(_xlfn.XLOOKUP(Table13[[#This Row],[Date]],'Raw Data'!$E:$E,'Raw Data'!$AN:$AN),"")</f>
        <v/>
      </c>
      <c r="AU169" s="7">
        <f>IFERROR(_xlfn.XLOOKUP(Table13[[#This Row],[Month Year]],'Modelling New'!$D:$D,'Modelling New'!$AO:$AO),"")</f>
        <v>7</v>
      </c>
      <c r="AV169" s="7">
        <f>IFERROR(SUMIF('Curtailment Records'!$C:$C,Table13[[#This Row],[Date]],'Curtailment Records'!$R:$R)/1000,"")</f>
        <v>0</v>
      </c>
    </row>
    <row r="170" spans="1:48" x14ac:dyDescent="0.25">
      <c r="A170" s="93">
        <f t="shared" si="10"/>
        <v>45913</v>
      </c>
      <c r="B170" s="86">
        <f>YEAR(Table13[[#This Row],[Date]])+IF(MONTH(Table13[[#This Row],[Date]])&gt;=4,1,0)</f>
        <v>2026</v>
      </c>
      <c r="C170" s="7">
        <f>YEAR(Table13[[#This Row],[Date]])</f>
        <v>2025</v>
      </c>
      <c r="D170" s="92">
        <f>Table13[[#This Row],[Date]]-DAY(Table13[[#This Row],[Date]])+1</f>
        <v>45901</v>
      </c>
      <c r="E170" s="7">
        <f t="shared" si="11"/>
        <v>30</v>
      </c>
      <c r="F170" s="91" t="str">
        <f>IFERROR(_xlfn.XLOOKUP($A170,'Raw Data'!$G:$G,'Raw Data'!$AM:$AM),"")</f>
        <v/>
      </c>
      <c r="G170" s="90" t="str">
        <f>IFERROR(_xlfn.XLOOKUP($A170,'Raw Data'!$G:$G,'Raw Data'!$AB:$AB),"")</f>
        <v/>
      </c>
      <c r="H170" s="90"/>
      <c r="I170" s="90" t="str">
        <f>IFERROR(_xlfn.XLOOKUP($A170,'Raw Data'!$G:$G,'Raw Data'!$AC:$AC),"")</f>
        <v/>
      </c>
      <c r="J170" s="90"/>
      <c r="K170" s="90" t="str">
        <f>IFERROR(_xlfn.XLOOKUP($A170,'Raw Data'!$G:$G,'Raw Data'!AD:AD),"")</f>
        <v/>
      </c>
      <c r="L170" s="90" t="str">
        <f>IFERROR(_xlfn.XLOOKUP($A170,'Raw Data'!$G:$G,'Raw Data'!AE:AE),"")</f>
        <v/>
      </c>
      <c r="M170" s="90" t="str">
        <f>IFERROR(_xlfn.XLOOKUP($A170,'Raw Data'!$G:$G,'Raw Data'!AF:AF),"")</f>
        <v/>
      </c>
      <c r="N170" s="90" t="str">
        <f>IFERROR(_xlfn.XLOOKUP($A170,'Raw Data'!$G:$G,'Raw Data'!AG:AG),"")</f>
        <v/>
      </c>
      <c r="O170" s="85" t="str">
        <f>IFERROR(1-SUMIF('Plant BD'!$B:$B,$A170,'Plant BD'!$AM:$AM)/($AA170+SUMIF('Plant BD'!$B:$B,$A170,'Plant BD'!$AM:$AM)),"")</f>
        <v/>
      </c>
      <c r="P170" s="85"/>
      <c r="Q170" s="89"/>
      <c r="R170" s="85" t="str">
        <f>IFERROR(1-SUMIF('Grid BD'!$B:$B,$A170,'Grid BD'!$AE:$AE)/($AA170+SUMIF('Grid BD'!$B:$B,$A170,'Grid BD'!$AE:$AE)),"")</f>
        <v/>
      </c>
      <c r="T170" s="89"/>
      <c r="U170" s="88" t="str">
        <f t="shared" si="9"/>
        <v/>
      </c>
      <c r="V170" s="88"/>
      <c r="W170" s="84" t="str">
        <f t="shared" si="8"/>
        <v/>
      </c>
      <c r="X170" s="86" t="str">
        <f>IFERROR(_xlfn.XLOOKUP($A170,'Raw Data'!$G:$G,'Raw Data'!AI:AI),"")</f>
        <v/>
      </c>
      <c r="Y170" s="86" t="str">
        <f>IFERROR(_xlfn.XLOOKUP($A170,'Raw Data'!$G:$G,'Raw Data'!AJ:AJ),"")</f>
        <v/>
      </c>
      <c r="Z170" s="86" t="str">
        <f>IFERROR(_xlfn.XLOOKUP($A170,'Raw Data'!$G:$G,'Raw Data'!AK:AK),"")</f>
        <v/>
      </c>
      <c r="AA170" s="86" t="str">
        <f>IFERROR(_xlfn.XLOOKUP($A170,'Raw Data'!$G:$G,'Raw Data'!$AL:$AL)*(1+(_xlfn.XLOOKUP(Table13[[#This Row],[Month Year]],JMR!$A:$A,JMR!$J:$J))),"")</f>
        <v/>
      </c>
      <c r="AB170" s="86" t="str">
        <f>IFERROR(_xlfn.XLOOKUP($A170,'Raw Data'!$G:$G,'Raw Data'!$H:$H),"")</f>
        <v/>
      </c>
      <c r="AC170" s="87">
        <f>IFERROR(_xlfn.XLOOKUP($D170,'Modelling New'!$D:$D,'Modelling New'!$P:$P),"")</f>
        <v>4.83</v>
      </c>
      <c r="AD170" s="86">
        <f>IFERROR(_xlfn.XLOOKUP($D170,'Modelling New'!$D:$D,'Modelling New'!$T:$T)*1000,"")</f>
        <v>23985.019069663569</v>
      </c>
      <c r="AE170" s="94">
        <f>IFERROR(_xlfn.XLOOKUP($D170,'Modelling New'!$D:$D,'Modelling New'!$O:$O),"")</f>
        <v>0.69949324677249292</v>
      </c>
      <c r="AF170" s="94">
        <f>IFERROR(_xlfn.XLOOKUP($D170,'Modelling New'!$D:$D,'Modelling New'!$W:$W),"")</f>
        <v>0.14077301591296421</v>
      </c>
      <c r="AG170" s="94">
        <f>IFERROR(_xlfn.XLOOKUP($D170,'Modelling New'!$D:$D,'Modelling New'!$AE:$AE),"")</f>
        <v>0.98040000000000005</v>
      </c>
      <c r="AH170" s="94">
        <f>IFERROR(_xlfn.XLOOKUP($D170,'Modelling New'!$D:$D,'Modelling New'!$AF:$AF),"")</f>
        <v>0.98</v>
      </c>
      <c r="AN170" s="85"/>
      <c r="AO170" s="84"/>
      <c r="AP170" s="84"/>
      <c r="AQ170" s="84"/>
      <c r="AR170" s="86">
        <f>'Basic Data'!$J$2</f>
        <v>7.0991999999999997</v>
      </c>
      <c r="AT170" s="7" t="str">
        <f>IFERROR(_xlfn.XLOOKUP(Table13[[#This Row],[Date]],'Raw Data'!$E:$E,'Raw Data'!$AN:$AN),"")</f>
        <v/>
      </c>
      <c r="AU170" s="7">
        <f>IFERROR(_xlfn.XLOOKUP(Table13[[#This Row],[Month Year]],'Modelling New'!$D:$D,'Modelling New'!$AO:$AO),"")</f>
        <v>7</v>
      </c>
      <c r="AV170" s="7">
        <f>IFERROR(SUMIF('Curtailment Records'!$C:$C,Table13[[#This Row],[Date]],'Curtailment Records'!$R:$R)/1000,"")</f>
        <v>0</v>
      </c>
    </row>
    <row r="171" spans="1:48" x14ac:dyDescent="0.25">
      <c r="A171" s="93">
        <f t="shared" si="10"/>
        <v>45914</v>
      </c>
      <c r="B171" s="86">
        <f>YEAR(Table13[[#This Row],[Date]])+IF(MONTH(Table13[[#This Row],[Date]])&gt;=4,1,0)</f>
        <v>2026</v>
      </c>
      <c r="C171" s="7">
        <f>YEAR(Table13[[#This Row],[Date]])</f>
        <v>2025</v>
      </c>
      <c r="D171" s="92">
        <f>Table13[[#This Row],[Date]]-DAY(Table13[[#This Row],[Date]])+1</f>
        <v>45901</v>
      </c>
      <c r="E171" s="7">
        <f t="shared" si="11"/>
        <v>30</v>
      </c>
      <c r="F171" s="91" t="str">
        <f>IFERROR(_xlfn.XLOOKUP($A171,'Raw Data'!$G:$G,'Raw Data'!$AM:$AM),"")</f>
        <v/>
      </c>
      <c r="G171" s="90" t="str">
        <f>IFERROR(_xlfn.XLOOKUP($A171,'Raw Data'!$G:$G,'Raw Data'!$AB:$AB),"")</f>
        <v/>
      </c>
      <c r="H171" s="90"/>
      <c r="I171" s="90" t="str">
        <f>IFERROR(_xlfn.XLOOKUP($A171,'Raw Data'!$G:$G,'Raw Data'!$AC:$AC),"")</f>
        <v/>
      </c>
      <c r="J171" s="90"/>
      <c r="K171" s="90" t="str">
        <f>IFERROR(_xlfn.XLOOKUP($A171,'Raw Data'!$G:$G,'Raw Data'!AD:AD),"")</f>
        <v/>
      </c>
      <c r="L171" s="90" t="str">
        <f>IFERROR(_xlfn.XLOOKUP($A171,'Raw Data'!$G:$G,'Raw Data'!AE:AE),"")</f>
        <v/>
      </c>
      <c r="M171" s="90" t="str">
        <f>IFERROR(_xlfn.XLOOKUP($A171,'Raw Data'!$G:$G,'Raw Data'!AF:AF),"")</f>
        <v/>
      </c>
      <c r="N171" s="90" t="str">
        <f>IFERROR(_xlfn.XLOOKUP($A171,'Raw Data'!$G:$G,'Raw Data'!AG:AG),"")</f>
        <v/>
      </c>
      <c r="O171" s="85" t="str">
        <f>IFERROR(1-SUMIF('Plant BD'!$B:$B,$A171,'Plant BD'!$AM:$AM)/($AA171+SUMIF('Plant BD'!$B:$B,$A171,'Plant BD'!$AM:$AM)),"")</f>
        <v/>
      </c>
      <c r="P171" s="85"/>
      <c r="Q171" s="89"/>
      <c r="R171" s="85" t="str">
        <f>IFERROR(1-SUMIF('Grid BD'!$B:$B,$A171,'Grid BD'!$AE:$AE)/($AA171+SUMIF('Grid BD'!$B:$B,$A171,'Grid BD'!$AE:$AE)),"")</f>
        <v/>
      </c>
      <c r="T171" s="89"/>
      <c r="U171" s="88" t="str">
        <f t="shared" si="9"/>
        <v/>
      </c>
      <c r="V171" s="88"/>
      <c r="W171" s="84" t="str">
        <f t="shared" si="8"/>
        <v/>
      </c>
      <c r="X171" s="86" t="str">
        <f>IFERROR(_xlfn.XLOOKUP($A171,'Raw Data'!$G:$G,'Raw Data'!AI:AI),"")</f>
        <v/>
      </c>
      <c r="Y171" s="86" t="str">
        <f>IFERROR(_xlfn.XLOOKUP($A171,'Raw Data'!$G:$G,'Raw Data'!AJ:AJ),"")</f>
        <v/>
      </c>
      <c r="Z171" s="86" t="str">
        <f>IFERROR(_xlfn.XLOOKUP($A171,'Raw Data'!$G:$G,'Raw Data'!AK:AK),"")</f>
        <v/>
      </c>
      <c r="AA171" s="86" t="str">
        <f>IFERROR(_xlfn.XLOOKUP($A171,'Raw Data'!$G:$G,'Raw Data'!$AL:$AL)*(1+(_xlfn.XLOOKUP(Table13[[#This Row],[Month Year]],JMR!$A:$A,JMR!$J:$J))),"")</f>
        <v/>
      </c>
      <c r="AB171" s="86" t="str">
        <f>IFERROR(_xlfn.XLOOKUP($A171,'Raw Data'!$G:$G,'Raw Data'!$H:$H),"")</f>
        <v/>
      </c>
      <c r="AC171" s="87">
        <f>IFERROR(_xlfn.XLOOKUP($D171,'Modelling New'!$D:$D,'Modelling New'!$P:$P),"")</f>
        <v>4.83</v>
      </c>
      <c r="AD171" s="86">
        <f>IFERROR(_xlfn.XLOOKUP($D171,'Modelling New'!$D:$D,'Modelling New'!$T:$T)*1000,"")</f>
        <v>23985.019069663569</v>
      </c>
      <c r="AE171" s="94">
        <f>IFERROR(_xlfn.XLOOKUP($D171,'Modelling New'!$D:$D,'Modelling New'!$O:$O),"")</f>
        <v>0.69949324677249292</v>
      </c>
      <c r="AF171" s="94">
        <f>IFERROR(_xlfn.XLOOKUP($D171,'Modelling New'!$D:$D,'Modelling New'!$W:$W),"")</f>
        <v>0.14077301591296421</v>
      </c>
      <c r="AG171" s="94">
        <f>IFERROR(_xlfn.XLOOKUP($D171,'Modelling New'!$D:$D,'Modelling New'!$AE:$AE),"")</f>
        <v>0.98040000000000005</v>
      </c>
      <c r="AH171" s="94">
        <f>IFERROR(_xlfn.XLOOKUP($D171,'Modelling New'!$D:$D,'Modelling New'!$AF:$AF),"")</f>
        <v>0.98</v>
      </c>
      <c r="AN171" s="85"/>
      <c r="AO171" s="84"/>
      <c r="AP171" s="84"/>
      <c r="AQ171" s="84"/>
      <c r="AR171" s="86">
        <f>'Basic Data'!$J$2</f>
        <v>7.0991999999999997</v>
      </c>
      <c r="AT171" s="7" t="str">
        <f>IFERROR(_xlfn.XLOOKUP(Table13[[#This Row],[Date]],'Raw Data'!$E:$E,'Raw Data'!$AN:$AN),"")</f>
        <v/>
      </c>
      <c r="AU171" s="7">
        <f>IFERROR(_xlfn.XLOOKUP(Table13[[#This Row],[Month Year]],'Modelling New'!$D:$D,'Modelling New'!$AO:$AO),"")</f>
        <v>7</v>
      </c>
      <c r="AV171" s="7">
        <f>IFERROR(SUMIF('Curtailment Records'!$C:$C,Table13[[#This Row],[Date]],'Curtailment Records'!$R:$R)/1000,"")</f>
        <v>0</v>
      </c>
    </row>
    <row r="172" spans="1:48" x14ac:dyDescent="0.25">
      <c r="A172" s="93">
        <f t="shared" si="10"/>
        <v>45915</v>
      </c>
      <c r="B172" s="86">
        <f>YEAR(Table13[[#This Row],[Date]])+IF(MONTH(Table13[[#This Row],[Date]])&gt;=4,1,0)</f>
        <v>2026</v>
      </c>
      <c r="C172" s="7">
        <f>YEAR(Table13[[#This Row],[Date]])</f>
        <v>2025</v>
      </c>
      <c r="D172" s="92">
        <f>Table13[[#This Row],[Date]]-DAY(Table13[[#This Row],[Date]])+1</f>
        <v>45901</v>
      </c>
      <c r="E172" s="7">
        <f t="shared" si="11"/>
        <v>30</v>
      </c>
      <c r="F172" s="91" t="str">
        <f>IFERROR(_xlfn.XLOOKUP($A172,'Raw Data'!$G:$G,'Raw Data'!$AM:$AM),"")</f>
        <v/>
      </c>
      <c r="G172" s="90" t="str">
        <f>IFERROR(_xlfn.XLOOKUP($A172,'Raw Data'!$G:$G,'Raw Data'!$AB:$AB),"")</f>
        <v/>
      </c>
      <c r="H172" s="90"/>
      <c r="I172" s="90" t="str">
        <f>IFERROR(_xlfn.XLOOKUP($A172,'Raw Data'!$G:$G,'Raw Data'!$AC:$AC),"")</f>
        <v/>
      </c>
      <c r="J172" s="90"/>
      <c r="K172" s="90" t="str">
        <f>IFERROR(_xlfn.XLOOKUP($A172,'Raw Data'!$G:$G,'Raw Data'!AD:AD),"")</f>
        <v/>
      </c>
      <c r="L172" s="90" t="str">
        <f>IFERROR(_xlfn.XLOOKUP($A172,'Raw Data'!$G:$G,'Raw Data'!AE:AE),"")</f>
        <v/>
      </c>
      <c r="M172" s="90" t="str">
        <f>IFERROR(_xlfn.XLOOKUP($A172,'Raw Data'!$G:$G,'Raw Data'!AF:AF),"")</f>
        <v/>
      </c>
      <c r="N172" s="90" t="str">
        <f>IFERROR(_xlfn.XLOOKUP($A172,'Raw Data'!$G:$G,'Raw Data'!AG:AG),"")</f>
        <v/>
      </c>
      <c r="O172" s="85" t="str">
        <f>IFERROR(1-SUMIF('Plant BD'!$B:$B,$A172,'Plant BD'!$AM:$AM)/($AA172+SUMIF('Plant BD'!$B:$B,$A172,'Plant BD'!$AM:$AM)),"")</f>
        <v/>
      </c>
      <c r="P172" s="85"/>
      <c r="Q172" s="89"/>
      <c r="R172" s="85" t="str">
        <f>IFERROR(1-SUMIF('Grid BD'!$B:$B,$A172,'Grid BD'!$AE:$AE)/($AA172+SUMIF('Grid BD'!$B:$B,$A172,'Grid BD'!$AE:$AE)),"")</f>
        <v/>
      </c>
      <c r="T172" s="89"/>
      <c r="U172" s="88" t="str">
        <f t="shared" si="9"/>
        <v/>
      </c>
      <c r="V172" s="88"/>
      <c r="W172" s="84" t="str">
        <f t="shared" si="8"/>
        <v/>
      </c>
      <c r="X172" s="86" t="str">
        <f>IFERROR(_xlfn.XLOOKUP($A172,'Raw Data'!$G:$G,'Raw Data'!AI:AI),"")</f>
        <v/>
      </c>
      <c r="Y172" s="86" t="str">
        <f>IFERROR(_xlfn.XLOOKUP($A172,'Raw Data'!$G:$G,'Raw Data'!AJ:AJ),"")</f>
        <v/>
      </c>
      <c r="Z172" s="86" t="str">
        <f>IFERROR(_xlfn.XLOOKUP($A172,'Raw Data'!$G:$G,'Raw Data'!AK:AK),"")</f>
        <v/>
      </c>
      <c r="AA172" s="86" t="str">
        <f>IFERROR(_xlfn.XLOOKUP($A172,'Raw Data'!$G:$G,'Raw Data'!$AL:$AL)*(1+(_xlfn.XLOOKUP(Table13[[#This Row],[Month Year]],JMR!$A:$A,JMR!$J:$J))),"")</f>
        <v/>
      </c>
      <c r="AB172" s="86" t="str">
        <f>IFERROR(_xlfn.XLOOKUP($A172,'Raw Data'!$G:$G,'Raw Data'!$H:$H),"")</f>
        <v/>
      </c>
      <c r="AC172" s="87">
        <f>IFERROR(_xlfn.XLOOKUP($D172,'Modelling New'!$D:$D,'Modelling New'!$P:$P),"")</f>
        <v>4.83</v>
      </c>
      <c r="AD172" s="86">
        <f>IFERROR(_xlfn.XLOOKUP($D172,'Modelling New'!$D:$D,'Modelling New'!$T:$T)*1000,"")</f>
        <v>23985.019069663569</v>
      </c>
      <c r="AE172" s="94">
        <f>IFERROR(_xlfn.XLOOKUP($D172,'Modelling New'!$D:$D,'Modelling New'!$O:$O),"")</f>
        <v>0.69949324677249292</v>
      </c>
      <c r="AF172" s="94">
        <f>IFERROR(_xlfn.XLOOKUP($D172,'Modelling New'!$D:$D,'Modelling New'!$W:$W),"")</f>
        <v>0.14077301591296421</v>
      </c>
      <c r="AG172" s="94">
        <f>IFERROR(_xlfn.XLOOKUP($D172,'Modelling New'!$D:$D,'Modelling New'!$AE:$AE),"")</f>
        <v>0.98040000000000005</v>
      </c>
      <c r="AH172" s="94">
        <f>IFERROR(_xlfn.XLOOKUP($D172,'Modelling New'!$D:$D,'Modelling New'!$AF:$AF),"")</f>
        <v>0.98</v>
      </c>
      <c r="AN172" s="85"/>
      <c r="AO172" s="84"/>
      <c r="AP172" s="84"/>
      <c r="AQ172" s="84"/>
      <c r="AR172" s="86">
        <f>'Basic Data'!$J$2</f>
        <v>7.0991999999999997</v>
      </c>
      <c r="AT172" s="7" t="str">
        <f>IFERROR(_xlfn.XLOOKUP(Table13[[#This Row],[Date]],'Raw Data'!$E:$E,'Raw Data'!$AN:$AN),"")</f>
        <v/>
      </c>
      <c r="AU172" s="7">
        <f>IFERROR(_xlfn.XLOOKUP(Table13[[#This Row],[Month Year]],'Modelling New'!$D:$D,'Modelling New'!$AO:$AO),"")</f>
        <v>7</v>
      </c>
      <c r="AV172" s="7">
        <f>IFERROR(SUMIF('Curtailment Records'!$C:$C,Table13[[#This Row],[Date]],'Curtailment Records'!$R:$R)/1000,"")</f>
        <v>0</v>
      </c>
    </row>
    <row r="173" spans="1:48" x14ac:dyDescent="0.25">
      <c r="A173" s="93">
        <f t="shared" si="10"/>
        <v>45916</v>
      </c>
      <c r="B173" s="86">
        <f>YEAR(Table13[[#This Row],[Date]])+IF(MONTH(Table13[[#This Row],[Date]])&gt;=4,1,0)</f>
        <v>2026</v>
      </c>
      <c r="C173" s="7">
        <f>YEAR(Table13[[#This Row],[Date]])</f>
        <v>2025</v>
      </c>
      <c r="D173" s="92">
        <f>Table13[[#This Row],[Date]]-DAY(Table13[[#This Row],[Date]])+1</f>
        <v>45901</v>
      </c>
      <c r="E173" s="7">
        <f t="shared" si="11"/>
        <v>30</v>
      </c>
      <c r="F173" s="91" t="str">
        <f>IFERROR(_xlfn.XLOOKUP($A173,'Raw Data'!$G:$G,'Raw Data'!$AM:$AM),"")</f>
        <v/>
      </c>
      <c r="G173" s="90" t="str">
        <f>IFERROR(_xlfn.XLOOKUP($A173,'Raw Data'!$G:$G,'Raw Data'!$AB:$AB),"")</f>
        <v/>
      </c>
      <c r="H173" s="90"/>
      <c r="I173" s="90" t="str">
        <f>IFERROR(_xlfn.XLOOKUP($A173,'Raw Data'!$G:$G,'Raw Data'!$AC:$AC),"")</f>
        <v/>
      </c>
      <c r="J173" s="90"/>
      <c r="K173" s="90" t="str">
        <f>IFERROR(_xlfn.XLOOKUP($A173,'Raw Data'!$G:$G,'Raw Data'!AD:AD),"")</f>
        <v/>
      </c>
      <c r="L173" s="90" t="str">
        <f>IFERROR(_xlfn.XLOOKUP($A173,'Raw Data'!$G:$G,'Raw Data'!AE:AE),"")</f>
        <v/>
      </c>
      <c r="M173" s="90" t="str">
        <f>IFERROR(_xlfn.XLOOKUP($A173,'Raw Data'!$G:$G,'Raw Data'!AF:AF),"")</f>
        <v/>
      </c>
      <c r="N173" s="90" t="str">
        <f>IFERROR(_xlfn.XLOOKUP($A173,'Raw Data'!$G:$G,'Raw Data'!AG:AG),"")</f>
        <v/>
      </c>
      <c r="O173" s="85" t="str">
        <f>IFERROR(1-SUMIF('Plant BD'!$B:$B,$A173,'Plant BD'!$AM:$AM)/($AA173+SUMIF('Plant BD'!$B:$B,$A173,'Plant BD'!$AM:$AM)),"")</f>
        <v/>
      </c>
      <c r="P173" s="85"/>
      <c r="Q173" s="89"/>
      <c r="R173" s="85" t="str">
        <f>IFERROR(1-SUMIF('Grid BD'!$B:$B,$A173,'Grid BD'!$AE:$AE)/($AA173+SUMIF('Grid BD'!$B:$B,$A173,'Grid BD'!$AE:$AE)),"")</f>
        <v/>
      </c>
      <c r="T173" s="89"/>
      <c r="U173" s="88" t="str">
        <f t="shared" si="9"/>
        <v/>
      </c>
      <c r="V173" s="88"/>
      <c r="W173" s="84" t="str">
        <f t="shared" si="8"/>
        <v/>
      </c>
      <c r="X173" s="86" t="str">
        <f>IFERROR(_xlfn.XLOOKUP($A173,'Raw Data'!$G:$G,'Raw Data'!AI:AI),"")</f>
        <v/>
      </c>
      <c r="Y173" s="86" t="str">
        <f>IFERROR(_xlfn.XLOOKUP($A173,'Raw Data'!$G:$G,'Raw Data'!AJ:AJ),"")</f>
        <v/>
      </c>
      <c r="Z173" s="86" t="str">
        <f>IFERROR(_xlfn.XLOOKUP($A173,'Raw Data'!$G:$G,'Raw Data'!AK:AK),"")</f>
        <v/>
      </c>
      <c r="AA173" s="86" t="str">
        <f>IFERROR(_xlfn.XLOOKUP($A173,'Raw Data'!$G:$G,'Raw Data'!$AL:$AL)*(1+(_xlfn.XLOOKUP(Table13[[#This Row],[Month Year]],JMR!$A:$A,JMR!$J:$J))),"")</f>
        <v/>
      </c>
      <c r="AB173" s="86" t="str">
        <f>IFERROR(_xlfn.XLOOKUP($A173,'Raw Data'!$G:$G,'Raw Data'!$H:$H),"")</f>
        <v/>
      </c>
      <c r="AC173" s="87">
        <f>IFERROR(_xlfn.XLOOKUP($D173,'Modelling New'!$D:$D,'Modelling New'!$P:$P),"")</f>
        <v>4.83</v>
      </c>
      <c r="AD173" s="86">
        <f>IFERROR(_xlfn.XLOOKUP($D173,'Modelling New'!$D:$D,'Modelling New'!$T:$T)*1000,"")</f>
        <v>23985.019069663569</v>
      </c>
      <c r="AE173" s="94">
        <f>IFERROR(_xlfn.XLOOKUP($D173,'Modelling New'!$D:$D,'Modelling New'!$O:$O),"")</f>
        <v>0.69949324677249292</v>
      </c>
      <c r="AF173" s="94">
        <f>IFERROR(_xlfn.XLOOKUP($D173,'Modelling New'!$D:$D,'Modelling New'!$W:$W),"")</f>
        <v>0.14077301591296421</v>
      </c>
      <c r="AG173" s="94">
        <f>IFERROR(_xlfn.XLOOKUP($D173,'Modelling New'!$D:$D,'Modelling New'!$AE:$AE),"")</f>
        <v>0.98040000000000005</v>
      </c>
      <c r="AH173" s="94">
        <f>IFERROR(_xlfn.XLOOKUP($D173,'Modelling New'!$D:$D,'Modelling New'!$AF:$AF),"")</f>
        <v>0.98</v>
      </c>
      <c r="AN173" s="85"/>
      <c r="AO173" s="84"/>
      <c r="AP173" s="84"/>
      <c r="AQ173" s="84"/>
      <c r="AR173" s="86">
        <f>'Basic Data'!$J$2</f>
        <v>7.0991999999999997</v>
      </c>
      <c r="AT173" s="7" t="str">
        <f>IFERROR(_xlfn.XLOOKUP(Table13[[#This Row],[Date]],'Raw Data'!$E:$E,'Raw Data'!$AN:$AN),"")</f>
        <v/>
      </c>
      <c r="AU173" s="7">
        <f>IFERROR(_xlfn.XLOOKUP(Table13[[#This Row],[Month Year]],'Modelling New'!$D:$D,'Modelling New'!$AO:$AO),"")</f>
        <v>7</v>
      </c>
      <c r="AV173" s="7">
        <f>IFERROR(SUMIF('Curtailment Records'!$C:$C,Table13[[#This Row],[Date]],'Curtailment Records'!$R:$R)/1000,"")</f>
        <v>0</v>
      </c>
    </row>
    <row r="174" spans="1:48" x14ac:dyDescent="0.25">
      <c r="A174" s="93">
        <f t="shared" si="10"/>
        <v>45917</v>
      </c>
      <c r="B174" s="86">
        <f>YEAR(Table13[[#This Row],[Date]])+IF(MONTH(Table13[[#This Row],[Date]])&gt;=4,1,0)</f>
        <v>2026</v>
      </c>
      <c r="C174" s="7">
        <f>YEAR(Table13[[#This Row],[Date]])</f>
        <v>2025</v>
      </c>
      <c r="D174" s="92">
        <f>Table13[[#This Row],[Date]]-DAY(Table13[[#This Row],[Date]])+1</f>
        <v>45901</v>
      </c>
      <c r="E174" s="7">
        <f t="shared" si="11"/>
        <v>30</v>
      </c>
      <c r="F174" s="91" t="str">
        <f>IFERROR(_xlfn.XLOOKUP($A174,'Raw Data'!$G:$G,'Raw Data'!$AM:$AM),"")</f>
        <v/>
      </c>
      <c r="G174" s="90" t="str">
        <f>IFERROR(_xlfn.XLOOKUP($A174,'Raw Data'!$G:$G,'Raw Data'!$AB:$AB),"")</f>
        <v/>
      </c>
      <c r="H174" s="90"/>
      <c r="I174" s="90" t="str">
        <f>IFERROR(_xlfn.XLOOKUP($A174,'Raw Data'!$G:$G,'Raw Data'!$AC:$AC),"")</f>
        <v/>
      </c>
      <c r="J174" s="90"/>
      <c r="K174" s="90" t="str">
        <f>IFERROR(_xlfn.XLOOKUP($A174,'Raw Data'!$G:$G,'Raw Data'!AD:AD),"")</f>
        <v/>
      </c>
      <c r="L174" s="90" t="str">
        <f>IFERROR(_xlfn.XLOOKUP($A174,'Raw Data'!$G:$G,'Raw Data'!AE:AE),"")</f>
        <v/>
      </c>
      <c r="M174" s="90" t="str">
        <f>IFERROR(_xlfn.XLOOKUP($A174,'Raw Data'!$G:$G,'Raw Data'!AF:AF),"")</f>
        <v/>
      </c>
      <c r="N174" s="90" t="str">
        <f>IFERROR(_xlfn.XLOOKUP($A174,'Raw Data'!$G:$G,'Raw Data'!AG:AG),"")</f>
        <v/>
      </c>
      <c r="O174" s="85" t="str">
        <f>IFERROR(1-SUMIF('Plant BD'!$B:$B,$A174,'Plant BD'!$AM:$AM)/($AA174+SUMIF('Plant BD'!$B:$B,$A174,'Plant BD'!$AM:$AM)),"")</f>
        <v/>
      </c>
      <c r="P174" s="85"/>
      <c r="Q174" s="89"/>
      <c r="R174" s="85" t="str">
        <f>IFERROR(1-SUMIF('Grid BD'!$B:$B,$A174,'Grid BD'!$AE:$AE)/($AA174+SUMIF('Grid BD'!$B:$B,$A174,'Grid BD'!$AE:$AE)),"")</f>
        <v/>
      </c>
      <c r="T174" s="89"/>
      <c r="U174" s="88" t="str">
        <f t="shared" si="9"/>
        <v/>
      </c>
      <c r="V174" s="88"/>
      <c r="W174" s="84" t="str">
        <f t="shared" si="8"/>
        <v/>
      </c>
      <c r="X174" s="86" t="str">
        <f>IFERROR(_xlfn.XLOOKUP($A174,'Raw Data'!$G:$G,'Raw Data'!AI:AI),"")</f>
        <v/>
      </c>
      <c r="Y174" s="86" t="str">
        <f>IFERROR(_xlfn.XLOOKUP($A174,'Raw Data'!$G:$G,'Raw Data'!AJ:AJ),"")</f>
        <v/>
      </c>
      <c r="Z174" s="86" t="str">
        <f>IFERROR(_xlfn.XLOOKUP($A174,'Raw Data'!$G:$G,'Raw Data'!AK:AK),"")</f>
        <v/>
      </c>
      <c r="AA174" s="86" t="str">
        <f>IFERROR(_xlfn.XLOOKUP($A174,'Raw Data'!$G:$G,'Raw Data'!$AL:$AL)*(1+(_xlfn.XLOOKUP(Table13[[#This Row],[Month Year]],JMR!$A:$A,JMR!$J:$J))),"")</f>
        <v/>
      </c>
      <c r="AB174" s="86" t="str">
        <f>IFERROR(_xlfn.XLOOKUP($A174,'Raw Data'!$G:$G,'Raw Data'!$H:$H),"")</f>
        <v/>
      </c>
      <c r="AC174" s="87">
        <f>IFERROR(_xlfn.XLOOKUP($D174,'Modelling New'!$D:$D,'Modelling New'!$P:$P),"")</f>
        <v>4.83</v>
      </c>
      <c r="AD174" s="86">
        <f>IFERROR(_xlfn.XLOOKUP($D174,'Modelling New'!$D:$D,'Modelling New'!$T:$T)*1000,"")</f>
        <v>23985.019069663569</v>
      </c>
      <c r="AE174" s="94">
        <f>IFERROR(_xlfn.XLOOKUP($D174,'Modelling New'!$D:$D,'Modelling New'!$O:$O),"")</f>
        <v>0.69949324677249292</v>
      </c>
      <c r="AF174" s="94">
        <f>IFERROR(_xlfn.XLOOKUP($D174,'Modelling New'!$D:$D,'Modelling New'!$W:$W),"")</f>
        <v>0.14077301591296421</v>
      </c>
      <c r="AG174" s="94">
        <f>IFERROR(_xlfn.XLOOKUP($D174,'Modelling New'!$D:$D,'Modelling New'!$AE:$AE),"")</f>
        <v>0.98040000000000005</v>
      </c>
      <c r="AH174" s="94">
        <f>IFERROR(_xlfn.XLOOKUP($D174,'Modelling New'!$D:$D,'Modelling New'!$AF:$AF),"")</f>
        <v>0.98</v>
      </c>
      <c r="AN174" s="85"/>
      <c r="AO174" s="84"/>
      <c r="AP174" s="84"/>
      <c r="AQ174" s="84"/>
      <c r="AR174" s="86">
        <f>'Basic Data'!$J$2</f>
        <v>7.0991999999999997</v>
      </c>
      <c r="AT174" s="7" t="str">
        <f>IFERROR(_xlfn.XLOOKUP(Table13[[#This Row],[Date]],'Raw Data'!$E:$E,'Raw Data'!$AN:$AN),"")</f>
        <v/>
      </c>
      <c r="AU174" s="7">
        <f>IFERROR(_xlfn.XLOOKUP(Table13[[#This Row],[Month Year]],'Modelling New'!$D:$D,'Modelling New'!$AO:$AO),"")</f>
        <v>7</v>
      </c>
      <c r="AV174" s="7">
        <f>IFERROR(SUMIF('Curtailment Records'!$C:$C,Table13[[#This Row],[Date]],'Curtailment Records'!$R:$R)/1000,"")</f>
        <v>0</v>
      </c>
    </row>
    <row r="175" spans="1:48" x14ac:dyDescent="0.25">
      <c r="A175" s="93">
        <f t="shared" si="10"/>
        <v>45918</v>
      </c>
      <c r="B175" s="86">
        <f>YEAR(Table13[[#This Row],[Date]])+IF(MONTH(Table13[[#This Row],[Date]])&gt;=4,1,0)</f>
        <v>2026</v>
      </c>
      <c r="C175" s="7">
        <f>YEAR(Table13[[#This Row],[Date]])</f>
        <v>2025</v>
      </c>
      <c r="D175" s="92">
        <f>Table13[[#This Row],[Date]]-DAY(Table13[[#This Row],[Date]])+1</f>
        <v>45901</v>
      </c>
      <c r="E175" s="7">
        <f t="shared" si="11"/>
        <v>30</v>
      </c>
      <c r="F175" s="91" t="str">
        <f>IFERROR(_xlfn.XLOOKUP($A175,'Raw Data'!$G:$G,'Raw Data'!$AM:$AM),"")</f>
        <v/>
      </c>
      <c r="G175" s="90" t="str">
        <f>IFERROR(_xlfn.XLOOKUP($A175,'Raw Data'!$G:$G,'Raw Data'!$AB:$AB),"")</f>
        <v/>
      </c>
      <c r="H175" s="90"/>
      <c r="I175" s="90" t="str">
        <f>IFERROR(_xlfn.XLOOKUP($A175,'Raw Data'!$G:$G,'Raw Data'!$AC:$AC),"")</f>
        <v/>
      </c>
      <c r="J175" s="90"/>
      <c r="K175" s="90" t="str">
        <f>IFERROR(_xlfn.XLOOKUP($A175,'Raw Data'!$G:$G,'Raw Data'!AD:AD),"")</f>
        <v/>
      </c>
      <c r="L175" s="90" t="str">
        <f>IFERROR(_xlfn.XLOOKUP($A175,'Raw Data'!$G:$G,'Raw Data'!AE:AE),"")</f>
        <v/>
      </c>
      <c r="M175" s="90" t="str">
        <f>IFERROR(_xlfn.XLOOKUP($A175,'Raw Data'!$G:$G,'Raw Data'!AF:AF),"")</f>
        <v/>
      </c>
      <c r="N175" s="90" t="str">
        <f>IFERROR(_xlfn.XLOOKUP($A175,'Raw Data'!$G:$G,'Raw Data'!AG:AG),"")</f>
        <v/>
      </c>
      <c r="O175" s="85" t="str">
        <f>IFERROR(1-SUMIF('Plant BD'!$B:$B,$A175,'Plant BD'!$AM:$AM)/($AA175+SUMIF('Plant BD'!$B:$B,$A175,'Plant BD'!$AM:$AM)),"")</f>
        <v/>
      </c>
      <c r="P175" s="85"/>
      <c r="Q175" s="89"/>
      <c r="R175" s="85" t="str">
        <f>IFERROR(1-SUMIF('Grid BD'!$B:$B,$A175,'Grid BD'!$AE:$AE)/($AA175+SUMIF('Grid BD'!$B:$B,$A175,'Grid BD'!$AE:$AE)),"")</f>
        <v/>
      </c>
      <c r="T175" s="89"/>
      <c r="U175" s="88" t="str">
        <f t="shared" si="9"/>
        <v/>
      </c>
      <c r="V175" s="88"/>
      <c r="W175" s="84" t="str">
        <f t="shared" ref="W175:W238" si="12">IFERROR(AA175/(24*AB175*1000),"")</f>
        <v/>
      </c>
      <c r="X175" s="86" t="str">
        <f>IFERROR(_xlfn.XLOOKUP($A175,'Raw Data'!$G:$G,'Raw Data'!AI:AI),"")</f>
        <v/>
      </c>
      <c r="Y175" s="86" t="str">
        <f>IFERROR(_xlfn.XLOOKUP($A175,'Raw Data'!$G:$G,'Raw Data'!AJ:AJ),"")</f>
        <v/>
      </c>
      <c r="Z175" s="86" t="str">
        <f>IFERROR(_xlfn.XLOOKUP($A175,'Raw Data'!$G:$G,'Raw Data'!AK:AK),"")</f>
        <v/>
      </c>
      <c r="AA175" s="86" t="str">
        <f>IFERROR(_xlfn.XLOOKUP($A175,'Raw Data'!$G:$G,'Raw Data'!$AL:$AL)*(1+(_xlfn.XLOOKUP(Table13[[#This Row],[Month Year]],JMR!$A:$A,JMR!$J:$J))),"")</f>
        <v/>
      </c>
      <c r="AB175" s="86" t="str">
        <f>IFERROR(_xlfn.XLOOKUP($A175,'Raw Data'!$G:$G,'Raw Data'!$H:$H),"")</f>
        <v/>
      </c>
      <c r="AC175" s="87">
        <f>IFERROR(_xlfn.XLOOKUP($D175,'Modelling New'!$D:$D,'Modelling New'!$P:$P),"")</f>
        <v>4.83</v>
      </c>
      <c r="AD175" s="86">
        <f>IFERROR(_xlfn.XLOOKUP($D175,'Modelling New'!$D:$D,'Modelling New'!$T:$T)*1000,"")</f>
        <v>23985.019069663569</v>
      </c>
      <c r="AE175" s="94">
        <f>IFERROR(_xlfn.XLOOKUP($D175,'Modelling New'!$D:$D,'Modelling New'!$O:$O),"")</f>
        <v>0.69949324677249292</v>
      </c>
      <c r="AF175" s="94">
        <f>IFERROR(_xlfn.XLOOKUP($D175,'Modelling New'!$D:$D,'Modelling New'!$W:$W),"")</f>
        <v>0.14077301591296421</v>
      </c>
      <c r="AG175" s="94">
        <f>IFERROR(_xlfn.XLOOKUP($D175,'Modelling New'!$D:$D,'Modelling New'!$AE:$AE),"")</f>
        <v>0.98040000000000005</v>
      </c>
      <c r="AH175" s="94">
        <f>IFERROR(_xlfn.XLOOKUP($D175,'Modelling New'!$D:$D,'Modelling New'!$AF:$AF),"")</f>
        <v>0.98</v>
      </c>
      <c r="AN175" s="85"/>
      <c r="AO175" s="84"/>
      <c r="AP175" s="84"/>
      <c r="AQ175" s="84"/>
      <c r="AR175" s="86">
        <f>'Basic Data'!$J$2</f>
        <v>7.0991999999999997</v>
      </c>
      <c r="AT175" s="7" t="str">
        <f>IFERROR(_xlfn.XLOOKUP(Table13[[#This Row],[Date]],'Raw Data'!$E:$E,'Raw Data'!$AN:$AN),"")</f>
        <v/>
      </c>
      <c r="AU175" s="7">
        <f>IFERROR(_xlfn.XLOOKUP(Table13[[#This Row],[Month Year]],'Modelling New'!$D:$D,'Modelling New'!$AO:$AO),"")</f>
        <v>7</v>
      </c>
      <c r="AV175" s="7">
        <f>IFERROR(SUMIF('Curtailment Records'!$C:$C,Table13[[#This Row],[Date]],'Curtailment Records'!$R:$R)/1000,"")</f>
        <v>0</v>
      </c>
    </row>
    <row r="176" spans="1:48" x14ac:dyDescent="0.25">
      <c r="A176" s="93">
        <f t="shared" si="10"/>
        <v>45919</v>
      </c>
      <c r="B176" s="86">
        <f>YEAR(Table13[[#This Row],[Date]])+IF(MONTH(Table13[[#This Row],[Date]])&gt;=4,1,0)</f>
        <v>2026</v>
      </c>
      <c r="C176" s="7">
        <f>YEAR(Table13[[#This Row],[Date]])</f>
        <v>2025</v>
      </c>
      <c r="D176" s="92">
        <f>Table13[[#This Row],[Date]]-DAY(Table13[[#This Row],[Date]])+1</f>
        <v>45901</v>
      </c>
      <c r="E176" s="7">
        <f t="shared" si="11"/>
        <v>30</v>
      </c>
      <c r="F176" s="91" t="str">
        <f>IFERROR(_xlfn.XLOOKUP($A176,'Raw Data'!$G:$G,'Raw Data'!$AM:$AM),"")</f>
        <v/>
      </c>
      <c r="G176" s="90" t="str">
        <f>IFERROR(_xlfn.XLOOKUP($A176,'Raw Data'!$G:$G,'Raw Data'!$AB:$AB),"")</f>
        <v/>
      </c>
      <c r="H176" s="90"/>
      <c r="I176" s="90" t="str">
        <f>IFERROR(_xlfn.XLOOKUP($A176,'Raw Data'!$G:$G,'Raw Data'!$AC:$AC),"")</f>
        <v/>
      </c>
      <c r="J176" s="90"/>
      <c r="K176" s="90" t="str">
        <f>IFERROR(_xlfn.XLOOKUP($A176,'Raw Data'!$G:$G,'Raw Data'!AD:AD),"")</f>
        <v/>
      </c>
      <c r="L176" s="90" t="str">
        <f>IFERROR(_xlfn.XLOOKUP($A176,'Raw Data'!$G:$G,'Raw Data'!AE:AE),"")</f>
        <v/>
      </c>
      <c r="M176" s="90" t="str">
        <f>IFERROR(_xlfn.XLOOKUP($A176,'Raw Data'!$G:$G,'Raw Data'!AF:AF),"")</f>
        <v/>
      </c>
      <c r="N176" s="90" t="str">
        <f>IFERROR(_xlfn.XLOOKUP($A176,'Raw Data'!$G:$G,'Raw Data'!AG:AG),"")</f>
        <v/>
      </c>
      <c r="O176" s="85" t="str">
        <f>IFERROR(1-SUMIF('Plant BD'!$B:$B,$A176,'Plant BD'!$AM:$AM)/($AA176+SUMIF('Plant BD'!$B:$B,$A176,'Plant BD'!$AM:$AM)),"")</f>
        <v/>
      </c>
      <c r="P176" s="85"/>
      <c r="Q176" s="89"/>
      <c r="R176" s="85" t="str">
        <f>IFERROR(1-SUMIF('Grid BD'!$B:$B,$A176,'Grid BD'!$AE:$AE)/($AA176+SUMIF('Grid BD'!$B:$B,$A176,'Grid BD'!$AE:$AE)),"")</f>
        <v/>
      </c>
      <c r="T176" s="89"/>
      <c r="U176" s="88" t="str">
        <f t="shared" si="9"/>
        <v/>
      </c>
      <c r="V176" s="88"/>
      <c r="W176" s="84" t="str">
        <f t="shared" si="12"/>
        <v/>
      </c>
      <c r="X176" s="86" t="str">
        <f>IFERROR(_xlfn.XLOOKUP($A176,'Raw Data'!$G:$G,'Raw Data'!AI:AI),"")</f>
        <v/>
      </c>
      <c r="Y176" s="86" t="str">
        <f>IFERROR(_xlfn.XLOOKUP($A176,'Raw Data'!$G:$G,'Raw Data'!AJ:AJ),"")</f>
        <v/>
      </c>
      <c r="Z176" s="86" t="str">
        <f>IFERROR(_xlfn.XLOOKUP($A176,'Raw Data'!$G:$G,'Raw Data'!AK:AK),"")</f>
        <v/>
      </c>
      <c r="AA176" s="86" t="str">
        <f>IFERROR(_xlfn.XLOOKUP($A176,'Raw Data'!$G:$G,'Raw Data'!$AL:$AL)*(1+(_xlfn.XLOOKUP(Table13[[#This Row],[Month Year]],JMR!$A:$A,JMR!$J:$J))),"")</f>
        <v/>
      </c>
      <c r="AB176" s="86" t="str">
        <f>IFERROR(_xlfn.XLOOKUP($A176,'Raw Data'!$G:$G,'Raw Data'!$H:$H),"")</f>
        <v/>
      </c>
      <c r="AC176" s="87">
        <f>IFERROR(_xlfn.XLOOKUP($D176,'Modelling New'!$D:$D,'Modelling New'!$P:$P),"")</f>
        <v>4.83</v>
      </c>
      <c r="AD176" s="86">
        <f>IFERROR(_xlfn.XLOOKUP($D176,'Modelling New'!$D:$D,'Modelling New'!$T:$T)*1000,"")</f>
        <v>23985.019069663569</v>
      </c>
      <c r="AE176" s="94">
        <f>IFERROR(_xlfn.XLOOKUP($D176,'Modelling New'!$D:$D,'Modelling New'!$O:$O),"")</f>
        <v>0.69949324677249292</v>
      </c>
      <c r="AF176" s="94">
        <f>IFERROR(_xlfn.XLOOKUP($D176,'Modelling New'!$D:$D,'Modelling New'!$W:$W),"")</f>
        <v>0.14077301591296421</v>
      </c>
      <c r="AG176" s="94">
        <f>IFERROR(_xlfn.XLOOKUP($D176,'Modelling New'!$D:$D,'Modelling New'!$AE:$AE),"")</f>
        <v>0.98040000000000005</v>
      </c>
      <c r="AH176" s="94">
        <f>IFERROR(_xlfn.XLOOKUP($D176,'Modelling New'!$D:$D,'Modelling New'!$AF:$AF),"")</f>
        <v>0.98</v>
      </c>
      <c r="AN176" s="85"/>
      <c r="AO176" s="84"/>
      <c r="AP176" s="84"/>
      <c r="AQ176" s="84"/>
      <c r="AR176" s="86">
        <f>'Basic Data'!$J$2</f>
        <v>7.0991999999999997</v>
      </c>
      <c r="AT176" s="7" t="str">
        <f>IFERROR(_xlfn.XLOOKUP(Table13[[#This Row],[Date]],'Raw Data'!$E:$E,'Raw Data'!$AN:$AN),"")</f>
        <v/>
      </c>
      <c r="AU176" s="7">
        <f>IFERROR(_xlfn.XLOOKUP(Table13[[#This Row],[Month Year]],'Modelling New'!$D:$D,'Modelling New'!$AO:$AO),"")</f>
        <v>7</v>
      </c>
      <c r="AV176" s="7">
        <f>IFERROR(SUMIF('Curtailment Records'!$C:$C,Table13[[#This Row],[Date]],'Curtailment Records'!$R:$R)/1000,"")</f>
        <v>0</v>
      </c>
    </row>
    <row r="177" spans="1:48" x14ac:dyDescent="0.25">
      <c r="A177" s="93">
        <f t="shared" si="10"/>
        <v>45920</v>
      </c>
      <c r="B177" s="86">
        <f>YEAR(Table13[[#This Row],[Date]])+IF(MONTH(Table13[[#This Row],[Date]])&gt;=4,1,0)</f>
        <v>2026</v>
      </c>
      <c r="C177" s="7">
        <f>YEAR(Table13[[#This Row],[Date]])</f>
        <v>2025</v>
      </c>
      <c r="D177" s="92">
        <f>Table13[[#This Row],[Date]]-DAY(Table13[[#This Row],[Date]])+1</f>
        <v>45901</v>
      </c>
      <c r="E177" s="7">
        <f t="shared" si="11"/>
        <v>30</v>
      </c>
      <c r="F177" s="91" t="str">
        <f>IFERROR(_xlfn.XLOOKUP($A177,'Raw Data'!$G:$G,'Raw Data'!$AM:$AM),"")</f>
        <v/>
      </c>
      <c r="G177" s="90" t="str">
        <f>IFERROR(_xlfn.XLOOKUP($A177,'Raw Data'!$G:$G,'Raw Data'!$AB:$AB),"")</f>
        <v/>
      </c>
      <c r="H177" s="90"/>
      <c r="I177" s="90" t="str">
        <f>IFERROR(_xlfn.XLOOKUP($A177,'Raw Data'!$G:$G,'Raw Data'!$AC:$AC),"")</f>
        <v/>
      </c>
      <c r="J177" s="90"/>
      <c r="K177" s="90" t="str">
        <f>IFERROR(_xlfn.XLOOKUP($A177,'Raw Data'!$G:$G,'Raw Data'!AD:AD),"")</f>
        <v/>
      </c>
      <c r="L177" s="90" t="str">
        <f>IFERROR(_xlfn.XLOOKUP($A177,'Raw Data'!$G:$G,'Raw Data'!AE:AE),"")</f>
        <v/>
      </c>
      <c r="M177" s="90" t="str">
        <f>IFERROR(_xlfn.XLOOKUP($A177,'Raw Data'!$G:$G,'Raw Data'!AF:AF),"")</f>
        <v/>
      </c>
      <c r="N177" s="90" t="str">
        <f>IFERROR(_xlfn.XLOOKUP($A177,'Raw Data'!$G:$G,'Raw Data'!AG:AG),"")</f>
        <v/>
      </c>
      <c r="O177" s="85" t="str">
        <f>IFERROR(1-SUMIF('Plant BD'!$B:$B,$A177,'Plant BD'!$AM:$AM)/($AA177+SUMIF('Plant BD'!$B:$B,$A177,'Plant BD'!$AM:$AM)),"")</f>
        <v/>
      </c>
      <c r="P177" s="85"/>
      <c r="Q177" s="89"/>
      <c r="R177" s="85" t="str">
        <f>IFERROR(1-SUMIF('Grid BD'!$B:$B,$A177,'Grid BD'!$AE:$AE)/($AA177+SUMIF('Grid BD'!$B:$B,$A177,'Grid BD'!$AE:$AE)),"")</f>
        <v/>
      </c>
      <c r="T177" s="89"/>
      <c r="U177" s="88" t="str">
        <f t="shared" si="9"/>
        <v/>
      </c>
      <c r="V177" s="88"/>
      <c r="W177" s="84" t="str">
        <f t="shared" si="12"/>
        <v/>
      </c>
      <c r="X177" s="86" t="str">
        <f>IFERROR(_xlfn.XLOOKUP($A177,'Raw Data'!$G:$G,'Raw Data'!AI:AI),"")</f>
        <v/>
      </c>
      <c r="Y177" s="86" t="str">
        <f>IFERROR(_xlfn.XLOOKUP($A177,'Raw Data'!$G:$G,'Raw Data'!AJ:AJ),"")</f>
        <v/>
      </c>
      <c r="Z177" s="86" t="str">
        <f>IFERROR(_xlfn.XLOOKUP($A177,'Raw Data'!$G:$G,'Raw Data'!AK:AK),"")</f>
        <v/>
      </c>
      <c r="AA177" s="86" t="str">
        <f>IFERROR(_xlfn.XLOOKUP($A177,'Raw Data'!$G:$G,'Raw Data'!$AL:$AL)*(1+(_xlfn.XLOOKUP(Table13[[#This Row],[Month Year]],JMR!$A:$A,JMR!$J:$J))),"")</f>
        <v/>
      </c>
      <c r="AB177" s="86" t="str">
        <f>IFERROR(_xlfn.XLOOKUP($A177,'Raw Data'!$G:$G,'Raw Data'!$H:$H),"")</f>
        <v/>
      </c>
      <c r="AC177" s="87">
        <f>IFERROR(_xlfn.XLOOKUP($D177,'Modelling New'!$D:$D,'Modelling New'!$P:$P),"")</f>
        <v>4.83</v>
      </c>
      <c r="AD177" s="86">
        <f>IFERROR(_xlfn.XLOOKUP($D177,'Modelling New'!$D:$D,'Modelling New'!$T:$T)*1000,"")</f>
        <v>23985.019069663569</v>
      </c>
      <c r="AE177" s="94">
        <f>IFERROR(_xlfn.XLOOKUP($D177,'Modelling New'!$D:$D,'Modelling New'!$O:$O),"")</f>
        <v>0.69949324677249292</v>
      </c>
      <c r="AF177" s="94">
        <f>IFERROR(_xlfn.XLOOKUP($D177,'Modelling New'!$D:$D,'Modelling New'!$W:$W),"")</f>
        <v>0.14077301591296421</v>
      </c>
      <c r="AG177" s="94">
        <f>IFERROR(_xlfn.XLOOKUP($D177,'Modelling New'!$D:$D,'Modelling New'!$AE:$AE),"")</f>
        <v>0.98040000000000005</v>
      </c>
      <c r="AH177" s="94">
        <f>IFERROR(_xlfn.XLOOKUP($D177,'Modelling New'!$D:$D,'Modelling New'!$AF:$AF),"")</f>
        <v>0.98</v>
      </c>
      <c r="AN177" s="85"/>
      <c r="AO177" s="84"/>
      <c r="AP177" s="84"/>
      <c r="AQ177" s="84"/>
      <c r="AR177" s="86">
        <f>'Basic Data'!$J$2</f>
        <v>7.0991999999999997</v>
      </c>
      <c r="AT177" s="7" t="str">
        <f>IFERROR(_xlfn.XLOOKUP(Table13[[#This Row],[Date]],'Raw Data'!$E:$E,'Raw Data'!$AN:$AN),"")</f>
        <v/>
      </c>
      <c r="AU177" s="7">
        <f>IFERROR(_xlfn.XLOOKUP(Table13[[#This Row],[Month Year]],'Modelling New'!$D:$D,'Modelling New'!$AO:$AO),"")</f>
        <v>7</v>
      </c>
      <c r="AV177" s="7">
        <f>IFERROR(SUMIF('Curtailment Records'!$C:$C,Table13[[#This Row],[Date]],'Curtailment Records'!$R:$R)/1000,"")</f>
        <v>0</v>
      </c>
    </row>
    <row r="178" spans="1:48" x14ac:dyDescent="0.25">
      <c r="A178" s="93">
        <f t="shared" si="10"/>
        <v>45921</v>
      </c>
      <c r="B178" s="86">
        <f>YEAR(Table13[[#This Row],[Date]])+IF(MONTH(Table13[[#This Row],[Date]])&gt;=4,1,0)</f>
        <v>2026</v>
      </c>
      <c r="C178" s="7">
        <f>YEAR(Table13[[#This Row],[Date]])</f>
        <v>2025</v>
      </c>
      <c r="D178" s="92">
        <f>Table13[[#This Row],[Date]]-DAY(Table13[[#This Row],[Date]])+1</f>
        <v>45901</v>
      </c>
      <c r="E178" s="7">
        <f t="shared" si="11"/>
        <v>30</v>
      </c>
      <c r="F178" s="91" t="str">
        <f>IFERROR(_xlfn.XLOOKUP($A178,'Raw Data'!$G:$G,'Raw Data'!$AM:$AM),"")</f>
        <v/>
      </c>
      <c r="G178" s="90" t="str">
        <f>IFERROR(_xlfn.XLOOKUP($A178,'Raw Data'!$G:$G,'Raw Data'!$AB:$AB),"")</f>
        <v/>
      </c>
      <c r="H178" s="90"/>
      <c r="I178" s="90" t="str">
        <f>IFERROR(_xlfn.XLOOKUP($A178,'Raw Data'!$G:$G,'Raw Data'!$AC:$AC),"")</f>
        <v/>
      </c>
      <c r="J178" s="90"/>
      <c r="K178" s="90" t="str">
        <f>IFERROR(_xlfn.XLOOKUP($A178,'Raw Data'!$G:$G,'Raw Data'!AD:AD),"")</f>
        <v/>
      </c>
      <c r="L178" s="90" t="str">
        <f>IFERROR(_xlfn.XLOOKUP($A178,'Raw Data'!$G:$G,'Raw Data'!AE:AE),"")</f>
        <v/>
      </c>
      <c r="M178" s="90" t="str">
        <f>IFERROR(_xlfn.XLOOKUP($A178,'Raw Data'!$G:$G,'Raw Data'!AF:AF),"")</f>
        <v/>
      </c>
      <c r="N178" s="90" t="str">
        <f>IFERROR(_xlfn.XLOOKUP($A178,'Raw Data'!$G:$G,'Raw Data'!AG:AG),"")</f>
        <v/>
      </c>
      <c r="O178" s="85" t="str">
        <f>IFERROR(1-SUMIF('Plant BD'!$B:$B,$A178,'Plant BD'!$AM:$AM)/($AA178+SUMIF('Plant BD'!$B:$B,$A178,'Plant BD'!$AM:$AM)),"")</f>
        <v/>
      </c>
      <c r="P178" s="85"/>
      <c r="Q178" s="89"/>
      <c r="R178" s="85" t="str">
        <f>IFERROR(1-SUMIF('Grid BD'!$B:$B,$A178,'Grid BD'!$AE:$AE)/($AA178+SUMIF('Grid BD'!$B:$B,$A178,'Grid BD'!$AE:$AE)),"")</f>
        <v/>
      </c>
      <c r="T178" s="89"/>
      <c r="U178" s="88" t="str">
        <f t="shared" si="9"/>
        <v/>
      </c>
      <c r="V178" s="88"/>
      <c r="W178" s="84" t="str">
        <f t="shared" si="12"/>
        <v/>
      </c>
      <c r="X178" s="86" t="str">
        <f>IFERROR(_xlfn.XLOOKUP($A178,'Raw Data'!$G:$G,'Raw Data'!AI:AI),"")</f>
        <v/>
      </c>
      <c r="Y178" s="86" t="str">
        <f>IFERROR(_xlfn.XLOOKUP($A178,'Raw Data'!$G:$G,'Raw Data'!AJ:AJ),"")</f>
        <v/>
      </c>
      <c r="Z178" s="86" t="str">
        <f>IFERROR(_xlfn.XLOOKUP($A178,'Raw Data'!$G:$G,'Raw Data'!AK:AK),"")</f>
        <v/>
      </c>
      <c r="AA178" s="86" t="str">
        <f>IFERROR(_xlfn.XLOOKUP($A178,'Raw Data'!$G:$G,'Raw Data'!$AL:$AL)*(1+(_xlfn.XLOOKUP(Table13[[#This Row],[Month Year]],JMR!$A:$A,JMR!$J:$J))),"")</f>
        <v/>
      </c>
      <c r="AB178" s="86" t="str">
        <f>IFERROR(_xlfn.XLOOKUP($A178,'Raw Data'!$G:$G,'Raw Data'!$H:$H),"")</f>
        <v/>
      </c>
      <c r="AC178" s="87">
        <f>IFERROR(_xlfn.XLOOKUP($D178,'Modelling New'!$D:$D,'Modelling New'!$P:$P),"")</f>
        <v>4.83</v>
      </c>
      <c r="AD178" s="86">
        <f>IFERROR(_xlfn.XLOOKUP($D178,'Modelling New'!$D:$D,'Modelling New'!$T:$T)*1000,"")</f>
        <v>23985.019069663569</v>
      </c>
      <c r="AE178" s="94">
        <f>IFERROR(_xlfn.XLOOKUP($D178,'Modelling New'!$D:$D,'Modelling New'!$O:$O),"")</f>
        <v>0.69949324677249292</v>
      </c>
      <c r="AF178" s="94">
        <f>IFERROR(_xlfn.XLOOKUP($D178,'Modelling New'!$D:$D,'Modelling New'!$W:$W),"")</f>
        <v>0.14077301591296421</v>
      </c>
      <c r="AG178" s="94">
        <f>IFERROR(_xlfn.XLOOKUP($D178,'Modelling New'!$D:$D,'Modelling New'!$AE:$AE),"")</f>
        <v>0.98040000000000005</v>
      </c>
      <c r="AH178" s="94">
        <f>IFERROR(_xlfn.XLOOKUP($D178,'Modelling New'!$D:$D,'Modelling New'!$AF:$AF),"")</f>
        <v>0.98</v>
      </c>
      <c r="AN178" s="85"/>
      <c r="AO178" s="84"/>
      <c r="AP178" s="84"/>
      <c r="AQ178" s="84"/>
      <c r="AR178" s="86">
        <f>'Basic Data'!$J$2</f>
        <v>7.0991999999999997</v>
      </c>
      <c r="AT178" s="7" t="str">
        <f>IFERROR(_xlfn.XLOOKUP(Table13[[#This Row],[Date]],'Raw Data'!$E:$E,'Raw Data'!$AN:$AN),"")</f>
        <v/>
      </c>
      <c r="AU178" s="7">
        <f>IFERROR(_xlfn.XLOOKUP(Table13[[#This Row],[Month Year]],'Modelling New'!$D:$D,'Modelling New'!$AO:$AO),"")</f>
        <v>7</v>
      </c>
      <c r="AV178" s="7">
        <f>IFERROR(SUMIF('Curtailment Records'!$C:$C,Table13[[#This Row],[Date]],'Curtailment Records'!$R:$R)/1000,"")</f>
        <v>0</v>
      </c>
    </row>
    <row r="179" spans="1:48" x14ac:dyDescent="0.25">
      <c r="A179" s="93">
        <f t="shared" si="10"/>
        <v>45922</v>
      </c>
      <c r="B179" s="86">
        <f>YEAR(Table13[[#This Row],[Date]])+IF(MONTH(Table13[[#This Row],[Date]])&gt;=4,1,0)</f>
        <v>2026</v>
      </c>
      <c r="C179" s="7">
        <f>YEAR(Table13[[#This Row],[Date]])</f>
        <v>2025</v>
      </c>
      <c r="D179" s="92">
        <f>Table13[[#This Row],[Date]]-DAY(Table13[[#This Row],[Date]])+1</f>
        <v>45901</v>
      </c>
      <c r="E179" s="7">
        <f t="shared" si="11"/>
        <v>30</v>
      </c>
      <c r="F179" s="91" t="str">
        <f>IFERROR(_xlfn.XLOOKUP($A179,'Raw Data'!$G:$G,'Raw Data'!$AM:$AM),"")</f>
        <v/>
      </c>
      <c r="G179" s="90" t="str">
        <f>IFERROR(_xlfn.XLOOKUP($A179,'Raw Data'!$G:$G,'Raw Data'!$AB:$AB),"")</f>
        <v/>
      </c>
      <c r="H179" s="90"/>
      <c r="I179" s="90" t="str">
        <f>IFERROR(_xlfn.XLOOKUP($A179,'Raw Data'!$G:$G,'Raw Data'!$AC:$AC),"")</f>
        <v/>
      </c>
      <c r="J179" s="90"/>
      <c r="K179" s="90" t="str">
        <f>IFERROR(_xlfn.XLOOKUP($A179,'Raw Data'!$G:$G,'Raw Data'!AD:AD),"")</f>
        <v/>
      </c>
      <c r="L179" s="90" t="str">
        <f>IFERROR(_xlfn.XLOOKUP($A179,'Raw Data'!$G:$G,'Raw Data'!AE:AE),"")</f>
        <v/>
      </c>
      <c r="M179" s="90" t="str">
        <f>IFERROR(_xlfn.XLOOKUP($A179,'Raw Data'!$G:$G,'Raw Data'!AF:AF),"")</f>
        <v/>
      </c>
      <c r="N179" s="90" t="str">
        <f>IFERROR(_xlfn.XLOOKUP($A179,'Raw Data'!$G:$G,'Raw Data'!AG:AG),"")</f>
        <v/>
      </c>
      <c r="O179" s="85" t="str">
        <f>IFERROR(1-SUMIF('Plant BD'!$B:$B,$A179,'Plant BD'!$AM:$AM)/($AA179+SUMIF('Plant BD'!$B:$B,$A179,'Plant BD'!$AM:$AM)),"")</f>
        <v/>
      </c>
      <c r="P179" s="85"/>
      <c r="Q179" s="89"/>
      <c r="R179" s="85" t="str">
        <f>IFERROR(1-SUMIF('Grid BD'!$B:$B,$A179,'Grid BD'!$AE:$AE)/($AA179+SUMIF('Grid BD'!$B:$B,$A179,'Grid BD'!$AE:$AE)),"")</f>
        <v/>
      </c>
      <c r="T179" s="89"/>
      <c r="U179" s="88" t="str">
        <f t="shared" si="9"/>
        <v/>
      </c>
      <c r="V179" s="88"/>
      <c r="W179" s="84" t="str">
        <f t="shared" si="12"/>
        <v/>
      </c>
      <c r="X179" s="86" t="str">
        <f>IFERROR(_xlfn.XLOOKUP($A179,'Raw Data'!$G:$G,'Raw Data'!AI:AI),"")</f>
        <v/>
      </c>
      <c r="Y179" s="86" t="str">
        <f>IFERROR(_xlfn.XLOOKUP($A179,'Raw Data'!$G:$G,'Raw Data'!AJ:AJ),"")</f>
        <v/>
      </c>
      <c r="Z179" s="86" t="str">
        <f>IFERROR(_xlfn.XLOOKUP($A179,'Raw Data'!$G:$G,'Raw Data'!AK:AK),"")</f>
        <v/>
      </c>
      <c r="AA179" s="86" t="str">
        <f>IFERROR(_xlfn.XLOOKUP($A179,'Raw Data'!$G:$G,'Raw Data'!$AL:$AL)*(1+(_xlfn.XLOOKUP(Table13[[#This Row],[Month Year]],JMR!$A:$A,JMR!$J:$J))),"")</f>
        <v/>
      </c>
      <c r="AB179" s="86" t="str">
        <f>IFERROR(_xlfn.XLOOKUP($A179,'Raw Data'!$G:$G,'Raw Data'!$H:$H),"")</f>
        <v/>
      </c>
      <c r="AC179" s="87">
        <f>IFERROR(_xlfn.XLOOKUP($D179,'Modelling New'!$D:$D,'Modelling New'!$P:$P),"")</f>
        <v>4.83</v>
      </c>
      <c r="AD179" s="86">
        <f>IFERROR(_xlfn.XLOOKUP($D179,'Modelling New'!$D:$D,'Modelling New'!$T:$T)*1000,"")</f>
        <v>23985.019069663569</v>
      </c>
      <c r="AE179" s="94">
        <f>IFERROR(_xlfn.XLOOKUP($D179,'Modelling New'!$D:$D,'Modelling New'!$O:$O),"")</f>
        <v>0.69949324677249292</v>
      </c>
      <c r="AF179" s="94">
        <f>IFERROR(_xlfn.XLOOKUP($D179,'Modelling New'!$D:$D,'Modelling New'!$W:$W),"")</f>
        <v>0.14077301591296421</v>
      </c>
      <c r="AG179" s="94">
        <f>IFERROR(_xlfn.XLOOKUP($D179,'Modelling New'!$D:$D,'Modelling New'!$AE:$AE),"")</f>
        <v>0.98040000000000005</v>
      </c>
      <c r="AH179" s="94">
        <f>IFERROR(_xlfn.XLOOKUP($D179,'Modelling New'!$D:$D,'Modelling New'!$AF:$AF),"")</f>
        <v>0.98</v>
      </c>
      <c r="AN179" s="85"/>
      <c r="AO179" s="84"/>
      <c r="AP179" s="84"/>
      <c r="AQ179" s="84"/>
      <c r="AR179" s="86">
        <f>'Basic Data'!$J$2</f>
        <v>7.0991999999999997</v>
      </c>
      <c r="AT179" s="7" t="str">
        <f>IFERROR(_xlfn.XLOOKUP(Table13[[#This Row],[Date]],'Raw Data'!$E:$E,'Raw Data'!$AN:$AN),"")</f>
        <v/>
      </c>
      <c r="AU179" s="7">
        <f>IFERROR(_xlfn.XLOOKUP(Table13[[#This Row],[Month Year]],'Modelling New'!$D:$D,'Modelling New'!$AO:$AO),"")</f>
        <v>7</v>
      </c>
      <c r="AV179" s="7">
        <f>IFERROR(SUMIF('Curtailment Records'!$C:$C,Table13[[#This Row],[Date]],'Curtailment Records'!$R:$R)/1000,"")</f>
        <v>0</v>
      </c>
    </row>
    <row r="180" spans="1:48" x14ac:dyDescent="0.25">
      <c r="A180" s="93">
        <f t="shared" si="10"/>
        <v>45923</v>
      </c>
      <c r="B180" s="86">
        <f>YEAR(Table13[[#This Row],[Date]])+IF(MONTH(Table13[[#This Row],[Date]])&gt;=4,1,0)</f>
        <v>2026</v>
      </c>
      <c r="C180" s="7">
        <f>YEAR(Table13[[#This Row],[Date]])</f>
        <v>2025</v>
      </c>
      <c r="D180" s="92">
        <f>Table13[[#This Row],[Date]]-DAY(Table13[[#This Row],[Date]])+1</f>
        <v>45901</v>
      </c>
      <c r="E180" s="7">
        <f t="shared" si="11"/>
        <v>30</v>
      </c>
      <c r="F180" s="91" t="str">
        <f>IFERROR(_xlfn.XLOOKUP($A180,'Raw Data'!$G:$G,'Raw Data'!$AM:$AM),"")</f>
        <v/>
      </c>
      <c r="G180" s="90" t="str">
        <f>IFERROR(_xlfn.XLOOKUP($A180,'Raw Data'!$G:$G,'Raw Data'!$AB:$AB),"")</f>
        <v/>
      </c>
      <c r="H180" s="90"/>
      <c r="I180" s="90" t="str">
        <f>IFERROR(_xlfn.XLOOKUP($A180,'Raw Data'!$G:$G,'Raw Data'!$AC:$AC),"")</f>
        <v/>
      </c>
      <c r="J180" s="90"/>
      <c r="K180" s="90" t="str">
        <f>IFERROR(_xlfn.XLOOKUP($A180,'Raw Data'!$G:$G,'Raw Data'!AD:AD),"")</f>
        <v/>
      </c>
      <c r="L180" s="90" t="str">
        <f>IFERROR(_xlfn.XLOOKUP($A180,'Raw Data'!$G:$G,'Raw Data'!AE:AE),"")</f>
        <v/>
      </c>
      <c r="M180" s="90" t="str">
        <f>IFERROR(_xlfn.XLOOKUP($A180,'Raw Data'!$G:$G,'Raw Data'!AF:AF),"")</f>
        <v/>
      </c>
      <c r="N180" s="90" t="str">
        <f>IFERROR(_xlfn.XLOOKUP($A180,'Raw Data'!$G:$G,'Raw Data'!AG:AG),"")</f>
        <v/>
      </c>
      <c r="O180" s="85" t="str">
        <f>IFERROR(1-SUMIF('Plant BD'!$B:$B,$A180,'Plant BD'!$AM:$AM)/($AA180+SUMIF('Plant BD'!$B:$B,$A180,'Plant BD'!$AM:$AM)),"")</f>
        <v/>
      </c>
      <c r="P180" s="85"/>
      <c r="Q180" s="89"/>
      <c r="R180" s="85" t="str">
        <f>IFERROR(1-SUMIF('Grid BD'!$B:$B,$A180,'Grid BD'!$AE:$AE)/($AA180+SUMIF('Grid BD'!$B:$B,$A180,'Grid BD'!$AE:$AE)),"")</f>
        <v/>
      </c>
      <c r="T180" s="89"/>
      <c r="U180" s="88" t="str">
        <f t="shared" si="9"/>
        <v/>
      </c>
      <c r="V180" s="88"/>
      <c r="W180" s="84" t="str">
        <f t="shared" si="12"/>
        <v/>
      </c>
      <c r="X180" s="86" t="str">
        <f>IFERROR(_xlfn.XLOOKUP($A180,'Raw Data'!$G:$G,'Raw Data'!AI:AI),"")</f>
        <v/>
      </c>
      <c r="Y180" s="86" t="str">
        <f>IFERROR(_xlfn.XLOOKUP($A180,'Raw Data'!$G:$G,'Raw Data'!AJ:AJ),"")</f>
        <v/>
      </c>
      <c r="Z180" s="86" t="str">
        <f>IFERROR(_xlfn.XLOOKUP($A180,'Raw Data'!$G:$G,'Raw Data'!AK:AK),"")</f>
        <v/>
      </c>
      <c r="AA180" s="86" t="str">
        <f>IFERROR(_xlfn.XLOOKUP($A180,'Raw Data'!$G:$G,'Raw Data'!$AL:$AL)*(1+(_xlfn.XLOOKUP(Table13[[#This Row],[Month Year]],JMR!$A:$A,JMR!$J:$J))),"")</f>
        <v/>
      </c>
      <c r="AB180" s="86" t="str">
        <f>IFERROR(_xlfn.XLOOKUP($A180,'Raw Data'!$G:$G,'Raw Data'!$H:$H),"")</f>
        <v/>
      </c>
      <c r="AC180" s="87">
        <f>IFERROR(_xlfn.XLOOKUP($D180,'Modelling New'!$D:$D,'Modelling New'!$P:$P),"")</f>
        <v>4.83</v>
      </c>
      <c r="AD180" s="86">
        <f>IFERROR(_xlfn.XLOOKUP($D180,'Modelling New'!$D:$D,'Modelling New'!$T:$T)*1000,"")</f>
        <v>23985.019069663569</v>
      </c>
      <c r="AE180" s="94">
        <f>IFERROR(_xlfn.XLOOKUP($D180,'Modelling New'!$D:$D,'Modelling New'!$O:$O),"")</f>
        <v>0.69949324677249292</v>
      </c>
      <c r="AF180" s="94">
        <f>IFERROR(_xlfn.XLOOKUP($D180,'Modelling New'!$D:$D,'Modelling New'!$W:$W),"")</f>
        <v>0.14077301591296421</v>
      </c>
      <c r="AG180" s="94">
        <f>IFERROR(_xlfn.XLOOKUP($D180,'Modelling New'!$D:$D,'Modelling New'!$AE:$AE),"")</f>
        <v>0.98040000000000005</v>
      </c>
      <c r="AH180" s="94">
        <f>IFERROR(_xlfn.XLOOKUP($D180,'Modelling New'!$D:$D,'Modelling New'!$AF:$AF),"")</f>
        <v>0.98</v>
      </c>
      <c r="AN180" s="85"/>
      <c r="AO180" s="84"/>
      <c r="AP180" s="84"/>
      <c r="AQ180" s="84"/>
      <c r="AR180" s="86">
        <f>'Basic Data'!$J$2</f>
        <v>7.0991999999999997</v>
      </c>
      <c r="AT180" s="7" t="str">
        <f>IFERROR(_xlfn.XLOOKUP(Table13[[#This Row],[Date]],'Raw Data'!$E:$E,'Raw Data'!$AN:$AN),"")</f>
        <v/>
      </c>
      <c r="AU180" s="7">
        <f>IFERROR(_xlfn.XLOOKUP(Table13[[#This Row],[Month Year]],'Modelling New'!$D:$D,'Modelling New'!$AO:$AO),"")</f>
        <v>7</v>
      </c>
      <c r="AV180" s="7">
        <f>IFERROR(SUMIF('Curtailment Records'!$C:$C,Table13[[#This Row],[Date]],'Curtailment Records'!$R:$R)/1000,"")</f>
        <v>0</v>
      </c>
    </row>
    <row r="181" spans="1:48" x14ac:dyDescent="0.25">
      <c r="A181" s="93">
        <f t="shared" si="10"/>
        <v>45924</v>
      </c>
      <c r="B181" s="86">
        <f>YEAR(Table13[[#This Row],[Date]])+IF(MONTH(Table13[[#This Row],[Date]])&gt;=4,1,0)</f>
        <v>2026</v>
      </c>
      <c r="C181" s="7">
        <f>YEAR(Table13[[#This Row],[Date]])</f>
        <v>2025</v>
      </c>
      <c r="D181" s="92">
        <f>Table13[[#This Row],[Date]]-DAY(Table13[[#This Row],[Date]])+1</f>
        <v>45901</v>
      </c>
      <c r="E181" s="7">
        <f t="shared" si="11"/>
        <v>30</v>
      </c>
      <c r="F181" s="91" t="str">
        <f>IFERROR(_xlfn.XLOOKUP($A181,'Raw Data'!$G:$G,'Raw Data'!$AM:$AM),"")</f>
        <v/>
      </c>
      <c r="G181" s="90" t="str">
        <f>IFERROR(_xlfn.XLOOKUP($A181,'Raw Data'!$G:$G,'Raw Data'!$AB:$AB),"")</f>
        <v/>
      </c>
      <c r="H181" s="90"/>
      <c r="I181" s="90" t="str">
        <f>IFERROR(_xlfn.XLOOKUP($A181,'Raw Data'!$G:$G,'Raw Data'!$AC:$AC),"")</f>
        <v/>
      </c>
      <c r="J181" s="90"/>
      <c r="K181" s="90" t="str">
        <f>IFERROR(_xlfn.XLOOKUP($A181,'Raw Data'!$G:$G,'Raw Data'!AD:AD),"")</f>
        <v/>
      </c>
      <c r="L181" s="90" t="str">
        <f>IFERROR(_xlfn.XLOOKUP($A181,'Raw Data'!$G:$G,'Raw Data'!AE:AE),"")</f>
        <v/>
      </c>
      <c r="M181" s="90" t="str">
        <f>IFERROR(_xlfn.XLOOKUP($A181,'Raw Data'!$G:$G,'Raw Data'!AF:AF),"")</f>
        <v/>
      </c>
      <c r="N181" s="90" t="str">
        <f>IFERROR(_xlfn.XLOOKUP($A181,'Raw Data'!$G:$G,'Raw Data'!AG:AG),"")</f>
        <v/>
      </c>
      <c r="O181" s="85" t="str">
        <f>IFERROR(1-SUMIF('Plant BD'!$B:$B,$A181,'Plant BD'!$AM:$AM)/($AA181+SUMIF('Plant BD'!$B:$B,$A181,'Plant BD'!$AM:$AM)),"")</f>
        <v/>
      </c>
      <c r="P181" s="85"/>
      <c r="Q181" s="89"/>
      <c r="R181" s="85" t="str">
        <f>IFERROR(1-SUMIF('Grid BD'!$B:$B,$A181,'Grid BD'!$AE:$AE)/($AA181+SUMIF('Grid BD'!$B:$B,$A181,'Grid BD'!$AE:$AE)),"")</f>
        <v/>
      </c>
      <c r="T181" s="89"/>
      <c r="U181" s="88" t="str">
        <f t="shared" ref="U181:U244" si="13">IFERROR(AA181/I181/AB181/1000,"")</f>
        <v/>
      </c>
      <c r="V181" s="88"/>
      <c r="W181" s="84" t="str">
        <f t="shared" si="12"/>
        <v/>
      </c>
      <c r="X181" s="86" t="str">
        <f>IFERROR(_xlfn.XLOOKUP($A181,'Raw Data'!$G:$G,'Raw Data'!AI:AI),"")</f>
        <v/>
      </c>
      <c r="Y181" s="86" t="str">
        <f>IFERROR(_xlfn.XLOOKUP($A181,'Raw Data'!$G:$G,'Raw Data'!AJ:AJ),"")</f>
        <v/>
      </c>
      <c r="Z181" s="86" t="str">
        <f>IFERROR(_xlfn.XLOOKUP($A181,'Raw Data'!$G:$G,'Raw Data'!AK:AK),"")</f>
        <v/>
      </c>
      <c r="AA181" s="86" t="str">
        <f>IFERROR(_xlfn.XLOOKUP($A181,'Raw Data'!$G:$G,'Raw Data'!$AL:$AL)*(1+(_xlfn.XLOOKUP(Table13[[#This Row],[Month Year]],JMR!$A:$A,JMR!$J:$J))),"")</f>
        <v/>
      </c>
      <c r="AB181" s="86" t="str">
        <f>IFERROR(_xlfn.XLOOKUP($A181,'Raw Data'!$G:$G,'Raw Data'!$H:$H),"")</f>
        <v/>
      </c>
      <c r="AC181" s="87">
        <f>IFERROR(_xlfn.XLOOKUP($D181,'Modelling New'!$D:$D,'Modelling New'!$P:$P),"")</f>
        <v>4.83</v>
      </c>
      <c r="AD181" s="86">
        <f>IFERROR(_xlfn.XLOOKUP($D181,'Modelling New'!$D:$D,'Modelling New'!$T:$T)*1000,"")</f>
        <v>23985.019069663569</v>
      </c>
      <c r="AE181" s="94">
        <f>IFERROR(_xlfn.XLOOKUP($D181,'Modelling New'!$D:$D,'Modelling New'!$O:$O),"")</f>
        <v>0.69949324677249292</v>
      </c>
      <c r="AF181" s="94">
        <f>IFERROR(_xlfn.XLOOKUP($D181,'Modelling New'!$D:$D,'Modelling New'!$W:$W),"")</f>
        <v>0.14077301591296421</v>
      </c>
      <c r="AG181" s="94">
        <f>IFERROR(_xlfn.XLOOKUP($D181,'Modelling New'!$D:$D,'Modelling New'!$AE:$AE),"")</f>
        <v>0.98040000000000005</v>
      </c>
      <c r="AH181" s="94">
        <f>IFERROR(_xlfn.XLOOKUP($D181,'Modelling New'!$D:$D,'Modelling New'!$AF:$AF),"")</f>
        <v>0.98</v>
      </c>
      <c r="AN181" s="85"/>
      <c r="AO181" s="84"/>
      <c r="AP181" s="84"/>
      <c r="AQ181" s="84"/>
      <c r="AR181" s="86">
        <f>'Basic Data'!$J$2</f>
        <v>7.0991999999999997</v>
      </c>
      <c r="AT181" s="7" t="str">
        <f>IFERROR(_xlfn.XLOOKUP(Table13[[#This Row],[Date]],'Raw Data'!$E:$E,'Raw Data'!$AN:$AN),"")</f>
        <v/>
      </c>
      <c r="AU181" s="7">
        <f>IFERROR(_xlfn.XLOOKUP(Table13[[#This Row],[Month Year]],'Modelling New'!$D:$D,'Modelling New'!$AO:$AO),"")</f>
        <v>7</v>
      </c>
      <c r="AV181" s="7">
        <f>IFERROR(SUMIF('Curtailment Records'!$C:$C,Table13[[#This Row],[Date]],'Curtailment Records'!$R:$R)/1000,"")</f>
        <v>0</v>
      </c>
    </row>
    <row r="182" spans="1:48" x14ac:dyDescent="0.25">
      <c r="A182" s="93">
        <f t="shared" ref="A182:A245" si="14">A181+1</f>
        <v>45925</v>
      </c>
      <c r="B182" s="86">
        <f>YEAR(Table13[[#This Row],[Date]])+IF(MONTH(Table13[[#This Row],[Date]])&gt;=4,1,0)</f>
        <v>2026</v>
      </c>
      <c r="C182" s="7">
        <f>YEAR(Table13[[#This Row],[Date]])</f>
        <v>2025</v>
      </c>
      <c r="D182" s="92">
        <f>Table13[[#This Row],[Date]]-DAY(Table13[[#This Row],[Date]])+1</f>
        <v>45901</v>
      </c>
      <c r="E182" s="7">
        <f t="shared" si="11"/>
        <v>30</v>
      </c>
      <c r="F182" s="91" t="str">
        <f>IFERROR(_xlfn.XLOOKUP($A182,'Raw Data'!$G:$G,'Raw Data'!$AM:$AM),"")</f>
        <v/>
      </c>
      <c r="G182" s="90" t="str">
        <f>IFERROR(_xlfn.XLOOKUP($A182,'Raw Data'!$G:$G,'Raw Data'!$AB:$AB),"")</f>
        <v/>
      </c>
      <c r="H182" s="90"/>
      <c r="I182" s="90" t="str">
        <f>IFERROR(_xlfn.XLOOKUP($A182,'Raw Data'!$G:$G,'Raw Data'!$AC:$AC),"")</f>
        <v/>
      </c>
      <c r="J182" s="90"/>
      <c r="K182" s="90" t="str">
        <f>IFERROR(_xlfn.XLOOKUP($A182,'Raw Data'!$G:$G,'Raw Data'!AD:AD),"")</f>
        <v/>
      </c>
      <c r="L182" s="90" t="str">
        <f>IFERROR(_xlfn.XLOOKUP($A182,'Raw Data'!$G:$G,'Raw Data'!AE:AE),"")</f>
        <v/>
      </c>
      <c r="M182" s="90" t="str">
        <f>IFERROR(_xlfn.XLOOKUP($A182,'Raw Data'!$G:$G,'Raw Data'!AF:AF),"")</f>
        <v/>
      </c>
      <c r="N182" s="90" t="str">
        <f>IFERROR(_xlfn.XLOOKUP($A182,'Raw Data'!$G:$G,'Raw Data'!AG:AG),"")</f>
        <v/>
      </c>
      <c r="O182" s="85" t="str">
        <f>IFERROR(1-SUMIF('Plant BD'!$B:$B,$A182,'Plant BD'!$AM:$AM)/($AA182+SUMIF('Plant BD'!$B:$B,$A182,'Plant BD'!$AM:$AM)),"")</f>
        <v/>
      </c>
      <c r="P182" s="85"/>
      <c r="Q182" s="89"/>
      <c r="R182" s="85" t="str">
        <f>IFERROR(1-SUMIF('Grid BD'!$B:$B,$A182,'Grid BD'!$AE:$AE)/($AA182+SUMIF('Grid BD'!$B:$B,$A182,'Grid BD'!$AE:$AE)),"")</f>
        <v/>
      </c>
      <c r="T182" s="89"/>
      <c r="U182" s="88" t="str">
        <f t="shared" si="13"/>
        <v/>
      </c>
      <c r="V182" s="88"/>
      <c r="W182" s="84" t="str">
        <f t="shared" si="12"/>
        <v/>
      </c>
      <c r="X182" s="86" t="str">
        <f>IFERROR(_xlfn.XLOOKUP($A182,'Raw Data'!$G:$G,'Raw Data'!AI:AI),"")</f>
        <v/>
      </c>
      <c r="Y182" s="86" t="str">
        <f>IFERROR(_xlfn.XLOOKUP($A182,'Raw Data'!$G:$G,'Raw Data'!AJ:AJ),"")</f>
        <v/>
      </c>
      <c r="Z182" s="86" t="str">
        <f>IFERROR(_xlfn.XLOOKUP($A182,'Raw Data'!$G:$G,'Raw Data'!AK:AK),"")</f>
        <v/>
      </c>
      <c r="AA182" s="86" t="str">
        <f>IFERROR(_xlfn.XLOOKUP($A182,'Raw Data'!$G:$G,'Raw Data'!$AL:$AL)*(1+(_xlfn.XLOOKUP(Table13[[#This Row],[Month Year]],JMR!$A:$A,JMR!$J:$J))),"")</f>
        <v/>
      </c>
      <c r="AB182" s="86" t="str">
        <f>IFERROR(_xlfn.XLOOKUP($A182,'Raw Data'!$G:$G,'Raw Data'!$H:$H),"")</f>
        <v/>
      </c>
      <c r="AC182" s="87">
        <f>IFERROR(_xlfn.XLOOKUP($D182,'Modelling New'!$D:$D,'Modelling New'!$P:$P),"")</f>
        <v>4.83</v>
      </c>
      <c r="AD182" s="86">
        <f>IFERROR(_xlfn.XLOOKUP($D182,'Modelling New'!$D:$D,'Modelling New'!$T:$T)*1000,"")</f>
        <v>23985.019069663569</v>
      </c>
      <c r="AE182" s="94">
        <f>IFERROR(_xlfn.XLOOKUP($D182,'Modelling New'!$D:$D,'Modelling New'!$O:$O),"")</f>
        <v>0.69949324677249292</v>
      </c>
      <c r="AF182" s="94">
        <f>IFERROR(_xlfn.XLOOKUP($D182,'Modelling New'!$D:$D,'Modelling New'!$W:$W),"")</f>
        <v>0.14077301591296421</v>
      </c>
      <c r="AG182" s="94">
        <f>IFERROR(_xlfn.XLOOKUP($D182,'Modelling New'!$D:$D,'Modelling New'!$AE:$AE),"")</f>
        <v>0.98040000000000005</v>
      </c>
      <c r="AH182" s="94">
        <f>IFERROR(_xlfn.XLOOKUP($D182,'Modelling New'!$D:$D,'Modelling New'!$AF:$AF),"")</f>
        <v>0.98</v>
      </c>
      <c r="AN182" s="85"/>
      <c r="AO182" s="84"/>
      <c r="AP182" s="84"/>
      <c r="AQ182" s="84"/>
      <c r="AR182" s="86">
        <f>'Basic Data'!$J$2</f>
        <v>7.0991999999999997</v>
      </c>
      <c r="AT182" s="7" t="str">
        <f>IFERROR(_xlfn.XLOOKUP(Table13[[#This Row],[Date]],'Raw Data'!$E:$E,'Raw Data'!$AN:$AN),"")</f>
        <v/>
      </c>
      <c r="AU182" s="7">
        <f>IFERROR(_xlfn.XLOOKUP(Table13[[#This Row],[Month Year]],'Modelling New'!$D:$D,'Modelling New'!$AO:$AO),"")</f>
        <v>7</v>
      </c>
      <c r="AV182" s="7">
        <f>IFERROR(SUMIF('Curtailment Records'!$C:$C,Table13[[#This Row],[Date]],'Curtailment Records'!$R:$R)/1000,"")</f>
        <v>0</v>
      </c>
    </row>
    <row r="183" spans="1:48" x14ac:dyDescent="0.25">
      <c r="A183" s="93">
        <f t="shared" si="14"/>
        <v>45926</v>
      </c>
      <c r="B183" s="86">
        <f>YEAR(Table13[[#This Row],[Date]])+IF(MONTH(Table13[[#This Row],[Date]])&gt;=4,1,0)</f>
        <v>2026</v>
      </c>
      <c r="C183" s="7">
        <f>YEAR(Table13[[#This Row],[Date]])</f>
        <v>2025</v>
      </c>
      <c r="D183" s="92">
        <f>Table13[[#This Row],[Date]]-DAY(Table13[[#This Row],[Date]])+1</f>
        <v>45901</v>
      </c>
      <c r="E183" s="7">
        <f t="shared" si="11"/>
        <v>30</v>
      </c>
      <c r="F183" s="91" t="str">
        <f>IFERROR(_xlfn.XLOOKUP($A183,'Raw Data'!$G:$G,'Raw Data'!$AM:$AM),"")</f>
        <v/>
      </c>
      <c r="G183" s="90" t="str">
        <f>IFERROR(_xlfn.XLOOKUP($A183,'Raw Data'!$G:$G,'Raw Data'!$AB:$AB),"")</f>
        <v/>
      </c>
      <c r="H183" s="90"/>
      <c r="I183" s="90" t="str">
        <f>IFERROR(_xlfn.XLOOKUP($A183,'Raw Data'!$G:$G,'Raw Data'!$AC:$AC),"")</f>
        <v/>
      </c>
      <c r="J183" s="90"/>
      <c r="K183" s="90" t="str">
        <f>IFERROR(_xlfn.XLOOKUP($A183,'Raw Data'!$G:$G,'Raw Data'!AD:AD),"")</f>
        <v/>
      </c>
      <c r="L183" s="90" t="str">
        <f>IFERROR(_xlfn.XLOOKUP($A183,'Raw Data'!$G:$G,'Raw Data'!AE:AE),"")</f>
        <v/>
      </c>
      <c r="M183" s="90" t="str">
        <f>IFERROR(_xlfn.XLOOKUP($A183,'Raw Data'!$G:$G,'Raw Data'!AF:AF),"")</f>
        <v/>
      </c>
      <c r="N183" s="90" t="str">
        <f>IFERROR(_xlfn.XLOOKUP($A183,'Raw Data'!$G:$G,'Raw Data'!AG:AG),"")</f>
        <v/>
      </c>
      <c r="O183" s="85" t="str">
        <f>IFERROR(1-SUMIF('Plant BD'!$B:$B,$A183,'Plant BD'!$AM:$AM)/($AA183+SUMIF('Plant BD'!$B:$B,$A183,'Plant BD'!$AM:$AM)),"")</f>
        <v/>
      </c>
      <c r="P183" s="85"/>
      <c r="Q183" s="89"/>
      <c r="R183" s="85" t="str">
        <f>IFERROR(1-SUMIF('Grid BD'!$B:$B,$A183,'Grid BD'!$AE:$AE)/($AA183+SUMIF('Grid BD'!$B:$B,$A183,'Grid BD'!$AE:$AE)),"")</f>
        <v/>
      </c>
      <c r="T183" s="89"/>
      <c r="U183" s="88" t="str">
        <f t="shared" si="13"/>
        <v/>
      </c>
      <c r="V183" s="88"/>
      <c r="W183" s="84" t="str">
        <f t="shared" si="12"/>
        <v/>
      </c>
      <c r="X183" s="86" t="str">
        <f>IFERROR(_xlfn.XLOOKUP($A183,'Raw Data'!$G:$G,'Raw Data'!AI:AI),"")</f>
        <v/>
      </c>
      <c r="Y183" s="86" t="str">
        <f>IFERROR(_xlfn.XLOOKUP($A183,'Raw Data'!$G:$G,'Raw Data'!AJ:AJ),"")</f>
        <v/>
      </c>
      <c r="Z183" s="86" t="str">
        <f>IFERROR(_xlfn.XLOOKUP($A183,'Raw Data'!$G:$G,'Raw Data'!AK:AK),"")</f>
        <v/>
      </c>
      <c r="AA183" s="86" t="str">
        <f>IFERROR(_xlfn.XLOOKUP($A183,'Raw Data'!$G:$G,'Raw Data'!$AL:$AL)*(1+(_xlfn.XLOOKUP(Table13[[#This Row],[Month Year]],JMR!$A:$A,JMR!$J:$J))),"")</f>
        <v/>
      </c>
      <c r="AB183" s="86" t="str">
        <f>IFERROR(_xlfn.XLOOKUP($A183,'Raw Data'!$G:$G,'Raw Data'!$H:$H),"")</f>
        <v/>
      </c>
      <c r="AC183" s="87">
        <f>IFERROR(_xlfn.XLOOKUP($D183,'Modelling New'!$D:$D,'Modelling New'!$P:$P),"")</f>
        <v>4.83</v>
      </c>
      <c r="AD183" s="86">
        <f>IFERROR(_xlfn.XLOOKUP($D183,'Modelling New'!$D:$D,'Modelling New'!$T:$T)*1000,"")</f>
        <v>23985.019069663569</v>
      </c>
      <c r="AE183" s="94">
        <f>IFERROR(_xlfn.XLOOKUP($D183,'Modelling New'!$D:$D,'Modelling New'!$O:$O),"")</f>
        <v>0.69949324677249292</v>
      </c>
      <c r="AF183" s="94">
        <f>IFERROR(_xlfn.XLOOKUP($D183,'Modelling New'!$D:$D,'Modelling New'!$W:$W),"")</f>
        <v>0.14077301591296421</v>
      </c>
      <c r="AG183" s="94">
        <f>IFERROR(_xlfn.XLOOKUP($D183,'Modelling New'!$D:$D,'Modelling New'!$AE:$AE),"")</f>
        <v>0.98040000000000005</v>
      </c>
      <c r="AH183" s="94">
        <f>IFERROR(_xlfn.XLOOKUP($D183,'Modelling New'!$D:$D,'Modelling New'!$AF:$AF),"")</f>
        <v>0.98</v>
      </c>
      <c r="AN183" s="85"/>
      <c r="AO183" s="84"/>
      <c r="AP183" s="84"/>
      <c r="AQ183" s="84"/>
      <c r="AR183" s="86">
        <f>'Basic Data'!$J$2</f>
        <v>7.0991999999999997</v>
      </c>
      <c r="AT183" s="7" t="str">
        <f>IFERROR(_xlfn.XLOOKUP(Table13[[#This Row],[Date]],'Raw Data'!$E:$E,'Raw Data'!$AN:$AN),"")</f>
        <v/>
      </c>
      <c r="AU183" s="7">
        <f>IFERROR(_xlfn.XLOOKUP(Table13[[#This Row],[Month Year]],'Modelling New'!$D:$D,'Modelling New'!$AO:$AO),"")</f>
        <v>7</v>
      </c>
      <c r="AV183" s="7">
        <f>IFERROR(SUMIF('Curtailment Records'!$C:$C,Table13[[#This Row],[Date]],'Curtailment Records'!$R:$R)/1000,"")</f>
        <v>0</v>
      </c>
    </row>
    <row r="184" spans="1:48" x14ac:dyDescent="0.25">
      <c r="A184" s="93">
        <f t="shared" si="14"/>
        <v>45927</v>
      </c>
      <c r="B184" s="86">
        <f>YEAR(Table13[[#This Row],[Date]])+IF(MONTH(Table13[[#This Row],[Date]])&gt;=4,1,0)</f>
        <v>2026</v>
      </c>
      <c r="C184" s="7">
        <f>YEAR(Table13[[#This Row],[Date]])</f>
        <v>2025</v>
      </c>
      <c r="D184" s="92">
        <f>Table13[[#This Row],[Date]]-DAY(Table13[[#This Row],[Date]])+1</f>
        <v>45901</v>
      </c>
      <c r="E184" s="7">
        <f t="shared" ref="E184:E247" si="15">DAY(EOMONTH(A184,0))</f>
        <v>30</v>
      </c>
      <c r="F184" s="91" t="str">
        <f>IFERROR(_xlfn.XLOOKUP($A184,'Raw Data'!$G:$G,'Raw Data'!$AM:$AM),"")</f>
        <v/>
      </c>
      <c r="G184" s="90" t="str">
        <f>IFERROR(_xlfn.XLOOKUP($A184,'Raw Data'!$G:$G,'Raw Data'!$AB:$AB),"")</f>
        <v/>
      </c>
      <c r="H184" s="90"/>
      <c r="I184" s="90" t="str">
        <f>IFERROR(_xlfn.XLOOKUP($A184,'Raw Data'!$G:$G,'Raw Data'!$AC:$AC),"")</f>
        <v/>
      </c>
      <c r="J184" s="90"/>
      <c r="K184" s="90" t="str">
        <f>IFERROR(_xlfn.XLOOKUP($A184,'Raw Data'!$G:$G,'Raw Data'!AD:AD),"")</f>
        <v/>
      </c>
      <c r="L184" s="90" t="str">
        <f>IFERROR(_xlfn.XLOOKUP($A184,'Raw Data'!$G:$G,'Raw Data'!AE:AE),"")</f>
        <v/>
      </c>
      <c r="M184" s="90" t="str">
        <f>IFERROR(_xlfn.XLOOKUP($A184,'Raw Data'!$G:$G,'Raw Data'!AF:AF),"")</f>
        <v/>
      </c>
      <c r="N184" s="90" t="str">
        <f>IFERROR(_xlfn.XLOOKUP($A184,'Raw Data'!$G:$G,'Raw Data'!AG:AG),"")</f>
        <v/>
      </c>
      <c r="O184" s="85" t="str">
        <f>IFERROR(1-SUMIF('Plant BD'!$B:$B,$A184,'Plant BD'!$AM:$AM)/($AA184+SUMIF('Plant BD'!$B:$B,$A184,'Plant BD'!$AM:$AM)),"")</f>
        <v/>
      </c>
      <c r="P184" s="85"/>
      <c r="Q184" s="89"/>
      <c r="R184" s="85" t="str">
        <f>IFERROR(1-SUMIF('Grid BD'!$B:$B,$A184,'Grid BD'!$AE:$AE)/($AA184+SUMIF('Grid BD'!$B:$B,$A184,'Grid BD'!$AE:$AE)),"")</f>
        <v/>
      </c>
      <c r="T184" s="89"/>
      <c r="U184" s="88" t="str">
        <f t="shared" si="13"/>
        <v/>
      </c>
      <c r="V184" s="88"/>
      <c r="W184" s="84" t="str">
        <f t="shared" si="12"/>
        <v/>
      </c>
      <c r="X184" s="86" t="str">
        <f>IFERROR(_xlfn.XLOOKUP($A184,'Raw Data'!$G:$G,'Raw Data'!AI:AI),"")</f>
        <v/>
      </c>
      <c r="Y184" s="86" t="str">
        <f>IFERROR(_xlfn.XLOOKUP($A184,'Raw Data'!$G:$G,'Raw Data'!AJ:AJ),"")</f>
        <v/>
      </c>
      <c r="Z184" s="86" t="str">
        <f>IFERROR(_xlfn.XLOOKUP($A184,'Raw Data'!$G:$G,'Raw Data'!AK:AK),"")</f>
        <v/>
      </c>
      <c r="AA184" s="86" t="str">
        <f>IFERROR(_xlfn.XLOOKUP($A184,'Raw Data'!$G:$G,'Raw Data'!$AL:$AL)*(1+(_xlfn.XLOOKUP(Table13[[#This Row],[Month Year]],JMR!$A:$A,JMR!$J:$J))),"")</f>
        <v/>
      </c>
      <c r="AB184" s="86" t="str">
        <f>IFERROR(_xlfn.XLOOKUP($A184,'Raw Data'!$G:$G,'Raw Data'!$H:$H),"")</f>
        <v/>
      </c>
      <c r="AC184" s="87">
        <f>IFERROR(_xlfn.XLOOKUP($D184,'Modelling New'!$D:$D,'Modelling New'!$P:$P),"")</f>
        <v>4.83</v>
      </c>
      <c r="AD184" s="86">
        <f>IFERROR(_xlfn.XLOOKUP($D184,'Modelling New'!$D:$D,'Modelling New'!$T:$T)*1000,"")</f>
        <v>23985.019069663569</v>
      </c>
      <c r="AE184" s="94">
        <f>IFERROR(_xlfn.XLOOKUP($D184,'Modelling New'!$D:$D,'Modelling New'!$O:$O),"")</f>
        <v>0.69949324677249292</v>
      </c>
      <c r="AF184" s="94">
        <f>IFERROR(_xlfn.XLOOKUP($D184,'Modelling New'!$D:$D,'Modelling New'!$W:$W),"")</f>
        <v>0.14077301591296421</v>
      </c>
      <c r="AG184" s="94">
        <f>IFERROR(_xlfn.XLOOKUP($D184,'Modelling New'!$D:$D,'Modelling New'!$AE:$AE),"")</f>
        <v>0.98040000000000005</v>
      </c>
      <c r="AH184" s="94">
        <f>IFERROR(_xlfn.XLOOKUP($D184,'Modelling New'!$D:$D,'Modelling New'!$AF:$AF),"")</f>
        <v>0.98</v>
      </c>
      <c r="AN184" s="85"/>
      <c r="AO184" s="84"/>
      <c r="AP184" s="84"/>
      <c r="AQ184" s="84"/>
      <c r="AR184" s="86">
        <f>'Basic Data'!$J$2</f>
        <v>7.0991999999999997</v>
      </c>
      <c r="AT184" s="7" t="str">
        <f>IFERROR(_xlfn.XLOOKUP(Table13[[#This Row],[Date]],'Raw Data'!$E:$E,'Raw Data'!$AN:$AN),"")</f>
        <v/>
      </c>
      <c r="AU184" s="7">
        <f>IFERROR(_xlfn.XLOOKUP(Table13[[#This Row],[Month Year]],'Modelling New'!$D:$D,'Modelling New'!$AO:$AO),"")</f>
        <v>7</v>
      </c>
      <c r="AV184" s="7">
        <f>IFERROR(SUMIF('Curtailment Records'!$C:$C,Table13[[#This Row],[Date]],'Curtailment Records'!$R:$R)/1000,"")</f>
        <v>0</v>
      </c>
    </row>
    <row r="185" spans="1:48" x14ac:dyDescent="0.25">
      <c r="A185" s="93">
        <f t="shared" si="14"/>
        <v>45928</v>
      </c>
      <c r="B185" s="86">
        <f>YEAR(Table13[[#This Row],[Date]])+IF(MONTH(Table13[[#This Row],[Date]])&gt;=4,1,0)</f>
        <v>2026</v>
      </c>
      <c r="C185" s="7">
        <f>YEAR(Table13[[#This Row],[Date]])</f>
        <v>2025</v>
      </c>
      <c r="D185" s="92">
        <f>Table13[[#This Row],[Date]]-DAY(Table13[[#This Row],[Date]])+1</f>
        <v>45901</v>
      </c>
      <c r="E185" s="7">
        <f t="shared" si="15"/>
        <v>30</v>
      </c>
      <c r="F185" s="91" t="str">
        <f>IFERROR(_xlfn.XLOOKUP($A185,'Raw Data'!$G:$G,'Raw Data'!$AM:$AM),"")</f>
        <v/>
      </c>
      <c r="G185" s="90" t="str">
        <f>IFERROR(_xlfn.XLOOKUP($A185,'Raw Data'!$G:$G,'Raw Data'!$AB:$AB),"")</f>
        <v/>
      </c>
      <c r="H185" s="90"/>
      <c r="I185" s="90" t="str">
        <f>IFERROR(_xlfn.XLOOKUP($A185,'Raw Data'!$G:$G,'Raw Data'!$AC:$AC),"")</f>
        <v/>
      </c>
      <c r="J185" s="90"/>
      <c r="K185" s="90" t="str">
        <f>IFERROR(_xlfn.XLOOKUP($A185,'Raw Data'!$G:$G,'Raw Data'!AD:AD),"")</f>
        <v/>
      </c>
      <c r="L185" s="90" t="str">
        <f>IFERROR(_xlfn.XLOOKUP($A185,'Raw Data'!$G:$G,'Raw Data'!AE:AE),"")</f>
        <v/>
      </c>
      <c r="M185" s="90" t="str">
        <f>IFERROR(_xlfn.XLOOKUP($A185,'Raw Data'!$G:$G,'Raw Data'!AF:AF),"")</f>
        <v/>
      </c>
      <c r="N185" s="90" t="str">
        <f>IFERROR(_xlfn.XLOOKUP($A185,'Raw Data'!$G:$G,'Raw Data'!AG:AG),"")</f>
        <v/>
      </c>
      <c r="O185" s="85" t="str">
        <f>IFERROR(1-SUMIF('Plant BD'!$B:$B,$A185,'Plant BD'!$AM:$AM)/($AA185+SUMIF('Plant BD'!$B:$B,$A185,'Plant BD'!$AM:$AM)),"")</f>
        <v/>
      </c>
      <c r="P185" s="85"/>
      <c r="Q185" s="89"/>
      <c r="R185" s="85" t="str">
        <f>IFERROR(1-SUMIF('Grid BD'!$B:$B,$A185,'Grid BD'!$AE:$AE)/($AA185+SUMIF('Grid BD'!$B:$B,$A185,'Grid BD'!$AE:$AE)),"")</f>
        <v/>
      </c>
      <c r="T185" s="89"/>
      <c r="U185" s="88" t="str">
        <f t="shared" si="13"/>
        <v/>
      </c>
      <c r="V185" s="88"/>
      <c r="W185" s="84" t="str">
        <f t="shared" si="12"/>
        <v/>
      </c>
      <c r="X185" s="86" t="str">
        <f>IFERROR(_xlfn.XLOOKUP($A185,'Raw Data'!$G:$G,'Raw Data'!AI:AI),"")</f>
        <v/>
      </c>
      <c r="Y185" s="86" t="str">
        <f>IFERROR(_xlfn.XLOOKUP($A185,'Raw Data'!$G:$G,'Raw Data'!AJ:AJ),"")</f>
        <v/>
      </c>
      <c r="Z185" s="86" t="str">
        <f>IFERROR(_xlfn.XLOOKUP($A185,'Raw Data'!$G:$G,'Raw Data'!AK:AK),"")</f>
        <v/>
      </c>
      <c r="AA185" s="86" t="str">
        <f>IFERROR(_xlfn.XLOOKUP($A185,'Raw Data'!$G:$G,'Raw Data'!$AL:$AL)*(1+(_xlfn.XLOOKUP(Table13[[#This Row],[Month Year]],JMR!$A:$A,JMR!$J:$J))),"")</f>
        <v/>
      </c>
      <c r="AB185" s="86" t="str">
        <f>IFERROR(_xlfn.XLOOKUP($A185,'Raw Data'!$G:$G,'Raw Data'!$H:$H),"")</f>
        <v/>
      </c>
      <c r="AC185" s="87">
        <f>IFERROR(_xlfn.XLOOKUP($D185,'Modelling New'!$D:$D,'Modelling New'!$P:$P),"")</f>
        <v>4.83</v>
      </c>
      <c r="AD185" s="86">
        <f>IFERROR(_xlfn.XLOOKUP($D185,'Modelling New'!$D:$D,'Modelling New'!$T:$T)*1000,"")</f>
        <v>23985.019069663569</v>
      </c>
      <c r="AE185" s="94">
        <f>IFERROR(_xlfn.XLOOKUP($D185,'Modelling New'!$D:$D,'Modelling New'!$O:$O),"")</f>
        <v>0.69949324677249292</v>
      </c>
      <c r="AF185" s="94">
        <f>IFERROR(_xlfn.XLOOKUP($D185,'Modelling New'!$D:$D,'Modelling New'!$W:$W),"")</f>
        <v>0.14077301591296421</v>
      </c>
      <c r="AG185" s="94">
        <f>IFERROR(_xlfn.XLOOKUP($D185,'Modelling New'!$D:$D,'Modelling New'!$AE:$AE),"")</f>
        <v>0.98040000000000005</v>
      </c>
      <c r="AH185" s="94">
        <f>IFERROR(_xlfn.XLOOKUP($D185,'Modelling New'!$D:$D,'Modelling New'!$AF:$AF),"")</f>
        <v>0.98</v>
      </c>
      <c r="AN185" s="85"/>
      <c r="AO185" s="84"/>
      <c r="AP185" s="84"/>
      <c r="AQ185" s="84"/>
      <c r="AR185" s="86">
        <f>'Basic Data'!$J$2</f>
        <v>7.0991999999999997</v>
      </c>
      <c r="AT185" s="7" t="str">
        <f>IFERROR(_xlfn.XLOOKUP(Table13[[#This Row],[Date]],'Raw Data'!$E:$E,'Raw Data'!$AN:$AN),"")</f>
        <v/>
      </c>
      <c r="AU185" s="7">
        <f>IFERROR(_xlfn.XLOOKUP(Table13[[#This Row],[Month Year]],'Modelling New'!$D:$D,'Modelling New'!$AO:$AO),"")</f>
        <v>7</v>
      </c>
      <c r="AV185" s="7">
        <f>IFERROR(SUMIF('Curtailment Records'!$C:$C,Table13[[#This Row],[Date]],'Curtailment Records'!$R:$R)/1000,"")</f>
        <v>0</v>
      </c>
    </row>
    <row r="186" spans="1:48" x14ac:dyDescent="0.25">
      <c r="A186" s="93">
        <f t="shared" si="14"/>
        <v>45929</v>
      </c>
      <c r="B186" s="86">
        <f>YEAR(Table13[[#This Row],[Date]])+IF(MONTH(Table13[[#This Row],[Date]])&gt;=4,1,0)</f>
        <v>2026</v>
      </c>
      <c r="C186" s="7">
        <f>YEAR(Table13[[#This Row],[Date]])</f>
        <v>2025</v>
      </c>
      <c r="D186" s="92">
        <f>Table13[[#This Row],[Date]]-DAY(Table13[[#This Row],[Date]])+1</f>
        <v>45901</v>
      </c>
      <c r="E186" s="7">
        <f t="shared" si="15"/>
        <v>30</v>
      </c>
      <c r="F186" s="91" t="str">
        <f>IFERROR(_xlfn.XLOOKUP($A186,'Raw Data'!$G:$G,'Raw Data'!$AM:$AM),"")</f>
        <v/>
      </c>
      <c r="G186" s="90" t="str">
        <f>IFERROR(_xlfn.XLOOKUP($A186,'Raw Data'!$G:$G,'Raw Data'!$AB:$AB),"")</f>
        <v/>
      </c>
      <c r="H186" s="90"/>
      <c r="I186" s="90" t="str">
        <f>IFERROR(_xlfn.XLOOKUP($A186,'Raw Data'!$G:$G,'Raw Data'!$AC:$AC),"")</f>
        <v/>
      </c>
      <c r="J186" s="90"/>
      <c r="K186" s="90" t="str">
        <f>IFERROR(_xlfn.XLOOKUP($A186,'Raw Data'!$G:$G,'Raw Data'!AD:AD),"")</f>
        <v/>
      </c>
      <c r="L186" s="90" t="str">
        <f>IFERROR(_xlfn.XLOOKUP($A186,'Raw Data'!$G:$G,'Raw Data'!AE:AE),"")</f>
        <v/>
      </c>
      <c r="M186" s="90" t="str">
        <f>IFERROR(_xlfn.XLOOKUP($A186,'Raw Data'!$G:$G,'Raw Data'!AF:AF),"")</f>
        <v/>
      </c>
      <c r="N186" s="90" t="str">
        <f>IFERROR(_xlfn.XLOOKUP($A186,'Raw Data'!$G:$G,'Raw Data'!AG:AG),"")</f>
        <v/>
      </c>
      <c r="O186" s="85" t="str">
        <f>IFERROR(1-SUMIF('Plant BD'!$B:$B,$A186,'Plant BD'!$AM:$AM)/($AA186+SUMIF('Plant BD'!$B:$B,$A186,'Plant BD'!$AM:$AM)),"")</f>
        <v/>
      </c>
      <c r="P186" s="85"/>
      <c r="Q186" s="89"/>
      <c r="R186" s="85" t="str">
        <f>IFERROR(1-SUMIF('Grid BD'!$B:$B,$A186,'Grid BD'!$AE:$AE)/($AA186+SUMIF('Grid BD'!$B:$B,$A186,'Grid BD'!$AE:$AE)),"")</f>
        <v/>
      </c>
      <c r="T186" s="89"/>
      <c r="U186" s="88" t="str">
        <f t="shared" si="13"/>
        <v/>
      </c>
      <c r="V186" s="88"/>
      <c r="W186" s="84" t="str">
        <f t="shared" si="12"/>
        <v/>
      </c>
      <c r="X186" s="86" t="str">
        <f>IFERROR(_xlfn.XLOOKUP($A186,'Raw Data'!$G:$G,'Raw Data'!AI:AI),"")</f>
        <v/>
      </c>
      <c r="Y186" s="86" t="str">
        <f>IFERROR(_xlfn.XLOOKUP($A186,'Raw Data'!$G:$G,'Raw Data'!AJ:AJ),"")</f>
        <v/>
      </c>
      <c r="Z186" s="86" t="str">
        <f>IFERROR(_xlfn.XLOOKUP($A186,'Raw Data'!$G:$G,'Raw Data'!AK:AK),"")</f>
        <v/>
      </c>
      <c r="AA186" s="86" t="str">
        <f>IFERROR(_xlfn.XLOOKUP($A186,'Raw Data'!$G:$G,'Raw Data'!$AL:$AL)*(1+(_xlfn.XLOOKUP(Table13[[#This Row],[Month Year]],JMR!$A:$A,JMR!$J:$J))),"")</f>
        <v/>
      </c>
      <c r="AB186" s="86" t="str">
        <f>IFERROR(_xlfn.XLOOKUP($A186,'Raw Data'!$G:$G,'Raw Data'!$H:$H),"")</f>
        <v/>
      </c>
      <c r="AC186" s="87">
        <f>IFERROR(_xlfn.XLOOKUP($D186,'Modelling New'!$D:$D,'Modelling New'!$P:$P),"")</f>
        <v>4.83</v>
      </c>
      <c r="AD186" s="86">
        <f>IFERROR(_xlfn.XLOOKUP($D186,'Modelling New'!$D:$D,'Modelling New'!$T:$T)*1000,"")</f>
        <v>23985.019069663569</v>
      </c>
      <c r="AE186" s="94">
        <f>IFERROR(_xlfn.XLOOKUP($D186,'Modelling New'!$D:$D,'Modelling New'!$O:$O),"")</f>
        <v>0.69949324677249292</v>
      </c>
      <c r="AF186" s="94">
        <f>IFERROR(_xlfn.XLOOKUP($D186,'Modelling New'!$D:$D,'Modelling New'!$W:$W),"")</f>
        <v>0.14077301591296421</v>
      </c>
      <c r="AG186" s="94">
        <f>IFERROR(_xlfn.XLOOKUP($D186,'Modelling New'!$D:$D,'Modelling New'!$AE:$AE),"")</f>
        <v>0.98040000000000005</v>
      </c>
      <c r="AH186" s="94">
        <f>IFERROR(_xlfn.XLOOKUP($D186,'Modelling New'!$D:$D,'Modelling New'!$AF:$AF),"")</f>
        <v>0.98</v>
      </c>
      <c r="AN186" s="85"/>
      <c r="AO186" s="84"/>
      <c r="AP186" s="84"/>
      <c r="AQ186" s="84"/>
      <c r="AR186" s="86">
        <f>'Basic Data'!$J$2</f>
        <v>7.0991999999999997</v>
      </c>
      <c r="AT186" s="7" t="str">
        <f>IFERROR(_xlfn.XLOOKUP(Table13[[#This Row],[Date]],'Raw Data'!$E:$E,'Raw Data'!$AN:$AN),"")</f>
        <v/>
      </c>
      <c r="AU186" s="7">
        <f>IFERROR(_xlfn.XLOOKUP(Table13[[#This Row],[Month Year]],'Modelling New'!$D:$D,'Modelling New'!$AO:$AO),"")</f>
        <v>7</v>
      </c>
      <c r="AV186" s="7">
        <f>IFERROR(SUMIF('Curtailment Records'!$C:$C,Table13[[#This Row],[Date]],'Curtailment Records'!$R:$R)/1000,"")</f>
        <v>0</v>
      </c>
    </row>
    <row r="187" spans="1:48" x14ac:dyDescent="0.25">
      <c r="A187" s="93">
        <f t="shared" si="14"/>
        <v>45930</v>
      </c>
      <c r="B187" s="86">
        <f>YEAR(Table13[[#This Row],[Date]])+IF(MONTH(Table13[[#This Row],[Date]])&gt;=4,1,0)</f>
        <v>2026</v>
      </c>
      <c r="C187" s="7">
        <f>YEAR(Table13[[#This Row],[Date]])</f>
        <v>2025</v>
      </c>
      <c r="D187" s="92">
        <f>Table13[[#This Row],[Date]]-DAY(Table13[[#This Row],[Date]])+1</f>
        <v>45901</v>
      </c>
      <c r="E187" s="7">
        <f t="shared" si="15"/>
        <v>30</v>
      </c>
      <c r="F187" s="91" t="str">
        <f>IFERROR(_xlfn.XLOOKUP($A187,'Raw Data'!$G:$G,'Raw Data'!$AM:$AM),"")</f>
        <v/>
      </c>
      <c r="G187" s="90" t="str">
        <f>IFERROR(_xlfn.XLOOKUP($A187,'Raw Data'!$G:$G,'Raw Data'!$AB:$AB),"")</f>
        <v/>
      </c>
      <c r="H187" s="90"/>
      <c r="I187" s="90" t="str">
        <f>IFERROR(_xlfn.XLOOKUP($A187,'Raw Data'!$G:$G,'Raw Data'!$AC:$AC),"")</f>
        <v/>
      </c>
      <c r="J187" s="90"/>
      <c r="K187" s="90" t="str">
        <f>IFERROR(_xlfn.XLOOKUP($A187,'Raw Data'!$G:$G,'Raw Data'!AD:AD),"")</f>
        <v/>
      </c>
      <c r="L187" s="90" t="str">
        <f>IFERROR(_xlfn.XLOOKUP($A187,'Raw Data'!$G:$G,'Raw Data'!AE:AE),"")</f>
        <v/>
      </c>
      <c r="M187" s="90" t="str">
        <f>IFERROR(_xlfn.XLOOKUP($A187,'Raw Data'!$G:$G,'Raw Data'!AF:AF),"")</f>
        <v/>
      </c>
      <c r="N187" s="90" t="str">
        <f>IFERROR(_xlfn.XLOOKUP($A187,'Raw Data'!$G:$G,'Raw Data'!AG:AG),"")</f>
        <v/>
      </c>
      <c r="O187" s="85" t="str">
        <f>IFERROR(1-SUMIF('Plant BD'!$B:$B,$A187,'Plant BD'!$AM:$AM)/($AA187+SUMIF('Plant BD'!$B:$B,$A187,'Plant BD'!$AM:$AM)),"")</f>
        <v/>
      </c>
      <c r="P187" s="85"/>
      <c r="Q187" s="89"/>
      <c r="R187" s="85" t="str">
        <f>IFERROR(1-SUMIF('Grid BD'!$B:$B,$A187,'Grid BD'!$AE:$AE)/($AA187+SUMIF('Grid BD'!$B:$B,$A187,'Grid BD'!$AE:$AE)),"")</f>
        <v/>
      </c>
      <c r="T187" s="89"/>
      <c r="U187" s="88" t="str">
        <f t="shared" si="13"/>
        <v/>
      </c>
      <c r="V187" s="88"/>
      <c r="W187" s="84" t="str">
        <f t="shared" si="12"/>
        <v/>
      </c>
      <c r="X187" s="86" t="str">
        <f>IFERROR(_xlfn.XLOOKUP($A187,'Raw Data'!$G:$G,'Raw Data'!AI:AI),"")</f>
        <v/>
      </c>
      <c r="Y187" s="86" t="str">
        <f>IFERROR(_xlfn.XLOOKUP($A187,'Raw Data'!$G:$G,'Raw Data'!AJ:AJ),"")</f>
        <v/>
      </c>
      <c r="Z187" s="86" t="str">
        <f>IFERROR(_xlfn.XLOOKUP($A187,'Raw Data'!$G:$G,'Raw Data'!AK:AK),"")</f>
        <v/>
      </c>
      <c r="AA187" s="86" t="str">
        <f>IFERROR(_xlfn.XLOOKUP($A187,'Raw Data'!$G:$G,'Raw Data'!$AL:$AL)*(1+(_xlfn.XLOOKUP(Table13[[#This Row],[Month Year]],JMR!$A:$A,JMR!$J:$J))),"")</f>
        <v/>
      </c>
      <c r="AB187" s="86" t="str">
        <f>IFERROR(_xlfn.XLOOKUP($A187,'Raw Data'!$G:$G,'Raw Data'!$H:$H),"")</f>
        <v/>
      </c>
      <c r="AC187" s="87">
        <f>IFERROR(_xlfn.XLOOKUP($D187,'Modelling New'!$D:$D,'Modelling New'!$P:$P),"")</f>
        <v>4.83</v>
      </c>
      <c r="AD187" s="86">
        <f>IFERROR(_xlfn.XLOOKUP($D187,'Modelling New'!$D:$D,'Modelling New'!$T:$T)*1000,"")</f>
        <v>23985.019069663569</v>
      </c>
      <c r="AE187" s="94">
        <f>IFERROR(_xlfn.XLOOKUP($D187,'Modelling New'!$D:$D,'Modelling New'!$O:$O),"")</f>
        <v>0.69949324677249292</v>
      </c>
      <c r="AF187" s="94">
        <f>IFERROR(_xlfn.XLOOKUP($D187,'Modelling New'!$D:$D,'Modelling New'!$W:$W),"")</f>
        <v>0.14077301591296421</v>
      </c>
      <c r="AG187" s="94">
        <f>IFERROR(_xlfn.XLOOKUP($D187,'Modelling New'!$D:$D,'Modelling New'!$AE:$AE),"")</f>
        <v>0.98040000000000005</v>
      </c>
      <c r="AH187" s="94">
        <f>IFERROR(_xlfn.XLOOKUP($D187,'Modelling New'!$D:$D,'Modelling New'!$AF:$AF),"")</f>
        <v>0.98</v>
      </c>
      <c r="AN187" s="85"/>
      <c r="AO187" s="84"/>
      <c r="AP187" s="84"/>
      <c r="AQ187" s="84"/>
      <c r="AR187" s="86">
        <f>'Basic Data'!$J$2</f>
        <v>7.0991999999999997</v>
      </c>
      <c r="AT187" s="7" t="str">
        <f>IFERROR(_xlfn.XLOOKUP(Table13[[#This Row],[Date]],'Raw Data'!$E:$E,'Raw Data'!$AN:$AN),"")</f>
        <v/>
      </c>
      <c r="AU187" s="7">
        <f>IFERROR(_xlfn.XLOOKUP(Table13[[#This Row],[Month Year]],'Modelling New'!$D:$D,'Modelling New'!$AO:$AO),"")</f>
        <v>7</v>
      </c>
      <c r="AV187" s="7">
        <f>IFERROR(SUMIF('Curtailment Records'!$C:$C,Table13[[#This Row],[Date]],'Curtailment Records'!$R:$R)/1000,"")</f>
        <v>0</v>
      </c>
    </row>
    <row r="188" spans="1:48" x14ac:dyDescent="0.25">
      <c r="A188" s="93">
        <f t="shared" si="14"/>
        <v>45931</v>
      </c>
      <c r="B188" s="86">
        <f>YEAR(Table13[[#This Row],[Date]])+IF(MONTH(Table13[[#This Row],[Date]])&gt;=4,1,0)</f>
        <v>2026</v>
      </c>
      <c r="C188" s="7">
        <f>YEAR(Table13[[#This Row],[Date]])</f>
        <v>2025</v>
      </c>
      <c r="D188" s="92">
        <f>Table13[[#This Row],[Date]]-DAY(Table13[[#This Row],[Date]])+1</f>
        <v>45931</v>
      </c>
      <c r="E188" s="7">
        <f t="shared" si="15"/>
        <v>31</v>
      </c>
      <c r="F188" s="91" t="str">
        <f>IFERROR(_xlfn.XLOOKUP($A188,'Raw Data'!$G:$G,'Raw Data'!$AM:$AM),"")</f>
        <v/>
      </c>
      <c r="G188" s="90" t="str">
        <f>IFERROR(_xlfn.XLOOKUP($A188,'Raw Data'!$G:$G,'Raw Data'!$AB:$AB),"")</f>
        <v/>
      </c>
      <c r="H188" s="90"/>
      <c r="I188" s="90" t="str">
        <f>IFERROR(_xlfn.XLOOKUP($A188,'Raw Data'!$G:$G,'Raw Data'!$AC:$AC),"")</f>
        <v/>
      </c>
      <c r="J188" s="90"/>
      <c r="K188" s="90" t="str">
        <f>IFERROR(_xlfn.XLOOKUP($A188,'Raw Data'!$G:$G,'Raw Data'!AD:AD),"")</f>
        <v/>
      </c>
      <c r="L188" s="90" t="str">
        <f>IFERROR(_xlfn.XLOOKUP($A188,'Raw Data'!$G:$G,'Raw Data'!AE:AE),"")</f>
        <v/>
      </c>
      <c r="M188" s="90" t="str">
        <f>IFERROR(_xlfn.XLOOKUP($A188,'Raw Data'!$G:$G,'Raw Data'!AF:AF),"")</f>
        <v/>
      </c>
      <c r="N188" s="90" t="str">
        <f>IFERROR(_xlfn.XLOOKUP($A188,'Raw Data'!$G:$G,'Raw Data'!AG:AG),"")</f>
        <v/>
      </c>
      <c r="O188" s="85" t="str">
        <f>IFERROR(1-SUMIF('Plant BD'!$B:$B,$A188,'Plant BD'!$AM:$AM)/($AA188+SUMIF('Plant BD'!$B:$B,$A188,'Plant BD'!$AM:$AM)),"")</f>
        <v/>
      </c>
      <c r="P188" s="85"/>
      <c r="Q188" s="89"/>
      <c r="R188" s="85" t="str">
        <f>IFERROR(1-SUMIF('Grid BD'!$B:$B,$A188,'Grid BD'!$AE:$AE)/($AA188+SUMIF('Grid BD'!$B:$B,$A188,'Grid BD'!$AE:$AE)),"")</f>
        <v/>
      </c>
      <c r="T188" s="89"/>
      <c r="U188" s="88" t="str">
        <f t="shared" si="13"/>
        <v/>
      </c>
      <c r="V188" s="88"/>
      <c r="W188" s="84" t="str">
        <f t="shared" si="12"/>
        <v/>
      </c>
      <c r="X188" s="86" t="str">
        <f>IFERROR(_xlfn.XLOOKUP($A188,'Raw Data'!$G:$G,'Raw Data'!AI:AI),"")</f>
        <v/>
      </c>
      <c r="Y188" s="86" t="str">
        <f>IFERROR(_xlfn.XLOOKUP($A188,'Raw Data'!$G:$G,'Raw Data'!AJ:AJ),"")</f>
        <v/>
      </c>
      <c r="Z188" s="86" t="str">
        <f>IFERROR(_xlfn.XLOOKUP($A188,'Raw Data'!$G:$G,'Raw Data'!AK:AK),"")</f>
        <v/>
      </c>
      <c r="AA188" s="86" t="str">
        <f>IFERROR(_xlfn.XLOOKUP($A188,'Raw Data'!$G:$G,'Raw Data'!$AL:$AL)*(1+(_xlfn.XLOOKUP(Table13[[#This Row],[Month Year]],JMR!$A:$A,JMR!$J:$J))),"")</f>
        <v/>
      </c>
      <c r="AB188" s="86" t="str">
        <f>IFERROR(_xlfn.XLOOKUP($A188,'Raw Data'!$G:$G,'Raw Data'!$H:$H),"")</f>
        <v/>
      </c>
      <c r="AC188" s="87">
        <f>IFERROR(_xlfn.XLOOKUP($D188,'Modelling New'!$D:$D,'Modelling New'!$P:$P),"")</f>
        <v>5.209677419354839</v>
      </c>
      <c r="AD188" s="86">
        <f>IFERROR(_xlfn.XLOOKUP($D188,'Modelling New'!$D:$D,'Modelling New'!$T:$T)*1000,"")</f>
        <v>26373.559701104426</v>
      </c>
      <c r="AE188" s="94">
        <f>IFERROR(_xlfn.XLOOKUP($D188,'Modelling New'!$D:$D,'Modelling New'!$O:$O),"")</f>
        <v>0.71309683237690691</v>
      </c>
      <c r="AF188" s="94">
        <f>IFERROR(_xlfn.XLOOKUP($D188,'Modelling New'!$D:$D,'Modelling New'!$W:$W),"")</f>
        <v>0.15479185272697643</v>
      </c>
      <c r="AG188" s="94">
        <f>IFERROR(_xlfn.XLOOKUP($D188,'Modelling New'!$D:$D,'Modelling New'!$AE:$AE),"")</f>
        <v>0.98040000000000005</v>
      </c>
      <c r="AH188" s="94">
        <f>IFERROR(_xlfn.XLOOKUP($D188,'Modelling New'!$D:$D,'Modelling New'!$AF:$AF),"")</f>
        <v>0.98</v>
      </c>
      <c r="AN188" s="85"/>
      <c r="AO188" s="84"/>
      <c r="AP188" s="84"/>
      <c r="AQ188" s="84"/>
      <c r="AR188" s="86">
        <f>'Basic Data'!$J$2</f>
        <v>7.0991999999999997</v>
      </c>
      <c r="AT188" s="7" t="str">
        <f>IFERROR(_xlfn.XLOOKUP(Table13[[#This Row],[Date]],'Raw Data'!$E:$E,'Raw Data'!$AN:$AN),"")</f>
        <v/>
      </c>
      <c r="AU188" s="7">
        <f>IFERROR(_xlfn.XLOOKUP(Table13[[#This Row],[Month Year]],'Modelling New'!$D:$D,'Modelling New'!$AO:$AO),"")</f>
        <v>7</v>
      </c>
      <c r="AV188" s="7">
        <f>IFERROR(SUMIF('Curtailment Records'!$C:$C,Table13[[#This Row],[Date]],'Curtailment Records'!$R:$R)/1000,"")</f>
        <v>0</v>
      </c>
    </row>
    <row r="189" spans="1:48" x14ac:dyDescent="0.25">
      <c r="A189" s="93">
        <f t="shared" si="14"/>
        <v>45932</v>
      </c>
      <c r="B189" s="86">
        <f>YEAR(Table13[[#This Row],[Date]])+IF(MONTH(Table13[[#This Row],[Date]])&gt;=4,1,0)</f>
        <v>2026</v>
      </c>
      <c r="C189" s="7">
        <f>YEAR(Table13[[#This Row],[Date]])</f>
        <v>2025</v>
      </c>
      <c r="D189" s="92">
        <f>Table13[[#This Row],[Date]]-DAY(Table13[[#This Row],[Date]])+1</f>
        <v>45931</v>
      </c>
      <c r="E189" s="7">
        <f t="shared" si="15"/>
        <v>31</v>
      </c>
      <c r="F189" s="91" t="str">
        <f>IFERROR(_xlfn.XLOOKUP($A189,'Raw Data'!$G:$G,'Raw Data'!$AM:$AM),"")</f>
        <v/>
      </c>
      <c r="G189" s="90" t="str">
        <f>IFERROR(_xlfn.XLOOKUP($A189,'Raw Data'!$G:$G,'Raw Data'!$AB:$AB),"")</f>
        <v/>
      </c>
      <c r="H189" s="90"/>
      <c r="I189" s="90" t="str">
        <f>IFERROR(_xlfn.XLOOKUP($A189,'Raw Data'!$G:$G,'Raw Data'!$AC:$AC),"")</f>
        <v/>
      </c>
      <c r="J189" s="90"/>
      <c r="K189" s="90" t="str">
        <f>IFERROR(_xlfn.XLOOKUP($A189,'Raw Data'!$G:$G,'Raw Data'!AD:AD),"")</f>
        <v/>
      </c>
      <c r="L189" s="90" t="str">
        <f>IFERROR(_xlfn.XLOOKUP($A189,'Raw Data'!$G:$G,'Raw Data'!AE:AE),"")</f>
        <v/>
      </c>
      <c r="M189" s="90" t="str">
        <f>IFERROR(_xlfn.XLOOKUP($A189,'Raw Data'!$G:$G,'Raw Data'!AF:AF),"")</f>
        <v/>
      </c>
      <c r="N189" s="90" t="str">
        <f>IFERROR(_xlfn.XLOOKUP($A189,'Raw Data'!$G:$G,'Raw Data'!AG:AG),"")</f>
        <v/>
      </c>
      <c r="O189" s="85" t="str">
        <f>IFERROR(1-SUMIF('Plant BD'!$B:$B,$A189,'Plant BD'!$AM:$AM)/($AA189+SUMIF('Plant BD'!$B:$B,$A189,'Plant BD'!$AM:$AM)),"")</f>
        <v/>
      </c>
      <c r="P189" s="85"/>
      <c r="Q189" s="89"/>
      <c r="R189" s="85" t="str">
        <f>IFERROR(1-SUMIF('Grid BD'!$B:$B,$A189,'Grid BD'!$AE:$AE)/($AA189+SUMIF('Grid BD'!$B:$B,$A189,'Grid BD'!$AE:$AE)),"")</f>
        <v/>
      </c>
      <c r="T189" s="89"/>
      <c r="U189" s="88" t="str">
        <f t="shared" si="13"/>
        <v/>
      </c>
      <c r="V189" s="88"/>
      <c r="W189" s="84" t="str">
        <f t="shared" si="12"/>
        <v/>
      </c>
      <c r="X189" s="86" t="str">
        <f>IFERROR(_xlfn.XLOOKUP($A189,'Raw Data'!$G:$G,'Raw Data'!AI:AI),"")</f>
        <v/>
      </c>
      <c r="Y189" s="86" t="str">
        <f>IFERROR(_xlfn.XLOOKUP($A189,'Raw Data'!$G:$G,'Raw Data'!AJ:AJ),"")</f>
        <v/>
      </c>
      <c r="Z189" s="86" t="str">
        <f>IFERROR(_xlfn.XLOOKUP($A189,'Raw Data'!$G:$G,'Raw Data'!AK:AK),"")</f>
        <v/>
      </c>
      <c r="AA189" s="86" t="str">
        <f>IFERROR(_xlfn.XLOOKUP($A189,'Raw Data'!$G:$G,'Raw Data'!$AL:$AL)*(1+(_xlfn.XLOOKUP(Table13[[#This Row],[Month Year]],JMR!$A:$A,JMR!$J:$J))),"")</f>
        <v/>
      </c>
      <c r="AB189" s="86" t="str">
        <f>IFERROR(_xlfn.XLOOKUP($A189,'Raw Data'!$G:$G,'Raw Data'!$H:$H),"")</f>
        <v/>
      </c>
      <c r="AC189" s="87">
        <f>IFERROR(_xlfn.XLOOKUP($D189,'Modelling New'!$D:$D,'Modelling New'!$P:$P),"")</f>
        <v>5.209677419354839</v>
      </c>
      <c r="AD189" s="86">
        <f>IFERROR(_xlfn.XLOOKUP($D189,'Modelling New'!$D:$D,'Modelling New'!$T:$T)*1000,"")</f>
        <v>26373.559701104426</v>
      </c>
      <c r="AE189" s="94">
        <f>IFERROR(_xlfn.XLOOKUP($D189,'Modelling New'!$D:$D,'Modelling New'!$O:$O),"")</f>
        <v>0.71309683237690691</v>
      </c>
      <c r="AF189" s="94">
        <f>IFERROR(_xlfn.XLOOKUP($D189,'Modelling New'!$D:$D,'Modelling New'!$W:$W),"")</f>
        <v>0.15479185272697643</v>
      </c>
      <c r="AG189" s="94">
        <f>IFERROR(_xlfn.XLOOKUP($D189,'Modelling New'!$D:$D,'Modelling New'!$AE:$AE),"")</f>
        <v>0.98040000000000005</v>
      </c>
      <c r="AH189" s="94">
        <f>IFERROR(_xlfn.XLOOKUP($D189,'Modelling New'!$D:$D,'Modelling New'!$AF:$AF),"")</f>
        <v>0.98</v>
      </c>
      <c r="AN189" s="85"/>
      <c r="AO189" s="84"/>
      <c r="AP189" s="84"/>
      <c r="AQ189" s="84"/>
      <c r="AR189" s="86">
        <f>'Basic Data'!$J$2</f>
        <v>7.0991999999999997</v>
      </c>
      <c r="AT189" s="7" t="str">
        <f>IFERROR(_xlfn.XLOOKUP(Table13[[#This Row],[Date]],'Raw Data'!$E:$E,'Raw Data'!$AN:$AN),"")</f>
        <v/>
      </c>
      <c r="AU189" s="7">
        <f>IFERROR(_xlfn.XLOOKUP(Table13[[#This Row],[Month Year]],'Modelling New'!$D:$D,'Modelling New'!$AO:$AO),"")</f>
        <v>7</v>
      </c>
      <c r="AV189" s="7">
        <f>IFERROR(SUMIF('Curtailment Records'!$C:$C,Table13[[#This Row],[Date]],'Curtailment Records'!$R:$R)/1000,"")</f>
        <v>0</v>
      </c>
    </row>
    <row r="190" spans="1:48" x14ac:dyDescent="0.25">
      <c r="A190" s="93">
        <f t="shared" si="14"/>
        <v>45933</v>
      </c>
      <c r="B190" s="86">
        <f>YEAR(Table13[[#This Row],[Date]])+IF(MONTH(Table13[[#This Row],[Date]])&gt;=4,1,0)</f>
        <v>2026</v>
      </c>
      <c r="C190" s="7">
        <f>YEAR(Table13[[#This Row],[Date]])</f>
        <v>2025</v>
      </c>
      <c r="D190" s="92">
        <f>Table13[[#This Row],[Date]]-DAY(Table13[[#This Row],[Date]])+1</f>
        <v>45931</v>
      </c>
      <c r="E190" s="7">
        <f t="shared" si="15"/>
        <v>31</v>
      </c>
      <c r="F190" s="91" t="str">
        <f>IFERROR(_xlfn.XLOOKUP($A190,'Raw Data'!$G:$G,'Raw Data'!$AM:$AM),"")</f>
        <v/>
      </c>
      <c r="G190" s="90" t="str">
        <f>IFERROR(_xlfn.XLOOKUP($A190,'Raw Data'!$G:$G,'Raw Data'!$AB:$AB),"")</f>
        <v/>
      </c>
      <c r="H190" s="90"/>
      <c r="I190" s="90" t="str">
        <f>IFERROR(_xlfn.XLOOKUP($A190,'Raw Data'!$G:$G,'Raw Data'!$AC:$AC),"")</f>
        <v/>
      </c>
      <c r="J190" s="90"/>
      <c r="K190" s="90" t="str">
        <f>IFERROR(_xlfn.XLOOKUP($A190,'Raw Data'!$G:$G,'Raw Data'!AD:AD),"")</f>
        <v/>
      </c>
      <c r="L190" s="90" t="str">
        <f>IFERROR(_xlfn.XLOOKUP($A190,'Raw Data'!$G:$G,'Raw Data'!AE:AE),"")</f>
        <v/>
      </c>
      <c r="M190" s="90" t="str">
        <f>IFERROR(_xlfn.XLOOKUP($A190,'Raw Data'!$G:$G,'Raw Data'!AF:AF),"")</f>
        <v/>
      </c>
      <c r="N190" s="90" t="str">
        <f>IFERROR(_xlfn.XLOOKUP($A190,'Raw Data'!$G:$G,'Raw Data'!AG:AG),"")</f>
        <v/>
      </c>
      <c r="O190" s="85" t="str">
        <f>IFERROR(1-SUMIF('Plant BD'!$B:$B,$A190,'Plant BD'!$AM:$AM)/($AA190+SUMIF('Plant BD'!$B:$B,$A190,'Plant BD'!$AM:$AM)),"")</f>
        <v/>
      </c>
      <c r="P190" s="85"/>
      <c r="Q190" s="89"/>
      <c r="R190" s="85" t="str">
        <f>IFERROR(1-SUMIF('Grid BD'!$B:$B,$A190,'Grid BD'!$AE:$AE)/($AA190+SUMIF('Grid BD'!$B:$B,$A190,'Grid BD'!$AE:$AE)),"")</f>
        <v/>
      </c>
      <c r="T190" s="89"/>
      <c r="U190" s="88" t="str">
        <f t="shared" si="13"/>
        <v/>
      </c>
      <c r="V190" s="88"/>
      <c r="W190" s="84" t="str">
        <f t="shared" si="12"/>
        <v/>
      </c>
      <c r="X190" s="86" t="str">
        <f>IFERROR(_xlfn.XLOOKUP($A190,'Raw Data'!$G:$G,'Raw Data'!AI:AI),"")</f>
        <v/>
      </c>
      <c r="Y190" s="86" t="str">
        <f>IFERROR(_xlfn.XLOOKUP($A190,'Raw Data'!$G:$G,'Raw Data'!AJ:AJ),"")</f>
        <v/>
      </c>
      <c r="Z190" s="86" t="str">
        <f>IFERROR(_xlfn.XLOOKUP($A190,'Raw Data'!$G:$G,'Raw Data'!AK:AK),"")</f>
        <v/>
      </c>
      <c r="AA190" s="86" t="str">
        <f>IFERROR(_xlfn.XLOOKUP($A190,'Raw Data'!$G:$G,'Raw Data'!$AL:$AL)*(1+(_xlfn.XLOOKUP(Table13[[#This Row],[Month Year]],JMR!$A:$A,JMR!$J:$J))),"")</f>
        <v/>
      </c>
      <c r="AB190" s="86" t="str">
        <f>IFERROR(_xlfn.XLOOKUP($A190,'Raw Data'!$G:$G,'Raw Data'!$H:$H),"")</f>
        <v/>
      </c>
      <c r="AC190" s="87">
        <f>IFERROR(_xlfn.XLOOKUP($D190,'Modelling New'!$D:$D,'Modelling New'!$P:$P),"")</f>
        <v>5.209677419354839</v>
      </c>
      <c r="AD190" s="86">
        <f>IFERROR(_xlfn.XLOOKUP($D190,'Modelling New'!$D:$D,'Modelling New'!$T:$T)*1000,"")</f>
        <v>26373.559701104426</v>
      </c>
      <c r="AE190" s="94">
        <f>IFERROR(_xlfn.XLOOKUP($D190,'Modelling New'!$D:$D,'Modelling New'!$O:$O),"")</f>
        <v>0.71309683237690691</v>
      </c>
      <c r="AF190" s="94">
        <f>IFERROR(_xlfn.XLOOKUP($D190,'Modelling New'!$D:$D,'Modelling New'!$W:$W),"")</f>
        <v>0.15479185272697643</v>
      </c>
      <c r="AG190" s="94">
        <f>IFERROR(_xlfn.XLOOKUP($D190,'Modelling New'!$D:$D,'Modelling New'!$AE:$AE),"")</f>
        <v>0.98040000000000005</v>
      </c>
      <c r="AH190" s="94">
        <f>IFERROR(_xlfn.XLOOKUP($D190,'Modelling New'!$D:$D,'Modelling New'!$AF:$AF),"")</f>
        <v>0.98</v>
      </c>
      <c r="AN190" s="85"/>
      <c r="AO190" s="84"/>
      <c r="AP190" s="84"/>
      <c r="AQ190" s="84"/>
      <c r="AR190" s="86">
        <f>'Basic Data'!$J$2</f>
        <v>7.0991999999999997</v>
      </c>
      <c r="AT190" s="7" t="str">
        <f>IFERROR(_xlfn.XLOOKUP(Table13[[#This Row],[Date]],'Raw Data'!$E:$E,'Raw Data'!$AN:$AN),"")</f>
        <v/>
      </c>
      <c r="AU190" s="7">
        <f>IFERROR(_xlfn.XLOOKUP(Table13[[#This Row],[Month Year]],'Modelling New'!$D:$D,'Modelling New'!$AO:$AO),"")</f>
        <v>7</v>
      </c>
      <c r="AV190" s="7">
        <f>IFERROR(SUMIF('Curtailment Records'!$C:$C,Table13[[#This Row],[Date]],'Curtailment Records'!$R:$R)/1000,"")</f>
        <v>0</v>
      </c>
    </row>
    <row r="191" spans="1:48" x14ac:dyDescent="0.25">
      <c r="A191" s="93">
        <f t="shared" si="14"/>
        <v>45934</v>
      </c>
      <c r="B191" s="86">
        <f>YEAR(Table13[[#This Row],[Date]])+IF(MONTH(Table13[[#This Row],[Date]])&gt;=4,1,0)</f>
        <v>2026</v>
      </c>
      <c r="C191" s="7">
        <f>YEAR(Table13[[#This Row],[Date]])</f>
        <v>2025</v>
      </c>
      <c r="D191" s="92">
        <f>Table13[[#This Row],[Date]]-DAY(Table13[[#This Row],[Date]])+1</f>
        <v>45931</v>
      </c>
      <c r="E191" s="7">
        <f t="shared" si="15"/>
        <v>31</v>
      </c>
      <c r="F191" s="91" t="str">
        <f>IFERROR(_xlfn.XLOOKUP($A191,'Raw Data'!$G:$G,'Raw Data'!$AM:$AM),"")</f>
        <v/>
      </c>
      <c r="G191" s="90" t="str">
        <f>IFERROR(_xlfn.XLOOKUP($A191,'Raw Data'!$G:$G,'Raw Data'!$AB:$AB),"")</f>
        <v/>
      </c>
      <c r="H191" s="90"/>
      <c r="I191" s="90" t="str">
        <f>IFERROR(_xlfn.XLOOKUP($A191,'Raw Data'!$G:$G,'Raw Data'!$AC:$AC),"")</f>
        <v/>
      </c>
      <c r="J191" s="90"/>
      <c r="K191" s="90" t="str">
        <f>IFERROR(_xlfn.XLOOKUP($A191,'Raw Data'!$G:$G,'Raw Data'!AD:AD),"")</f>
        <v/>
      </c>
      <c r="L191" s="90" t="str">
        <f>IFERROR(_xlfn.XLOOKUP($A191,'Raw Data'!$G:$G,'Raw Data'!AE:AE),"")</f>
        <v/>
      </c>
      <c r="M191" s="90" t="str">
        <f>IFERROR(_xlfn.XLOOKUP($A191,'Raw Data'!$G:$G,'Raw Data'!AF:AF),"")</f>
        <v/>
      </c>
      <c r="N191" s="90" t="str">
        <f>IFERROR(_xlfn.XLOOKUP($A191,'Raw Data'!$G:$G,'Raw Data'!AG:AG),"")</f>
        <v/>
      </c>
      <c r="O191" s="85" t="str">
        <f>IFERROR(1-SUMIF('Plant BD'!$B:$B,$A191,'Plant BD'!$AM:$AM)/($AA191+SUMIF('Plant BD'!$B:$B,$A191,'Plant BD'!$AM:$AM)),"")</f>
        <v/>
      </c>
      <c r="P191" s="85"/>
      <c r="Q191" s="89"/>
      <c r="R191" s="85" t="str">
        <f>IFERROR(1-SUMIF('Grid BD'!$B:$B,$A191,'Grid BD'!$AE:$AE)/($AA191+SUMIF('Grid BD'!$B:$B,$A191,'Grid BD'!$AE:$AE)),"")</f>
        <v/>
      </c>
      <c r="T191" s="89"/>
      <c r="U191" s="88" t="str">
        <f t="shared" si="13"/>
        <v/>
      </c>
      <c r="V191" s="88"/>
      <c r="W191" s="84" t="str">
        <f t="shared" si="12"/>
        <v/>
      </c>
      <c r="X191" s="86" t="str">
        <f>IFERROR(_xlfn.XLOOKUP($A191,'Raw Data'!$G:$G,'Raw Data'!AI:AI),"")</f>
        <v/>
      </c>
      <c r="Y191" s="86" t="str">
        <f>IFERROR(_xlfn.XLOOKUP($A191,'Raw Data'!$G:$G,'Raw Data'!AJ:AJ),"")</f>
        <v/>
      </c>
      <c r="Z191" s="86" t="str">
        <f>IFERROR(_xlfn.XLOOKUP($A191,'Raw Data'!$G:$G,'Raw Data'!AK:AK),"")</f>
        <v/>
      </c>
      <c r="AA191" s="86" t="str">
        <f>IFERROR(_xlfn.XLOOKUP($A191,'Raw Data'!$G:$G,'Raw Data'!$AL:$AL)*(1+(_xlfn.XLOOKUP(Table13[[#This Row],[Month Year]],JMR!$A:$A,JMR!$J:$J))),"")</f>
        <v/>
      </c>
      <c r="AB191" s="86" t="str">
        <f>IFERROR(_xlfn.XLOOKUP($A191,'Raw Data'!$G:$G,'Raw Data'!$H:$H),"")</f>
        <v/>
      </c>
      <c r="AC191" s="87">
        <f>IFERROR(_xlfn.XLOOKUP($D191,'Modelling New'!$D:$D,'Modelling New'!$P:$P),"")</f>
        <v>5.209677419354839</v>
      </c>
      <c r="AD191" s="86">
        <f>IFERROR(_xlfn.XLOOKUP($D191,'Modelling New'!$D:$D,'Modelling New'!$T:$T)*1000,"")</f>
        <v>26373.559701104426</v>
      </c>
      <c r="AE191" s="94">
        <f>IFERROR(_xlfn.XLOOKUP($D191,'Modelling New'!$D:$D,'Modelling New'!$O:$O),"")</f>
        <v>0.71309683237690691</v>
      </c>
      <c r="AF191" s="94">
        <f>IFERROR(_xlfn.XLOOKUP($D191,'Modelling New'!$D:$D,'Modelling New'!$W:$W),"")</f>
        <v>0.15479185272697643</v>
      </c>
      <c r="AG191" s="94">
        <f>IFERROR(_xlfn.XLOOKUP($D191,'Modelling New'!$D:$D,'Modelling New'!$AE:$AE),"")</f>
        <v>0.98040000000000005</v>
      </c>
      <c r="AH191" s="94">
        <f>IFERROR(_xlfn.XLOOKUP($D191,'Modelling New'!$D:$D,'Modelling New'!$AF:$AF),"")</f>
        <v>0.98</v>
      </c>
      <c r="AN191" s="85"/>
      <c r="AO191" s="84"/>
      <c r="AP191" s="84"/>
      <c r="AQ191" s="84"/>
      <c r="AR191" s="86">
        <f>'Basic Data'!$J$2</f>
        <v>7.0991999999999997</v>
      </c>
      <c r="AT191" s="7" t="str">
        <f>IFERROR(_xlfn.XLOOKUP(Table13[[#This Row],[Date]],'Raw Data'!$E:$E,'Raw Data'!$AN:$AN),"")</f>
        <v/>
      </c>
      <c r="AU191" s="7">
        <f>IFERROR(_xlfn.XLOOKUP(Table13[[#This Row],[Month Year]],'Modelling New'!$D:$D,'Modelling New'!$AO:$AO),"")</f>
        <v>7</v>
      </c>
      <c r="AV191" s="7">
        <f>IFERROR(SUMIF('Curtailment Records'!$C:$C,Table13[[#This Row],[Date]],'Curtailment Records'!$R:$R)/1000,"")</f>
        <v>0</v>
      </c>
    </row>
    <row r="192" spans="1:48" x14ac:dyDescent="0.25">
      <c r="A192" s="93">
        <f t="shared" si="14"/>
        <v>45935</v>
      </c>
      <c r="B192" s="86">
        <f>YEAR(Table13[[#This Row],[Date]])+IF(MONTH(Table13[[#This Row],[Date]])&gt;=4,1,0)</f>
        <v>2026</v>
      </c>
      <c r="C192" s="7">
        <f>YEAR(Table13[[#This Row],[Date]])</f>
        <v>2025</v>
      </c>
      <c r="D192" s="92">
        <f>Table13[[#This Row],[Date]]-DAY(Table13[[#This Row],[Date]])+1</f>
        <v>45931</v>
      </c>
      <c r="E192" s="7">
        <f t="shared" si="15"/>
        <v>31</v>
      </c>
      <c r="F192" s="91" t="str">
        <f>IFERROR(_xlfn.XLOOKUP($A192,'Raw Data'!$G:$G,'Raw Data'!$AM:$AM),"")</f>
        <v/>
      </c>
      <c r="G192" s="90" t="str">
        <f>IFERROR(_xlfn.XLOOKUP($A192,'Raw Data'!$G:$G,'Raw Data'!$AB:$AB),"")</f>
        <v/>
      </c>
      <c r="H192" s="90"/>
      <c r="I192" s="90" t="str">
        <f>IFERROR(_xlfn.XLOOKUP($A192,'Raw Data'!$G:$G,'Raw Data'!$AC:$AC),"")</f>
        <v/>
      </c>
      <c r="J192" s="90"/>
      <c r="K192" s="90" t="str">
        <f>IFERROR(_xlfn.XLOOKUP($A192,'Raw Data'!$G:$G,'Raw Data'!AD:AD),"")</f>
        <v/>
      </c>
      <c r="L192" s="90" t="str">
        <f>IFERROR(_xlfn.XLOOKUP($A192,'Raw Data'!$G:$G,'Raw Data'!AE:AE),"")</f>
        <v/>
      </c>
      <c r="M192" s="90" t="str">
        <f>IFERROR(_xlfn.XLOOKUP($A192,'Raw Data'!$G:$G,'Raw Data'!AF:AF),"")</f>
        <v/>
      </c>
      <c r="N192" s="90" t="str">
        <f>IFERROR(_xlfn.XLOOKUP($A192,'Raw Data'!$G:$G,'Raw Data'!AG:AG),"")</f>
        <v/>
      </c>
      <c r="O192" s="85" t="str">
        <f>IFERROR(1-SUMIF('Plant BD'!$B:$B,$A192,'Plant BD'!$AM:$AM)/($AA192+SUMIF('Plant BD'!$B:$B,$A192,'Plant BD'!$AM:$AM)),"")</f>
        <v/>
      </c>
      <c r="P192" s="85"/>
      <c r="Q192" s="89"/>
      <c r="R192" s="85" t="str">
        <f>IFERROR(1-SUMIF('Grid BD'!$B:$B,$A192,'Grid BD'!$AE:$AE)/($AA192+SUMIF('Grid BD'!$B:$B,$A192,'Grid BD'!$AE:$AE)),"")</f>
        <v/>
      </c>
      <c r="T192" s="89"/>
      <c r="U192" s="88" t="str">
        <f t="shared" si="13"/>
        <v/>
      </c>
      <c r="V192" s="88"/>
      <c r="W192" s="84" t="str">
        <f t="shared" si="12"/>
        <v/>
      </c>
      <c r="X192" s="86" t="str">
        <f>IFERROR(_xlfn.XLOOKUP($A192,'Raw Data'!$G:$G,'Raw Data'!AI:AI),"")</f>
        <v/>
      </c>
      <c r="Y192" s="86" t="str">
        <f>IFERROR(_xlfn.XLOOKUP($A192,'Raw Data'!$G:$G,'Raw Data'!AJ:AJ),"")</f>
        <v/>
      </c>
      <c r="Z192" s="86" t="str">
        <f>IFERROR(_xlfn.XLOOKUP($A192,'Raw Data'!$G:$G,'Raw Data'!AK:AK),"")</f>
        <v/>
      </c>
      <c r="AA192" s="86" t="str">
        <f>IFERROR(_xlfn.XLOOKUP($A192,'Raw Data'!$G:$G,'Raw Data'!$AL:$AL)*(1+(_xlfn.XLOOKUP(Table13[[#This Row],[Month Year]],JMR!$A:$A,JMR!$J:$J))),"")</f>
        <v/>
      </c>
      <c r="AB192" s="86" t="str">
        <f>IFERROR(_xlfn.XLOOKUP($A192,'Raw Data'!$G:$G,'Raw Data'!$H:$H),"")</f>
        <v/>
      </c>
      <c r="AC192" s="87">
        <f>IFERROR(_xlfn.XLOOKUP($D192,'Modelling New'!$D:$D,'Modelling New'!$P:$P),"")</f>
        <v>5.209677419354839</v>
      </c>
      <c r="AD192" s="86">
        <f>IFERROR(_xlfn.XLOOKUP($D192,'Modelling New'!$D:$D,'Modelling New'!$T:$T)*1000,"")</f>
        <v>26373.559701104426</v>
      </c>
      <c r="AE192" s="94">
        <f>IFERROR(_xlfn.XLOOKUP($D192,'Modelling New'!$D:$D,'Modelling New'!$O:$O),"")</f>
        <v>0.71309683237690691</v>
      </c>
      <c r="AF192" s="94">
        <f>IFERROR(_xlfn.XLOOKUP($D192,'Modelling New'!$D:$D,'Modelling New'!$W:$W),"")</f>
        <v>0.15479185272697643</v>
      </c>
      <c r="AG192" s="94">
        <f>IFERROR(_xlfn.XLOOKUP($D192,'Modelling New'!$D:$D,'Modelling New'!$AE:$AE),"")</f>
        <v>0.98040000000000005</v>
      </c>
      <c r="AH192" s="94">
        <f>IFERROR(_xlfn.XLOOKUP($D192,'Modelling New'!$D:$D,'Modelling New'!$AF:$AF),"")</f>
        <v>0.98</v>
      </c>
      <c r="AN192" s="85"/>
      <c r="AO192" s="84"/>
      <c r="AP192" s="84"/>
      <c r="AQ192" s="84"/>
      <c r="AR192" s="86">
        <f>'Basic Data'!$J$2</f>
        <v>7.0991999999999997</v>
      </c>
      <c r="AT192" s="7" t="str">
        <f>IFERROR(_xlfn.XLOOKUP(Table13[[#This Row],[Date]],'Raw Data'!$E:$E,'Raw Data'!$AN:$AN),"")</f>
        <v/>
      </c>
      <c r="AU192" s="7">
        <f>IFERROR(_xlfn.XLOOKUP(Table13[[#This Row],[Month Year]],'Modelling New'!$D:$D,'Modelling New'!$AO:$AO),"")</f>
        <v>7</v>
      </c>
      <c r="AV192" s="7">
        <f>IFERROR(SUMIF('Curtailment Records'!$C:$C,Table13[[#This Row],[Date]],'Curtailment Records'!$R:$R)/1000,"")</f>
        <v>0</v>
      </c>
    </row>
    <row r="193" spans="1:48" x14ac:dyDescent="0.25">
      <c r="A193" s="93">
        <f t="shared" si="14"/>
        <v>45936</v>
      </c>
      <c r="B193" s="86">
        <f>YEAR(Table13[[#This Row],[Date]])+IF(MONTH(Table13[[#This Row],[Date]])&gt;=4,1,0)</f>
        <v>2026</v>
      </c>
      <c r="C193" s="7">
        <f>YEAR(Table13[[#This Row],[Date]])</f>
        <v>2025</v>
      </c>
      <c r="D193" s="92">
        <f>Table13[[#This Row],[Date]]-DAY(Table13[[#This Row],[Date]])+1</f>
        <v>45931</v>
      </c>
      <c r="E193" s="7">
        <f t="shared" si="15"/>
        <v>31</v>
      </c>
      <c r="F193" s="91" t="str">
        <f>IFERROR(_xlfn.XLOOKUP($A193,'Raw Data'!$G:$G,'Raw Data'!$AM:$AM),"")</f>
        <v/>
      </c>
      <c r="G193" s="90" t="str">
        <f>IFERROR(_xlfn.XLOOKUP($A193,'Raw Data'!$G:$G,'Raw Data'!$AB:$AB),"")</f>
        <v/>
      </c>
      <c r="H193" s="90"/>
      <c r="I193" s="90" t="str">
        <f>IFERROR(_xlfn.XLOOKUP($A193,'Raw Data'!$G:$G,'Raw Data'!$AC:$AC),"")</f>
        <v/>
      </c>
      <c r="J193" s="90"/>
      <c r="K193" s="90" t="str">
        <f>IFERROR(_xlfn.XLOOKUP($A193,'Raw Data'!$G:$G,'Raw Data'!AD:AD),"")</f>
        <v/>
      </c>
      <c r="L193" s="90" t="str">
        <f>IFERROR(_xlfn.XLOOKUP($A193,'Raw Data'!$G:$G,'Raw Data'!AE:AE),"")</f>
        <v/>
      </c>
      <c r="M193" s="90" t="str">
        <f>IFERROR(_xlfn.XLOOKUP($A193,'Raw Data'!$G:$G,'Raw Data'!AF:AF),"")</f>
        <v/>
      </c>
      <c r="N193" s="90" t="str">
        <f>IFERROR(_xlfn.XLOOKUP($A193,'Raw Data'!$G:$G,'Raw Data'!AG:AG),"")</f>
        <v/>
      </c>
      <c r="O193" s="85" t="str">
        <f>IFERROR(1-SUMIF('Plant BD'!$B:$B,$A193,'Plant BD'!$AM:$AM)/($AA193+SUMIF('Plant BD'!$B:$B,$A193,'Plant BD'!$AM:$AM)),"")</f>
        <v/>
      </c>
      <c r="P193" s="85"/>
      <c r="Q193" s="89"/>
      <c r="R193" s="85" t="str">
        <f>IFERROR(1-SUMIF('Grid BD'!$B:$B,$A193,'Grid BD'!$AE:$AE)/($AA193+SUMIF('Grid BD'!$B:$B,$A193,'Grid BD'!$AE:$AE)),"")</f>
        <v/>
      </c>
      <c r="T193" s="89"/>
      <c r="U193" s="88" t="str">
        <f t="shared" si="13"/>
        <v/>
      </c>
      <c r="V193" s="88"/>
      <c r="W193" s="84" t="str">
        <f t="shared" si="12"/>
        <v/>
      </c>
      <c r="X193" s="86" t="str">
        <f>IFERROR(_xlfn.XLOOKUP($A193,'Raw Data'!$G:$G,'Raw Data'!AI:AI),"")</f>
        <v/>
      </c>
      <c r="Y193" s="86" t="str">
        <f>IFERROR(_xlfn.XLOOKUP($A193,'Raw Data'!$G:$G,'Raw Data'!AJ:AJ),"")</f>
        <v/>
      </c>
      <c r="Z193" s="86" t="str">
        <f>IFERROR(_xlfn.XLOOKUP($A193,'Raw Data'!$G:$G,'Raw Data'!AK:AK),"")</f>
        <v/>
      </c>
      <c r="AA193" s="86" t="str">
        <f>IFERROR(_xlfn.XLOOKUP($A193,'Raw Data'!$G:$G,'Raw Data'!$AL:$AL)*(1+(_xlfn.XLOOKUP(Table13[[#This Row],[Month Year]],JMR!$A:$A,JMR!$J:$J))),"")</f>
        <v/>
      </c>
      <c r="AB193" s="86" t="str">
        <f>IFERROR(_xlfn.XLOOKUP($A193,'Raw Data'!$G:$G,'Raw Data'!$H:$H),"")</f>
        <v/>
      </c>
      <c r="AC193" s="87">
        <f>IFERROR(_xlfn.XLOOKUP($D193,'Modelling New'!$D:$D,'Modelling New'!$P:$P),"")</f>
        <v>5.209677419354839</v>
      </c>
      <c r="AD193" s="86">
        <f>IFERROR(_xlfn.XLOOKUP($D193,'Modelling New'!$D:$D,'Modelling New'!$T:$T)*1000,"")</f>
        <v>26373.559701104426</v>
      </c>
      <c r="AE193" s="94">
        <f>IFERROR(_xlfn.XLOOKUP($D193,'Modelling New'!$D:$D,'Modelling New'!$O:$O),"")</f>
        <v>0.71309683237690691</v>
      </c>
      <c r="AF193" s="94">
        <f>IFERROR(_xlfn.XLOOKUP($D193,'Modelling New'!$D:$D,'Modelling New'!$W:$W),"")</f>
        <v>0.15479185272697643</v>
      </c>
      <c r="AG193" s="94">
        <f>IFERROR(_xlfn.XLOOKUP($D193,'Modelling New'!$D:$D,'Modelling New'!$AE:$AE),"")</f>
        <v>0.98040000000000005</v>
      </c>
      <c r="AH193" s="94">
        <f>IFERROR(_xlfn.XLOOKUP($D193,'Modelling New'!$D:$D,'Modelling New'!$AF:$AF),"")</f>
        <v>0.98</v>
      </c>
      <c r="AN193" s="85"/>
      <c r="AO193" s="84"/>
      <c r="AP193" s="84"/>
      <c r="AQ193" s="84"/>
      <c r="AR193" s="86">
        <f>'Basic Data'!$J$2</f>
        <v>7.0991999999999997</v>
      </c>
      <c r="AT193" s="7" t="str">
        <f>IFERROR(_xlfn.XLOOKUP(Table13[[#This Row],[Date]],'Raw Data'!$E:$E,'Raw Data'!$AN:$AN),"")</f>
        <v/>
      </c>
      <c r="AU193" s="7">
        <f>IFERROR(_xlfn.XLOOKUP(Table13[[#This Row],[Month Year]],'Modelling New'!$D:$D,'Modelling New'!$AO:$AO),"")</f>
        <v>7</v>
      </c>
      <c r="AV193" s="7">
        <f>IFERROR(SUMIF('Curtailment Records'!$C:$C,Table13[[#This Row],[Date]],'Curtailment Records'!$R:$R)/1000,"")</f>
        <v>0</v>
      </c>
    </row>
    <row r="194" spans="1:48" x14ac:dyDescent="0.25">
      <c r="A194" s="93">
        <f t="shared" si="14"/>
        <v>45937</v>
      </c>
      <c r="B194" s="86">
        <f>YEAR(Table13[[#This Row],[Date]])+IF(MONTH(Table13[[#This Row],[Date]])&gt;=4,1,0)</f>
        <v>2026</v>
      </c>
      <c r="C194" s="7">
        <f>YEAR(Table13[[#This Row],[Date]])</f>
        <v>2025</v>
      </c>
      <c r="D194" s="92">
        <f>Table13[[#This Row],[Date]]-DAY(Table13[[#This Row],[Date]])+1</f>
        <v>45931</v>
      </c>
      <c r="E194" s="7">
        <f t="shared" si="15"/>
        <v>31</v>
      </c>
      <c r="F194" s="91" t="str">
        <f>IFERROR(_xlfn.XLOOKUP($A194,'Raw Data'!$G:$G,'Raw Data'!$AM:$AM),"")</f>
        <v/>
      </c>
      <c r="G194" s="90" t="str">
        <f>IFERROR(_xlfn.XLOOKUP($A194,'Raw Data'!$G:$G,'Raw Data'!$AB:$AB),"")</f>
        <v/>
      </c>
      <c r="H194" s="90"/>
      <c r="I194" s="90" t="str">
        <f>IFERROR(_xlfn.XLOOKUP($A194,'Raw Data'!$G:$G,'Raw Data'!$AC:$AC),"")</f>
        <v/>
      </c>
      <c r="J194" s="90"/>
      <c r="K194" s="90" t="str">
        <f>IFERROR(_xlfn.XLOOKUP($A194,'Raw Data'!$G:$G,'Raw Data'!AD:AD),"")</f>
        <v/>
      </c>
      <c r="L194" s="90" t="str">
        <f>IFERROR(_xlfn.XLOOKUP($A194,'Raw Data'!$G:$G,'Raw Data'!AE:AE),"")</f>
        <v/>
      </c>
      <c r="M194" s="90" t="str">
        <f>IFERROR(_xlfn.XLOOKUP($A194,'Raw Data'!$G:$G,'Raw Data'!AF:AF),"")</f>
        <v/>
      </c>
      <c r="N194" s="90" t="str">
        <f>IFERROR(_xlfn.XLOOKUP($A194,'Raw Data'!$G:$G,'Raw Data'!AG:AG),"")</f>
        <v/>
      </c>
      <c r="O194" s="85" t="str">
        <f>IFERROR(1-SUMIF('Plant BD'!$B:$B,$A194,'Plant BD'!$AM:$AM)/($AA194+SUMIF('Plant BD'!$B:$B,$A194,'Plant BD'!$AM:$AM)),"")</f>
        <v/>
      </c>
      <c r="P194" s="85"/>
      <c r="Q194" s="89"/>
      <c r="R194" s="85" t="str">
        <f>IFERROR(1-SUMIF('Grid BD'!$B:$B,$A194,'Grid BD'!$AE:$AE)/($AA194+SUMIF('Grid BD'!$B:$B,$A194,'Grid BD'!$AE:$AE)),"")</f>
        <v/>
      </c>
      <c r="T194" s="89"/>
      <c r="U194" s="88" t="str">
        <f t="shared" si="13"/>
        <v/>
      </c>
      <c r="V194" s="88"/>
      <c r="W194" s="84" t="str">
        <f t="shared" si="12"/>
        <v/>
      </c>
      <c r="X194" s="86" t="str">
        <f>IFERROR(_xlfn.XLOOKUP($A194,'Raw Data'!$G:$G,'Raw Data'!AI:AI),"")</f>
        <v/>
      </c>
      <c r="Y194" s="86" t="str">
        <f>IFERROR(_xlfn.XLOOKUP($A194,'Raw Data'!$G:$G,'Raw Data'!AJ:AJ),"")</f>
        <v/>
      </c>
      <c r="Z194" s="86" t="str">
        <f>IFERROR(_xlfn.XLOOKUP($A194,'Raw Data'!$G:$G,'Raw Data'!AK:AK),"")</f>
        <v/>
      </c>
      <c r="AA194" s="86" t="str">
        <f>IFERROR(_xlfn.XLOOKUP($A194,'Raw Data'!$G:$G,'Raw Data'!$AL:$AL)*(1+(_xlfn.XLOOKUP(Table13[[#This Row],[Month Year]],JMR!$A:$A,JMR!$J:$J))),"")</f>
        <v/>
      </c>
      <c r="AB194" s="86" t="str">
        <f>IFERROR(_xlfn.XLOOKUP($A194,'Raw Data'!$G:$G,'Raw Data'!$H:$H),"")</f>
        <v/>
      </c>
      <c r="AC194" s="87">
        <f>IFERROR(_xlfn.XLOOKUP($D194,'Modelling New'!$D:$D,'Modelling New'!$P:$P),"")</f>
        <v>5.209677419354839</v>
      </c>
      <c r="AD194" s="86">
        <f>IFERROR(_xlfn.XLOOKUP($D194,'Modelling New'!$D:$D,'Modelling New'!$T:$T)*1000,"")</f>
        <v>26373.559701104426</v>
      </c>
      <c r="AE194" s="94">
        <f>IFERROR(_xlfn.XLOOKUP($D194,'Modelling New'!$D:$D,'Modelling New'!$O:$O),"")</f>
        <v>0.71309683237690691</v>
      </c>
      <c r="AF194" s="94">
        <f>IFERROR(_xlfn.XLOOKUP($D194,'Modelling New'!$D:$D,'Modelling New'!$W:$W),"")</f>
        <v>0.15479185272697643</v>
      </c>
      <c r="AG194" s="94">
        <f>IFERROR(_xlfn.XLOOKUP($D194,'Modelling New'!$D:$D,'Modelling New'!$AE:$AE),"")</f>
        <v>0.98040000000000005</v>
      </c>
      <c r="AH194" s="94">
        <f>IFERROR(_xlfn.XLOOKUP($D194,'Modelling New'!$D:$D,'Modelling New'!$AF:$AF),"")</f>
        <v>0.98</v>
      </c>
      <c r="AN194" s="85"/>
      <c r="AO194" s="84"/>
      <c r="AP194" s="84"/>
      <c r="AQ194" s="84"/>
      <c r="AR194" s="86">
        <f>'Basic Data'!$J$2</f>
        <v>7.0991999999999997</v>
      </c>
      <c r="AT194" s="7" t="str">
        <f>IFERROR(_xlfn.XLOOKUP(Table13[[#This Row],[Date]],'Raw Data'!$E:$E,'Raw Data'!$AN:$AN),"")</f>
        <v/>
      </c>
      <c r="AU194" s="7">
        <f>IFERROR(_xlfn.XLOOKUP(Table13[[#This Row],[Month Year]],'Modelling New'!$D:$D,'Modelling New'!$AO:$AO),"")</f>
        <v>7</v>
      </c>
      <c r="AV194" s="7">
        <f>IFERROR(SUMIF('Curtailment Records'!$C:$C,Table13[[#This Row],[Date]],'Curtailment Records'!$R:$R)/1000,"")</f>
        <v>0</v>
      </c>
    </row>
    <row r="195" spans="1:48" x14ac:dyDescent="0.25">
      <c r="A195" s="93">
        <f t="shared" si="14"/>
        <v>45938</v>
      </c>
      <c r="B195" s="86">
        <f>YEAR(Table13[[#This Row],[Date]])+IF(MONTH(Table13[[#This Row],[Date]])&gt;=4,1,0)</f>
        <v>2026</v>
      </c>
      <c r="C195" s="7">
        <f>YEAR(Table13[[#This Row],[Date]])</f>
        <v>2025</v>
      </c>
      <c r="D195" s="92">
        <f>Table13[[#This Row],[Date]]-DAY(Table13[[#This Row],[Date]])+1</f>
        <v>45931</v>
      </c>
      <c r="E195" s="7">
        <f t="shared" si="15"/>
        <v>31</v>
      </c>
      <c r="F195" s="91" t="str">
        <f>IFERROR(_xlfn.XLOOKUP($A195,'Raw Data'!$G:$G,'Raw Data'!$AM:$AM),"")</f>
        <v/>
      </c>
      <c r="G195" s="90" t="str">
        <f>IFERROR(_xlfn.XLOOKUP($A195,'Raw Data'!$G:$G,'Raw Data'!$AB:$AB),"")</f>
        <v/>
      </c>
      <c r="H195" s="90"/>
      <c r="I195" s="90" t="str">
        <f>IFERROR(_xlfn.XLOOKUP($A195,'Raw Data'!$G:$G,'Raw Data'!$AC:$AC),"")</f>
        <v/>
      </c>
      <c r="J195" s="90"/>
      <c r="K195" s="90" t="str">
        <f>IFERROR(_xlfn.XLOOKUP($A195,'Raw Data'!$G:$G,'Raw Data'!AD:AD),"")</f>
        <v/>
      </c>
      <c r="L195" s="90" t="str">
        <f>IFERROR(_xlfn.XLOOKUP($A195,'Raw Data'!$G:$G,'Raw Data'!AE:AE),"")</f>
        <v/>
      </c>
      <c r="M195" s="90" t="str">
        <f>IFERROR(_xlfn.XLOOKUP($A195,'Raw Data'!$G:$G,'Raw Data'!AF:AF),"")</f>
        <v/>
      </c>
      <c r="N195" s="90" t="str">
        <f>IFERROR(_xlfn.XLOOKUP($A195,'Raw Data'!$G:$G,'Raw Data'!AG:AG),"")</f>
        <v/>
      </c>
      <c r="O195" s="85" t="str">
        <f>IFERROR(1-SUMIF('Plant BD'!$B:$B,$A195,'Plant BD'!$AM:$AM)/($AA195+SUMIF('Plant BD'!$B:$B,$A195,'Plant BD'!$AM:$AM)),"")</f>
        <v/>
      </c>
      <c r="P195" s="85"/>
      <c r="Q195" s="89"/>
      <c r="R195" s="85" t="str">
        <f>IFERROR(1-SUMIF('Grid BD'!$B:$B,$A195,'Grid BD'!$AE:$AE)/($AA195+SUMIF('Grid BD'!$B:$B,$A195,'Grid BD'!$AE:$AE)),"")</f>
        <v/>
      </c>
      <c r="T195" s="89"/>
      <c r="U195" s="88" t="str">
        <f t="shared" si="13"/>
        <v/>
      </c>
      <c r="V195" s="88"/>
      <c r="W195" s="84" t="str">
        <f t="shared" si="12"/>
        <v/>
      </c>
      <c r="X195" s="86" t="str">
        <f>IFERROR(_xlfn.XLOOKUP($A195,'Raw Data'!$G:$G,'Raw Data'!AI:AI),"")</f>
        <v/>
      </c>
      <c r="Y195" s="86" t="str">
        <f>IFERROR(_xlfn.XLOOKUP($A195,'Raw Data'!$G:$G,'Raw Data'!AJ:AJ),"")</f>
        <v/>
      </c>
      <c r="Z195" s="86" t="str">
        <f>IFERROR(_xlfn.XLOOKUP($A195,'Raw Data'!$G:$G,'Raw Data'!AK:AK),"")</f>
        <v/>
      </c>
      <c r="AA195" s="86" t="str">
        <f>IFERROR(_xlfn.XLOOKUP($A195,'Raw Data'!$G:$G,'Raw Data'!$AL:$AL)*(1+(_xlfn.XLOOKUP(Table13[[#This Row],[Month Year]],JMR!$A:$A,JMR!$J:$J))),"")</f>
        <v/>
      </c>
      <c r="AB195" s="86" t="str">
        <f>IFERROR(_xlfn.XLOOKUP($A195,'Raw Data'!$G:$G,'Raw Data'!$H:$H),"")</f>
        <v/>
      </c>
      <c r="AC195" s="87">
        <f>IFERROR(_xlfn.XLOOKUP($D195,'Modelling New'!$D:$D,'Modelling New'!$P:$P),"")</f>
        <v>5.209677419354839</v>
      </c>
      <c r="AD195" s="86">
        <f>IFERROR(_xlfn.XLOOKUP($D195,'Modelling New'!$D:$D,'Modelling New'!$T:$T)*1000,"")</f>
        <v>26373.559701104426</v>
      </c>
      <c r="AE195" s="94">
        <f>IFERROR(_xlfn.XLOOKUP($D195,'Modelling New'!$D:$D,'Modelling New'!$O:$O),"")</f>
        <v>0.71309683237690691</v>
      </c>
      <c r="AF195" s="94">
        <f>IFERROR(_xlfn.XLOOKUP($D195,'Modelling New'!$D:$D,'Modelling New'!$W:$W),"")</f>
        <v>0.15479185272697643</v>
      </c>
      <c r="AG195" s="94">
        <f>IFERROR(_xlfn.XLOOKUP($D195,'Modelling New'!$D:$D,'Modelling New'!$AE:$AE),"")</f>
        <v>0.98040000000000005</v>
      </c>
      <c r="AH195" s="94">
        <f>IFERROR(_xlfn.XLOOKUP($D195,'Modelling New'!$D:$D,'Modelling New'!$AF:$AF),"")</f>
        <v>0.98</v>
      </c>
      <c r="AN195" s="85"/>
      <c r="AO195" s="84"/>
      <c r="AP195" s="84"/>
      <c r="AQ195" s="84"/>
      <c r="AR195" s="86">
        <f>'Basic Data'!$J$2</f>
        <v>7.0991999999999997</v>
      </c>
      <c r="AT195" s="7" t="str">
        <f>IFERROR(_xlfn.XLOOKUP(Table13[[#This Row],[Date]],'Raw Data'!$E:$E,'Raw Data'!$AN:$AN),"")</f>
        <v/>
      </c>
      <c r="AU195" s="7">
        <f>IFERROR(_xlfn.XLOOKUP(Table13[[#This Row],[Month Year]],'Modelling New'!$D:$D,'Modelling New'!$AO:$AO),"")</f>
        <v>7</v>
      </c>
      <c r="AV195" s="7">
        <f>IFERROR(SUMIF('Curtailment Records'!$C:$C,Table13[[#This Row],[Date]],'Curtailment Records'!$R:$R)/1000,"")</f>
        <v>0</v>
      </c>
    </row>
    <row r="196" spans="1:48" x14ac:dyDescent="0.25">
      <c r="A196" s="93">
        <f t="shared" si="14"/>
        <v>45939</v>
      </c>
      <c r="B196" s="86">
        <f>YEAR(Table13[[#This Row],[Date]])+IF(MONTH(Table13[[#This Row],[Date]])&gt;=4,1,0)</f>
        <v>2026</v>
      </c>
      <c r="C196" s="7">
        <f>YEAR(Table13[[#This Row],[Date]])</f>
        <v>2025</v>
      </c>
      <c r="D196" s="92">
        <f>Table13[[#This Row],[Date]]-DAY(Table13[[#This Row],[Date]])+1</f>
        <v>45931</v>
      </c>
      <c r="E196" s="7">
        <f t="shared" si="15"/>
        <v>31</v>
      </c>
      <c r="F196" s="91" t="str">
        <f>IFERROR(_xlfn.XLOOKUP($A196,'Raw Data'!$G:$G,'Raw Data'!$AM:$AM),"")</f>
        <v/>
      </c>
      <c r="G196" s="90" t="str">
        <f>IFERROR(_xlfn.XLOOKUP($A196,'Raw Data'!$G:$G,'Raw Data'!$AB:$AB),"")</f>
        <v/>
      </c>
      <c r="H196" s="90"/>
      <c r="I196" s="90" t="str">
        <f>IFERROR(_xlfn.XLOOKUP($A196,'Raw Data'!$G:$G,'Raw Data'!$AC:$AC),"")</f>
        <v/>
      </c>
      <c r="J196" s="90"/>
      <c r="K196" s="90" t="str">
        <f>IFERROR(_xlfn.XLOOKUP($A196,'Raw Data'!$G:$G,'Raw Data'!AD:AD),"")</f>
        <v/>
      </c>
      <c r="L196" s="90" t="str">
        <f>IFERROR(_xlfn.XLOOKUP($A196,'Raw Data'!$G:$G,'Raw Data'!AE:AE),"")</f>
        <v/>
      </c>
      <c r="M196" s="90" t="str">
        <f>IFERROR(_xlfn.XLOOKUP($A196,'Raw Data'!$G:$G,'Raw Data'!AF:AF),"")</f>
        <v/>
      </c>
      <c r="N196" s="90" t="str">
        <f>IFERROR(_xlfn.XLOOKUP($A196,'Raw Data'!$G:$G,'Raw Data'!AG:AG),"")</f>
        <v/>
      </c>
      <c r="O196" s="85" t="str">
        <f>IFERROR(1-SUMIF('Plant BD'!$B:$B,$A196,'Plant BD'!$AM:$AM)/($AA196+SUMIF('Plant BD'!$B:$B,$A196,'Plant BD'!$AM:$AM)),"")</f>
        <v/>
      </c>
      <c r="P196" s="85"/>
      <c r="Q196" s="89"/>
      <c r="R196" s="85" t="str">
        <f>IFERROR(1-SUMIF('Grid BD'!$B:$B,$A196,'Grid BD'!$AE:$AE)/($AA196+SUMIF('Grid BD'!$B:$B,$A196,'Grid BD'!$AE:$AE)),"")</f>
        <v/>
      </c>
      <c r="T196" s="89"/>
      <c r="U196" s="88" t="str">
        <f t="shared" si="13"/>
        <v/>
      </c>
      <c r="V196" s="88"/>
      <c r="W196" s="84" t="str">
        <f t="shared" si="12"/>
        <v/>
      </c>
      <c r="X196" s="86" t="str">
        <f>IFERROR(_xlfn.XLOOKUP($A196,'Raw Data'!$G:$G,'Raw Data'!AI:AI),"")</f>
        <v/>
      </c>
      <c r="Y196" s="86" t="str">
        <f>IFERROR(_xlfn.XLOOKUP($A196,'Raw Data'!$G:$G,'Raw Data'!AJ:AJ),"")</f>
        <v/>
      </c>
      <c r="Z196" s="86" t="str">
        <f>IFERROR(_xlfn.XLOOKUP($A196,'Raw Data'!$G:$G,'Raw Data'!AK:AK),"")</f>
        <v/>
      </c>
      <c r="AA196" s="86" t="str">
        <f>IFERROR(_xlfn.XLOOKUP($A196,'Raw Data'!$G:$G,'Raw Data'!$AL:$AL)*(1+(_xlfn.XLOOKUP(Table13[[#This Row],[Month Year]],JMR!$A:$A,JMR!$J:$J))),"")</f>
        <v/>
      </c>
      <c r="AB196" s="86" t="str">
        <f>IFERROR(_xlfn.XLOOKUP($A196,'Raw Data'!$G:$G,'Raw Data'!$H:$H),"")</f>
        <v/>
      </c>
      <c r="AC196" s="87">
        <f>IFERROR(_xlfn.XLOOKUP($D196,'Modelling New'!$D:$D,'Modelling New'!$P:$P),"")</f>
        <v>5.209677419354839</v>
      </c>
      <c r="AD196" s="86">
        <f>IFERROR(_xlfn.XLOOKUP($D196,'Modelling New'!$D:$D,'Modelling New'!$T:$T)*1000,"")</f>
        <v>26373.559701104426</v>
      </c>
      <c r="AE196" s="94">
        <f>IFERROR(_xlfn.XLOOKUP($D196,'Modelling New'!$D:$D,'Modelling New'!$O:$O),"")</f>
        <v>0.71309683237690691</v>
      </c>
      <c r="AF196" s="94">
        <f>IFERROR(_xlfn.XLOOKUP($D196,'Modelling New'!$D:$D,'Modelling New'!$W:$W),"")</f>
        <v>0.15479185272697643</v>
      </c>
      <c r="AG196" s="94">
        <f>IFERROR(_xlfn.XLOOKUP($D196,'Modelling New'!$D:$D,'Modelling New'!$AE:$AE),"")</f>
        <v>0.98040000000000005</v>
      </c>
      <c r="AH196" s="94">
        <f>IFERROR(_xlfn.XLOOKUP($D196,'Modelling New'!$D:$D,'Modelling New'!$AF:$AF),"")</f>
        <v>0.98</v>
      </c>
      <c r="AN196" s="85"/>
      <c r="AO196" s="84"/>
      <c r="AP196" s="84"/>
      <c r="AQ196" s="84"/>
      <c r="AR196" s="86">
        <f>'Basic Data'!$J$2</f>
        <v>7.0991999999999997</v>
      </c>
      <c r="AT196" s="7" t="str">
        <f>IFERROR(_xlfn.XLOOKUP(Table13[[#This Row],[Date]],'Raw Data'!$E:$E,'Raw Data'!$AN:$AN),"")</f>
        <v/>
      </c>
      <c r="AU196" s="7">
        <f>IFERROR(_xlfn.XLOOKUP(Table13[[#This Row],[Month Year]],'Modelling New'!$D:$D,'Modelling New'!$AO:$AO),"")</f>
        <v>7</v>
      </c>
      <c r="AV196" s="7">
        <f>IFERROR(SUMIF('Curtailment Records'!$C:$C,Table13[[#This Row],[Date]],'Curtailment Records'!$R:$R)/1000,"")</f>
        <v>0</v>
      </c>
    </row>
    <row r="197" spans="1:48" x14ac:dyDescent="0.25">
      <c r="A197" s="93">
        <f t="shared" si="14"/>
        <v>45940</v>
      </c>
      <c r="B197" s="86">
        <f>YEAR(Table13[[#This Row],[Date]])+IF(MONTH(Table13[[#This Row],[Date]])&gt;=4,1,0)</f>
        <v>2026</v>
      </c>
      <c r="C197" s="7">
        <f>YEAR(Table13[[#This Row],[Date]])</f>
        <v>2025</v>
      </c>
      <c r="D197" s="92">
        <f>Table13[[#This Row],[Date]]-DAY(Table13[[#This Row],[Date]])+1</f>
        <v>45931</v>
      </c>
      <c r="E197" s="7">
        <f t="shared" si="15"/>
        <v>31</v>
      </c>
      <c r="F197" s="91" t="str">
        <f>IFERROR(_xlfn.XLOOKUP($A197,'Raw Data'!$G:$G,'Raw Data'!$AM:$AM),"")</f>
        <v/>
      </c>
      <c r="G197" s="90" t="str">
        <f>IFERROR(_xlfn.XLOOKUP($A197,'Raw Data'!$G:$G,'Raw Data'!$AB:$AB),"")</f>
        <v/>
      </c>
      <c r="H197" s="90"/>
      <c r="I197" s="90" t="str">
        <f>IFERROR(_xlfn.XLOOKUP($A197,'Raw Data'!$G:$G,'Raw Data'!$AC:$AC),"")</f>
        <v/>
      </c>
      <c r="J197" s="90"/>
      <c r="K197" s="90" t="str">
        <f>IFERROR(_xlfn.XLOOKUP($A197,'Raw Data'!$G:$G,'Raw Data'!AD:AD),"")</f>
        <v/>
      </c>
      <c r="L197" s="90" t="str">
        <f>IFERROR(_xlfn.XLOOKUP($A197,'Raw Data'!$G:$G,'Raw Data'!AE:AE),"")</f>
        <v/>
      </c>
      <c r="M197" s="90" t="str">
        <f>IFERROR(_xlfn.XLOOKUP($A197,'Raw Data'!$G:$G,'Raw Data'!AF:AF),"")</f>
        <v/>
      </c>
      <c r="N197" s="90" t="str">
        <f>IFERROR(_xlfn.XLOOKUP($A197,'Raw Data'!$G:$G,'Raw Data'!AG:AG),"")</f>
        <v/>
      </c>
      <c r="O197" s="85" t="str">
        <f>IFERROR(1-SUMIF('Plant BD'!$B:$B,$A197,'Plant BD'!$AM:$AM)/($AA197+SUMIF('Plant BD'!$B:$B,$A197,'Plant BD'!$AM:$AM)),"")</f>
        <v/>
      </c>
      <c r="P197" s="85"/>
      <c r="Q197" s="89"/>
      <c r="R197" s="85" t="str">
        <f>IFERROR(1-SUMIF('Grid BD'!$B:$B,$A197,'Grid BD'!$AE:$AE)/($AA197+SUMIF('Grid BD'!$B:$B,$A197,'Grid BD'!$AE:$AE)),"")</f>
        <v/>
      </c>
      <c r="T197" s="89"/>
      <c r="U197" s="88" t="str">
        <f t="shared" si="13"/>
        <v/>
      </c>
      <c r="V197" s="88"/>
      <c r="W197" s="84" t="str">
        <f t="shared" si="12"/>
        <v/>
      </c>
      <c r="X197" s="86" t="str">
        <f>IFERROR(_xlfn.XLOOKUP($A197,'Raw Data'!$G:$G,'Raw Data'!AI:AI),"")</f>
        <v/>
      </c>
      <c r="Y197" s="86" t="str">
        <f>IFERROR(_xlfn.XLOOKUP($A197,'Raw Data'!$G:$G,'Raw Data'!AJ:AJ),"")</f>
        <v/>
      </c>
      <c r="Z197" s="86" t="str">
        <f>IFERROR(_xlfn.XLOOKUP($A197,'Raw Data'!$G:$G,'Raw Data'!AK:AK),"")</f>
        <v/>
      </c>
      <c r="AA197" s="86" t="str">
        <f>IFERROR(_xlfn.XLOOKUP($A197,'Raw Data'!$G:$G,'Raw Data'!$AL:$AL)*(1+(_xlfn.XLOOKUP(Table13[[#This Row],[Month Year]],JMR!$A:$A,JMR!$J:$J))),"")</f>
        <v/>
      </c>
      <c r="AB197" s="86" t="str">
        <f>IFERROR(_xlfn.XLOOKUP($A197,'Raw Data'!$G:$G,'Raw Data'!$H:$H),"")</f>
        <v/>
      </c>
      <c r="AC197" s="87">
        <f>IFERROR(_xlfn.XLOOKUP($D197,'Modelling New'!$D:$D,'Modelling New'!$P:$P),"")</f>
        <v>5.209677419354839</v>
      </c>
      <c r="AD197" s="86">
        <f>IFERROR(_xlfn.XLOOKUP($D197,'Modelling New'!$D:$D,'Modelling New'!$T:$T)*1000,"")</f>
        <v>26373.559701104426</v>
      </c>
      <c r="AE197" s="94">
        <f>IFERROR(_xlfn.XLOOKUP($D197,'Modelling New'!$D:$D,'Modelling New'!$O:$O),"")</f>
        <v>0.71309683237690691</v>
      </c>
      <c r="AF197" s="94">
        <f>IFERROR(_xlfn.XLOOKUP($D197,'Modelling New'!$D:$D,'Modelling New'!$W:$W),"")</f>
        <v>0.15479185272697643</v>
      </c>
      <c r="AG197" s="94">
        <f>IFERROR(_xlfn.XLOOKUP($D197,'Modelling New'!$D:$D,'Modelling New'!$AE:$AE),"")</f>
        <v>0.98040000000000005</v>
      </c>
      <c r="AH197" s="94">
        <f>IFERROR(_xlfn.XLOOKUP($D197,'Modelling New'!$D:$D,'Modelling New'!$AF:$AF),"")</f>
        <v>0.98</v>
      </c>
      <c r="AN197" s="85"/>
      <c r="AO197" s="84"/>
      <c r="AP197" s="84"/>
      <c r="AQ197" s="84"/>
      <c r="AR197" s="86">
        <f>'Basic Data'!$J$2</f>
        <v>7.0991999999999997</v>
      </c>
      <c r="AT197" s="7" t="str">
        <f>IFERROR(_xlfn.XLOOKUP(Table13[[#This Row],[Date]],'Raw Data'!$E:$E,'Raw Data'!$AN:$AN),"")</f>
        <v/>
      </c>
      <c r="AU197" s="7">
        <f>IFERROR(_xlfn.XLOOKUP(Table13[[#This Row],[Month Year]],'Modelling New'!$D:$D,'Modelling New'!$AO:$AO),"")</f>
        <v>7</v>
      </c>
      <c r="AV197" s="7">
        <f>IFERROR(SUMIF('Curtailment Records'!$C:$C,Table13[[#This Row],[Date]],'Curtailment Records'!$R:$R)/1000,"")</f>
        <v>0</v>
      </c>
    </row>
    <row r="198" spans="1:48" x14ac:dyDescent="0.25">
      <c r="A198" s="93">
        <f t="shared" si="14"/>
        <v>45941</v>
      </c>
      <c r="B198" s="86">
        <f>YEAR(Table13[[#This Row],[Date]])+IF(MONTH(Table13[[#This Row],[Date]])&gt;=4,1,0)</f>
        <v>2026</v>
      </c>
      <c r="C198" s="7">
        <f>YEAR(Table13[[#This Row],[Date]])</f>
        <v>2025</v>
      </c>
      <c r="D198" s="92">
        <f>Table13[[#This Row],[Date]]-DAY(Table13[[#This Row],[Date]])+1</f>
        <v>45931</v>
      </c>
      <c r="E198" s="7">
        <f t="shared" si="15"/>
        <v>31</v>
      </c>
      <c r="F198" s="91" t="str">
        <f>IFERROR(_xlfn.XLOOKUP($A198,'Raw Data'!$G:$G,'Raw Data'!$AM:$AM),"")</f>
        <v/>
      </c>
      <c r="G198" s="90" t="str">
        <f>IFERROR(_xlfn.XLOOKUP($A198,'Raw Data'!$G:$G,'Raw Data'!$AB:$AB),"")</f>
        <v/>
      </c>
      <c r="H198" s="90"/>
      <c r="I198" s="90" t="str">
        <f>IFERROR(_xlfn.XLOOKUP($A198,'Raw Data'!$G:$G,'Raw Data'!$AC:$AC),"")</f>
        <v/>
      </c>
      <c r="J198" s="90"/>
      <c r="K198" s="90" t="str">
        <f>IFERROR(_xlfn.XLOOKUP($A198,'Raw Data'!$G:$G,'Raw Data'!AD:AD),"")</f>
        <v/>
      </c>
      <c r="L198" s="90" t="str">
        <f>IFERROR(_xlfn.XLOOKUP($A198,'Raw Data'!$G:$G,'Raw Data'!AE:AE),"")</f>
        <v/>
      </c>
      <c r="M198" s="90" t="str">
        <f>IFERROR(_xlfn.XLOOKUP($A198,'Raw Data'!$G:$G,'Raw Data'!AF:AF),"")</f>
        <v/>
      </c>
      <c r="N198" s="90" t="str">
        <f>IFERROR(_xlfn.XLOOKUP($A198,'Raw Data'!$G:$G,'Raw Data'!AG:AG),"")</f>
        <v/>
      </c>
      <c r="O198" s="85" t="str">
        <f>IFERROR(1-SUMIF('Plant BD'!$B:$B,$A198,'Plant BD'!$AM:$AM)/($AA198+SUMIF('Plant BD'!$B:$B,$A198,'Plant BD'!$AM:$AM)),"")</f>
        <v/>
      </c>
      <c r="P198" s="85"/>
      <c r="Q198" s="89"/>
      <c r="R198" s="85" t="str">
        <f>IFERROR(1-SUMIF('Grid BD'!$B:$B,$A198,'Grid BD'!$AE:$AE)/($AA198+SUMIF('Grid BD'!$B:$B,$A198,'Grid BD'!$AE:$AE)),"")</f>
        <v/>
      </c>
      <c r="T198" s="89"/>
      <c r="U198" s="88" t="str">
        <f t="shared" si="13"/>
        <v/>
      </c>
      <c r="V198" s="88"/>
      <c r="W198" s="84" t="str">
        <f t="shared" si="12"/>
        <v/>
      </c>
      <c r="X198" s="86" t="str">
        <f>IFERROR(_xlfn.XLOOKUP($A198,'Raw Data'!$G:$G,'Raw Data'!AI:AI),"")</f>
        <v/>
      </c>
      <c r="Y198" s="86" t="str">
        <f>IFERROR(_xlfn.XLOOKUP($A198,'Raw Data'!$G:$G,'Raw Data'!AJ:AJ),"")</f>
        <v/>
      </c>
      <c r="Z198" s="86" t="str">
        <f>IFERROR(_xlfn.XLOOKUP($A198,'Raw Data'!$G:$G,'Raw Data'!AK:AK),"")</f>
        <v/>
      </c>
      <c r="AA198" s="86" t="str">
        <f>IFERROR(_xlfn.XLOOKUP($A198,'Raw Data'!$G:$G,'Raw Data'!$AL:$AL)*(1+(_xlfn.XLOOKUP(Table13[[#This Row],[Month Year]],JMR!$A:$A,JMR!$J:$J))),"")</f>
        <v/>
      </c>
      <c r="AB198" s="86" t="str">
        <f>IFERROR(_xlfn.XLOOKUP($A198,'Raw Data'!$G:$G,'Raw Data'!$H:$H),"")</f>
        <v/>
      </c>
      <c r="AC198" s="87">
        <f>IFERROR(_xlfn.XLOOKUP($D198,'Modelling New'!$D:$D,'Modelling New'!$P:$P),"")</f>
        <v>5.209677419354839</v>
      </c>
      <c r="AD198" s="86">
        <f>IFERROR(_xlfn.XLOOKUP($D198,'Modelling New'!$D:$D,'Modelling New'!$T:$T)*1000,"")</f>
        <v>26373.559701104426</v>
      </c>
      <c r="AE198" s="94">
        <f>IFERROR(_xlfn.XLOOKUP($D198,'Modelling New'!$D:$D,'Modelling New'!$O:$O),"")</f>
        <v>0.71309683237690691</v>
      </c>
      <c r="AF198" s="94">
        <f>IFERROR(_xlfn.XLOOKUP($D198,'Modelling New'!$D:$D,'Modelling New'!$W:$W),"")</f>
        <v>0.15479185272697643</v>
      </c>
      <c r="AG198" s="94">
        <f>IFERROR(_xlfn.XLOOKUP($D198,'Modelling New'!$D:$D,'Modelling New'!$AE:$AE),"")</f>
        <v>0.98040000000000005</v>
      </c>
      <c r="AH198" s="94">
        <f>IFERROR(_xlfn.XLOOKUP($D198,'Modelling New'!$D:$D,'Modelling New'!$AF:$AF),"")</f>
        <v>0.98</v>
      </c>
      <c r="AN198" s="85"/>
      <c r="AO198" s="84"/>
      <c r="AP198" s="84"/>
      <c r="AQ198" s="84"/>
      <c r="AR198" s="86">
        <f>'Basic Data'!$J$2</f>
        <v>7.0991999999999997</v>
      </c>
      <c r="AT198" s="7" t="str">
        <f>IFERROR(_xlfn.XLOOKUP(Table13[[#This Row],[Date]],'Raw Data'!$E:$E,'Raw Data'!$AN:$AN),"")</f>
        <v/>
      </c>
      <c r="AU198" s="7">
        <f>IFERROR(_xlfn.XLOOKUP(Table13[[#This Row],[Month Year]],'Modelling New'!$D:$D,'Modelling New'!$AO:$AO),"")</f>
        <v>7</v>
      </c>
      <c r="AV198" s="7">
        <f>IFERROR(SUMIF('Curtailment Records'!$C:$C,Table13[[#This Row],[Date]],'Curtailment Records'!$R:$R)/1000,"")</f>
        <v>0</v>
      </c>
    </row>
    <row r="199" spans="1:48" x14ac:dyDescent="0.25">
      <c r="A199" s="93">
        <f t="shared" si="14"/>
        <v>45942</v>
      </c>
      <c r="B199" s="86">
        <f>YEAR(Table13[[#This Row],[Date]])+IF(MONTH(Table13[[#This Row],[Date]])&gt;=4,1,0)</f>
        <v>2026</v>
      </c>
      <c r="C199" s="7">
        <f>YEAR(Table13[[#This Row],[Date]])</f>
        <v>2025</v>
      </c>
      <c r="D199" s="92">
        <f>Table13[[#This Row],[Date]]-DAY(Table13[[#This Row],[Date]])+1</f>
        <v>45931</v>
      </c>
      <c r="E199" s="7">
        <f t="shared" si="15"/>
        <v>31</v>
      </c>
      <c r="F199" s="91" t="str">
        <f>IFERROR(_xlfn.XLOOKUP($A199,'Raw Data'!$G:$G,'Raw Data'!$AM:$AM),"")</f>
        <v/>
      </c>
      <c r="G199" s="90" t="str">
        <f>IFERROR(_xlfn.XLOOKUP($A199,'Raw Data'!$G:$G,'Raw Data'!$AB:$AB),"")</f>
        <v/>
      </c>
      <c r="H199" s="90"/>
      <c r="I199" s="90" t="str">
        <f>IFERROR(_xlfn.XLOOKUP($A199,'Raw Data'!$G:$G,'Raw Data'!$AC:$AC),"")</f>
        <v/>
      </c>
      <c r="J199" s="90"/>
      <c r="K199" s="90" t="str">
        <f>IFERROR(_xlfn.XLOOKUP($A199,'Raw Data'!$G:$G,'Raw Data'!AD:AD),"")</f>
        <v/>
      </c>
      <c r="L199" s="90" t="str">
        <f>IFERROR(_xlfn.XLOOKUP($A199,'Raw Data'!$G:$G,'Raw Data'!AE:AE),"")</f>
        <v/>
      </c>
      <c r="M199" s="90" t="str">
        <f>IFERROR(_xlfn.XLOOKUP($A199,'Raw Data'!$G:$G,'Raw Data'!AF:AF),"")</f>
        <v/>
      </c>
      <c r="N199" s="90" t="str">
        <f>IFERROR(_xlfn.XLOOKUP($A199,'Raw Data'!$G:$G,'Raw Data'!AG:AG),"")</f>
        <v/>
      </c>
      <c r="O199" s="85" t="str">
        <f>IFERROR(1-SUMIF('Plant BD'!$B:$B,$A199,'Plant BD'!$AM:$AM)/($AA199+SUMIF('Plant BD'!$B:$B,$A199,'Plant BD'!$AM:$AM)),"")</f>
        <v/>
      </c>
      <c r="P199" s="85"/>
      <c r="Q199" s="89"/>
      <c r="R199" s="85" t="str">
        <f>IFERROR(1-SUMIF('Grid BD'!$B:$B,$A199,'Grid BD'!$AE:$AE)/($AA199+SUMIF('Grid BD'!$B:$B,$A199,'Grid BD'!$AE:$AE)),"")</f>
        <v/>
      </c>
      <c r="T199" s="89"/>
      <c r="U199" s="88" t="str">
        <f t="shared" si="13"/>
        <v/>
      </c>
      <c r="V199" s="88"/>
      <c r="W199" s="84" t="str">
        <f t="shared" si="12"/>
        <v/>
      </c>
      <c r="X199" s="86" t="str">
        <f>IFERROR(_xlfn.XLOOKUP($A199,'Raw Data'!$G:$G,'Raw Data'!AI:AI),"")</f>
        <v/>
      </c>
      <c r="Y199" s="86" t="str">
        <f>IFERROR(_xlfn.XLOOKUP($A199,'Raw Data'!$G:$G,'Raw Data'!AJ:AJ),"")</f>
        <v/>
      </c>
      <c r="Z199" s="86" t="str">
        <f>IFERROR(_xlfn.XLOOKUP($A199,'Raw Data'!$G:$G,'Raw Data'!AK:AK),"")</f>
        <v/>
      </c>
      <c r="AA199" s="86" t="str">
        <f>IFERROR(_xlfn.XLOOKUP($A199,'Raw Data'!$G:$G,'Raw Data'!$AL:$AL)*(1+(_xlfn.XLOOKUP(Table13[[#This Row],[Month Year]],JMR!$A:$A,JMR!$J:$J))),"")</f>
        <v/>
      </c>
      <c r="AB199" s="86" t="str">
        <f>IFERROR(_xlfn.XLOOKUP($A199,'Raw Data'!$G:$G,'Raw Data'!$H:$H),"")</f>
        <v/>
      </c>
      <c r="AC199" s="87">
        <f>IFERROR(_xlfn.XLOOKUP($D199,'Modelling New'!$D:$D,'Modelling New'!$P:$P),"")</f>
        <v>5.209677419354839</v>
      </c>
      <c r="AD199" s="86">
        <f>IFERROR(_xlfn.XLOOKUP($D199,'Modelling New'!$D:$D,'Modelling New'!$T:$T)*1000,"")</f>
        <v>26373.559701104426</v>
      </c>
      <c r="AE199" s="94">
        <f>IFERROR(_xlfn.XLOOKUP($D199,'Modelling New'!$D:$D,'Modelling New'!$O:$O),"")</f>
        <v>0.71309683237690691</v>
      </c>
      <c r="AF199" s="94">
        <f>IFERROR(_xlfn.XLOOKUP($D199,'Modelling New'!$D:$D,'Modelling New'!$W:$W),"")</f>
        <v>0.15479185272697643</v>
      </c>
      <c r="AG199" s="94">
        <f>IFERROR(_xlfn.XLOOKUP($D199,'Modelling New'!$D:$D,'Modelling New'!$AE:$AE),"")</f>
        <v>0.98040000000000005</v>
      </c>
      <c r="AH199" s="94">
        <f>IFERROR(_xlfn.XLOOKUP($D199,'Modelling New'!$D:$D,'Modelling New'!$AF:$AF),"")</f>
        <v>0.98</v>
      </c>
      <c r="AN199" s="85"/>
      <c r="AO199" s="84"/>
      <c r="AP199" s="84"/>
      <c r="AQ199" s="84"/>
      <c r="AR199" s="86">
        <f>'Basic Data'!$J$2</f>
        <v>7.0991999999999997</v>
      </c>
      <c r="AT199" s="7" t="str">
        <f>IFERROR(_xlfn.XLOOKUP(Table13[[#This Row],[Date]],'Raw Data'!$E:$E,'Raw Data'!$AN:$AN),"")</f>
        <v/>
      </c>
      <c r="AU199" s="7">
        <f>IFERROR(_xlfn.XLOOKUP(Table13[[#This Row],[Month Year]],'Modelling New'!$D:$D,'Modelling New'!$AO:$AO),"")</f>
        <v>7</v>
      </c>
      <c r="AV199" s="7">
        <f>IFERROR(SUMIF('Curtailment Records'!$C:$C,Table13[[#This Row],[Date]],'Curtailment Records'!$R:$R)/1000,"")</f>
        <v>0</v>
      </c>
    </row>
    <row r="200" spans="1:48" x14ac:dyDescent="0.25">
      <c r="A200" s="93">
        <f t="shared" si="14"/>
        <v>45943</v>
      </c>
      <c r="B200" s="86">
        <f>YEAR(Table13[[#This Row],[Date]])+IF(MONTH(Table13[[#This Row],[Date]])&gt;=4,1,0)</f>
        <v>2026</v>
      </c>
      <c r="C200" s="7">
        <f>YEAR(Table13[[#This Row],[Date]])</f>
        <v>2025</v>
      </c>
      <c r="D200" s="92">
        <f>Table13[[#This Row],[Date]]-DAY(Table13[[#This Row],[Date]])+1</f>
        <v>45931</v>
      </c>
      <c r="E200" s="7">
        <f t="shared" si="15"/>
        <v>31</v>
      </c>
      <c r="F200" s="91" t="str">
        <f>IFERROR(_xlfn.XLOOKUP($A200,'Raw Data'!$G:$G,'Raw Data'!$AM:$AM),"")</f>
        <v/>
      </c>
      <c r="G200" s="90" t="str">
        <f>IFERROR(_xlfn.XLOOKUP($A200,'Raw Data'!$G:$G,'Raw Data'!$AB:$AB),"")</f>
        <v/>
      </c>
      <c r="H200" s="90"/>
      <c r="I200" s="90" t="str">
        <f>IFERROR(_xlfn.XLOOKUP($A200,'Raw Data'!$G:$G,'Raw Data'!$AC:$AC),"")</f>
        <v/>
      </c>
      <c r="J200" s="90"/>
      <c r="K200" s="90" t="str">
        <f>IFERROR(_xlfn.XLOOKUP($A200,'Raw Data'!$G:$G,'Raw Data'!AD:AD),"")</f>
        <v/>
      </c>
      <c r="L200" s="90" t="str">
        <f>IFERROR(_xlfn.XLOOKUP($A200,'Raw Data'!$G:$G,'Raw Data'!AE:AE),"")</f>
        <v/>
      </c>
      <c r="M200" s="90" t="str">
        <f>IFERROR(_xlfn.XLOOKUP($A200,'Raw Data'!$G:$G,'Raw Data'!AF:AF),"")</f>
        <v/>
      </c>
      <c r="N200" s="90" t="str">
        <f>IFERROR(_xlfn.XLOOKUP($A200,'Raw Data'!$G:$G,'Raw Data'!AG:AG),"")</f>
        <v/>
      </c>
      <c r="O200" s="85" t="str">
        <f>IFERROR(1-SUMIF('Plant BD'!$B:$B,$A200,'Plant BD'!$AM:$AM)/($AA200+SUMIF('Plant BD'!$B:$B,$A200,'Plant BD'!$AM:$AM)),"")</f>
        <v/>
      </c>
      <c r="P200" s="85"/>
      <c r="Q200" s="89"/>
      <c r="R200" s="85" t="str">
        <f>IFERROR(1-SUMIF('Grid BD'!$B:$B,$A200,'Grid BD'!$AE:$AE)/($AA200+SUMIF('Grid BD'!$B:$B,$A200,'Grid BD'!$AE:$AE)),"")</f>
        <v/>
      </c>
      <c r="T200" s="89"/>
      <c r="U200" s="88" t="str">
        <f t="shared" si="13"/>
        <v/>
      </c>
      <c r="V200" s="88"/>
      <c r="W200" s="84" t="str">
        <f t="shared" si="12"/>
        <v/>
      </c>
      <c r="X200" s="86" t="str">
        <f>IFERROR(_xlfn.XLOOKUP($A200,'Raw Data'!$G:$G,'Raw Data'!AI:AI),"")</f>
        <v/>
      </c>
      <c r="Y200" s="86" t="str">
        <f>IFERROR(_xlfn.XLOOKUP($A200,'Raw Data'!$G:$G,'Raw Data'!AJ:AJ),"")</f>
        <v/>
      </c>
      <c r="Z200" s="86" t="str">
        <f>IFERROR(_xlfn.XLOOKUP($A200,'Raw Data'!$G:$G,'Raw Data'!AK:AK),"")</f>
        <v/>
      </c>
      <c r="AA200" s="86" t="str">
        <f>IFERROR(_xlfn.XLOOKUP($A200,'Raw Data'!$G:$G,'Raw Data'!$AL:$AL)*(1+(_xlfn.XLOOKUP(Table13[[#This Row],[Month Year]],JMR!$A:$A,JMR!$J:$J))),"")</f>
        <v/>
      </c>
      <c r="AB200" s="86" t="str">
        <f>IFERROR(_xlfn.XLOOKUP($A200,'Raw Data'!$G:$G,'Raw Data'!$H:$H),"")</f>
        <v/>
      </c>
      <c r="AC200" s="87">
        <f>IFERROR(_xlfn.XLOOKUP($D200,'Modelling New'!$D:$D,'Modelling New'!$P:$P),"")</f>
        <v>5.209677419354839</v>
      </c>
      <c r="AD200" s="86">
        <f>IFERROR(_xlfn.XLOOKUP($D200,'Modelling New'!$D:$D,'Modelling New'!$T:$T)*1000,"")</f>
        <v>26373.559701104426</v>
      </c>
      <c r="AE200" s="94">
        <f>IFERROR(_xlfn.XLOOKUP($D200,'Modelling New'!$D:$D,'Modelling New'!$O:$O),"")</f>
        <v>0.71309683237690691</v>
      </c>
      <c r="AF200" s="94">
        <f>IFERROR(_xlfn.XLOOKUP($D200,'Modelling New'!$D:$D,'Modelling New'!$W:$W),"")</f>
        <v>0.15479185272697643</v>
      </c>
      <c r="AG200" s="94">
        <f>IFERROR(_xlfn.XLOOKUP($D200,'Modelling New'!$D:$D,'Modelling New'!$AE:$AE),"")</f>
        <v>0.98040000000000005</v>
      </c>
      <c r="AH200" s="94">
        <f>IFERROR(_xlfn.XLOOKUP($D200,'Modelling New'!$D:$D,'Modelling New'!$AF:$AF),"")</f>
        <v>0.98</v>
      </c>
      <c r="AN200" s="85"/>
      <c r="AO200" s="84"/>
      <c r="AP200" s="84"/>
      <c r="AQ200" s="84"/>
      <c r="AR200" s="86">
        <f>'Basic Data'!$J$2</f>
        <v>7.0991999999999997</v>
      </c>
      <c r="AT200" s="7" t="str">
        <f>IFERROR(_xlfn.XLOOKUP(Table13[[#This Row],[Date]],'Raw Data'!$E:$E,'Raw Data'!$AN:$AN),"")</f>
        <v/>
      </c>
      <c r="AU200" s="7">
        <f>IFERROR(_xlfn.XLOOKUP(Table13[[#This Row],[Month Year]],'Modelling New'!$D:$D,'Modelling New'!$AO:$AO),"")</f>
        <v>7</v>
      </c>
      <c r="AV200" s="7">
        <f>IFERROR(SUMIF('Curtailment Records'!$C:$C,Table13[[#This Row],[Date]],'Curtailment Records'!$R:$R)/1000,"")</f>
        <v>0</v>
      </c>
    </row>
    <row r="201" spans="1:48" x14ac:dyDescent="0.25">
      <c r="A201" s="93">
        <f t="shared" si="14"/>
        <v>45944</v>
      </c>
      <c r="B201" s="86">
        <f>YEAR(Table13[[#This Row],[Date]])+IF(MONTH(Table13[[#This Row],[Date]])&gt;=4,1,0)</f>
        <v>2026</v>
      </c>
      <c r="C201" s="7">
        <f>YEAR(Table13[[#This Row],[Date]])</f>
        <v>2025</v>
      </c>
      <c r="D201" s="92">
        <f>Table13[[#This Row],[Date]]-DAY(Table13[[#This Row],[Date]])+1</f>
        <v>45931</v>
      </c>
      <c r="E201" s="7">
        <f t="shared" si="15"/>
        <v>31</v>
      </c>
      <c r="F201" s="91" t="str">
        <f>IFERROR(_xlfn.XLOOKUP($A201,'Raw Data'!$G:$G,'Raw Data'!$AM:$AM),"")</f>
        <v/>
      </c>
      <c r="G201" s="90" t="str">
        <f>IFERROR(_xlfn.XLOOKUP($A201,'Raw Data'!$G:$G,'Raw Data'!$AB:$AB),"")</f>
        <v/>
      </c>
      <c r="H201" s="90"/>
      <c r="I201" s="90" t="str">
        <f>IFERROR(_xlfn.XLOOKUP($A201,'Raw Data'!$G:$G,'Raw Data'!$AC:$AC),"")</f>
        <v/>
      </c>
      <c r="J201" s="90"/>
      <c r="K201" s="90" t="str">
        <f>IFERROR(_xlfn.XLOOKUP($A201,'Raw Data'!$G:$G,'Raw Data'!AD:AD),"")</f>
        <v/>
      </c>
      <c r="L201" s="90" t="str">
        <f>IFERROR(_xlfn.XLOOKUP($A201,'Raw Data'!$G:$G,'Raw Data'!AE:AE),"")</f>
        <v/>
      </c>
      <c r="M201" s="90" t="str">
        <f>IFERROR(_xlfn.XLOOKUP($A201,'Raw Data'!$G:$G,'Raw Data'!AF:AF),"")</f>
        <v/>
      </c>
      <c r="N201" s="90" t="str">
        <f>IFERROR(_xlfn.XLOOKUP($A201,'Raw Data'!$G:$G,'Raw Data'!AG:AG),"")</f>
        <v/>
      </c>
      <c r="O201" s="85" t="str">
        <f>IFERROR(1-SUMIF('Plant BD'!$B:$B,$A201,'Plant BD'!$AM:$AM)/($AA201+SUMIF('Plant BD'!$B:$B,$A201,'Plant BD'!$AM:$AM)),"")</f>
        <v/>
      </c>
      <c r="P201" s="85"/>
      <c r="Q201" s="89"/>
      <c r="R201" s="85" t="str">
        <f>IFERROR(1-SUMIF('Grid BD'!$B:$B,$A201,'Grid BD'!$AE:$AE)/($AA201+SUMIF('Grid BD'!$B:$B,$A201,'Grid BD'!$AE:$AE)),"")</f>
        <v/>
      </c>
      <c r="T201" s="89"/>
      <c r="U201" s="88" t="str">
        <f t="shared" si="13"/>
        <v/>
      </c>
      <c r="V201" s="88"/>
      <c r="W201" s="84" t="str">
        <f t="shared" si="12"/>
        <v/>
      </c>
      <c r="X201" s="86" t="str">
        <f>IFERROR(_xlfn.XLOOKUP($A201,'Raw Data'!$G:$G,'Raw Data'!AI:AI),"")</f>
        <v/>
      </c>
      <c r="Y201" s="86" t="str">
        <f>IFERROR(_xlfn.XLOOKUP($A201,'Raw Data'!$G:$G,'Raw Data'!AJ:AJ),"")</f>
        <v/>
      </c>
      <c r="Z201" s="86" t="str">
        <f>IFERROR(_xlfn.XLOOKUP($A201,'Raw Data'!$G:$G,'Raw Data'!AK:AK),"")</f>
        <v/>
      </c>
      <c r="AA201" s="86" t="str">
        <f>IFERROR(_xlfn.XLOOKUP($A201,'Raw Data'!$G:$G,'Raw Data'!$AL:$AL)*(1+(_xlfn.XLOOKUP(Table13[[#This Row],[Month Year]],JMR!$A:$A,JMR!$J:$J))),"")</f>
        <v/>
      </c>
      <c r="AB201" s="86" t="str">
        <f>IFERROR(_xlfn.XLOOKUP($A201,'Raw Data'!$G:$G,'Raw Data'!$H:$H),"")</f>
        <v/>
      </c>
      <c r="AC201" s="87">
        <f>IFERROR(_xlfn.XLOOKUP($D201,'Modelling New'!$D:$D,'Modelling New'!$P:$P),"")</f>
        <v>5.209677419354839</v>
      </c>
      <c r="AD201" s="86">
        <f>IFERROR(_xlfn.XLOOKUP($D201,'Modelling New'!$D:$D,'Modelling New'!$T:$T)*1000,"")</f>
        <v>26373.559701104426</v>
      </c>
      <c r="AE201" s="94">
        <f>IFERROR(_xlfn.XLOOKUP($D201,'Modelling New'!$D:$D,'Modelling New'!$O:$O),"")</f>
        <v>0.71309683237690691</v>
      </c>
      <c r="AF201" s="94">
        <f>IFERROR(_xlfn.XLOOKUP($D201,'Modelling New'!$D:$D,'Modelling New'!$W:$W),"")</f>
        <v>0.15479185272697643</v>
      </c>
      <c r="AG201" s="94">
        <f>IFERROR(_xlfn.XLOOKUP($D201,'Modelling New'!$D:$D,'Modelling New'!$AE:$AE),"")</f>
        <v>0.98040000000000005</v>
      </c>
      <c r="AH201" s="94">
        <f>IFERROR(_xlfn.XLOOKUP($D201,'Modelling New'!$D:$D,'Modelling New'!$AF:$AF),"")</f>
        <v>0.98</v>
      </c>
      <c r="AN201" s="85"/>
      <c r="AO201" s="84"/>
      <c r="AP201" s="84"/>
      <c r="AQ201" s="84"/>
      <c r="AR201" s="86">
        <f>'Basic Data'!$J$2</f>
        <v>7.0991999999999997</v>
      </c>
      <c r="AT201" s="7" t="str">
        <f>IFERROR(_xlfn.XLOOKUP(Table13[[#This Row],[Date]],'Raw Data'!$E:$E,'Raw Data'!$AN:$AN),"")</f>
        <v/>
      </c>
      <c r="AU201" s="7">
        <f>IFERROR(_xlfn.XLOOKUP(Table13[[#This Row],[Month Year]],'Modelling New'!$D:$D,'Modelling New'!$AO:$AO),"")</f>
        <v>7</v>
      </c>
      <c r="AV201" s="7">
        <f>IFERROR(SUMIF('Curtailment Records'!$C:$C,Table13[[#This Row],[Date]],'Curtailment Records'!$R:$R)/1000,"")</f>
        <v>0</v>
      </c>
    </row>
    <row r="202" spans="1:48" x14ac:dyDescent="0.25">
      <c r="A202" s="93">
        <f t="shared" si="14"/>
        <v>45945</v>
      </c>
      <c r="B202" s="86">
        <f>YEAR(Table13[[#This Row],[Date]])+IF(MONTH(Table13[[#This Row],[Date]])&gt;=4,1,0)</f>
        <v>2026</v>
      </c>
      <c r="C202" s="7">
        <f>YEAR(Table13[[#This Row],[Date]])</f>
        <v>2025</v>
      </c>
      <c r="D202" s="92">
        <f>Table13[[#This Row],[Date]]-DAY(Table13[[#This Row],[Date]])+1</f>
        <v>45931</v>
      </c>
      <c r="E202" s="7">
        <f t="shared" si="15"/>
        <v>31</v>
      </c>
      <c r="F202" s="91" t="str">
        <f>IFERROR(_xlfn.XLOOKUP($A202,'Raw Data'!$G:$G,'Raw Data'!$AM:$AM),"")</f>
        <v/>
      </c>
      <c r="G202" s="90" t="str">
        <f>IFERROR(_xlfn.XLOOKUP($A202,'Raw Data'!$G:$G,'Raw Data'!$AB:$AB),"")</f>
        <v/>
      </c>
      <c r="H202" s="90"/>
      <c r="I202" s="90" t="str">
        <f>IFERROR(_xlfn.XLOOKUP($A202,'Raw Data'!$G:$G,'Raw Data'!$AC:$AC),"")</f>
        <v/>
      </c>
      <c r="J202" s="90"/>
      <c r="K202" s="90" t="str">
        <f>IFERROR(_xlfn.XLOOKUP($A202,'Raw Data'!$G:$G,'Raw Data'!AD:AD),"")</f>
        <v/>
      </c>
      <c r="L202" s="90" t="str">
        <f>IFERROR(_xlfn.XLOOKUP($A202,'Raw Data'!$G:$G,'Raw Data'!AE:AE),"")</f>
        <v/>
      </c>
      <c r="M202" s="90" t="str">
        <f>IFERROR(_xlfn.XLOOKUP($A202,'Raw Data'!$G:$G,'Raw Data'!AF:AF),"")</f>
        <v/>
      </c>
      <c r="N202" s="90" t="str">
        <f>IFERROR(_xlfn.XLOOKUP($A202,'Raw Data'!$G:$G,'Raw Data'!AG:AG),"")</f>
        <v/>
      </c>
      <c r="O202" s="85" t="str">
        <f>IFERROR(1-SUMIF('Plant BD'!$B:$B,$A202,'Plant BD'!$AM:$AM)/($AA202+SUMIF('Plant BD'!$B:$B,$A202,'Plant BD'!$AM:$AM)),"")</f>
        <v/>
      </c>
      <c r="P202" s="85"/>
      <c r="Q202" s="89"/>
      <c r="R202" s="85" t="str">
        <f>IFERROR(1-SUMIF('Grid BD'!$B:$B,$A202,'Grid BD'!$AE:$AE)/($AA202+SUMIF('Grid BD'!$B:$B,$A202,'Grid BD'!$AE:$AE)),"")</f>
        <v/>
      </c>
      <c r="T202" s="89"/>
      <c r="U202" s="88" t="str">
        <f t="shared" si="13"/>
        <v/>
      </c>
      <c r="V202" s="88"/>
      <c r="W202" s="84" t="str">
        <f t="shared" si="12"/>
        <v/>
      </c>
      <c r="X202" s="86" t="str">
        <f>IFERROR(_xlfn.XLOOKUP($A202,'Raw Data'!$G:$G,'Raw Data'!AI:AI),"")</f>
        <v/>
      </c>
      <c r="Y202" s="86" t="str">
        <f>IFERROR(_xlfn.XLOOKUP($A202,'Raw Data'!$G:$G,'Raw Data'!AJ:AJ),"")</f>
        <v/>
      </c>
      <c r="Z202" s="86" t="str">
        <f>IFERROR(_xlfn.XLOOKUP($A202,'Raw Data'!$G:$G,'Raw Data'!AK:AK),"")</f>
        <v/>
      </c>
      <c r="AA202" s="86" t="str">
        <f>IFERROR(_xlfn.XLOOKUP($A202,'Raw Data'!$G:$G,'Raw Data'!$AL:$AL)*(1+(_xlfn.XLOOKUP(Table13[[#This Row],[Month Year]],JMR!$A:$A,JMR!$J:$J))),"")</f>
        <v/>
      </c>
      <c r="AB202" s="86" t="str">
        <f>IFERROR(_xlfn.XLOOKUP($A202,'Raw Data'!$G:$G,'Raw Data'!$H:$H),"")</f>
        <v/>
      </c>
      <c r="AC202" s="87">
        <f>IFERROR(_xlfn.XLOOKUP($D202,'Modelling New'!$D:$D,'Modelling New'!$P:$P),"")</f>
        <v>5.209677419354839</v>
      </c>
      <c r="AD202" s="86">
        <f>IFERROR(_xlfn.XLOOKUP($D202,'Modelling New'!$D:$D,'Modelling New'!$T:$T)*1000,"")</f>
        <v>26373.559701104426</v>
      </c>
      <c r="AE202" s="94">
        <f>IFERROR(_xlfn.XLOOKUP($D202,'Modelling New'!$D:$D,'Modelling New'!$O:$O),"")</f>
        <v>0.71309683237690691</v>
      </c>
      <c r="AF202" s="94">
        <f>IFERROR(_xlfn.XLOOKUP($D202,'Modelling New'!$D:$D,'Modelling New'!$W:$W),"")</f>
        <v>0.15479185272697643</v>
      </c>
      <c r="AG202" s="94">
        <f>IFERROR(_xlfn.XLOOKUP($D202,'Modelling New'!$D:$D,'Modelling New'!$AE:$AE),"")</f>
        <v>0.98040000000000005</v>
      </c>
      <c r="AH202" s="94">
        <f>IFERROR(_xlfn.XLOOKUP($D202,'Modelling New'!$D:$D,'Modelling New'!$AF:$AF),"")</f>
        <v>0.98</v>
      </c>
      <c r="AN202" s="85"/>
      <c r="AO202" s="84"/>
      <c r="AP202" s="84"/>
      <c r="AQ202" s="84"/>
      <c r="AR202" s="86">
        <f>'Basic Data'!$J$2</f>
        <v>7.0991999999999997</v>
      </c>
      <c r="AT202" s="7" t="str">
        <f>IFERROR(_xlfn.XLOOKUP(Table13[[#This Row],[Date]],'Raw Data'!$E:$E,'Raw Data'!$AN:$AN),"")</f>
        <v/>
      </c>
      <c r="AU202" s="7">
        <f>IFERROR(_xlfn.XLOOKUP(Table13[[#This Row],[Month Year]],'Modelling New'!$D:$D,'Modelling New'!$AO:$AO),"")</f>
        <v>7</v>
      </c>
      <c r="AV202" s="7">
        <f>IFERROR(SUMIF('Curtailment Records'!$C:$C,Table13[[#This Row],[Date]],'Curtailment Records'!$R:$R)/1000,"")</f>
        <v>0</v>
      </c>
    </row>
    <row r="203" spans="1:48" x14ac:dyDescent="0.25">
      <c r="A203" s="93">
        <f t="shared" si="14"/>
        <v>45946</v>
      </c>
      <c r="B203" s="86">
        <f>YEAR(Table13[[#This Row],[Date]])+IF(MONTH(Table13[[#This Row],[Date]])&gt;=4,1,0)</f>
        <v>2026</v>
      </c>
      <c r="C203" s="7">
        <f>YEAR(Table13[[#This Row],[Date]])</f>
        <v>2025</v>
      </c>
      <c r="D203" s="92">
        <f>Table13[[#This Row],[Date]]-DAY(Table13[[#This Row],[Date]])+1</f>
        <v>45931</v>
      </c>
      <c r="E203" s="7">
        <f t="shared" si="15"/>
        <v>31</v>
      </c>
      <c r="F203" s="91" t="str">
        <f>IFERROR(_xlfn.XLOOKUP($A203,'Raw Data'!$G:$G,'Raw Data'!$AM:$AM),"")</f>
        <v/>
      </c>
      <c r="G203" s="90" t="str">
        <f>IFERROR(_xlfn.XLOOKUP($A203,'Raw Data'!$G:$G,'Raw Data'!$AB:$AB),"")</f>
        <v/>
      </c>
      <c r="H203" s="90"/>
      <c r="I203" s="90" t="str">
        <f>IFERROR(_xlfn.XLOOKUP($A203,'Raw Data'!$G:$G,'Raw Data'!$AC:$AC),"")</f>
        <v/>
      </c>
      <c r="J203" s="90"/>
      <c r="K203" s="90" t="str">
        <f>IFERROR(_xlfn.XLOOKUP($A203,'Raw Data'!$G:$G,'Raw Data'!AD:AD),"")</f>
        <v/>
      </c>
      <c r="L203" s="90" t="str">
        <f>IFERROR(_xlfn.XLOOKUP($A203,'Raw Data'!$G:$G,'Raw Data'!AE:AE),"")</f>
        <v/>
      </c>
      <c r="M203" s="90" t="str">
        <f>IFERROR(_xlfn.XLOOKUP($A203,'Raw Data'!$G:$G,'Raw Data'!AF:AF),"")</f>
        <v/>
      </c>
      <c r="N203" s="90" t="str">
        <f>IFERROR(_xlfn.XLOOKUP($A203,'Raw Data'!$G:$G,'Raw Data'!AG:AG),"")</f>
        <v/>
      </c>
      <c r="O203" s="85" t="str">
        <f>IFERROR(1-SUMIF('Plant BD'!$B:$B,$A203,'Plant BD'!$AM:$AM)/($AA203+SUMIF('Plant BD'!$B:$B,$A203,'Plant BD'!$AM:$AM)),"")</f>
        <v/>
      </c>
      <c r="P203" s="85"/>
      <c r="Q203" s="89"/>
      <c r="R203" s="85" t="str">
        <f>IFERROR(1-SUMIF('Grid BD'!$B:$B,$A203,'Grid BD'!$AE:$AE)/($AA203+SUMIF('Grid BD'!$B:$B,$A203,'Grid BD'!$AE:$AE)),"")</f>
        <v/>
      </c>
      <c r="T203" s="89"/>
      <c r="U203" s="88" t="str">
        <f t="shared" si="13"/>
        <v/>
      </c>
      <c r="V203" s="88"/>
      <c r="W203" s="84" t="str">
        <f t="shared" si="12"/>
        <v/>
      </c>
      <c r="X203" s="86" t="str">
        <f>IFERROR(_xlfn.XLOOKUP($A203,'Raw Data'!$G:$G,'Raw Data'!AI:AI),"")</f>
        <v/>
      </c>
      <c r="Y203" s="86" t="str">
        <f>IFERROR(_xlfn.XLOOKUP($A203,'Raw Data'!$G:$G,'Raw Data'!AJ:AJ),"")</f>
        <v/>
      </c>
      <c r="Z203" s="86" t="str">
        <f>IFERROR(_xlfn.XLOOKUP($A203,'Raw Data'!$G:$G,'Raw Data'!AK:AK),"")</f>
        <v/>
      </c>
      <c r="AA203" s="86" t="str">
        <f>IFERROR(_xlfn.XLOOKUP($A203,'Raw Data'!$G:$G,'Raw Data'!$AL:$AL)*(1+(_xlfn.XLOOKUP(Table13[[#This Row],[Month Year]],JMR!$A:$A,JMR!$J:$J))),"")</f>
        <v/>
      </c>
      <c r="AB203" s="86" t="str">
        <f>IFERROR(_xlfn.XLOOKUP($A203,'Raw Data'!$G:$G,'Raw Data'!$H:$H),"")</f>
        <v/>
      </c>
      <c r="AC203" s="87">
        <f>IFERROR(_xlfn.XLOOKUP($D203,'Modelling New'!$D:$D,'Modelling New'!$P:$P),"")</f>
        <v>5.209677419354839</v>
      </c>
      <c r="AD203" s="86">
        <f>IFERROR(_xlfn.XLOOKUP($D203,'Modelling New'!$D:$D,'Modelling New'!$T:$T)*1000,"")</f>
        <v>26373.559701104426</v>
      </c>
      <c r="AE203" s="94">
        <f>IFERROR(_xlfn.XLOOKUP($D203,'Modelling New'!$D:$D,'Modelling New'!$O:$O),"")</f>
        <v>0.71309683237690691</v>
      </c>
      <c r="AF203" s="94">
        <f>IFERROR(_xlfn.XLOOKUP($D203,'Modelling New'!$D:$D,'Modelling New'!$W:$W),"")</f>
        <v>0.15479185272697643</v>
      </c>
      <c r="AG203" s="94">
        <f>IFERROR(_xlfn.XLOOKUP($D203,'Modelling New'!$D:$D,'Modelling New'!$AE:$AE),"")</f>
        <v>0.98040000000000005</v>
      </c>
      <c r="AH203" s="94">
        <f>IFERROR(_xlfn.XLOOKUP($D203,'Modelling New'!$D:$D,'Modelling New'!$AF:$AF),"")</f>
        <v>0.98</v>
      </c>
      <c r="AN203" s="85"/>
      <c r="AO203" s="84"/>
      <c r="AP203" s="84"/>
      <c r="AQ203" s="84"/>
      <c r="AR203" s="86">
        <f>'Basic Data'!$J$2</f>
        <v>7.0991999999999997</v>
      </c>
      <c r="AT203" s="7" t="str">
        <f>IFERROR(_xlfn.XLOOKUP(Table13[[#This Row],[Date]],'Raw Data'!$E:$E,'Raw Data'!$AN:$AN),"")</f>
        <v/>
      </c>
      <c r="AU203" s="7">
        <f>IFERROR(_xlfn.XLOOKUP(Table13[[#This Row],[Month Year]],'Modelling New'!$D:$D,'Modelling New'!$AO:$AO),"")</f>
        <v>7</v>
      </c>
      <c r="AV203" s="7">
        <f>IFERROR(SUMIF('Curtailment Records'!$C:$C,Table13[[#This Row],[Date]],'Curtailment Records'!$R:$R)/1000,"")</f>
        <v>0</v>
      </c>
    </row>
    <row r="204" spans="1:48" x14ac:dyDescent="0.25">
      <c r="A204" s="93">
        <f t="shared" si="14"/>
        <v>45947</v>
      </c>
      <c r="B204" s="86">
        <f>YEAR(Table13[[#This Row],[Date]])+IF(MONTH(Table13[[#This Row],[Date]])&gt;=4,1,0)</f>
        <v>2026</v>
      </c>
      <c r="C204" s="7">
        <f>YEAR(Table13[[#This Row],[Date]])</f>
        <v>2025</v>
      </c>
      <c r="D204" s="92">
        <f>Table13[[#This Row],[Date]]-DAY(Table13[[#This Row],[Date]])+1</f>
        <v>45931</v>
      </c>
      <c r="E204" s="7">
        <f t="shared" si="15"/>
        <v>31</v>
      </c>
      <c r="F204" s="91" t="str">
        <f>IFERROR(_xlfn.XLOOKUP($A204,'Raw Data'!$G:$G,'Raw Data'!$AM:$AM),"")</f>
        <v/>
      </c>
      <c r="G204" s="90" t="str">
        <f>IFERROR(_xlfn.XLOOKUP($A204,'Raw Data'!$G:$G,'Raw Data'!$AB:$AB),"")</f>
        <v/>
      </c>
      <c r="H204" s="90"/>
      <c r="I204" s="90" t="str">
        <f>IFERROR(_xlfn.XLOOKUP($A204,'Raw Data'!$G:$G,'Raw Data'!$AC:$AC),"")</f>
        <v/>
      </c>
      <c r="J204" s="90"/>
      <c r="K204" s="90" t="str">
        <f>IFERROR(_xlfn.XLOOKUP($A204,'Raw Data'!$G:$G,'Raw Data'!AD:AD),"")</f>
        <v/>
      </c>
      <c r="L204" s="90" t="str">
        <f>IFERROR(_xlfn.XLOOKUP($A204,'Raw Data'!$G:$G,'Raw Data'!AE:AE),"")</f>
        <v/>
      </c>
      <c r="M204" s="90" t="str">
        <f>IFERROR(_xlfn.XLOOKUP($A204,'Raw Data'!$G:$G,'Raw Data'!AF:AF),"")</f>
        <v/>
      </c>
      <c r="N204" s="90" t="str">
        <f>IFERROR(_xlfn.XLOOKUP($A204,'Raw Data'!$G:$G,'Raw Data'!AG:AG),"")</f>
        <v/>
      </c>
      <c r="O204" s="85" t="str">
        <f>IFERROR(1-SUMIF('Plant BD'!$B:$B,$A204,'Plant BD'!$AM:$AM)/($AA204+SUMIF('Plant BD'!$B:$B,$A204,'Plant BD'!$AM:$AM)),"")</f>
        <v/>
      </c>
      <c r="P204" s="85"/>
      <c r="Q204" s="89"/>
      <c r="R204" s="85" t="str">
        <f>IFERROR(1-SUMIF('Grid BD'!$B:$B,$A204,'Grid BD'!$AE:$AE)/($AA204+SUMIF('Grid BD'!$B:$B,$A204,'Grid BD'!$AE:$AE)),"")</f>
        <v/>
      </c>
      <c r="T204" s="89"/>
      <c r="U204" s="88" t="str">
        <f t="shared" si="13"/>
        <v/>
      </c>
      <c r="V204" s="88"/>
      <c r="W204" s="84" t="str">
        <f t="shared" si="12"/>
        <v/>
      </c>
      <c r="X204" s="86" t="str">
        <f>IFERROR(_xlfn.XLOOKUP($A204,'Raw Data'!$G:$G,'Raw Data'!AI:AI),"")</f>
        <v/>
      </c>
      <c r="Y204" s="86" t="str">
        <f>IFERROR(_xlfn.XLOOKUP($A204,'Raw Data'!$G:$G,'Raw Data'!AJ:AJ),"")</f>
        <v/>
      </c>
      <c r="Z204" s="86" t="str">
        <f>IFERROR(_xlfn.XLOOKUP($A204,'Raw Data'!$G:$G,'Raw Data'!AK:AK),"")</f>
        <v/>
      </c>
      <c r="AA204" s="86" t="str">
        <f>IFERROR(_xlfn.XLOOKUP($A204,'Raw Data'!$G:$G,'Raw Data'!$AL:$AL)*(1+(_xlfn.XLOOKUP(Table13[[#This Row],[Month Year]],JMR!$A:$A,JMR!$J:$J))),"")</f>
        <v/>
      </c>
      <c r="AB204" s="86" t="str">
        <f>IFERROR(_xlfn.XLOOKUP($A204,'Raw Data'!$G:$G,'Raw Data'!$H:$H),"")</f>
        <v/>
      </c>
      <c r="AC204" s="87">
        <f>IFERROR(_xlfn.XLOOKUP($D204,'Modelling New'!$D:$D,'Modelling New'!$P:$P),"")</f>
        <v>5.209677419354839</v>
      </c>
      <c r="AD204" s="86">
        <f>IFERROR(_xlfn.XLOOKUP($D204,'Modelling New'!$D:$D,'Modelling New'!$T:$T)*1000,"")</f>
        <v>26373.559701104426</v>
      </c>
      <c r="AE204" s="94">
        <f>IFERROR(_xlfn.XLOOKUP($D204,'Modelling New'!$D:$D,'Modelling New'!$O:$O),"")</f>
        <v>0.71309683237690691</v>
      </c>
      <c r="AF204" s="94">
        <f>IFERROR(_xlfn.XLOOKUP($D204,'Modelling New'!$D:$D,'Modelling New'!$W:$W),"")</f>
        <v>0.15479185272697643</v>
      </c>
      <c r="AG204" s="94">
        <f>IFERROR(_xlfn.XLOOKUP($D204,'Modelling New'!$D:$D,'Modelling New'!$AE:$AE),"")</f>
        <v>0.98040000000000005</v>
      </c>
      <c r="AH204" s="94">
        <f>IFERROR(_xlfn.XLOOKUP($D204,'Modelling New'!$D:$D,'Modelling New'!$AF:$AF),"")</f>
        <v>0.98</v>
      </c>
      <c r="AN204" s="85"/>
      <c r="AO204" s="84"/>
      <c r="AP204" s="84"/>
      <c r="AQ204" s="84"/>
      <c r="AR204" s="86">
        <f>'Basic Data'!$J$2</f>
        <v>7.0991999999999997</v>
      </c>
      <c r="AT204" s="7" t="str">
        <f>IFERROR(_xlfn.XLOOKUP(Table13[[#This Row],[Date]],'Raw Data'!$E:$E,'Raw Data'!$AN:$AN),"")</f>
        <v/>
      </c>
      <c r="AU204" s="7">
        <f>IFERROR(_xlfn.XLOOKUP(Table13[[#This Row],[Month Year]],'Modelling New'!$D:$D,'Modelling New'!$AO:$AO),"")</f>
        <v>7</v>
      </c>
      <c r="AV204" s="7">
        <f>IFERROR(SUMIF('Curtailment Records'!$C:$C,Table13[[#This Row],[Date]],'Curtailment Records'!$R:$R)/1000,"")</f>
        <v>0</v>
      </c>
    </row>
    <row r="205" spans="1:48" x14ac:dyDescent="0.25">
      <c r="A205" s="93">
        <f t="shared" si="14"/>
        <v>45948</v>
      </c>
      <c r="B205" s="86">
        <f>YEAR(Table13[[#This Row],[Date]])+IF(MONTH(Table13[[#This Row],[Date]])&gt;=4,1,0)</f>
        <v>2026</v>
      </c>
      <c r="C205" s="7">
        <f>YEAR(Table13[[#This Row],[Date]])</f>
        <v>2025</v>
      </c>
      <c r="D205" s="92">
        <f>Table13[[#This Row],[Date]]-DAY(Table13[[#This Row],[Date]])+1</f>
        <v>45931</v>
      </c>
      <c r="E205" s="7">
        <f t="shared" si="15"/>
        <v>31</v>
      </c>
      <c r="F205" s="91" t="str">
        <f>IFERROR(_xlfn.XLOOKUP($A205,'Raw Data'!$G:$G,'Raw Data'!$AM:$AM),"")</f>
        <v/>
      </c>
      <c r="G205" s="90" t="str">
        <f>IFERROR(_xlfn.XLOOKUP($A205,'Raw Data'!$G:$G,'Raw Data'!$AB:$AB),"")</f>
        <v/>
      </c>
      <c r="H205" s="90"/>
      <c r="I205" s="90" t="str">
        <f>IFERROR(_xlfn.XLOOKUP($A205,'Raw Data'!$G:$G,'Raw Data'!$AC:$AC),"")</f>
        <v/>
      </c>
      <c r="J205" s="90"/>
      <c r="K205" s="90" t="str">
        <f>IFERROR(_xlfn.XLOOKUP($A205,'Raw Data'!$G:$G,'Raw Data'!AD:AD),"")</f>
        <v/>
      </c>
      <c r="L205" s="90" t="str">
        <f>IFERROR(_xlfn.XLOOKUP($A205,'Raw Data'!$G:$G,'Raw Data'!AE:AE),"")</f>
        <v/>
      </c>
      <c r="M205" s="90" t="str">
        <f>IFERROR(_xlfn.XLOOKUP($A205,'Raw Data'!$G:$G,'Raw Data'!AF:AF),"")</f>
        <v/>
      </c>
      <c r="N205" s="90" t="str">
        <f>IFERROR(_xlfn.XLOOKUP($A205,'Raw Data'!$G:$G,'Raw Data'!AG:AG),"")</f>
        <v/>
      </c>
      <c r="O205" s="85" t="str">
        <f>IFERROR(1-SUMIF('Plant BD'!$B:$B,$A205,'Plant BD'!$AM:$AM)/($AA205+SUMIF('Plant BD'!$B:$B,$A205,'Plant BD'!$AM:$AM)),"")</f>
        <v/>
      </c>
      <c r="P205" s="85"/>
      <c r="Q205" s="89"/>
      <c r="R205" s="85" t="str">
        <f>IFERROR(1-SUMIF('Grid BD'!$B:$B,$A205,'Grid BD'!$AE:$AE)/($AA205+SUMIF('Grid BD'!$B:$B,$A205,'Grid BD'!$AE:$AE)),"")</f>
        <v/>
      </c>
      <c r="T205" s="89"/>
      <c r="U205" s="88" t="str">
        <f t="shared" si="13"/>
        <v/>
      </c>
      <c r="V205" s="88"/>
      <c r="W205" s="84" t="str">
        <f t="shared" si="12"/>
        <v/>
      </c>
      <c r="X205" s="86" t="str">
        <f>IFERROR(_xlfn.XLOOKUP($A205,'Raw Data'!$G:$G,'Raw Data'!AI:AI),"")</f>
        <v/>
      </c>
      <c r="Y205" s="86" t="str">
        <f>IFERROR(_xlfn.XLOOKUP($A205,'Raw Data'!$G:$G,'Raw Data'!AJ:AJ),"")</f>
        <v/>
      </c>
      <c r="Z205" s="86" t="str">
        <f>IFERROR(_xlfn.XLOOKUP($A205,'Raw Data'!$G:$G,'Raw Data'!AK:AK),"")</f>
        <v/>
      </c>
      <c r="AA205" s="86" t="str">
        <f>IFERROR(_xlfn.XLOOKUP($A205,'Raw Data'!$G:$G,'Raw Data'!$AL:$AL)*(1+(_xlfn.XLOOKUP(Table13[[#This Row],[Month Year]],JMR!$A:$A,JMR!$J:$J))),"")</f>
        <v/>
      </c>
      <c r="AB205" s="86" t="str">
        <f>IFERROR(_xlfn.XLOOKUP($A205,'Raw Data'!$G:$G,'Raw Data'!$H:$H),"")</f>
        <v/>
      </c>
      <c r="AC205" s="87">
        <f>IFERROR(_xlfn.XLOOKUP($D205,'Modelling New'!$D:$D,'Modelling New'!$P:$P),"")</f>
        <v>5.209677419354839</v>
      </c>
      <c r="AD205" s="86">
        <f>IFERROR(_xlfn.XLOOKUP($D205,'Modelling New'!$D:$D,'Modelling New'!$T:$T)*1000,"")</f>
        <v>26373.559701104426</v>
      </c>
      <c r="AE205" s="94">
        <f>IFERROR(_xlfn.XLOOKUP($D205,'Modelling New'!$D:$D,'Modelling New'!$O:$O),"")</f>
        <v>0.71309683237690691</v>
      </c>
      <c r="AF205" s="94">
        <f>IFERROR(_xlfn.XLOOKUP($D205,'Modelling New'!$D:$D,'Modelling New'!$W:$W),"")</f>
        <v>0.15479185272697643</v>
      </c>
      <c r="AG205" s="94">
        <f>IFERROR(_xlfn.XLOOKUP($D205,'Modelling New'!$D:$D,'Modelling New'!$AE:$AE),"")</f>
        <v>0.98040000000000005</v>
      </c>
      <c r="AH205" s="94">
        <f>IFERROR(_xlfn.XLOOKUP($D205,'Modelling New'!$D:$D,'Modelling New'!$AF:$AF),"")</f>
        <v>0.98</v>
      </c>
      <c r="AN205" s="85"/>
      <c r="AO205" s="84"/>
      <c r="AP205" s="84"/>
      <c r="AQ205" s="84"/>
      <c r="AR205" s="86">
        <f>'Basic Data'!$J$2</f>
        <v>7.0991999999999997</v>
      </c>
      <c r="AT205" s="7" t="str">
        <f>IFERROR(_xlfn.XLOOKUP(Table13[[#This Row],[Date]],'Raw Data'!$E:$E,'Raw Data'!$AN:$AN),"")</f>
        <v/>
      </c>
      <c r="AU205" s="7">
        <f>IFERROR(_xlfn.XLOOKUP(Table13[[#This Row],[Month Year]],'Modelling New'!$D:$D,'Modelling New'!$AO:$AO),"")</f>
        <v>7</v>
      </c>
      <c r="AV205" s="7">
        <f>IFERROR(SUMIF('Curtailment Records'!$C:$C,Table13[[#This Row],[Date]],'Curtailment Records'!$R:$R)/1000,"")</f>
        <v>0</v>
      </c>
    </row>
    <row r="206" spans="1:48" x14ac:dyDescent="0.25">
      <c r="A206" s="93">
        <f t="shared" si="14"/>
        <v>45949</v>
      </c>
      <c r="B206" s="86">
        <f>YEAR(Table13[[#This Row],[Date]])+IF(MONTH(Table13[[#This Row],[Date]])&gt;=4,1,0)</f>
        <v>2026</v>
      </c>
      <c r="C206" s="7">
        <f>YEAR(Table13[[#This Row],[Date]])</f>
        <v>2025</v>
      </c>
      <c r="D206" s="92">
        <f>Table13[[#This Row],[Date]]-DAY(Table13[[#This Row],[Date]])+1</f>
        <v>45931</v>
      </c>
      <c r="E206" s="7">
        <f t="shared" si="15"/>
        <v>31</v>
      </c>
      <c r="F206" s="91" t="str">
        <f>IFERROR(_xlfn.XLOOKUP($A206,'Raw Data'!$G:$G,'Raw Data'!$AM:$AM),"")</f>
        <v/>
      </c>
      <c r="G206" s="90" t="str">
        <f>IFERROR(_xlfn.XLOOKUP($A206,'Raw Data'!$G:$G,'Raw Data'!$AB:$AB),"")</f>
        <v/>
      </c>
      <c r="H206" s="90"/>
      <c r="I206" s="90" t="str">
        <f>IFERROR(_xlfn.XLOOKUP($A206,'Raw Data'!$G:$G,'Raw Data'!$AC:$AC),"")</f>
        <v/>
      </c>
      <c r="J206" s="90"/>
      <c r="K206" s="90" t="str">
        <f>IFERROR(_xlfn.XLOOKUP($A206,'Raw Data'!$G:$G,'Raw Data'!AD:AD),"")</f>
        <v/>
      </c>
      <c r="L206" s="90" t="str">
        <f>IFERROR(_xlfn.XLOOKUP($A206,'Raw Data'!$G:$G,'Raw Data'!AE:AE),"")</f>
        <v/>
      </c>
      <c r="M206" s="90" t="str">
        <f>IFERROR(_xlfn.XLOOKUP($A206,'Raw Data'!$G:$G,'Raw Data'!AF:AF),"")</f>
        <v/>
      </c>
      <c r="N206" s="90" t="str">
        <f>IFERROR(_xlfn.XLOOKUP($A206,'Raw Data'!$G:$G,'Raw Data'!AG:AG),"")</f>
        <v/>
      </c>
      <c r="O206" s="85" t="str">
        <f>IFERROR(1-SUMIF('Plant BD'!$B:$B,$A206,'Plant BD'!$AM:$AM)/($AA206+SUMIF('Plant BD'!$B:$B,$A206,'Plant BD'!$AM:$AM)),"")</f>
        <v/>
      </c>
      <c r="P206" s="85"/>
      <c r="Q206" s="89"/>
      <c r="R206" s="85" t="str">
        <f>IFERROR(1-SUMIF('Grid BD'!$B:$B,$A206,'Grid BD'!$AE:$AE)/($AA206+SUMIF('Grid BD'!$B:$B,$A206,'Grid BD'!$AE:$AE)),"")</f>
        <v/>
      </c>
      <c r="T206" s="89"/>
      <c r="U206" s="88" t="str">
        <f t="shared" si="13"/>
        <v/>
      </c>
      <c r="V206" s="88"/>
      <c r="W206" s="84" t="str">
        <f t="shared" si="12"/>
        <v/>
      </c>
      <c r="X206" s="86" t="str">
        <f>IFERROR(_xlfn.XLOOKUP($A206,'Raw Data'!$G:$G,'Raw Data'!AI:AI),"")</f>
        <v/>
      </c>
      <c r="Y206" s="86" t="str">
        <f>IFERROR(_xlfn.XLOOKUP($A206,'Raw Data'!$G:$G,'Raw Data'!AJ:AJ),"")</f>
        <v/>
      </c>
      <c r="Z206" s="86" t="str">
        <f>IFERROR(_xlfn.XLOOKUP($A206,'Raw Data'!$G:$G,'Raw Data'!AK:AK),"")</f>
        <v/>
      </c>
      <c r="AA206" s="86" t="str">
        <f>IFERROR(_xlfn.XLOOKUP($A206,'Raw Data'!$G:$G,'Raw Data'!$AL:$AL)*(1+(_xlfn.XLOOKUP(Table13[[#This Row],[Month Year]],JMR!$A:$A,JMR!$J:$J))),"")</f>
        <v/>
      </c>
      <c r="AB206" s="86" t="str">
        <f>IFERROR(_xlfn.XLOOKUP($A206,'Raw Data'!$G:$G,'Raw Data'!$H:$H),"")</f>
        <v/>
      </c>
      <c r="AC206" s="87">
        <f>IFERROR(_xlfn.XLOOKUP($D206,'Modelling New'!$D:$D,'Modelling New'!$P:$P),"")</f>
        <v>5.209677419354839</v>
      </c>
      <c r="AD206" s="86">
        <f>IFERROR(_xlfn.XLOOKUP($D206,'Modelling New'!$D:$D,'Modelling New'!$T:$T)*1000,"")</f>
        <v>26373.559701104426</v>
      </c>
      <c r="AE206" s="94">
        <f>IFERROR(_xlfn.XLOOKUP($D206,'Modelling New'!$D:$D,'Modelling New'!$O:$O),"")</f>
        <v>0.71309683237690691</v>
      </c>
      <c r="AF206" s="94">
        <f>IFERROR(_xlfn.XLOOKUP($D206,'Modelling New'!$D:$D,'Modelling New'!$W:$W),"")</f>
        <v>0.15479185272697643</v>
      </c>
      <c r="AG206" s="94">
        <f>IFERROR(_xlfn.XLOOKUP($D206,'Modelling New'!$D:$D,'Modelling New'!$AE:$AE),"")</f>
        <v>0.98040000000000005</v>
      </c>
      <c r="AH206" s="94">
        <f>IFERROR(_xlfn.XLOOKUP($D206,'Modelling New'!$D:$D,'Modelling New'!$AF:$AF),"")</f>
        <v>0.98</v>
      </c>
      <c r="AN206" s="85"/>
      <c r="AO206" s="84"/>
      <c r="AP206" s="84"/>
      <c r="AQ206" s="84"/>
      <c r="AR206" s="86">
        <f>'Basic Data'!$J$2</f>
        <v>7.0991999999999997</v>
      </c>
      <c r="AT206" s="7" t="str">
        <f>IFERROR(_xlfn.XLOOKUP(Table13[[#This Row],[Date]],'Raw Data'!$E:$E,'Raw Data'!$AN:$AN),"")</f>
        <v/>
      </c>
      <c r="AU206" s="7">
        <f>IFERROR(_xlfn.XLOOKUP(Table13[[#This Row],[Month Year]],'Modelling New'!$D:$D,'Modelling New'!$AO:$AO),"")</f>
        <v>7</v>
      </c>
      <c r="AV206" s="7">
        <f>IFERROR(SUMIF('Curtailment Records'!$C:$C,Table13[[#This Row],[Date]],'Curtailment Records'!$R:$R)/1000,"")</f>
        <v>0</v>
      </c>
    </row>
    <row r="207" spans="1:48" x14ac:dyDescent="0.25">
      <c r="A207" s="93">
        <f t="shared" si="14"/>
        <v>45950</v>
      </c>
      <c r="B207" s="86">
        <f>YEAR(Table13[[#This Row],[Date]])+IF(MONTH(Table13[[#This Row],[Date]])&gt;=4,1,0)</f>
        <v>2026</v>
      </c>
      <c r="C207" s="7">
        <f>YEAR(Table13[[#This Row],[Date]])</f>
        <v>2025</v>
      </c>
      <c r="D207" s="92">
        <f>Table13[[#This Row],[Date]]-DAY(Table13[[#This Row],[Date]])+1</f>
        <v>45931</v>
      </c>
      <c r="E207" s="7">
        <f t="shared" si="15"/>
        <v>31</v>
      </c>
      <c r="F207" s="91" t="str">
        <f>IFERROR(_xlfn.XLOOKUP($A207,'Raw Data'!$G:$G,'Raw Data'!$AM:$AM),"")</f>
        <v/>
      </c>
      <c r="G207" s="90" t="str">
        <f>IFERROR(_xlfn.XLOOKUP($A207,'Raw Data'!$G:$G,'Raw Data'!$AB:$AB),"")</f>
        <v/>
      </c>
      <c r="H207" s="90"/>
      <c r="I207" s="90" t="str">
        <f>IFERROR(_xlfn.XLOOKUP($A207,'Raw Data'!$G:$G,'Raw Data'!$AC:$AC),"")</f>
        <v/>
      </c>
      <c r="J207" s="90"/>
      <c r="K207" s="90" t="str">
        <f>IFERROR(_xlfn.XLOOKUP($A207,'Raw Data'!$G:$G,'Raw Data'!AD:AD),"")</f>
        <v/>
      </c>
      <c r="L207" s="90" t="str">
        <f>IFERROR(_xlfn.XLOOKUP($A207,'Raw Data'!$G:$G,'Raw Data'!AE:AE),"")</f>
        <v/>
      </c>
      <c r="M207" s="90" t="str">
        <f>IFERROR(_xlfn.XLOOKUP($A207,'Raw Data'!$G:$G,'Raw Data'!AF:AF),"")</f>
        <v/>
      </c>
      <c r="N207" s="90" t="str">
        <f>IFERROR(_xlfn.XLOOKUP($A207,'Raw Data'!$G:$G,'Raw Data'!AG:AG),"")</f>
        <v/>
      </c>
      <c r="O207" s="85" t="str">
        <f>IFERROR(1-SUMIF('Plant BD'!$B:$B,$A207,'Plant BD'!$AM:$AM)/($AA207+SUMIF('Plant BD'!$B:$B,$A207,'Plant BD'!$AM:$AM)),"")</f>
        <v/>
      </c>
      <c r="P207" s="85"/>
      <c r="Q207" s="89"/>
      <c r="R207" s="85" t="str">
        <f>IFERROR(1-SUMIF('Grid BD'!$B:$B,$A207,'Grid BD'!$AE:$AE)/($AA207+SUMIF('Grid BD'!$B:$B,$A207,'Grid BD'!$AE:$AE)),"")</f>
        <v/>
      </c>
      <c r="T207" s="89"/>
      <c r="U207" s="88" t="str">
        <f t="shared" si="13"/>
        <v/>
      </c>
      <c r="V207" s="88"/>
      <c r="W207" s="84" t="str">
        <f t="shared" si="12"/>
        <v/>
      </c>
      <c r="X207" s="86" t="str">
        <f>IFERROR(_xlfn.XLOOKUP($A207,'Raw Data'!$G:$G,'Raw Data'!AI:AI),"")</f>
        <v/>
      </c>
      <c r="Y207" s="86" t="str">
        <f>IFERROR(_xlfn.XLOOKUP($A207,'Raw Data'!$G:$G,'Raw Data'!AJ:AJ),"")</f>
        <v/>
      </c>
      <c r="Z207" s="86" t="str">
        <f>IFERROR(_xlfn.XLOOKUP($A207,'Raw Data'!$G:$G,'Raw Data'!AK:AK),"")</f>
        <v/>
      </c>
      <c r="AA207" s="86" t="str">
        <f>IFERROR(_xlfn.XLOOKUP($A207,'Raw Data'!$G:$G,'Raw Data'!$AL:$AL)*(1+(_xlfn.XLOOKUP(Table13[[#This Row],[Month Year]],JMR!$A:$A,JMR!$J:$J))),"")</f>
        <v/>
      </c>
      <c r="AB207" s="86" t="str">
        <f>IFERROR(_xlfn.XLOOKUP($A207,'Raw Data'!$G:$G,'Raw Data'!$H:$H),"")</f>
        <v/>
      </c>
      <c r="AC207" s="87">
        <f>IFERROR(_xlfn.XLOOKUP($D207,'Modelling New'!$D:$D,'Modelling New'!$P:$P),"")</f>
        <v>5.209677419354839</v>
      </c>
      <c r="AD207" s="86">
        <f>IFERROR(_xlfn.XLOOKUP($D207,'Modelling New'!$D:$D,'Modelling New'!$T:$T)*1000,"")</f>
        <v>26373.559701104426</v>
      </c>
      <c r="AE207" s="94">
        <f>IFERROR(_xlfn.XLOOKUP($D207,'Modelling New'!$D:$D,'Modelling New'!$O:$O),"")</f>
        <v>0.71309683237690691</v>
      </c>
      <c r="AF207" s="94">
        <f>IFERROR(_xlfn.XLOOKUP($D207,'Modelling New'!$D:$D,'Modelling New'!$W:$W),"")</f>
        <v>0.15479185272697643</v>
      </c>
      <c r="AG207" s="94">
        <f>IFERROR(_xlfn.XLOOKUP($D207,'Modelling New'!$D:$D,'Modelling New'!$AE:$AE),"")</f>
        <v>0.98040000000000005</v>
      </c>
      <c r="AH207" s="94">
        <f>IFERROR(_xlfn.XLOOKUP($D207,'Modelling New'!$D:$D,'Modelling New'!$AF:$AF),"")</f>
        <v>0.98</v>
      </c>
      <c r="AN207" s="85"/>
      <c r="AO207" s="84"/>
      <c r="AP207" s="84"/>
      <c r="AQ207" s="84"/>
      <c r="AR207" s="86">
        <f>'Basic Data'!$J$2</f>
        <v>7.0991999999999997</v>
      </c>
      <c r="AT207" s="7" t="str">
        <f>IFERROR(_xlfn.XLOOKUP(Table13[[#This Row],[Date]],'Raw Data'!$E:$E,'Raw Data'!$AN:$AN),"")</f>
        <v/>
      </c>
      <c r="AU207" s="7">
        <f>IFERROR(_xlfn.XLOOKUP(Table13[[#This Row],[Month Year]],'Modelling New'!$D:$D,'Modelling New'!$AO:$AO),"")</f>
        <v>7</v>
      </c>
      <c r="AV207" s="7">
        <f>IFERROR(SUMIF('Curtailment Records'!$C:$C,Table13[[#This Row],[Date]],'Curtailment Records'!$R:$R)/1000,"")</f>
        <v>0</v>
      </c>
    </row>
    <row r="208" spans="1:48" x14ac:dyDescent="0.25">
      <c r="A208" s="93">
        <f t="shared" si="14"/>
        <v>45951</v>
      </c>
      <c r="B208" s="86">
        <f>YEAR(Table13[[#This Row],[Date]])+IF(MONTH(Table13[[#This Row],[Date]])&gt;=4,1,0)</f>
        <v>2026</v>
      </c>
      <c r="C208" s="7">
        <f>YEAR(Table13[[#This Row],[Date]])</f>
        <v>2025</v>
      </c>
      <c r="D208" s="92">
        <f>Table13[[#This Row],[Date]]-DAY(Table13[[#This Row],[Date]])+1</f>
        <v>45931</v>
      </c>
      <c r="E208" s="7">
        <f t="shared" si="15"/>
        <v>31</v>
      </c>
      <c r="F208" s="91" t="str">
        <f>IFERROR(_xlfn.XLOOKUP($A208,'Raw Data'!$G:$G,'Raw Data'!$AM:$AM),"")</f>
        <v/>
      </c>
      <c r="G208" s="90" t="str">
        <f>IFERROR(_xlfn.XLOOKUP($A208,'Raw Data'!$G:$G,'Raw Data'!$AB:$AB),"")</f>
        <v/>
      </c>
      <c r="H208" s="90"/>
      <c r="I208" s="90" t="str">
        <f>IFERROR(_xlfn.XLOOKUP($A208,'Raw Data'!$G:$G,'Raw Data'!$AC:$AC),"")</f>
        <v/>
      </c>
      <c r="J208" s="90"/>
      <c r="K208" s="90" t="str">
        <f>IFERROR(_xlfn.XLOOKUP($A208,'Raw Data'!$G:$G,'Raw Data'!AD:AD),"")</f>
        <v/>
      </c>
      <c r="L208" s="90" t="str">
        <f>IFERROR(_xlfn.XLOOKUP($A208,'Raw Data'!$G:$G,'Raw Data'!AE:AE),"")</f>
        <v/>
      </c>
      <c r="M208" s="90" t="str">
        <f>IFERROR(_xlfn.XLOOKUP($A208,'Raw Data'!$G:$G,'Raw Data'!AF:AF),"")</f>
        <v/>
      </c>
      <c r="N208" s="90" t="str">
        <f>IFERROR(_xlfn.XLOOKUP($A208,'Raw Data'!$G:$G,'Raw Data'!AG:AG),"")</f>
        <v/>
      </c>
      <c r="O208" s="85" t="str">
        <f>IFERROR(1-SUMIF('Plant BD'!$B:$B,$A208,'Plant BD'!$AM:$AM)/($AA208+SUMIF('Plant BD'!$B:$B,$A208,'Plant BD'!$AM:$AM)),"")</f>
        <v/>
      </c>
      <c r="P208" s="85"/>
      <c r="Q208" s="89"/>
      <c r="R208" s="85" t="str">
        <f>IFERROR(1-SUMIF('Grid BD'!$B:$B,$A208,'Grid BD'!$AE:$AE)/($AA208+SUMIF('Grid BD'!$B:$B,$A208,'Grid BD'!$AE:$AE)),"")</f>
        <v/>
      </c>
      <c r="T208" s="89"/>
      <c r="U208" s="88" t="str">
        <f t="shared" si="13"/>
        <v/>
      </c>
      <c r="V208" s="88"/>
      <c r="W208" s="84" t="str">
        <f t="shared" si="12"/>
        <v/>
      </c>
      <c r="X208" s="86" t="str">
        <f>IFERROR(_xlfn.XLOOKUP($A208,'Raw Data'!$G:$G,'Raw Data'!AI:AI),"")</f>
        <v/>
      </c>
      <c r="Y208" s="86" t="str">
        <f>IFERROR(_xlfn.XLOOKUP($A208,'Raw Data'!$G:$G,'Raw Data'!AJ:AJ),"")</f>
        <v/>
      </c>
      <c r="Z208" s="86" t="str">
        <f>IFERROR(_xlfn.XLOOKUP($A208,'Raw Data'!$G:$G,'Raw Data'!AK:AK),"")</f>
        <v/>
      </c>
      <c r="AA208" s="86" t="str">
        <f>IFERROR(_xlfn.XLOOKUP($A208,'Raw Data'!$G:$G,'Raw Data'!$AL:$AL)*(1+(_xlfn.XLOOKUP(Table13[[#This Row],[Month Year]],JMR!$A:$A,JMR!$J:$J))),"")</f>
        <v/>
      </c>
      <c r="AB208" s="86" t="str">
        <f>IFERROR(_xlfn.XLOOKUP($A208,'Raw Data'!$G:$G,'Raw Data'!$H:$H),"")</f>
        <v/>
      </c>
      <c r="AC208" s="87">
        <f>IFERROR(_xlfn.XLOOKUP($D208,'Modelling New'!$D:$D,'Modelling New'!$P:$P),"")</f>
        <v>5.209677419354839</v>
      </c>
      <c r="AD208" s="86">
        <f>IFERROR(_xlfn.XLOOKUP($D208,'Modelling New'!$D:$D,'Modelling New'!$T:$T)*1000,"")</f>
        <v>26373.559701104426</v>
      </c>
      <c r="AE208" s="94">
        <f>IFERROR(_xlfn.XLOOKUP($D208,'Modelling New'!$D:$D,'Modelling New'!$O:$O),"")</f>
        <v>0.71309683237690691</v>
      </c>
      <c r="AF208" s="94">
        <f>IFERROR(_xlfn.XLOOKUP($D208,'Modelling New'!$D:$D,'Modelling New'!$W:$W),"")</f>
        <v>0.15479185272697643</v>
      </c>
      <c r="AG208" s="94">
        <f>IFERROR(_xlfn.XLOOKUP($D208,'Modelling New'!$D:$D,'Modelling New'!$AE:$AE),"")</f>
        <v>0.98040000000000005</v>
      </c>
      <c r="AH208" s="94">
        <f>IFERROR(_xlfn.XLOOKUP($D208,'Modelling New'!$D:$D,'Modelling New'!$AF:$AF),"")</f>
        <v>0.98</v>
      </c>
      <c r="AN208" s="85"/>
      <c r="AO208" s="84"/>
      <c r="AP208" s="84"/>
      <c r="AQ208" s="84"/>
      <c r="AR208" s="86">
        <f>'Basic Data'!$J$2</f>
        <v>7.0991999999999997</v>
      </c>
      <c r="AT208" s="7" t="str">
        <f>IFERROR(_xlfn.XLOOKUP(Table13[[#This Row],[Date]],'Raw Data'!$E:$E,'Raw Data'!$AN:$AN),"")</f>
        <v/>
      </c>
      <c r="AU208" s="7">
        <f>IFERROR(_xlfn.XLOOKUP(Table13[[#This Row],[Month Year]],'Modelling New'!$D:$D,'Modelling New'!$AO:$AO),"")</f>
        <v>7</v>
      </c>
      <c r="AV208" s="7">
        <f>IFERROR(SUMIF('Curtailment Records'!$C:$C,Table13[[#This Row],[Date]],'Curtailment Records'!$R:$R)/1000,"")</f>
        <v>0</v>
      </c>
    </row>
    <row r="209" spans="1:48" x14ac:dyDescent="0.25">
      <c r="A209" s="93">
        <f t="shared" si="14"/>
        <v>45952</v>
      </c>
      <c r="B209" s="86">
        <f>YEAR(Table13[[#This Row],[Date]])+IF(MONTH(Table13[[#This Row],[Date]])&gt;=4,1,0)</f>
        <v>2026</v>
      </c>
      <c r="C209" s="7">
        <f>YEAR(Table13[[#This Row],[Date]])</f>
        <v>2025</v>
      </c>
      <c r="D209" s="92">
        <f>Table13[[#This Row],[Date]]-DAY(Table13[[#This Row],[Date]])+1</f>
        <v>45931</v>
      </c>
      <c r="E209" s="7">
        <f t="shared" si="15"/>
        <v>31</v>
      </c>
      <c r="F209" s="91" t="str">
        <f>IFERROR(_xlfn.XLOOKUP($A209,'Raw Data'!$G:$G,'Raw Data'!$AM:$AM),"")</f>
        <v/>
      </c>
      <c r="G209" s="90" t="str">
        <f>IFERROR(_xlfn.XLOOKUP($A209,'Raw Data'!$G:$G,'Raw Data'!$AB:$AB),"")</f>
        <v/>
      </c>
      <c r="H209" s="90"/>
      <c r="I209" s="90" t="str">
        <f>IFERROR(_xlfn.XLOOKUP($A209,'Raw Data'!$G:$G,'Raw Data'!$AC:$AC),"")</f>
        <v/>
      </c>
      <c r="J209" s="90"/>
      <c r="K209" s="90" t="str">
        <f>IFERROR(_xlfn.XLOOKUP($A209,'Raw Data'!$G:$G,'Raw Data'!AD:AD),"")</f>
        <v/>
      </c>
      <c r="L209" s="90" t="str">
        <f>IFERROR(_xlfn.XLOOKUP($A209,'Raw Data'!$G:$G,'Raw Data'!AE:AE),"")</f>
        <v/>
      </c>
      <c r="M209" s="90" t="str">
        <f>IFERROR(_xlfn.XLOOKUP($A209,'Raw Data'!$G:$G,'Raw Data'!AF:AF),"")</f>
        <v/>
      </c>
      <c r="N209" s="90" t="str">
        <f>IFERROR(_xlfn.XLOOKUP($A209,'Raw Data'!$G:$G,'Raw Data'!AG:AG),"")</f>
        <v/>
      </c>
      <c r="O209" s="85" t="str">
        <f>IFERROR(1-SUMIF('Plant BD'!$B:$B,$A209,'Plant BD'!$AM:$AM)/($AA209+SUMIF('Plant BD'!$B:$B,$A209,'Plant BD'!$AM:$AM)),"")</f>
        <v/>
      </c>
      <c r="P209" s="85"/>
      <c r="Q209" s="89"/>
      <c r="R209" s="85" t="str">
        <f>IFERROR(1-SUMIF('Grid BD'!$B:$B,$A209,'Grid BD'!$AE:$AE)/($AA209+SUMIF('Grid BD'!$B:$B,$A209,'Grid BD'!$AE:$AE)),"")</f>
        <v/>
      </c>
      <c r="T209" s="89"/>
      <c r="U209" s="88" t="str">
        <f t="shared" si="13"/>
        <v/>
      </c>
      <c r="V209" s="88"/>
      <c r="W209" s="84" t="str">
        <f t="shared" si="12"/>
        <v/>
      </c>
      <c r="X209" s="86" t="str">
        <f>IFERROR(_xlfn.XLOOKUP($A209,'Raw Data'!$G:$G,'Raw Data'!AI:AI),"")</f>
        <v/>
      </c>
      <c r="Y209" s="86" t="str">
        <f>IFERROR(_xlfn.XLOOKUP($A209,'Raw Data'!$G:$G,'Raw Data'!AJ:AJ),"")</f>
        <v/>
      </c>
      <c r="Z209" s="86" t="str">
        <f>IFERROR(_xlfn.XLOOKUP($A209,'Raw Data'!$G:$G,'Raw Data'!AK:AK),"")</f>
        <v/>
      </c>
      <c r="AA209" s="86" t="str">
        <f>IFERROR(_xlfn.XLOOKUP($A209,'Raw Data'!$G:$G,'Raw Data'!$AL:$AL)*(1+(_xlfn.XLOOKUP(Table13[[#This Row],[Month Year]],JMR!$A:$A,JMR!$J:$J))),"")</f>
        <v/>
      </c>
      <c r="AB209" s="86" t="str">
        <f>IFERROR(_xlfn.XLOOKUP($A209,'Raw Data'!$G:$G,'Raw Data'!$H:$H),"")</f>
        <v/>
      </c>
      <c r="AC209" s="87">
        <f>IFERROR(_xlfn.XLOOKUP($D209,'Modelling New'!$D:$D,'Modelling New'!$P:$P),"")</f>
        <v>5.209677419354839</v>
      </c>
      <c r="AD209" s="86">
        <f>IFERROR(_xlfn.XLOOKUP($D209,'Modelling New'!$D:$D,'Modelling New'!$T:$T)*1000,"")</f>
        <v>26373.559701104426</v>
      </c>
      <c r="AE209" s="94">
        <f>IFERROR(_xlfn.XLOOKUP($D209,'Modelling New'!$D:$D,'Modelling New'!$O:$O),"")</f>
        <v>0.71309683237690691</v>
      </c>
      <c r="AF209" s="94">
        <f>IFERROR(_xlfn.XLOOKUP($D209,'Modelling New'!$D:$D,'Modelling New'!$W:$W),"")</f>
        <v>0.15479185272697643</v>
      </c>
      <c r="AG209" s="94">
        <f>IFERROR(_xlfn.XLOOKUP($D209,'Modelling New'!$D:$D,'Modelling New'!$AE:$AE),"")</f>
        <v>0.98040000000000005</v>
      </c>
      <c r="AH209" s="94">
        <f>IFERROR(_xlfn.XLOOKUP($D209,'Modelling New'!$D:$D,'Modelling New'!$AF:$AF),"")</f>
        <v>0.98</v>
      </c>
      <c r="AN209" s="85"/>
      <c r="AO209" s="84"/>
      <c r="AP209" s="84"/>
      <c r="AQ209" s="84"/>
      <c r="AR209" s="86">
        <f>'Basic Data'!$J$2</f>
        <v>7.0991999999999997</v>
      </c>
      <c r="AT209" s="7" t="str">
        <f>IFERROR(_xlfn.XLOOKUP(Table13[[#This Row],[Date]],'Raw Data'!$E:$E,'Raw Data'!$AN:$AN),"")</f>
        <v/>
      </c>
      <c r="AU209" s="7">
        <f>IFERROR(_xlfn.XLOOKUP(Table13[[#This Row],[Month Year]],'Modelling New'!$D:$D,'Modelling New'!$AO:$AO),"")</f>
        <v>7</v>
      </c>
      <c r="AV209" s="7">
        <f>IFERROR(SUMIF('Curtailment Records'!$C:$C,Table13[[#This Row],[Date]],'Curtailment Records'!$R:$R)/1000,"")</f>
        <v>0</v>
      </c>
    </row>
    <row r="210" spans="1:48" x14ac:dyDescent="0.25">
      <c r="A210" s="93">
        <f t="shared" si="14"/>
        <v>45953</v>
      </c>
      <c r="B210" s="86">
        <f>YEAR(Table13[[#This Row],[Date]])+IF(MONTH(Table13[[#This Row],[Date]])&gt;=4,1,0)</f>
        <v>2026</v>
      </c>
      <c r="C210" s="7">
        <f>YEAR(Table13[[#This Row],[Date]])</f>
        <v>2025</v>
      </c>
      <c r="D210" s="92">
        <f>Table13[[#This Row],[Date]]-DAY(Table13[[#This Row],[Date]])+1</f>
        <v>45931</v>
      </c>
      <c r="E210" s="7">
        <f t="shared" si="15"/>
        <v>31</v>
      </c>
      <c r="F210" s="91" t="str">
        <f>IFERROR(_xlfn.XLOOKUP($A210,'Raw Data'!$G:$G,'Raw Data'!$AM:$AM),"")</f>
        <v/>
      </c>
      <c r="G210" s="90" t="str">
        <f>IFERROR(_xlfn.XLOOKUP($A210,'Raw Data'!$G:$G,'Raw Data'!$AB:$AB),"")</f>
        <v/>
      </c>
      <c r="H210" s="90"/>
      <c r="I210" s="90" t="str">
        <f>IFERROR(_xlfn.XLOOKUP($A210,'Raw Data'!$G:$G,'Raw Data'!$AC:$AC),"")</f>
        <v/>
      </c>
      <c r="J210" s="90"/>
      <c r="K210" s="90" t="str">
        <f>IFERROR(_xlfn.XLOOKUP($A210,'Raw Data'!$G:$G,'Raw Data'!AD:AD),"")</f>
        <v/>
      </c>
      <c r="L210" s="90" t="str">
        <f>IFERROR(_xlfn.XLOOKUP($A210,'Raw Data'!$G:$G,'Raw Data'!AE:AE),"")</f>
        <v/>
      </c>
      <c r="M210" s="90" t="str">
        <f>IFERROR(_xlfn.XLOOKUP($A210,'Raw Data'!$G:$G,'Raw Data'!AF:AF),"")</f>
        <v/>
      </c>
      <c r="N210" s="90" t="str">
        <f>IFERROR(_xlfn.XLOOKUP($A210,'Raw Data'!$G:$G,'Raw Data'!AG:AG),"")</f>
        <v/>
      </c>
      <c r="O210" s="85" t="str">
        <f>IFERROR(1-SUMIF('Plant BD'!$B:$B,$A210,'Plant BD'!$AM:$AM)/($AA210+SUMIF('Plant BD'!$B:$B,$A210,'Plant BD'!$AM:$AM)),"")</f>
        <v/>
      </c>
      <c r="P210" s="85"/>
      <c r="Q210" s="89"/>
      <c r="R210" s="85" t="str">
        <f>IFERROR(1-SUMIF('Grid BD'!$B:$B,$A210,'Grid BD'!$AE:$AE)/($AA210+SUMIF('Grid BD'!$B:$B,$A210,'Grid BD'!$AE:$AE)),"")</f>
        <v/>
      </c>
      <c r="T210" s="89"/>
      <c r="U210" s="88" t="str">
        <f t="shared" si="13"/>
        <v/>
      </c>
      <c r="V210" s="88"/>
      <c r="W210" s="84" t="str">
        <f t="shared" si="12"/>
        <v/>
      </c>
      <c r="X210" s="86" t="str">
        <f>IFERROR(_xlfn.XLOOKUP($A210,'Raw Data'!$G:$G,'Raw Data'!AI:AI),"")</f>
        <v/>
      </c>
      <c r="Y210" s="86" t="str">
        <f>IFERROR(_xlfn.XLOOKUP($A210,'Raw Data'!$G:$G,'Raw Data'!AJ:AJ),"")</f>
        <v/>
      </c>
      <c r="Z210" s="86" t="str">
        <f>IFERROR(_xlfn.XLOOKUP($A210,'Raw Data'!$G:$G,'Raw Data'!AK:AK),"")</f>
        <v/>
      </c>
      <c r="AA210" s="86" t="str">
        <f>IFERROR(_xlfn.XLOOKUP($A210,'Raw Data'!$G:$G,'Raw Data'!$AL:$AL)*(1+(_xlfn.XLOOKUP(Table13[[#This Row],[Month Year]],JMR!$A:$A,JMR!$J:$J))),"")</f>
        <v/>
      </c>
      <c r="AB210" s="86" t="str">
        <f>IFERROR(_xlfn.XLOOKUP($A210,'Raw Data'!$G:$G,'Raw Data'!$H:$H),"")</f>
        <v/>
      </c>
      <c r="AC210" s="87">
        <f>IFERROR(_xlfn.XLOOKUP($D210,'Modelling New'!$D:$D,'Modelling New'!$P:$P),"")</f>
        <v>5.209677419354839</v>
      </c>
      <c r="AD210" s="86">
        <f>IFERROR(_xlfn.XLOOKUP($D210,'Modelling New'!$D:$D,'Modelling New'!$T:$T)*1000,"")</f>
        <v>26373.559701104426</v>
      </c>
      <c r="AE210" s="94">
        <f>IFERROR(_xlfn.XLOOKUP($D210,'Modelling New'!$D:$D,'Modelling New'!$O:$O),"")</f>
        <v>0.71309683237690691</v>
      </c>
      <c r="AF210" s="94">
        <f>IFERROR(_xlfn.XLOOKUP($D210,'Modelling New'!$D:$D,'Modelling New'!$W:$W),"")</f>
        <v>0.15479185272697643</v>
      </c>
      <c r="AG210" s="94">
        <f>IFERROR(_xlfn.XLOOKUP($D210,'Modelling New'!$D:$D,'Modelling New'!$AE:$AE),"")</f>
        <v>0.98040000000000005</v>
      </c>
      <c r="AH210" s="94">
        <f>IFERROR(_xlfn.XLOOKUP($D210,'Modelling New'!$D:$D,'Modelling New'!$AF:$AF),"")</f>
        <v>0.98</v>
      </c>
      <c r="AN210" s="85"/>
      <c r="AO210" s="84"/>
      <c r="AP210" s="84"/>
      <c r="AQ210" s="84"/>
      <c r="AR210" s="86">
        <f>'Basic Data'!$J$2</f>
        <v>7.0991999999999997</v>
      </c>
      <c r="AT210" s="7" t="str">
        <f>IFERROR(_xlfn.XLOOKUP(Table13[[#This Row],[Date]],'Raw Data'!$E:$E,'Raw Data'!$AN:$AN),"")</f>
        <v/>
      </c>
      <c r="AU210" s="7">
        <f>IFERROR(_xlfn.XLOOKUP(Table13[[#This Row],[Month Year]],'Modelling New'!$D:$D,'Modelling New'!$AO:$AO),"")</f>
        <v>7</v>
      </c>
      <c r="AV210" s="7">
        <f>IFERROR(SUMIF('Curtailment Records'!$C:$C,Table13[[#This Row],[Date]],'Curtailment Records'!$R:$R)/1000,"")</f>
        <v>0</v>
      </c>
    </row>
    <row r="211" spans="1:48" x14ac:dyDescent="0.25">
      <c r="A211" s="93">
        <f t="shared" si="14"/>
        <v>45954</v>
      </c>
      <c r="B211" s="86">
        <f>YEAR(Table13[[#This Row],[Date]])+IF(MONTH(Table13[[#This Row],[Date]])&gt;=4,1,0)</f>
        <v>2026</v>
      </c>
      <c r="C211" s="7">
        <f>YEAR(Table13[[#This Row],[Date]])</f>
        <v>2025</v>
      </c>
      <c r="D211" s="92">
        <f>Table13[[#This Row],[Date]]-DAY(Table13[[#This Row],[Date]])+1</f>
        <v>45931</v>
      </c>
      <c r="E211" s="7">
        <f t="shared" si="15"/>
        <v>31</v>
      </c>
      <c r="F211" s="91" t="str">
        <f>IFERROR(_xlfn.XLOOKUP($A211,'Raw Data'!$G:$G,'Raw Data'!$AM:$AM),"")</f>
        <v/>
      </c>
      <c r="G211" s="90" t="str">
        <f>IFERROR(_xlfn.XLOOKUP($A211,'Raw Data'!$G:$G,'Raw Data'!$AB:$AB),"")</f>
        <v/>
      </c>
      <c r="H211" s="90"/>
      <c r="I211" s="90" t="str">
        <f>IFERROR(_xlfn.XLOOKUP($A211,'Raw Data'!$G:$G,'Raw Data'!$AC:$AC),"")</f>
        <v/>
      </c>
      <c r="J211" s="90"/>
      <c r="K211" s="90" t="str">
        <f>IFERROR(_xlfn.XLOOKUP($A211,'Raw Data'!$G:$G,'Raw Data'!AD:AD),"")</f>
        <v/>
      </c>
      <c r="L211" s="90" t="str">
        <f>IFERROR(_xlfn.XLOOKUP($A211,'Raw Data'!$G:$G,'Raw Data'!AE:AE),"")</f>
        <v/>
      </c>
      <c r="M211" s="90" t="str">
        <f>IFERROR(_xlfn.XLOOKUP($A211,'Raw Data'!$G:$G,'Raw Data'!AF:AF),"")</f>
        <v/>
      </c>
      <c r="N211" s="90" t="str">
        <f>IFERROR(_xlfn.XLOOKUP($A211,'Raw Data'!$G:$G,'Raw Data'!AG:AG),"")</f>
        <v/>
      </c>
      <c r="O211" s="85" t="str">
        <f>IFERROR(1-SUMIF('Plant BD'!$B:$B,$A211,'Plant BD'!$AM:$AM)/($AA211+SUMIF('Plant BD'!$B:$B,$A211,'Plant BD'!$AM:$AM)),"")</f>
        <v/>
      </c>
      <c r="P211" s="85"/>
      <c r="Q211" s="89"/>
      <c r="R211" s="85" t="str">
        <f>IFERROR(1-SUMIF('Grid BD'!$B:$B,$A211,'Grid BD'!$AE:$AE)/($AA211+SUMIF('Grid BD'!$B:$B,$A211,'Grid BD'!$AE:$AE)),"")</f>
        <v/>
      </c>
      <c r="T211" s="89"/>
      <c r="U211" s="88" t="str">
        <f t="shared" si="13"/>
        <v/>
      </c>
      <c r="V211" s="88"/>
      <c r="W211" s="84" t="str">
        <f t="shared" si="12"/>
        <v/>
      </c>
      <c r="X211" s="86" t="str">
        <f>IFERROR(_xlfn.XLOOKUP($A211,'Raw Data'!$G:$G,'Raw Data'!AI:AI),"")</f>
        <v/>
      </c>
      <c r="Y211" s="86" t="str">
        <f>IFERROR(_xlfn.XLOOKUP($A211,'Raw Data'!$G:$G,'Raw Data'!AJ:AJ),"")</f>
        <v/>
      </c>
      <c r="Z211" s="86" t="str">
        <f>IFERROR(_xlfn.XLOOKUP($A211,'Raw Data'!$G:$G,'Raw Data'!AK:AK),"")</f>
        <v/>
      </c>
      <c r="AA211" s="86" t="str">
        <f>IFERROR(_xlfn.XLOOKUP($A211,'Raw Data'!$G:$G,'Raw Data'!$AL:$AL)*(1+(_xlfn.XLOOKUP(Table13[[#This Row],[Month Year]],JMR!$A:$A,JMR!$J:$J))),"")</f>
        <v/>
      </c>
      <c r="AB211" s="86" t="str">
        <f>IFERROR(_xlfn.XLOOKUP($A211,'Raw Data'!$G:$G,'Raw Data'!$H:$H),"")</f>
        <v/>
      </c>
      <c r="AC211" s="87">
        <f>IFERROR(_xlfn.XLOOKUP($D211,'Modelling New'!$D:$D,'Modelling New'!$P:$P),"")</f>
        <v>5.209677419354839</v>
      </c>
      <c r="AD211" s="86">
        <f>IFERROR(_xlfn.XLOOKUP($D211,'Modelling New'!$D:$D,'Modelling New'!$T:$T)*1000,"")</f>
        <v>26373.559701104426</v>
      </c>
      <c r="AE211" s="94">
        <f>IFERROR(_xlfn.XLOOKUP($D211,'Modelling New'!$D:$D,'Modelling New'!$O:$O),"")</f>
        <v>0.71309683237690691</v>
      </c>
      <c r="AF211" s="94">
        <f>IFERROR(_xlfn.XLOOKUP($D211,'Modelling New'!$D:$D,'Modelling New'!$W:$W),"")</f>
        <v>0.15479185272697643</v>
      </c>
      <c r="AG211" s="94">
        <f>IFERROR(_xlfn.XLOOKUP($D211,'Modelling New'!$D:$D,'Modelling New'!$AE:$AE),"")</f>
        <v>0.98040000000000005</v>
      </c>
      <c r="AH211" s="94">
        <f>IFERROR(_xlfn.XLOOKUP($D211,'Modelling New'!$D:$D,'Modelling New'!$AF:$AF),"")</f>
        <v>0.98</v>
      </c>
      <c r="AN211" s="85"/>
      <c r="AO211" s="84"/>
      <c r="AP211" s="84"/>
      <c r="AQ211" s="84"/>
      <c r="AR211" s="86">
        <f>'Basic Data'!$J$2</f>
        <v>7.0991999999999997</v>
      </c>
      <c r="AT211" s="7" t="str">
        <f>IFERROR(_xlfn.XLOOKUP(Table13[[#This Row],[Date]],'Raw Data'!$E:$E,'Raw Data'!$AN:$AN),"")</f>
        <v/>
      </c>
      <c r="AU211" s="7">
        <f>IFERROR(_xlfn.XLOOKUP(Table13[[#This Row],[Month Year]],'Modelling New'!$D:$D,'Modelling New'!$AO:$AO),"")</f>
        <v>7</v>
      </c>
      <c r="AV211" s="7">
        <f>IFERROR(SUMIF('Curtailment Records'!$C:$C,Table13[[#This Row],[Date]],'Curtailment Records'!$R:$R)/1000,"")</f>
        <v>0</v>
      </c>
    </row>
    <row r="212" spans="1:48" x14ac:dyDescent="0.25">
      <c r="A212" s="93">
        <f t="shared" si="14"/>
        <v>45955</v>
      </c>
      <c r="B212" s="86">
        <f>YEAR(Table13[[#This Row],[Date]])+IF(MONTH(Table13[[#This Row],[Date]])&gt;=4,1,0)</f>
        <v>2026</v>
      </c>
      <c r="C212" s="7">
        <f>YEAR(Table13[[#This Row],[Date]])</f>
        <v>2025</v>
      </c>
      <c r="D212" s="92">
        <f>Table13[[#This Row],[Date]]-DAY(Table13[[#This Row],[Date]])+1</f>
        <v>45931</v>
      </c>
      <c r="E212" s="7">
        <f t="shared" si="15"/>
        <v>31</v>
      </c>
      <c r="F212" s="91" t="str">
        <f>IFERROR(_xlfn.XLOOKUP($A212,'Raw Data'!$G:$G,'Raw Data'!$AM:$AM),"")</f>
        <v/>
      </c>
      <c r="G212" s="90" t="str">
        <f>IFERROR(_xlfn.XLOOKUP($A212,'Raw Data'!$G:$G,'Raw Data'!$AB:$AB),"")</f>
        <v/>
      </c>
      <c r="H212" s="90"/>
      <c r="I212" s="90" t="str">
        <f>IFERROR(_xlfn.XLOOKUP($A212,'Raw Data'!$G:$G,'Raw Data'!$AC:$AC),"")</f>
        <v/>
      </c>
      <c r="J212" s="90"/>
      <c r="K212" s="90" t="str">
        <f>IFERROR(_xlfn.XLOOKUP($A212,'Raw Data'!$G:$G,'Raw Data'!AD:AD),"")</f>
        <v/>
      </c>
      <c r="L212" s="90" t="str">
        <f>IFERROR(_xlfn.XLOOKUP($A212,'Raw Data'!$G:$G,'Raw Data'!AE:AE),"")</f>
        <v/>
      </c>
      <c r="M212" s="90" t="str">
        <f>IFERROR(_xlfn.XLOOKUP($A212,'Raw Data'!$G:$G,'Raw Data'!AF:AF),"")</f>
        <v/>
      </c>
      <c r="N212" s="90" t="str">
        <f>IFERROR(_xlfn.XLOOKUP($A212,'Raw Data'!$G:$G,'Raw Data'!AG:AG),"")</f>
        <v/>
      </c>
      <c r="O212" s="85" t="str">
        <f>IFERROR(1-SUMIF('Plant BD'!$B:$B,$A212,'Plant BD'!$AM:$AM)/($AA212+SUMIF('Plant BD'!$B:$B,$A212,'Plant BD'!$AM:$AM)),"")</f>
        <v/>
      </c>
      <c r="P212" s="85"/>
      <c r="Q212" s="89"/>
      <c r="R212" s="85" t="str">
        <f>IFERROR(1-SUMIF('Grid BD'!$B:$B,$A212,'Grid BD'!$AE:$AE)/($AA212+SUMIF('Grid BD'!$B:$B,$A212,'Grid BD'!$AE:$AE)),"")</f>
        <v/>
      </c>
      <c r="T212" s="89"/>
      <c r="U212" s="88" t="str">
        <f t="shared" si="13"/>
        <v/>
      </c>
      <c r="V212" s="88"/>
      <c r="W212" s="84" t="str">
        <f t="shared" si="12"/>
        <v/>
      </c>
      <c r="X212" s="86" t="str">
        <f>IFERROR(_xlfn.XLOOKUP($A212,'Raw Data'!$G:$G,'Raw Data'!AI:AI),"")</f>
        <v/>
      </c>
      <c r="Y212" s="86" t="str">
        <f>IFERROR(_xlfn.XLOOKUP($A212,'Raw Data'!$G:$G,'Raw Data'!AJ:AJ),"")</f>
        <v/>
      </c>
      <c r="Z212" s="86" t="str">
        <f>IFERROR(_xlfn.XLOOKUP($A212,'Raw Data'!$G:$G,'Raw Data'!AK:AK),"")</f>
        <v/>
      </c>
      <c r="AA212" s="86" t="str">
        <f>IFERROR(_xlfn.XLOOKUP($A212,'Raw Data'!$G:$G,'Raw Data'!$AL:$AL)*(1+(_xlfn.XLOOKUP(Table13[[#This Row],[Month Year]],JMR!$A:$A,JMR!$J:$J))),"")</f>
        <v/>
      </c>
      <c r="AB212" s="86" t="str">
        <f>IFERROR(_xlfn.XLOOKUP($A212,'Raw Data'!$G:$G,'Raw Data'!$H:$H),"")</f>
        <v/>
      </c>
      <c r="AC212" s="87">
        <f>IFERROR(_xlfn.XLOOKUP($D212,'Modelling New'!$D:$D,'Modelling New'!$P:$P),"")</f>
        <v>5.209677419354839</v>
      </c>
      <c r="AD212" s="86">
        <f>IFERROR(_xlfn.XLOOKUP($D212,'Modelling New'!$D:$D,'Modelling New'!$T:$T)*1000,"")</f>
        <v>26373.559701104426</v>
      </c>
      <c r="AE212" s="94">
        <f>IFERROR(_xlfn.XLOOKUP($D212,'Modelling New'!$D:$D,'Modelling New'!$O:$O),"")</f>
        <v>0.71309683237690691</v>
      </c>
      <c r="AF212" s="94">
        <f>IFERROR(_xlfn.XLOOKUP($D212,'Modelling New'!$D:$D,'Modelling New'!$W:$W),"")</f>
        <v>0.15479185272697643</v>
      </c>
      <c r="AG212" s="94">
        <f>IFERROR(_xlfn.XLOOKUP($D212,'Modelling New'!$D:$D,'Modelling New'!$AE:$AE),"")</f>
        <v>0.98040000000000005</v>
      </c>
      <c r="AH212" s="94">
        <f>IFERROR(_xlfn.XLOOKUP($D212,'Modelling New'!$D:$D,'Modelling New'!$AF:$AF),"")</f>
        <v>0.98</v>
      </c>
      <c r="AN212" s="85"/>
      <c r="AO212" s="84"/>
      <c r="AP212" s="84"/>
      <c r="AQ212" s="84"/>
      <c r="AR212" s="86">
        <f>'Basic Data'!$J$2</f>
        <v>7.0991999999999997</v>
      </c>
      <c r="AT212" s="7" t="str">
        <f>IFERROR(_xlfn.XLOOKUP(Table13[[#This Row],[Date]],'Raw Data'!$E:$E,'Raw Data'!$AN:$AN),"")</f>
        <v/>
      </c>
      <c r="AU212" s="7">
        <f>IFERROR(_xlfn.XLOOKUP(Table13[[#This Row],[Month Year]],'Modelling New'!$D:$D,'Modelling New'!$AO:$AO),"")</f>
        <v>7</v>
      </c>
      <c r="AV212" s="7">
        <f>IFERROR(SUMIF('Curtailment Records'!$C:$C,Table13[[#This Row],[Date]],'Curtailment Records'!$R:$R)/1000,"")</f>
        <v>0</v>
      </c>
    </row>
    <row r="213" spans="1:48" x14ac:dyDescent="0.25">
      <c r="A213" s="93">
        <f t="shared" si="14"/>
        <v>45956</v>
      </c>
      <c r="B213" s="86">
        <f>YEAR(Table13[[#This Row],[Date]])+IF(MONTH(Table13[[#This Row],[Date]])&gt;=4,1,0)</f>
        <v>2026</v>
      </c>
      <c r="C213" s="7">
        <f>YEAR(Table13[[#This Row],[Date]])</f>
        <v>2025</v>
      </c>
      <c r="D213" s="92">
        <f>Table13[[#This Row],[Date]]-DAY(Table13[[#This Row],[Date]])+1</f>
        <v>45931</v>
      </c>
      <c r="E213" s="7">
        <f t="shared" si="15"/>
        <v>31</v>
      </c>
      <c r="F213" s="91" t="str">
        <f>IFERROR(_xlfn.XLOOKUP($A213,'Raw Data'!$G:$G,'Raw Data'!$AM:$AM),"")</f>
        <v/>
      </c>
      <c r="G213" s="90" t="str">
        <f>IFERROR(_xlfn.XLOOKUP($A213,'Raw Data'!$G:$G,'Raw Data'!$AB:$AB),"")</f>
        <v/>
      </c>
      <c r="H213" s="90"/>
      <c r="I213" s="90" t="str">
        <f>IFERROR(_xlfn.XLOOKUP($A213,'Raw Data'!$G:$G,'Raw Data'!$AC:$AC),"")</f>
        <v/>
      </c>
      <c r="J213" s="90"/>
      <c r="K213" s="90" t="str">
        <f>IFERROR(_xlfn.XLOOKUP($A213,'Raw Data'!$G:$G,'Raw Data'!AD:AD),"")</f>
        <v/>
      </c>
      <c r="L213" s="90" t="str">
        <f>IFERROR(_xlfn.XLOOKUP($A213,'Raw Data'!$G:$G,'Raw Data'!AE:AE),"")</f>
        <v/>
      </c>
      <c r="M213" s="90" t="str">
        <f>IFERROR(_xlfn.XLOOKUP($A213,'Raw Data'!$G:$G,'Raw Data'!AF:AF),"")</f>
        <v/>
      </c>
      <c r="N213" s="90" t="str">
        <f>IFERROR(_xlfn.XLOOKUP($A213,'Raw Data'!$G:$G,'Raw Data'!AG:AG),"")</f>
        <v/>
      </c>
      <c r="O213" s="85" t="str">
        <f>IFERROR(1-SUMIF('Plant BD'!$B:$B,$A213,'Plant BD'!$AM:$AM)/($AA213+SUMIF('Plant BD'!$B:$B,$A213,'Plant BD'!$AM:$AM)),"")</f>
        <v/>
      </c>
      <c r="P213" s="85"/>
      <c r="Q213" s="89"/>
      <c r="R213" s="85" t="str">
        <f>IFERROR(1-SUMIF('Grid BD'!$B:$B,$A213,'Grid BD'!$AE:$AE)/($AA213+SUMIF('Grid BD'!$B:$B,$A213,'Grid BD'!$AE:$AE)),"")</f>
        <v/>
      </c>
      <c r="T213" s="89"/>
      <c r="U213" s="88" t="str">
        <f t="shared" si="13"/>
        <v/>
      </c>
      <c r="V213" s="88"/>
      <c r="W213" s="84" t="str">
        <f t="shared" si="12"/>
        <v/>
      </c>
      <c r="X213" s="86" t="str">
        <f>IFERROR(_xlfn.XLOOKUP($A213,'Raw Data'!$G:$G,'Raw Data'!AI:AI),"")</f>
        <v/>
      </c>
      <c r="Y213" s="86" t="str">
        <f>IFERROR(_xlfn.XLOOKUP($A213,'Raw Data'!$G:$G,'Raw Data'!AJ:AJ),"")</f>
        <v/>
      </c>
      <c r="Z213" s="86" t="str">
        <f>IFERROR(_xlfn.XLOOKUP($A213,'Raw Data'!$G:$G,'Raw Data'!AK:AK),"")</f>
        <v/>
      </c>
      <c r="AA213" s="86" t="str">
        <f>IFERROR(_xlfn.XLOOKUP($A213,'Raw Data'!$G:$G,'Raw Data'!$AL:$AL)*(1+(_xlfn.XLOOKUP(Table13[[#This Row],[Month Year]],JMR!$A:$A,JMR!$J:$J))),"")</f>
        <v/>
      </c>
      <c r="AB213" s="86" t="str">
        <f>IFERROR(_xlfn.XLOOKUP($A213,'Raw Data'!$G:$G,'Raw Data'!$H:$H),"")</f>
        <v/>
      </c>
      <c r="AC213" s="87">
        <f>IFERROR(_xlfn.XLOOKUP($D213,'Modelling New'!$D:$D,'Modelling New'!$P:$P),"")</f>
        <v>5.209677419354839</v>
      </c>
      <c r="AD213" s="86">
        <f>IFERROR(_xlfn.XLOOKUP($D213,'Modelling New'!$D:$D,'Modelling New'!$T:$T)*1000,"")</f>
        <v>26373.559701104426</v>
      </c>
      <c r="AE213" s="94">
        <f>IFERROR(_xlfn.XLOOKUP($D213,'Modelling New'!$D:$D,'Modelling New'!$O:$O),"")</f>
        <v>0.71309683237690691</v>
      </c>
      <c r="AF213" s="94">
        <f>IFERROR(_xlfn.XLOOKUP($D213,'Modelling New'!$D:$D,'Modelling New'!$W:$W),"")</f>
        <v>0.15479185272697643</v>
      </c>
      <c r="AG213" s="94">
        <f>IFERROR(_xlfn.XLOOKUP($D213,'Modelling New'!$D:$D,'Modelling New'!$AE:$AE),"")</f>
        <v>0.98040000000000005</v>
      </c>
      <c r="AH213" s="94">
        <f>IFERROR(_xlfn.XLOOKUP($D213,'Modelling New'!$D:$D,'Modelling New'!$AF:$AF),"")</f>
        <v>0.98</v>
      </c>
      <c r="AN213" s="85"/>
      <c r="AO213" s="84"/>
      <c r="AP213" s="84"/>
      <c r="AQ213" s="84"/>
      <c r="AR213" s="86">
        <f>'Basic Data'!$J$2</f>
        <v>7.0991999999999997</v>
      </c>
      <c r="AT213" s="7" t="str">
        <f>IFERROR(_xlfn.XLOOKUP(Table13[[#This Row],[Date]],'Raw Data'!$E:$E,'Raw Data'!$AN:$AN),"")</f>
        <v/>
      </c>
      <c r="AU213" s="7">
        <f>IFERROR(_xlfn.XLOOKUP(Table13[[#This Row],[Month Year]],'Modelling New'!$D:$D,'Modelling New'!$AO:$AO),"")</f>
        <v>7</v>
      </c>
      <c r="AV213" s="7">
        <f>IFERROR(SUMIF('Curtailment Records'!$C:$C,Table13[[#This Row],[Date]],'Curtailment Records'!$R:$R)/1000,"")</f>
        <v>0</v>
      </c>
    </row>
    <row r="214" spans="1:48" x14ac:dyDescent="0.25">
      <c r="A214" s="93">
        <f t="shared" si="14"/>
        <v>45957</v>
      </c>
      <c r="B214" s="86">
        <f>YEAR(Table13[[#This Row],[Date]])+IF(MONTH(Table13[[#This Row],[Date]])&gt;=4,1,0)</f>
        <v>2026</v>
      </c>
      <c r="C214" s="7">
        <f>YEAR(Table13[[#This Row],[Date]])</f>
        <v>2025</v>
      </c>
      <c r="D214" s="92">
        <f>Table13[[#This Row],[Date]]-DAY(Table13[[#This Row],[Date]])+1</f>
        <v>45931</v>
      </c>
      <c r="E214" s="7">
        <f t="shared" si="15"/>
        <v>31</v>
      </c>
      <c r="F214" s="91" t="str">
        <f>IFERROR(_xlfn.XLOOKUP($A214,'Raw Data'!$G:$G,'Raw Data'!$AM:$AM),"")</f>
        <v/>
      </c>
      <c r="G214" s="90" t="str">
        <f>IFERROR(_xlfn.XLOOKUP($A214,'Raw Data'!$G:$G,'Raw Data'!$AB:$AB),"")</f>
        <v/>
      </c>
      <c r="H214" s="90"/>
      <c r="I214" s="90" t="str">
        <f>IFERROR(_xlfn.XLOOKUP($A214,'Raw Data'!$G:$G,'Raw Data'!$AC:$AC),"")</f>
        <v/>
      </c>
      <c r="J214" s="90"/>
      <c r="K214" s="90" t="str">
        <f>IFERROR(_xlfn.XLOOKUP($A214,'Raw Data'!$G:$G,'Raw Data'!AD:AD),"")</f>
        <v/>
      </c>
      <c r="L214" s="90" t="str">
        <f>IFERROR(_xlfn.XLOOKUP($A214,'Raw Data'!$G:$G,'Raw Data'!AE:AE),"")</f>
        <v/>
      </c>
      <c r="M214" s="90" t="str">
        <f>IFERROR(_xlfn.XLOOKUP($A214,'Raw Data'!$G:$G,'Raw Data'!AF:AF),"")</f>
        <v/>
      </c>
      <c r="N214" s="90" t="str">
        <f>IFERROR(_xlfn.XLOOKUP($A214,'Raw Data'!$G:$G,'Raw Data'!AG:AG),"")</f>
        <v/>
      </c>
      <c r="O214" s="85" t="str">
        <f>IFERROR(1-SUMIF('Plant BD'!$B:$B,$A214,'Plant BD'!$AM:$AM)/($AA214+SUMIF('Plant BD'!$B:$B,$A214,'Plant BD'!$AM:$AM)),"")</f>
        <v/>
      </c>
      <c r="P214" s="85"/>
      <c r="Q214" s="89"/>
      <c r="R214" s="85" t="str">
        <f>IFERROR(1-SUMIF('Grid BD'!$B:$B,$A214,'Grid BD'!$AE:$AE)/($AA214+SUMIF('Grid BD'!$B:$B,$A214,'Grid BD'!$AE:$AE)),"")</f>
        <v/>
      </c>
      <c r="T214" s="89"/>
      <c r="U214" s="88" t="str">
        <f t="shared" si="13"/>
        <v/>
      </c>
      <c r="V214" s="88"/>
      <c r="W214" s="84" t="str">
        <f t="shared" si="12"/>
        <v/>
      </c>
      <c r="X214" s="86" t="str">
        <f>IFERROR(_xlfn.XLOOKUP($A214,'Raw Data'!$G:$G,'Raw Data'!AI:AI),"")</f>
        <v/>
      </c>
      <c r="Y214" s="86" t="str">
        <f>IFERROR(_xlfn.XLOOKUP($A214,'Raw Data'!$G:$G,'Raw Data'!AJ:AJ),"")</f>
        <v/>
      </c>
      <c r="Z214" s="86" t="str">
        <f>IFERROR(_xlfn.XLOOKUP($A214,'Raw Data'!$G:$G,'Raw Data'!AK:AK),"")</f>
        <v/>
      </c>
      <c r="AA214" s="86" t="str">
        <f>IFERROR(_xlfn.XLOOKUP($A214,'Raw Data'!$G:$G,'Raw Data'!$AL:$AL)*(1+(_xlfn.XLOOKUP(Table13[[#This Row],[Month Year]],JMR!$A:$A,JMR!$J:$J))),"")</f>
        <v/>
      </c>
      <c r="AB214" s="86" t="str">
        <f>IFERROR(_xlfn.XLOOKUP($A214,'Raw Data'!$G:$G,'Raw Data'!$H:$H),"")</f>
        <v/>
      </c>
      <c r="AC214" s="87">
        <f>IFERROR(_xlfn.XLOOKUP($D214,'Modelling New'!$D:$D,'Modelling New'!$P:$P),"")</f>
        <v>5.209677419354839</v>
      </c>
      <c r="AD214" s="86">
        <f>IFERROR(_xlfn.XLOOKUP($D214,'Modelling New'!$D:$D,'Modelling New'!$T:$T)*1000,"")</f>
        <v>26373.559701104426</v>
      </c>
      <c r="AE214" s="94">
        <f>IFERROR(_xlfn.XLOOKUP($D214,'Modelling New'!$D:$D,'Modelling New'!$O:$O),"")</f>
        <v>0.71309683237690691</v>
      </c>
      <c r="AF214" s="94">
        <f>IFERROR(_xlfn.XLOOKUP($D214,'Modelling New'!$D:$D,'Modelling New'!$W:$W),"")</f>
        <v>0.15479185272697643</v>
      </c>
      <c r="AG214" s="94">
        <f>IFERROR(_xlfn.XLOOKUP($D214,'Modelling New'!$D:$D,'Modelling New'!$AE:$AE),"")</f>
        <v>0.98040000000000005</v>
      </c>
      <c r="AH214" s="94">
        <f>IFERROR(_xlfn.XLOOKUP($D214,'Modelling New'!$D:$D,'Modelling New'!$AF:$AF),"")</f>
        <v>0.98</v>
      </c>
      <c r="AN214" s="85"/>
      <c r="AO214" s="84"/>
      <c r="AP214" s="84"/>
      <c r="AQ214" s="84"/>
      <c r="AR214" s="86">
        <f>'Basic Data'!$J$2</f>
        <v>7.0991999999999997</v>
      </c>
      <c r="AT214" s="7" t="str">
        <f>IFERROR(_xlfn.XLOOKUP(Table13[[#This Row],[Date]],'Raw Data'!$E:$E,'Raw Data'!$AN:$AN),"")</f>
        <v/>
      </c>
      <c r="AU214" s="7">
        <f>IFERROR(_xlfn.XLOOKUP(Table13[[#This Row],[Month Year]],'Modelling New'!$D:$D,'Modelling New'!$AO:$AO),"")</f>
        <v>7</v>
      </c>
      <c r="AV214" s="7">
        <f>IFERROR(SUMIF('Curtailment Records'!$C:$C,Table13[[#This Row],[Date]],'Curtailment Records'!$R:$R)/1000,"")</f>
        <v>0</v>
      </c>
    </row>
    <row r="215" spans="1:48" x14ac:dyDescent="0.25">
      <c r="A215" s="93">
        <f t="shared" si="14"/>
        <v>45958</v>
      </c>
      <c r="B215" s="86">
        <f>YEAR(Table13[[#This Row],[Date]])+IF(MONTH(Table13[[#This Row],[Date]])&gt;=4,1,0)</f>
        <v>2026</v>
      </c>
      <c r="C215" s="7">
        <f>YEAR(Table13[[#This Row],[Date]])</f>
        <v>2025</v>
      </c>
      <c r="D215" s="92">
        <f>Table13[[#This Row],[Date]]-DAY(Table13[[#This Row],[Date]])+1</f>
        <v>45931</v>
      </c>
      <c r="E215" s="7">
        <f t="shared" si="15"/>
        <v>31</v>
      </c>
      <c r="F215" s="91" t="str">
        <f>IFERROR(_xlfn.XLOOKUP($A215,'Raw Data'!$G:$G,'Raw Data'!$AM:$AM),"")</f>
        <v/>
      </c>
      <c r="G215" s="90" t="str">
        <f>IFERROR(_xlfn.XLOOKUP($A215,'Raw Data'!$G:$G,'Raw Data'!$AB:$AB),"")</f>
        <v/>
      </c>
      <c r="H215" s="90"/>
      <c r="I215" s="90" t="str">
        <f>IFERROR(_xlfn.XLOOKUP($A215,'Raw Data'!$G:$G,'Raw Data'!$AC:$AC),"")</f>
        <v/>
      </c>
      <c r="J215" s="90"/>
      <c r="K215" s="90" t="str">
        <f>IFERROR(_xlfn.XLOOKUP($A215,'Raw Data'!$G:$G,'Raw Data'!AD:AD),"")</f>
        <v/>
      </c>
      <c r="L215" s="90" t="str">
        <f>IFERROR(_xlfn.XLOOKUP($A215,'Raw Data'!$G:$G,'Raw Data'!AE:AE),"")</f>
        <v/>
      </c>
      <c r="M215" s="90" t="str">
        <f>IFERROR(_xlfn.XLOOKUP($A215,'Raw Data'!$G:$G,'Raw Data'!AF:AF),"")</f>
        <v/>
      </c>
      <c r="N215" s="90" t="str">
        <f>IFERROR(_xlfn.XLOOKUP($A215,'Raw Data'!$G:$G,'Raw Data'!AG:AG),"")</f>
        <v/>
      </c>
      <c r="O215" s="85" t="str">
        <f>IFERROR(1-SUMIF('Plant BD'!$B:$B,$A215,'Plant BD'!$AM:$AM)/($AA215+SUMIF('Plant BD'!$B:$B,$A215,'Plant BD'!$AM:$AM)),"")</f>
        <v/>
      </c>
      <c r="P215" s="85"/>
      <c r="Q215" s="89"/>
      <c r="R215" s="85" t="str">
        <f>IFERROR(1-SUMIF('Grid BD'!$B:$B,$A215,'Grid BD'!$AE:$AE)/($AA215+SUMIF('Grid BD'!$B:$B,$A215,'Grid BD'!$AE:$AE)),"")</f>
        <v/>
      </c>
      <c r="T215" s="89"/>
      <c r="U215" s="88" t="str">
        <f t="shared" si="13"/>
        <v/>
      </c>
      <c r="V215" s="88"/>
      <c r="W215" s="84" t="str">
        <f t="shared" si="12"/>
        <v/>
      </c>
      <c r="X215" s="86" t="str">
        <f>IFERROR(_xlfn.XLOOKUP($A215,'Raw Data'!$G:$G,'Raw Data'!AI:AI),"")</f>
        <v/>
      </c>
      <c r="Y215" s="86" t="str">
        <f>IFERROR(_xlfn.XLOOKUP($A215,'Raw Data'!$G:$G,'Raw Data'!AJ:AJ),"")</f>
        <v/>
      </c>
      <c r="Z215" s="86" t="str">
        <f>IFERROR(_xlfn.XLOOKUP($A215,'Raw Data'!$G:$G,'Raw Data'!AK:AK),"")</f>
        <v/>
      </c>
      <c r="AA215" s="86" t="str">
        <f>IFERROR(_xlfn.XLOOKUP($A215,'Raw Data'!$G:$G,'Raw Data'!$AL:$AL)*(1+(_xlfn.XLOOKUP(Table13[[#This Row],[Month Year]],JMR!$A:$A,JMR!$J:$J))),"")</f>
        <v/>
      </c>
      <c r="AB215" s="86" t="str">
        <f>IFERROR(_xlfn.XLOOKUP($A215,'Raw Data'!$G:$G,'Raw Data'!$H:$H),"")</f>
        <v/>
      </c>
      <c r="AC215" s="87">
        <f>IFERROR(_xlfn.XLOOKUP($D215,'Modelling New'!$D:$D,'Modelling New'!$P:$P),"")</f>
        <v>5.209677419354839</v>
      </c>
      <c r="AD215" s="86">
        <f>IFERROR(_xlfn.XLOOKUP($D215,'Modelling New'!$D:$D,'Modelling New'!$T:$T)*1000,"")</f>
        <v>26373.559701104426</v>
      </c>
      <c r="AE215" s="94">
        <f>IFERROR(_xlfn.XLOOKUP($D215,'Modelling New'!$D:$D,'Modelling New'!$O:$O),"")</f>
        <v>0.71309683237690691</v>
      </c>
      <c r="AF215" s="94">
        <f>IFERROR(_xlfn.XLOOKUP($D215,'Modelling New'!$D:$D,'Modelling New'!$W:$W),"")</f>
        <v>0.15479185272697643</v>
      </c>
      <c r="AG215" s="94">
        <f>IFERROR(_xlfn.XLOOKUP($D215,'Modelling New'!$D:$D,'Modelling New'!$AE:$AE),"")</f>
        <v>0.98040000000000005</v>
      </c>
      <c r="AH215" s="94">
        <f>IFERROR(_xlfn.XLOOKUP($D215,'Modelling New'!$D:$D,'Modelling New'!$AF:$AF),"")</f>
        <v>0.98</v>
      </c>
      <c r="AN215" s="85"/>
      <c r="AO215" s="84"/>
      <c r="AP215" s="84"/>
      <c r="AQ215" s="84"/>
      <c r="AR215" s="86">
        <f>'Basic Data'!$J$2</f>
        <v>7.0991999999999997</v>
      </c>
      <c r="AT215" s="7" t="str">
        <f>IFERROR(_xlfn.XLOOKUP(Table13[[#This Row],[Date]],'Raw Data'!$E:$E,'Raw Data'!$AN:$AN),"")</f>
        <v/>
      </c>
      <c r="AU215" s="7">
        <f>IFERROR(_xlfn.XLOOKUP(Table13[[#This Row],[Month Year]],'Modelling New'!$D:$D,'Modelling New'!$AO:$AO),"")</f>
        <v>7</v>
      </c>
      <c r="AV215" s="7">
        <f>IFERROR(SUMIF('Curtailment Records'!$C:$C,Table13[[#This Row],[Date]],'Curtailment Records'!$R:$R)/1000,"")</f>
        <v>0</v>
      </c>
    </row>
    <row r="216" spans="1:48" x14ac:dyDescent="0.25">
      <c r="A216" s="93">
        <f t="shared" si="14"/>
        <v>45959</v>
      </c>
      <c r="B216" s="86">
        <f>YEAR(Table13[[#This Row],[Date]])+IF(MONTH(Table13[[#This Row],[Date]])&gt;=4,1,0)</f>
        <v>2026</v>
      </c>
      <c r="C216" s="7">
        <f>YEAR(Table13[[#This Row],[Date]])</f>
        <v>2025</v>
      </c>
      <c r="D216" s="92">
        <f>Table13[[#This Row],[Date]]-DAY(Table13[[#This Row],[Date]])+1</f>
        <v>45931</v>
      </c>
      <c r="E216" s="7">
        <f t="shared" si="15"/>
        <v>31</v>
      </c>
      <c r="F216" s="91" t="str">
        <f>IFERROR(_xlfn.XLOOKUP($A216,'Raw Data'!$G:$G,'Raw Data'!$AM:$AM),"")</f>
        <v/>
      </c>
      <c r="G216" s="90" t="str">
        <f>IFERROR(_xlfn.XLOOKUP($A216,'Raw Data'!$G:$G,'Raw Data'!$AB:$AB),"")</f>
        <v/>
      </c>
      <c r="H216" s="90"/>
      <c r="I216" s="90" t="str">
        <f>IFERROR(_xlfn.XLOOKUP($A216,'Raw Data'!$G:$G,'Raw Data'!$AC:$AC),"")</f>
        <v/>
      </c>
      <c r="J216" s="90"/>
      <c r="K216" s="90" t="str">
        <f>IFERROR(_xlfn.XLOOKUP($A216,'Raw Data'!$G:$G,'Raw Data'!AD:AD),"")</f>
        <v/>
      </c>
      <c r="L216" s="90" t="str">
        <f>IFERROR(_xlfn.XLOOKUP($A216,'Raw Data'!$G:$G,'Raw Data'!AE:AE),"")</f>
        <v/>
      </c>
      <c r="M216" s="90" t="str">
        <f>IFERROR(_xlfn.XLOOKUP($A216,'Raw Data'!$G:$G,'Raw Data'!AF:AF),"")</f>
        <v/>
      </c>
      <c r="N216" s="90" t="str">
        <f>IFERROR(_xlfn.XLOOKUP($A216,'Raw Data'!$G:$G,'Raw Data'!AG:AG),"")</f>
        <v/>
      </c>
      <c r="O216" s="85" t="str">
        <f>IFERROR(1-SUMIF('Plant BD'!$B:$B,$A216,'Plant BD'!$AM:$AM)/($AA216+SUMIF('Plant BD'!$B:$B,$A216,'Plant BD'!$AM:$AM)),"")</f>
        <v/>
      </c>
      <c r="P216" s="85"/>
      <c r="Q216" s="89"/>
      <c r="R216" s="85" t="str">
        <f>IFERROR(1-SUMIF('Grid BD'!$B:$B,$A216,'Grid BD'!$AE:$AE)/($AA216+SUMIF('Grid BD'!$B:$B,$A216,'Grid BD'!$AE:$AE)),"")</f>
        <v/>
      </c>
      <c r="T216" s="89"/>
      <c r="U216" s="88" t="str">
        <f t="shared" si="13"/>
        <v/>
      </c>
      <c r="V216" s="88"/>
      <c r="W216" s="84" t="str">
        <f t="shared" si="12"/>
        <v/>
      </c>
      <c r="X216" s="86" t="str">
        <f>IFERROR(_xlfn.XLOOKUP($A216,'Raw Data'!$G:$G,'Raw Data'!AI:AI),"")</f>
        <v/>
      </c>
      <c r="Y216" s="86" t="str">
        <f>IFERROR(_xlfn.XLOOKUP($A216,'Raw Data'!$G:$G,'Raw Data'!AJ:AJ),"")</f>
        <v/>
      </c>
      <c r="Z216" s="86" t="str">
        <f>IFERROR(_xlfn.XLOOKUP($A216,'Raw Data'!$G:$G,'Raw Data'!AK:AK),"")</f>
        <v/>
      </c>
      <c r="AA216" s="86" t="str">
        <f>IFERROR(_xlfn.XLOOKUP($A216,'Raw Data'!$G:$G,'Raw Data'!$AL:$AL)*(1+(_xlfn.XLOOKUP(Table13[[#This Row],[Month Year]],JMR!$A:$A,JMR!$J:$J))),"")</f>
        <v/>
      </c>
      <c r="AB216" s="86" t="str">
        <f>IFERROR(_xlfn.XLOOKUP($A216,'Raw Data'!$G:$G,'Raw Data'!$H:$H),"")</f>
        <v/>
      </c>
      <c r="AC216" s="87">
        <f>IFERROR(_xlfn.XLOOKUP($D216,'Modelling New'!$D:$D,'Modelling New'!$P:$P),"")</f>
        <v>5.209677419354839</v>
      </c>
      <c r="AD216" s="86">
        <f>IFERROR(_xlfn.XLOOKUP($D216,'Modelling New'!$D:$D,'Modelling New'!$T:$T)*1000,"")</f>
        <v>26373.559701104426</v>
      </c>
      <c r="AE216" s="94">
        <f>IFERROR(_xlfn.XLOOKUP($D216,'Modelling New'!$D:$D,'Modelling New'!$O:$O),"")</f>
        <v>0.71309683237690691</v>
      </c>
      <c r="AF216" s="94">
        <f>IFERROR(_xlfn.XLOOKUP($D216,'Modelling New'!$D:$D,'Modelling New'!$W:$W),"")</f>
        <v>0.15479185272697643</v>
      </c>
      <c r="AG216" s="94">
        <f>IFERROR(_xlfn.XLOOKUP($D216,'Modelling New'!$D:$D,'Modelling New'!$AE:$AE),"")</f>
        <v>0.98040000000000005</v>
      </c>
      <c r="AH216" s="94">
        <f>IFERROR(_xlfn.XLOOKUP($D216,'Modelling New'!$D:$D,'Modelling New'!$AF:$AF),"")</f>
        <v>0.98</v>
      </c>
      <c r="AN216" s="85"/>
      <c r="AO216" s="84"/>
      <c r="AP216" s="84"/>
      <c r="AQ216" s="84"/>
      <c r="AR216" s="86">
        <f>'Basic Data'!$J$2</f>
        <v>7.0991999999999997</v>
      </c>
      <c r="AT216" s="7" t="str">
        <f>IFERROR(_xlfn.XLOOKUP(Table13[[#This Row],[Date]],'Raw Data'!$E:$E,'Raw Data'!$AN:$AN),"")</f>
        <v/>
      </c>
      <c r="AU216" s="7">
        <f>IFERROR(_xlfn.XLOOKUP(Table13[[#This Row],[Month Year]],'Modelling New'!$D:$D,'Modelling New'!$AO:$AO),"")</f>
        <v>7</v>
      </c>
      <c r="AV216" s="7">
        <f>IFERROR(SUMIF('Curtailment Records'!$C:$C,Table13[[#This Row],[Date]],'Curtailment Records'!$R:$R)/1000,"")</f>
        <v>0</v>
      </c>
    </row>
    <row r="217" spans="1:48" x14ac:dyDescent="0.25">
      <c r="A217" s="93">
        <f t="shared" si="14"/>
        <v>45960</v>
      </c>
      <c r="B217" s="86">
        <f>YEAR(Table13[[#This Row],[Date]])+IF(MONTH(Table13[[#This Row],[Date]])&gt;=4,1,0)</f>
        <v>2026</v>
      </c>
      <c r="C217" s="7">
        <f>YEAR(Table13[[#This Row],[Date]])</f>
        <v>2025</v>
      </c>
      <c r="D217" s="92">
        <f>Table13[[#This Row],[Date]]-DAY(Table13[[#This Row],[Date]])+1</f>
        <v>45931</v>
      </c>
      <c r="E217" s="7">
        <f t="shared" si="15"/>
        <v>31</v>
      </c>
      <c r="F217" s="91" t="str">
        <f>IFERROR(_xlfn.XLOOKUP($A217,'Raw Data'!$G:$G,'Raw Data'!$AM:$AM),"")</f>
        <v/>
      </c>
      <c r="G217" s="90" t="str">
        <f>IFERROR(_xlfn.XLOOKUP($A217,'Raw Data'!$G:$G,'Raw Data'!$AB:$AB),"")</f>
        <v/>
      </c>
      <c r="H217" s="90"/>
      <c r="I217" s="90" t="str">
        <f>IFERROR(_xlfn.XLOOKUP($A217,'Raw Data'!$G:$G,'Raw Data'!$AC:$AC),"")</f>
        <v/>
      </c>
      <c r="J217" s="90"/>
      <c r="K217" s="90" t="str">
        <f>IFERROR(_xlfn.XLOOKUP($A217,'Raw Data'!$G:$G,'Raw Data'!AD:AD),"")</f>
        <v/>
      </c>
      <c r="L217" s="90" t="str">
        <f>IFERROR(_xlfn.XLOOKUP($A217,'Raw Data'!$G:$G,'Raw Data'!AE:AE),"")</f>
        <v/>
      </c>
      <c r="M217" s="90" t="str">
        <f>IFERROR(_xlfn.XLOOKUP($A217,'Raw Data'!$G:$G,'Raw Data'!AF:AF),"")</f>
        <v/>
      </c>
      <c r="N217" s="90" t="str">
        <f>IFERROR(_xlfn.XLOOKUP($A217,'Raw Data'!$G:$G,'Raw Data'!AG:AG),"")</f>
        <v/>
      </c>
      <c r="O217" s="85" t="str">
        <f>IFERROR(1-SUMIF('Plant BD'!$B:$B,$A217,'Plant BD'!$AM:$AM)/($AA217+SUMIF('Plant BD'!$B:$B,$A217,'Plant BD'!$AM:$AM)),"")</f>
        <v/>
      </c>
      <c r="P217" s="85"/>
      <c r="Q217" s="89"/>
      <c r="R217" s="85" t="str">
        <f>IFERROR(1-SUMIF('Grid BD'!$B:$B,$A217,'Grid BD'!$AE:$AE)/($AA217+SUMIF('Grid BD'!$B:$B,$A217,'Grid BD'!$AE:$AE)),"")</f>
        <v/>
      </c>
      <c r="T217" s="89"/>
      <c r="U217" s="88" t="str">
        <f t="shared" si="13"/>
        <v/>
      </c>
      <c r="V217" s="88"/>
      <c r="W217" s="84" t="str">
        <f t="shared" si="12"/>
        <v/>
      </c>
      <c r="X217" s="86" t="str">
        <f>IFERROR(_xlfn.XLOOKUP($A217,'Raw Data'!$G:$G,'Raw Data'!AI:AI),"")</f>
        <v/>
      </c>
      <c r="Y217" s="86" t="str">
        <f>IFERROR(_xlfn.XLOOKUP($A217,'Raw Data'!$G:$G,'Raw Data'!AJ:AJ),"")</f>
        <v/>
      </c>
      <c r="Z217" s="86" t="str">
        <f>IFERROR(_xlfn.XLOOKUP($A217,'Raw Data'!$G:$G,'Raw Data'!AK:AK),"")</f>
        <v/>
      </c>
      <c r="AA217" s="86" t="str">
        <f>IFERROR(_xlfn.XLOOKUP($A217,'Raw Data'!$G:$G,'Raw Data'!$AL:$AL)*(1+(_xlfn.XLOOKUP(Table13[[#This Row],[Month Year]],JMR!$A:$A,JMR!$J:$J))),"")</f>
        <v/>
      </c>
      <c r="AB217" s="86" t="str">
        <f>IFERROR(_xlfn.XLOOKUP($A217,'Raw Data'!$G:$G,'Raw Data'!$H:$H),"")</f>
        <v/>
      </c>
      <c r="AC217" s="87">
        <f>IFERROR(_xlfn.XLOOKUP($D217,'Modelling New'!$D:$D,'Modelling New'!$P:$P),"")</f>
        <v>5.209677419354839</v>
      </c>
      <c r="AD217" s="86">
        <f>IFERROR(_xlfn.XLOOKUP($D217,'Modelling New'!$D:$D,'Modelling New'!$T:$T)*1000,"")</f>
        <v>26373.559701104426</v>
      </c>
      <c r="AE217" s="94">
        <f>IFERROR(_xlfn.XLOOKUP($D217,'Modelling New'!$D:$D,'Modelling New'!$O:$O),"")</f>
        <v>0.71309683237690691</v>
      </c>
      <c r="AF217" s="94">
        <f>IFERROR(_xlfn.XLOOKUP($D217,'Modelling New'!$D:$D,'Modelling New'!$W:$W),"")</f>
        <v>0.15479185272697643</v>
      </c>
      <c r="AG217" s="94">
        <f>IFERROR(_xlfn.XLOOKUP($D217,'Modelling New'!$D:$D,'Modelling New'!$AE:$AE),"")</f>
        <v>0.98040000000000005</v>
      </c>
      <c r="AH217" s="94">
        <f>IFERROR(_xlfn.XLOOKUP($D217,'Modelling New'!$D:$D,'Modelling New'!$AF:$AF),"")</f>
        <v>0.98</v>
      </c>
      <c r="AN217" s="85"/>
      <c r="AO217" s="84"/>
      <c r="AP217" s="84"/>
      <c r="AQ217" s="84"/>
      <c r="AR217" s="86">
        <f>'Basic Data'!$J$2</f>
        <v>7.0991999999999997</v>
      </c>
      <c r="AT217" s="7" t="str">
        <f>IFERROR(_xlfn.XLOOKUP(Table13[[#This Row],[Date]],'Raw Data'!$E:$E,'Raw Data'!$AN:$AN),"")</f>
        <v/>
      </c>
      <c r="AU217" s="7">
        <f>IFERROR(_xlfn.XLOOKUP(Table13[[#This Row],[Month Year]],'Modelling New'!$D:$D,'Modelling New'!$AO:$AO),"")</f>
        <v>7</v>
      </c>
      <c r="AV217" s="7">
        <f>IFERROR(SUMIF('Curtailment Records'!$C:$C,Table13[[#This Row],[Date]],'Curtailment Records'!$R:$R)/1000,"")</f>
        <v>0</v>
      </c>
    </row>
    <row r="218" spans="1:48" x14ac:dyDescent="0.25">
      <c r="A218" s="93">
        <f t="shared" si="14"/>
        <v>45961</v>
      </c>
      <c r="B218" s="86">
        <f>YEAR(Table13[[#This Row],[Date]])+IF(MONTH(Table13[[#This Row],[Date]])&gt;=4,1,0)</f>
        <v>2026</v>
      </c>
      <c r="C218" s="7">
        <f>YEAR(Table13[[#This Row],[Date]])</f>
        <v>2025</v>
      </c>
      <c r="D218" s="92">
        <f>Table13[[#This Row],[Date]]-DAY(Table13[[#This Row],[Date]])+1</f>
        <v>45931</v>
      </c>
      <c r="E218" s="7">
        <f t="shared" si="15"/>
        <v>31</v>
      </c>
      <c r="F218" s="91" t="str">
        <f>IFERROR(_xlfn.XLOOKUP($A218,'Raw Data'!$G:$G,'Raw Data'!$AM:$AM),"")</f>
        <v/>
      </c>
      <c r="G218" s="90" t="str">
        <f>IFERROR(_xlfn.XLOOKUP($A218,'Raw Data'!$G:$G,'Raw Data'!$AB:$AB),"")</f>
        <v/>
      </c>
      <c r="H218" s="90"/>
      <c r="I218" s="90" t="str">
        <f>IFERROR(_xlfn.XLOOKUP($A218,'Raw Data'!$G:$G,'Raw Data'!$AC:$AC),"")</f>
        <v/>
      </c>
      <c r="J218" s="90"/>
      <c r="K218" s="90" t="str">
        <f>IFERROR(_xlfn.XLOOKUP($A218,'Raw Data'!$G:$G,'Raw Data'!AD:AD),"")</f>
        <v/>
      </c>
      <c r="L218" s="90" t="str">
        <f>IFERROR(_xlfn.XLOOKUP($A218,'Raw Data'!$G:$G,'Raw Data'!AE:AE),"")</f>
        <v/>
      </c>
      <c r="M218" s="90" t="str">
        <f>IFERROR(_xlfn.XLOOKUP($A218,'Raw Data'!$G:$G,'Raw Data'!AF:AF),"")</f>
        <v/>
      </c>
      <c r="N218" s="90" t="str">
        <f>IFERROR(_xlfn.XLOOKUP($A218,'Raw Data'!$G:$G,'Raw Data'!AG:AG),"")</f>
        <v/>
      </c>
      <c r="O218" s="85" t="str">
        <f>IFERROR(1-SUMIF('Plant BD'!$B:$B,$A218,'Plant BD'!$AM:$AM)/($AA218+SUMIF('Plant BD'!$B:$B,$A218,'Plant BD'!$AM:$AM)),"")</f>
        <v/>
      </c>
      <c r="P218" s="85"/>
      <c r="Q218" s="89"/>
      <c r="R218" s="85" t="str">
        <f>IFERROR(1-SUMIF('Grid BD'!$B:$B,$A218,'Grid BD'!$AE:$AE)/($AA218+SUMIF('Grid BD'!$B:$B,$A218,'Grid BD'!$AE:$AE)),"")</f>
        <v/>
      </c>
      <c r="T218" s="89"/>
      <c r="U218" s="88" t="str">
        <f t="shared" si="13"/>
        <v/>
      </c>
      <c r="V218" s="88"/>
      <c r="W218" s="84" t="str">
        <f t="shared" si="12"/>
        <v/>
      </c>
      <c r="X218" s="86" t="str">
        <f>IFERROR(_xlfn.XLOOKUP($A218,'Raw Data'!$G:$G,'Raw Data'!AI:AI),"")</f>
        <v/>
      </c>
      <c r="Y218" s="86" t="str">
        <f>IFERROR(_xlfn.XLOOKUP($A218,'Raw Data'!$G:$G,'Raw Data'!AJ:AJ),"")</f>
        <v/>
      </c>
      <c r="Z218" s="86" t="str">
        <f>IFERROR(_xlfn.XLOOKUP($A218,'Raw Data'!$G:$G,'Raw Data'!AK:AK),"")</f>
        <v/>
      </c>
      <c r="AA218" s="86" t="str">
        <f>IFERROR(_xlfn.XLOOKUP($A218,'Raw Data'!$G:$G,'Raw Data'!$AL:$AL)*(1+(_xlfn.XLOOKUP(Table13[[#This Row],[Month Year]],JMR!$A:$A,JMR!$J:$J))),"")</f>
        <v/>
      </c>
      <c r="AB218" s="86" t="str">
        <f>IFERROR(_xlfn.XLOOKUP($A218,'Raw Data'!$G:$G,'Raw Data'!$H:$H),"")</f>
        <v/>
      </c>
      <c r="AC218" s="87">
        <f>IFERROR(_xlfn.XLOOKUP($D218,'Modelling New'!$D:$D,'Modelling New'!$P:$P),"")</f>
        <v>5.209677419354839</v>
      </c>
      <c r="AD218" s="86">
        <f>IFERROR(_xlfn.XLOOKUP($D218,'Modelling New'!$D:$D,'Modelling New'!$T:$T)*1000,"")</f>
        <v>26373.559701104426</v>
      </c>
      <c r="AE218" s="94">
        <f>IFERROR(_xlfn.XLOOKUP($D218,'Modelling New'!$D:$D,'Modelling New'!$O:$O),"")</f>
        <v>0.71309683237690691</v>
      </c>
      <c r="AF218" s="94">
        <f>IFERROR(_xlfn.XLOOKUP($D218,'Modelling New'!$D:$D,'Modelling New'!$W:$W),"")</f>
        <v>0.15479185272697643</v>
      </c>
      <c r="AG218" s="94">
        <f>IFERROR(_xlfn.XLOOKUP($D218,'Modelling New'!$D:$D,'Modelling New'!$AE:$AE),"")</f>
        <v>0.98040000000000005</v>
      </c>
      <c r="AH218" s="94">
        <f>IFERROR(_xlfn.XLOOKUP($D218,'Modelling New'!$D:$D,'Modelling New'!$AF:$AF),"")</f>
        <v>0.98</v>
      </c>
      <c r="AN218" s="85"/>
      <c r="AO218" s="84"/>
      <c r="AP218" s="84"/>
      <c r="AQ218" s="84"/>
      <c r="AR218" s="86">
        <f>'Basic Data'!$J$2</f>
        <v>7.0991999999999997</v>
      </c>
      <c r="AT218" s="7" t="str">
        <f>IFERROR(_xlfn.XLOOKUP(Table13[[#This Row],[Date]],'Raw Data'!$E:$E,'Raw Data'!$AN:$AN),"")</f>
        <v/>
      </c>
      <c r="AU218" s="7">
        <f>IFERROR(_xlfn.XLOOKUP(Table13[[#This Row],[Month Year]],'Modelling New'!$D:$D,'Modelling New'!$AO:$AO),"")</f>
        <v>7</v>
      </c>
      <c r="AV218" s="7">
        <f>IFERROR(SUMIF('Curtailment Records'!$C:$C,Table13[[#This Row],[Date]],'Curtailment Records'!$R:$R)/1000,"")</f>
        <v>0</v>
      </c>
    </row>
    <row r="219" spans="1:48" x14ac:dyDescent="0.25">
      <c r="A219" s="93">
        <f t="shared" si="14"/>
        <v>45962</v>
      </c>
      <c r="B219" s="86">
        <f>YEAR(Table13[[#This Row],[Date]])+IF(MONTH(Table13[[#This Row],[Date]])&gt;=4,1,0)</f>
        <v>2026</v>
      </c>
      <c r="C219" s="7">
        <f>YEAR(Table13[[#This Row],[Date]])</f>
        <v>2025</v>
      </c>
      <c r="D219" s="92">
        <f>Table13[[#This Row],[Date]]-DAY(Table13[[#This Row],[Date]])+1</f>
        <v>45962</v>
      </c>
      <c r="E219" s="7">
        <f t="shared" si="15"/>
        <v>30</v>
      </c>
      <c r="F219" s="91" t="str">
        <f>IFERROR(_xlfn.XLOOKUP($A219,'Raw Data'!$G:$G,'Raw Data'!$AM:$AM),"")</f>
        <v/>
      </c>
      <c r="G219" s="90" t="str">
        <f>IFERROR(_xlfn.XLOOKUP($A219,'Raw Data'!$G:$G,'Raw Data'!$AB:$AB),"")</f>
        <v/>
      </c>
      <c r="H219" s="90"/>
      <c r="I219" s="90" t="str">
        <f>IFERROR(_xlfn.XLOOKUP($A219,'Raw Data'!$G:$G,'Raw Data'!$AC:$AC),"")</f>
        <v/>
      </c>
      <c r="J219" s="90"/>
      <c r="K219" s="90" t="str">
        <f>IFERROR(_xlfn.XLOOKUP($A219,'Raw Data'!$G:$G,'Raw Data'!AD:AD),"")</f>
        <v/>
      </c>
      <c r="L219" s="90" t="str">
        <f>IFERROR(_xlfn.XLOOKUP($A219,'Raw Data'!$G:$G,'Raw Data'!AE:AE),"")</f>
        <v/>
      </c>
      <c r="M219" s="90" t="str">
        <f>IFERROR(_xlfn.XLOOKUP($A219,'Raw Data'!$G:$G,'Raw Data'!AF:AF),"")</f>
        <v/>
      </c>
      <c r="N219" s="90" t="str">
        <f>IFERROR(_xlfn.XLOOKUP($A219,'Raw Data'!$G:$G,'Raw Data'!AG:AG),"")</f>
        <v/>
      </c>
      <c r="O219" s="85" t="str">
        <f>IFERROR(1-SUMIF('Plant BD'!$B:$B,$A219,'Plant BD'!$AM:$AM)/($AA219+SUMIF('Plant BD'!$B:$B,$A219,'Plant BD'!$AM:$AM)),"")</f>
        <v/>
      </c>
      <c r="P219" s="85"/>
      <c r="Q219" s="89"/>
      <c r="R219" s="85" t="str">
        <f>IFERROR(1-SUMIF('Grid BD'!$B:$B,$A219,'Grid BD'!$AE:$AE)/($AA219+SUMIF('Grid BD'!$B:$B,$A219,'Grid BD'!$AE:$AE)),"")</f>
        <v/>
      </c>
      <c r="T219" s="89"/>
      <c r="U219" s="88" t="str">
        <f t="shared" si="13"/>
        <v/>
      </c>
      <c r="V219" s="88"/>
      <c r="W219" s="84" t="str">
        <f t="shared" si="12"/>
        <v/>
      </c>
      <c r="X219" s="86" t="str">
        <f>IFERROR(_xlfn.XLOOKUP($A219,'Raw Data'!$G:$G,'Raw Data'!AI:AI),"")</f>
        <v/>
      </c>
      <c r="Y219" s="86" t="str">
        <f>IFERROR(_xlfn.XLOOKUP($A219,'Raw Data'!$G:$G,'Raw Data'!AJ:AJ),"")</f>
        <v/>
      </c>
      <c r="Z219" s="86" t="str">
        <f>IFERROR(_xlfn.XLOOKUP($A219,'Raw Data'!$G:$G,'Raw Data'!AK:AK),"")</f>
        <v/>
      </c>
      <c r="AA219" s="86" t="str">
        <f>IFERROR(_xlfn.XLOOKUP($A219,'Raw Data'!$G:$G,'Raw Data'!$AL:$AL)*(1+(_xlfn.XLOOKUP(Table13[[#This Row],[Month Year]],JMR!$A:$A,JMR!$J:$J))),"")</f>
        <v/>
      </c>
      <c r="AB219" s="86" t="str">
        <f>IFERROR(_xlfn.XLOOKUP($A219,'Raw Data'!$G:$G,'Raw Data'!$H:$H),"")</f>
        <v/>
      </c>
      <c r="AC219" s="87">
        <f>IFERROR(_xlfn.XLOOKUP($D219,'Modelling New'!$D:$D,'Modelling New'!$P:$P),"")</f>
        <v>5.5333333333333332</v>
      </c>
      <c r="AD219" s="86">
        <f>IFERROR(_xlfn.XLOOKUP($D219,'Modelling New'!$D:$D,'Modelling New'!$T:$T)*1000,"")</f>
        <v>27380.514727051846</v>
      </c>
      <c r="AE219" s="94">
        <f>IFERROR(_xlfn.XLOOKUP($D219,'Modelling New'!$D:$D,'Modelling New'!$O:$O),"")</f>
        <v>0.69702019862033959</v>
      </c>
      <c r="AF219" s="94">
        <f>IFERROR(_xlfn.XLOOKUP($D219,'Modelling New'!$D:$D,'Modelling New'!$W:$W),"")</f>
        <v>0.16070187912635606</v>
      </c>
      <c r="AG219" s="94">
        <f>IFERROR(_xlfn.XLOOKUP($D219,'Modelling New'!$D:$D,'Modelling New'!$AE:$AE),"")</f>
        <v>0.98040000000000005</v>
      </c>
      <c r="AH219" s="94">
        <f>IFERROR(_xlfn.XLOOKUP($D219,'Modelling New'!$D:$D,'Modelling New'!$AF:$AF),"")</f>
        <v>0.98</v>
      </c>
      <c r="AN219" s="85"/>
      <c r="AO219" s="84"/>
      <c r="AP219" s="84"/>
      <c r="AQ219" s="84"/>
      <c r="AR219" s="86">
        <f>'Basic Data'!$J$2</f>
        <v>7.0991999999999997</v>
      </c>
      <c r="AT219" s="7" t="str">
        <f>IFERROR(_xlfn.XLOOKUP(Table13[[#This Row],[Date]],'Raw Data'!$E:$E,'Raw Data'!$AN:$AN),"")</f>
        <v/>
      </c>
      <c r="AU219" s="7">
        <f>IFERROR(_xlfn.XLOOKUP(Table13[[#This Row],[Month Year]],'Modelling New'!$D:$D,'Modelling New'!$AO:$AO),"")</f>
        <v>7</v>
      </c>
      <c r="AV219" s="7">
        <f>IFERROR(SUMIF('Curtailment Records'!$C:$C,Table13[[#This Row],[Date]],'Curtailment Records'!$R:$R)/1000,"")</f>
        <v>0</v>
      </c>
    </row>
    <row r="220" spans="1:48" x14ac:dyDescent="0.25">
      <c r="A220" s="93">
        <f t="shared" si="14"/>
        <v>45963</v>
      </c>
      <c r="B220" s="86">
        <f>YEAR(Table13[[#This Row],[Date]])+IF(MONTH(Table13[[#This Row],[Date]])&gt;=4,1,0)</f>
        <v>2026</v>
      </c>
      <c r="C220" s="7">
        <f>YEAR(Table13[[#This Row],[Date]])</f>
        <v>2025</v>
      </c>
      <c r="D220" s="92">
        <f>Table13[[#This Row],[Date]]-DAY(Table13[[#This Row],[Date]])+1</f>
        <v>45962</v>
      </c>
      <c r="E220" s="7">
        <f t="shared" si="15"/>
        <v>30</v>
      </c>
      <c r="F220" s="91" t="str">
        <f>IFERROR(_xlfn.XLOOKUP($A220,'Raw Data'!$G:$G,'Raw Data'!$AM:$AM),"")</f>
        <v/>
      </c>
      <c r="G220" s="90" t="str">
        <f>IFERROR(_xlfn.XLOOKUP($A220,'Raw Data'!$G:$G,'Raw Data'!$AB:$AB),"")</f>
        <v/>
      </c>
      <c r="H220" s="90"/>
      <c r="I220" s="90" t="str">
        <f>IFERROR(_xlfn.XLOOKUP($A220,'Raw Data'!$G:$G,'Raw Data'!$AC:$AC),"")</f>
        <v/>
      </c>
      <c r="J220" s="90"/>
      <c r="K220" s="90" t="str">
        <f>IFERROR(_xlfn.XLOOKUP($A220,'Raw Data'!$G:$G,'Raw Data'!AD:AD),"")</f>
        <v/>
      </c>
      <c r="L220" s="90" t="str">
        <f>IFERROR(_xlfn.XLOOKUP($A220,'Raw Data'!$G:$G,'Raw Data'!AE:AE),"")</f>
        <v/>
      </c>
      <c r="M220" s="90" t="str">
        <f>IFERROR(_xlfn.XLOOKUP($A220,'Raw Data'!$G:$G,'Raw Data'!AF:AF),"")</f>
        <v/>
      </c>
      <c r="N220" s="90" t="str">
        <f>IFERROR(_xlfn.XLOOKUP($A220,'Raw Data'!$G:$G,'Raw Data'!AG:AG),"")</f>
        <v/>
      </c>
      <c r="O220" s="85" t="str">
        <f>IFERROR(1-SUMIF('Plant BD'!$B:$B,$A220,'Plant BD'!$AM:$AM)/($AA220+SUMIF('Plant BD'!$B:$B,$A220,'Plant BD'!$AM:$AM)),"")</f>
        <v/>
      </c>
      <c r="P220" s="85"/>
      <c r="Q220" s="89"/>
      <c r="R220" s="85" t="str">
        <f>IFERROR(1-SUMIF('Grid BD'!$B:$B,$A220,'Grid BD'!$AE:$AE)/($AA220+SUMIF('Grid BD'!$B:$B,$A220,'Grid BD'!$AE:$AE)),"")</f>
        <v/>
      </c>
      <c r="T220" s="89"/>
      <c r="U220" s="88" t="str">
        <f t="shared" si="13"/>
        <v/>
      </c>
      <c r="V220" s="88"/>
      <c r="W220" s="84" t="str">
        <f t="shared" si="12"/>
        <v/>
      </c>
      <c r="X220" s="86" t="str">
        <f>IFERROR(_xlfn.XLOOKUP($A220,'Raw Data'!$G:$G,'Raw Data'!AI:AI),"")</f>
        <v/>
      </c>
      <c r="Y220" s="86" t="str">
        <f>IFERROR(_xlfn.XLOOKUP($A220,'Raw Data'!$G:$G,'Raw Data'!AJ:AJ),"")</f>
        <v/>
      </c>
      <c r="Z220" s="86" t="str">
        <f>IFERROR(_xlfn.XLOOKUP($A220,'Raw Data'!$G:$G,'Raw Data'!AK:AK),"")</f>
        <v/>
      </c>
      <c r="AA220" s="86" t="str">
        <f>IFERROR(_xlfn.XLOOKUP($A220,'Raw Data'!$G:$G,'Raw Data'!$AL:$AL)*(1+(_xlfn.XLOOKUP(Table13[[#This Row],[Month Year]],JMR!$A:$A,JMR!$J:$J))),"")</f>
        <v/>
      </c>
      <c r="AB220" s="86" t="str">
        <f>IFERROR(_xlfn.XLOOKUP($A220,'Raw Data'!$G:$G,'Raw Data'!$H:$H),"")</f>
        <v/>
      </c>
      <c r="AC220" s="87">
        <f>IFERROR(_xlfn.XLOOKUP($D220,'Modelling New'!$D:$D,'Modelling New'!$P:$P),"")</f>
        <v>5.5333333333333332</v>
      </c>
      <c r="AD220" s="86">
        <f>IFERROR(_xlfn.XLOOKUP($D220,'Modelling New'!$D:$D,'Modelling New'!$T:$T)*1000,"")</f>
        <v>27380.514727051846</v>
      </c>
      <c r="AE220" s="94">
        <f>IFERROR(_xlfn.XLOOKUP($D220,'Modelling New'!$D:$D,'Modelling New'!$O:$O),"")</f>
        <v>0.69702019862033959</v>
      </c>
      <c r="AF220" s="94">
        <f>IFERROR(_xlfn.XLOOKUP($D220,'Modelling New'!$D:$D,'Modelling New'!$W:$W),"")</f>
        <v>0.16070187912635606</v>
      </c>
      <c r="AG220" s="94">
        <f>IFERROR(_xlfn.XLOOKUP($D220,'Modelling New'!$D:$D,'Modelling New'!$AE:$AE),"")</f>
        <v>0.98040000000000005</v>
      </c>
      <c r="AH220" s="94">
        <f>IFERROR(_xlfn.XLOOKUP($D220,'Modelling New'!$D:$D,'Modelling New'!$AF:$AF),"")</f>
        <v>0.98</v>
      </c>
      <c r="AN220" s="85"/>
      <c r="AO220" s="84"/>
      <c r="AP220" s="84"/>
      <c r="AQ220" s="84"/>
      <c r="AR220" s="86">
        <f>'Basic Data'!$J$2</f>
        <v>7.0991999999999997</v>
      </c>
      <c r="AT220" s="7" t="str">
        <f>IFERROR(_xlfn.XLOOKUP(Table13[[#This Row],[Date]],'Raw Data'!$E:$E,'Raw Data'!$AN:$AN),"")</f>
        <v/>
      </c>
      <c r="AU220" s="7">
        <f>IFERROR(_xlfn.XLOOKUP(Table13[[#This Row],[Month Year]],'Modelling New'!$D:$D,'Modelling New'!$AO:$AO),"")</f>
        <v>7</v>
      </c>
      <c r="AV220" s="7">
        <f>IFERROR(SUMIF('Curtailment Records'!$C:$C,Table13[[#This Row],[Date]],'Curtailment Records'!$R:$R)/1000,"")</f>
        <v>0</v>
      </c>
    </row>
    <row r="221" spans="1:48" x14ac:dyDescent="0.25">
      <c r="A221" s="93">
        <f t="shared" si="14"/>
        <v>45964</v>
      </c>
      <c r="B221" s="86">
        <f>YEAR(Table13[[#This Row],[Date]])+IF(MONTH(Table13[[#This Row],[Date]])&gt;=4,1,0)</f>
        <v>2026</v>
      </c>
      <c r="C221" s="7">
        <f>YEAR(Table13[[#This Row],[Date]])</f>
        <v>2025</v>
      </c>
      <c r="D221" s="92">
        <f>Table13[[#This Row],[Date]]-DAY(Table13[[#This Row],[Date]])+1</f>
        <v>45962</v>
      </c>
      <c r="E221" s="7">
        <f t="shared" si="15"/>
        <v>30</v>
      </c>
      <c r="F221" s="91" t="str">
        <f>IFERROR(_xlfn.XLOOKUP($A221,'Raw Data'!$G:$G,'Raw Data'!$AM:$AM),"")</f>
        <v/>
      </c>
      <c r="G221" s="90" t="str">
        <f>IFERROR(_xlfn.XLOOKUP($A221,'Raw Data'!$G:$G,'Raw Data'!$AB:$AB),"")</f>
        <v/>
      </c>
      <c r="H221" s="90"/>
      <c r="I221" s="90" t="str">
        <f>IFERROR(_xlfn.XLOOKUP($A221,'Raw Data'!$G:$G,'Raw Data'!$AC:$AC),"")</f>
        <v/>
      </c>
      <c r="J221" s="90"/>
      <c r="K221" s="90" t="str">
        <f>IFERROR(_xlfn.XLOOKUP($A221,'Raw Data'!$G:$G,'Raw Data'!AD:AD),"")</f>
        <v/>
      </c>
      <c r="L221" s="90" t="str">
        <f>IFERROR(_xlfn.XLOOKUP($A221,'Raw Data'!$G:$G,'Raw Data'!AE:AE),"")</f>
        <v/>
      </c>
      <c r="M221" s="90" t="str">
        <f>IFERROR(_xlfn.XLOOKUP($A221,'Raw Data'!$G:$G,'Raw Data'!AF:AF),"")</f>
        <v/>
      </c>
      <c r="N221" s="90" t="str">
        <f>IFERROR(_xlfn.XLOOKUP($A221,'Raw Data'!$G:$G,'Raw Data'!AG:AG),"")</f>
        <v/>
      </c>
      <c r="O221" s="85" t="str">
        <f>IFERROR(1-SUMIF('Plant BD'!$B:$B,$A221,'Plant BD'!$AM:$AM)/($AA221+SUMIF('Plant BD'!$B:$B,$A221,'Plant BD'!$AM:$AM)),"")</f>
        <v/>
      </c>
      <c r="P221" s="85"/>
      <c r="Q221" s="89"/>
      <c r="R221" s="85" t="str">
        <f>IFERROR(1-SUMIF('Grid BD'!$B:$B,$A221,'Grid BD'!$AE:$AE)/($AA221+SUMIF('Grid BD'!$B:$B,$A221,'Grid BD'!$AE:$AE)),"")</f>
        <v/>
      </c>
      <c r="T221" s="89"/>
      <c r="U221" s="88" t="str">
        <f t="shared" si="13"/>
        <v/>
      </c>
      <c r="V221" s="88"/>
      <c r="W221" s="84" t="str">
        <f t="shared" si="12"/>
        <v/>
      </c>
      <c r="X221" s="86" t="str">
        <f>IFERROR(_xlfn.XLOOKUP($A221,'Raw Data'!$G:$G,'Raw Data'!AI:AI),"")</f>
        <v/>
      </c>
      <c r="Y221" s="86" t="str">
        <f>IFERROR(_xlfn.XLOOKUP($A221,'Raw Data'!$G:$G,'Raw Data'!AJ:AJ),"")</f>
        <v/>
      </c>
      <c r="Z221" s="86" t="str">
        <f>IFERROR(_xlfn.XLOOKUP($A221,'Raw Data'!$G:$G,'Raw Data'!AK:AK),"")</f>
        <v/>
      </c>
      <c r="AA221" s="86" t="str">
        <f>IFERROR(_xlfn.XLOOKUP($A221,'Raw Data'!$G:$G,'Raw Data'!$AL:$AL)*(1+(_xlfn.XLOOKUP(Table13[[#This Row],[Month Year]],JMR!$A:$A,JMR!$J:$J))),"")</f>
        <v/>
      </c>
      <c r="AB221" s="86" t="str">
        <f>IFERROR(_xlfn.XLOOKUP($A221,'Raw Data'!$G:$G,'Raw Data'!$H:$H),"")</f>
        <v/>
      </c>
      <c r="AC221" s="87">
        <f>IFERROR(_xlfn.XLOOKUP($D221,'Modelling New'!$D:$D,'Modelling New'!$P:$P),"")</f>
        <v>5.5333333333333332</v>
      </c>
      <c r="AD221" s="86">
        <f>IFERROR(_xlfn.XLOOKUP($D221,'Modelling New'!$D:$D,'Modelling New'!$T:$T)*1000,"")</f>
        <v>27380.514727051846</v>
      </c>
      <c r="AE221" s="94">
        <f>IFERROR(_xlfn.XLOOKUP($D221,'Modelling New'!$D:$D,'Modelling New'!$O:$O),"")</f>
        <v>0.69702019862033959</v>
      </c>
      <c r="AF221" s="94">
        <f>IFERROR(_xlfn.XLOOKUP($D221,'Modelling New'!$D:$D,'Modelling New'!$W:$W),"")</f>
        <v>0.16070187912635606</v>
      </c>
      <c r="AG221" s="94">
        <f>IFERROR(_xlfn.XLOOKUP($D221,'Modelling New'!$D:$D,'Modelling New'!$AE:$AE),"")</f>
        <v>0.98040000000000005</v>
      </c>
      <c r="AH221" s="94">
        <f>IFERROR(_xlfn.XLOOKUP($D221,'Modelling New'!$D:$D,'Modelling New'!$AF:$AF),"")</f>
        <v>0.98</v>
      </c>
      <c r="AN221" s="85"/>
      <c r="AO221" s="84"/>
      <c r="AP221" s="84"/>
      <c r="AQ221" s="84"/>
      <c r="AR221" s="86">
        <f>'Basic Data'!$J$2</f>
        <v>7.0991999999999997</v>
      </c>
      <c r="AT221" s="7" t="str">
        <f>IFERROR(_xlfn.XLOOKUP(Table13[[#This Row],[Date]],'Raw Data'!$E:$E,'Raw Data'!$AN:$AN),"")</f>
        <v/>
      </c>
      <c r="AU221" s="7">
        <f>IFERROR(_xlfn.XLOOKUP(Table13[[#This Row],[Month Year]],'Modelling New'!$D:$D,'Modelling New'!$AO:$AO),"")</f>
        <v>7</v>
      </c>
      <c r="AV221" s="7">
        <f>IFERROR(SUMIF('Curtailment Records'!$C:$C,Table13[[#This Row],[Date]],'Curtailment Records'!$R:$R)/1000,"")</f>
        <v>0</v>
      </c>
    </row>
    <row r="222" spans="1:48" x14ac:dyDescent="0.25">
      <c r="A222" s="93">
        <f t="shared" si="14"/>
        <v>45965</v>
      </c>
      <c r="B222" s="86">
        <f>YEAR(Table13[[#This Row],[Date]])+IF(MONTH(Table13[[#This Row],[Date]])&gt;=4,1,0)</f>
        <v>2026</v>
      </c>
      <c r="C222" s="7">
        <f>YEAR(Table13[[#This Row],[Date]])</f>
        <v>2025</v>
      </c>
      <c r="D222" s="92">
        <f>Table13[[#This Row],[Date]]-DAY(Table13[[#This Row],[Date]])+1</f>
        <v>45962</v>
      </c>
      <c r="E222" s="7">
        <f t="shared" si="15"/>
        <v>30</v>
      </c>
      <c r="F222" s="91" t="str">
        <f>IFERROR(_xlfn.XLOOKUP($A222,'Raw Data'!$G:$G,'Raw Data'!$AM:$AM),"")</f>
        <v/>
      </c>
      <c r="G222" s="90" t="str">
        <f>IFERROR(_xlfn.XLOOKUP($A222,'Raw Data'!$G:$G,'Raw Data'!$AB:$AB),"")</f>
        <v/>
      </c>
      <c r="H222" s="90"/>
      <c r="I222" s="90" t="str">
        <f>IFERROR(_xlfn.XLOOKUP($A222,'Raw Data'!$G:$G,'Raw Data'!$AC:$AC),"")</f>
        <v/>
      </c>
      <c r="J222" s="90"/>
      <c r="K222" s="90" t="str">
        <f>IFERROR(_xlfn.XLOOKUP($A222,'Raw Data'!$G:$G,'Raw Data'!AD:AD),"")</f>
        <v/>
      </c>
      <c r="L222" s="90" t="str">
        <f>IFERROR(_xlfn.XLOOKUP($A222,'Raw Data'!$G:$G,'Raw Data'!AE:AE),"")</f>
        <v/>
      </c>
      <c r="M222" s="90" t="str">
        <f>IFERROR(_xlfn.XLOOKUP($A222,'Raw Data'!$G:$G,'Raw Data'!AF:AF),"")</f>
        <v/>
      </c>
      <c r="N222" s="90" t="str">
        <f>IFERROR(_xlfn.XLOOKUP($A222,'Raw Data'!$G:$G,'Raw Data'!AG:AG),"")</f>
        <v/>
      </c>
      <c r="O222" s="85" t="str">
        <f>IFERROR(1-SUMIF('Plant BD'!$B:$B,$A222,'Plant BD'!$AM:$AM)/($AA222+SUMIF('Plant BD'!$B:$B,$A222,'Plant BD'!$AM:$AM)),"")</f>
        <v/>
      </c>
      <c r="P222" s="85"/>
      <c r="Q222" s="89"/>
      <c r="R222" s="85" t="str">
        <f>IFERROR(1-SUMIF('Grid BD'!$B:$B,$A222,'Grid BD'!$AE:$AE)/($AA222+SUMIF('Grid BD'!$B:$B,$A222,'Grid BD'!$AE:$AE)),"")</f>
        <v/>
      </c>
      <c r="T222" s="89"/>
      <c r="U222" s="88" t="str">
        <f t="shared" si="13"/>
        <v/>
      </c>
      <c r="V222" s="88"/>
      <c r="W222" s="84" t="str">
        <f t="shared" si="12"/>
        <v/>
      </c>
      <c r="X222" s="86" t="str">
        <f>IFERROR(_xlfn.XLOOKUP($A222,'Raw Data'!$G:$G,'Raw Data'!AI:AI),"")</f>
        <v/>
      </c>
      <c r="Y222" s="86" t="str">
        <f>IFERROR(_xlfn.XLOOKUP($A222,'Raw Data'!$G:$G,'Raw Data'!AJ:AJ),"")</f>
        <v/>
      </c>
      <c r="Z222" s="86" t="str">
        <f>IFERROR(_xlfn.XLOOKUP($A222,'Raw Data'!$G:$G,'Raw Data'!AK:AK),"")</f>
        <v/>
      </c>
      <c r="AA222" s="86" t="str">
        <f>IFERROR(_xlfn.XLOOKUP($A222,'Raw Data'!$G:$G,'Raw Data'!$AL:$AL)*(1+(_xlfn.XLOOKUP(Table13[[#This Row],[Month Year]],JMR!$A:$A,JMR!$J:$J))),"")</f>
        <v/>
      </c>
      <c r="AB222" s="86" t="str">
        <f>IFERROR(_xlfn.XLOOKUP($A222,'Raw Data'!$G:$G,'Raw Data'!$H:$H),"")</f>
        <v/>
      </c>
      <c r="AC222" s="87">
        <f>IFERROR(_xlfn.XLOOKUP($D222,'Modelling New'!$D:$D,'Modelling New'!$P:$P),"")</f>
        <v>5.5333333333333332</v>
      </c>
      <c r="AD222" s="86">
        <f>IFERROR(_xlfn.XLOOKUP($D222,'Modelling New'!$D:$D,'Modelling New'!$T:$T)*1000,"")</f>
        <v>27380.514727051846</v>
      </c>
      <c r="AE222" s="94">
        <f>IFERROR(_xlfn.XLOOKUP($D222,'Modelling New'!$D:$D,'Modelling New'!$O:$O),"")</f>
        <v>0.69702019862033959</v>
      </c>
      <c r="AF222" s="94">
        <f>IFERROR(_xlfn.XLOOKUP($D222,'Modelling New'!$D:$D,'Modelling New'!$W:$W),"")</f>
        <v>0.16070187912635606</v>
      </c>
      <c r="AG222" s="94">
        <f>IFERROR(_xlfn.XLOOKUP($D222,'Modelling New'!$D:$D,'Modelling New'!$AE:$AE),"")</f>
        <v>0.98040000000000005</v>
      </c>
      <c r="AH222" s="94">
        <f>IFERROR(_xlfn.XLOOKUP($D222,'Modelling New'!$D:$D,'Modelling New'!$AF:$AF),"")</f>
        <v>0.98</v>
      </c>
      <c r="AN222" s="85"/>
      <c r="AO222" s="84"/>
      <c r="AP222" s="84"/>
      <c r="AQ222" s="84"/>
      <c r="AR222" s="86">
        <f>'Basic Data'!$J$2</f>
        <v>7.0991999999999997</v>
      </c>
      <c r="AT222" s="7" t="str">
        <f>IFERROR(_xlfn.XLOOKUP(Table13[[#This Row],[Date]],'Raw Data'!$E:$E,'Raw Data'!$AN:$AN),"")</f>
        <v/>
      </c>
      <c r="AU222" s="7">
        <f>IFERROR(_xlfn.XLOOKUP(Table13[[#This Row],[Month Year]],'Modelling New'!$D:$D,'Modelling New'!$AO:$AO),"")</f>
        <v>7</v>
      </c>
      <c r="AV222" s="7">
        <f>IFERROR(SUMIF('Curtailment Records'!$C:$C,Table13[[#This Row],[Date]],'Curtailment Records'!$R:$R)/1000,"")</f>
        <v>0</v>
      </c>
    </row>
    <row r="223" spans="1:48" x14ac:dyDescent="0.25">
      <c r="A223" s="93">
        <f t="shared" si="14"/>
        <v>45966</v>
      </c>
      <c r="B223" s="86">
        <f>YEAR(Table13[[#This Row],[Date]])+IF(MONTH(Table13[[#This Row],[Date]])&gt;=4,1,0)</f>
        <v>2026</v>
      </c>
      <c r="C223" s="7">
        <f>YEAR(Table13[[#This Row],[Date]])</f>
        <v>2025</v>
      </c>
      <c r="D223" s="92">
        <f>Table13[[#This Row],[Date]]-DAY(Table13[[#This Row],[Date]])+1</f>
        <v>45962</v>
      </c>
      <c r="E223" s="7">
        <f t="shared" si="15"/>
        <v>30</v>
      </c>
      <c r="F223" s="91" t="str">
        <f>IFERROR(_xlfn.XLOOKUP($A223,'Raw Data'!$G:$G,'Raw Data'!$AM:$AM),"")</f>
        <v/>
      </c>
      <c r="G223" s="90" t="str">
        <f>IFERROR(_xlfn.XLOOKUP($A223,'Raw Data'!$G:$G,'Raw Data'!$AB:$AB),"")</f>
        <v/>
      </c>
      <c r="H223" s="90"/>
      <c r="I223" s="90" t="str">
        <f>IFERROR(_xlfn.XLOOKUP($A223,'Raw Data'!$G:$G,'Raw Data'!$AC:$AC),"")</f>
        <v/>
      </c>
      <c r="J223" s="90"/>
      <c r="K223" s="90" t="str">
        <f>IFERROR(_xlfn.XLOOKUP($A223,'Raw Data'!$G:$G,'Raw Data'!AD:AD),"")</f>
        <v/>
      </c>
      <c r="L223" s="90" t="str">
        <f>IFERROR(_xlfn.XLOOKUP($A223,'Raw Data'!$G:$G,'Raw Data'!AE:AE),"")</f>
        <v/>
      </c>
      <c r="M223" s="90" t="str">
        <f>IFERROR(_xlfn.XLOOKUP($A223,'Raw Data'!$G:$G,'Raw Data'!AF:AF),"")</f>
        <v/>
      </c>
      <c r="N223" s="90" t="str">
        <f>IFERROR(_xlfn.XLOOKUP($A223,'Raw Data'!$G:$G,'Raw Data'!AG:AG),"")</f>
        <v/>
      </c>
      <c r="O223" s="85" t="str">
        <f>IFERROR(1-SUMIF('Plant BD'!$B:$B,$A223,'Plant BD'!$AM:$AM)/($AA223+SUMIF('Plant BD'!$B:$B,$A223,'Plant BD'!$AM:$AM)),"")</f>
        <v/>
      </c>
      <c r="P223" s="85"/>
      <c r="Q223" s="89"/>
      <c r="R223" s="85" t="str">
        <f>IFERROR(1-SUMIF('Grid BD'!$B:$B,$A223,'Grid BD'!$AE:$AE)/($AA223+SUMIF('Grid BD'!$B:$B,$A223,'Grid BD'!$AE:$AE)),"")</f>
        <v/>
      </c>
      <c r="T223" s="89"/>
      <c r="U223" s="88" t="str">
        <f t="shared" si="13"/>
        <v/>
      </c>
      <c r="V223" s="88"/>
      <c r="W223" s="84" t="str">
        <f t="shared" si="12"/>
        <v/>
      </c>
      <c r="X223" s="86" t="str">
        <f>IFERROR(_xlfn.XLOOKUP($A223,'Raw Data'!$G:$G,'Raw Data'!AI:AI),"")</f>
        <v/>
      </c>
      <c r="Y223" s="86" t="str">
        <f>IFERROR(_xlfn.XLOOKUP($A223,'Raw Data'!$G:$G,'Raw Data'!AJ:AJ),"")</f>
        <v/>
      </c>
      <c r="Z223" s="86" t="str">
        <f>IFERROR(_xlfn.XLOOKUP($A223,'Raw Data'!$G:$G,'Raw Data'!AK:AK),"")</f>
        <v/>
      </c>
      <c r="AA223" s="86" t="str">
        <f>IFERROR(_xlfn.XLOOKUP($A223,'Raw Data'!$G:$G,'Raw Data'!$AL:$AL)*(1+(_xlfn.XLOOKUP(Table13[[#This Row],[Month Year]],JMR!$A:$A,JMR!$J:$J))),"")</f>
        <v/>
      </c>
      <c r="AB223" s="86" t="str">
        <f>IFERROR(_xlfn.XLOOKUP($A223,'Raw Data'!$G:$G,'Raw Data'!$H:$H),"")</f>
        <v/>
      </c>
      <c r="AC223" s="87">
        <f>IFERROR(_xlfn.XLOOKUP($D223,'Modelling New'!$D:$D,'Modelling New'!$P:$P),"")</f>
        <v>5.5333333333333332</v>
      </c>
      <c r="AD223" s="86">
        <f>IFERROR(_xlfn.XLOOKUP($D223,'Modelling New'!$D:$D,'Modelling New'!$T:$T)*1000,"")</f>
        <v>27380.514727051846</v>
      </c>
      <c r="AE223" s="94">
        <f>IFERROR(_xlfn.XLOOKUP($D223,'Modelling New'!$D:$D,'Modelling New'!$O:$O),"")</f>
        <v>0.69702019862033959</v>
      </c>
      <c r="AF223" s="94">
        <f>IFERROR(_xlfn.XLOOKUP($D223,'Modelling New'!$D:$D,'Modelling New'!$W:$W),"")</f>
        <v>0.16070187912635606</v>
      </c>
      <c r="AG223" s="94">
        <f>IFERROR(_xlfn.XLOOKUP($D223,'Modelling New'!$D:$D,'Modelling New'!$AE:$AE),"")</f>
        <v>0.98040000000000005</v>
      </c>
      <c r="AH223" s="94">
        <f>IFERROR(_xlfn.XLOOKUP($D223,'Modelling New'!$D:$D,'Modelling New'!$AF:$AF),"")</f>
        <v>0.98</v>
      </c>
      <c r="AN223" s="85"/>
      <c r="AO223" s="84"/>
      <c r="AP223" s="84"/>
      <c r="AQ223" s="84"/>
      <c r="AR223" s="86">
        <f>'Basic Data'!$J$2</f>
        <v>7.0991999999999997</v>
      </c>
      <c r="AT223" s="7" t="str">
        <f>IFERROR(_xlfn.XLOOKUP(Table13[[#This Row],[Date]],'Raw Data'!$E:$E,'Raw Data'!$AN:$AN),"")</f>
        <v/>
      </c>
      <c r="AU223" s="7">
        <f>IFERROR(_xlfn.XLOOKUP(Table13[[#This Row],[Month Year]],'Modelling New'!$D:$D,'Modelling New'!$AO:$AO),"")</f>
        <v>7</v>
      </c>
      <c r="AV223" s="7">
        <f>IFERROR(SUMIF('Curtailment Records'!$C:$C,Table13[[#This Row],[Date]],'Curtailment Records'!$R:$R)/1000,"")</f>
        <v>0</v>
      </c>
    </row>
    <row r="224" spans="1:48" x14ac:dyDescent="0.25">
      <c r="A224" s="93">
        <f t="shared" si="14"/>
        <v>45967</v>
      </c>
      <c r="B224" s="86">
        <f>YEAR(Table13[[#This Row],[Date]])+IF(MONTH(Table13[[#This Row],[Date]])&gt;=4,1,0)</f>
        <v>2026</v>
      </c>
      <c r="C224" s="7">
        <f>YEAR(Table13[[#This Row],[Date]])</f>
        <v>2025</v>
      </c>
      <c r="D224" s="92">
        <f>Table13[[#This Row],[Date]]-DAY(Table13[[#This Row],[Date]])+1</f>
        <v>45962</v>
      </c>
      <c r="E224" s="7">
        <f t="shared" si="15"/>
        <v>30</v>
      </c>
      <c r="F224" s="91" t="str">
        <f>IFERROR(_xlfn.XLOOKUP($A224,'Raw Data'!$G:$G,'Raw Data'!$AM:$AM),"")</f>
        <v/>
      </c>
      <c r="G224" s="90" t="str">
        <f>IFERROR(_xlfn.XLOOKUP($A224,'Raw Data'!$G:$G,'Raw Data'!$AB:$AB),"")</f>
        <v/>
      </c>
      <c r="H224" s="90"/>
      <c r="I224" s="90" t="str">
        <f>IFERROR(_xlfn.XLOOKUP($A224,'Raw Data'!$G:$G,'Raw Data'!$AC:$AC),"")</f>
        <v/>
      </c>
      <c r="J224" s="90"/>
      <c r="K224" s="90" t="str">
        <f>IFERROR(_xlfn.XLOOKUP($A224,'Raw Data'!$G:$G,'Raw Data'!AD:AD),"")</f>
        <v/>
      </c>
      <c r="L224" s="90" t="str">
        <f>IFERROR(_xlfn.XLOOKUP($A224,'Raw Data'!$G:$G,'Raw Data'!AE:AE),"")</f>
        <v/>
      </c>
      <c r="M224" s="90" t="str">
        <f>IFERROR(_xlfn.XLOOKUP($A224,'Raw Data'!$G:$G,'Raw Data'!AF:AF),"")</f>
        <v/>
      </c>
      <c r="N224" s="90" t="str">
        <f>IFERROR(_xlfn.XLOOKUP($A224,'Raw Data'!$G:$G,'Raw Data'!AG:AG),"")</f>
        <v/>
      </c>
      <c r="O224" s="85" t="str">
        <f>IFERROR(1-SUMIF('Plant BD'!$B:$B,$A224,'Plant BD'!$AM:$AM)/($AA224+SUMIF('Plant BD'!$B:$B,$A224,'Plant BD'!$AM:$AM)),"")</f>
        <v/>
      </c>
      <c r="P224" s="85"/>
      <c r="Q224" s="89"/>
      <c r="R224" s="85" t="str">
        <f>IFERROR(1-SUMIF('Grid BD'!$B:$B,$A224,'Grid BD'!$AE:$AE)/($AA224+SUMIF('Grid BD'!$B:$B,$A224,'Grid BD'!$AE:$AE)),"")</f>
        <v/>
      </c>
      <c r="T224" s="89"/>
      <c r="U224" s="88" t="str">
        <f t="shared" si="13"/>
        <v/>
      </c>
      <c r="V224" s="88"/>
      <c r="W224" s="84" t="str">
        <f t="shared" si="12"/>
        <v/>
      </c>
      <c r="X224" s="86" t="str">
        <f>IFERROR(_xlfn.XLOOKUP($A224,'Raw Data'!$G:$G,'Raw Data'!AI:AI),"")</f>
        <v/>
      </c>
      <c r="Y224" s="86" t="str">
        <f>IFERROR(_xlfn.XLOOKUP($A224,'Raw Data'!$G:$G,'Raw Data'!AJ:AJ),"")</f>
        <v/>
      </c>
      <c r="Z224" s="86" t="str">
        <f>IFERROR(_xlfn.XLOOKUP($A224,'Raw Data'!$G:$G,'Raw Data'!AK:AK),"")</f>
        <v/>
      </c>
      <c r="AA224" s="86" t="str">
        <f>IFERROR(_xlfn.XLOOKUP($A224,'Raw Data'!$G:$G,'Raw Data'!$AL:$AL)*(1+(_xlfn.XLOOKUP(Table13[[#This Row],[Month Year]],JMR!$A:$A,JMR!$J:$J))),"")</f>
        <v/>
      </c>
      <c r="AB224" s="86" t="str">
        <f>IFERROR(_xlfn.XLOOKUP($A224,'Raw Data'!$G:$G,'Raw Data'!$H:$H),"")</f>
        <v/>
      </c>
      <c r="AC224" s="87">
        <f>IFERROR(_xlfn.XLOOKUP($D224,'Modelling New'!$D:$D,'Modelling New'!$P:$P),"")</f>
        <v>5.5333333333333332</v>
      </c>
      <c r="AD224" s="86">
        <f>IFERROR(_xlfn.XLOOKUP($D224,'Modelling New'!$D:$D,'Modelling New'!$T:$T)*1000,"")</f>
        <v>27380.514727051846</v>
      </c>
      <c r="AE224" s="94">
        <f>IFERROR(_xlfn.XLOOKUP($D224,'Modelling New'!$D:$D,'Modelling New'!$O:$O),"")</f>
        <v>0.69702019862033959</v>
      </c>
      <c r="AF224" s="94">
        <f>IFERROR(_xlfn.XLOOKUP($D224,'Modelling New'!$D:$D,'Modelling New'!$W:$W),"")</f>
        <v>0.16070187912635606</v>
      </c>
      <c r="AG224" s="94">
        <f>IFERROR(_xlfn.XLOOKUP($D224,'Modelling New'!$D:$D,'Modelling New'!$AE:$AE),"")</f>
        <v>0.98040000000000005</v>
      </c>
      <c r="AH224" s="94">
        <f>IFERROR(_xlfn.XLOOKUP($D224,'Modelling New'!$D:$D,'Modelling New'!$AF:$AF),"")</f>
        <v>0.98</v>
      </c>
      <c r="AN224" s="85"/>
      <c r="AO224" s="84"/>
      <c r="AP224" s="84"/>
      <c r="AQ224" s="84"/>
      <c r="AR224" s="86">
        <f>'Basic Data'!$J$2</f>
        <v>7.0991999999999997</v>
      </c>
      <c r="AT224" s="7" t="str">
        <f>IFERROR(_xlfn.XLOOKUP(Table13[[#This Row],[Date]],'Raw Data'!$E:$E,'Raw Data'!$AN:$AN),"")</f>
        <v/>
      </c>
      <c r="AU224" s="7">
        <f>IFERROR(_xlfn.XLOOKUP(Table13[[#This Row],[Month Year]],'Modelling New'!$D:$D,'Modelling New'!$AO:$AO),"")</f>
        <v>7</v>
      </c>
      <c r="AV224" s="7">
        <f>IFERROR(SUMIF('Curtailment Records'!$C:$C,Table13[[#This Row],[Date]],'Curtailment Records'!$R:$R)/1000,"")</f>
        <v>0</v>
      </c>
    </row>
    <row r="225" spans="1:48" x14ac:dyDescent="0.25">
      <c r="A225" s="93">
        <f t="shared" si="14"/>
        <v>45968</v>
      </c>
      <c r="B225" s="86">
        <f>YEAR(Table13[[#This Row],[Date]])+IF(MONTH(Table13[[#This Row],[Date]])&gt;=4,1,0)</f>
        <v>2026</v>
      </c>
      <c r="C225" s="7">
        <f>YEAR(Table13[[#This Row],[Date]])</f>
        <v>2025</v>
      </c>
      <c r="D225" s="92">
        <f>Table13[[#This Row],[Date]]-DAY(Table13[[#This Row],[Date]])+1</f>
        <v>45962</v>
      </c>
      <c r="E225" s="7">
        <f t="shared" si="15"/>
        <v>30</v>
      </c>
      <c r="F225" s="91" t="str">
        <f>IFERROR(_xlfn.XLOOKUP($A225,'Raw Data'!$G:$G,'Raw Data'!$AM:$AM),"")</f>
        <v/>
      </c>
      <c r="G225" s="90" t="str">
        <f>IFERROR(_xlfn.XLOOKUP($A225,'Raw Data'!$G:$G,'Raw Data'!$AB:$AB),"")</f>
        <v/>
      </c>
      <c r="H225" s="90"/>
      <c r="I225" s="90" t="str">
        <f>IFERROR(_xlfn.XLOOKUP($A225,'Raw Data'!$G:$G,'Raw Data'!$AC:$AC),"")</f>
        <v/>
      </c>
      <c r="J225" s="90"/>
      <c r="K225" s="90" t="str">
        <f>IFERROR(_xlfn.XLOOKUP($A225,'Raw Data'!$G:$G,'Raw Data'!AD:AD),"")</f>
        <v/>
      </c>
      <c r="L225" s="90" t="str">
        <f>IFERROR(_xlfn.XLOOKUP($A225,'Raw Data'!$G:$G,'Raw Data'!AE:AE),"")</f>
        <v/>
      </c>
      <c r="M225" s="90" t="str">
        <f>IFERROR(_xlfn.XLOOKUP($A225,'Raw Data'!$G:$G,'Raw Data'!AF:AF),"")</f>
        <v/>
      </c>
      <c r="N225" s="90" t="str">
        <f>IFERROR(_xlfn.XLOOKUP($A225,'Raw Data'!$G:$G,'Raw Data'!AG:AG),"")</f>
        <v/>
      </c>
      <c r="O225" s="85" t="str">
        <f>IFERROR(1-SUMIF('Plant BD'!$B:$B,$A225,'Plant BD'!$AM:$AM)/($AA225+SUMIF('Plant BD'!$B:$B,$A225,'Plant BD'!$AM:$AM)),"")</f>
        <v/>
      </c>
      <c r="P225" s="85"/>
      <c r="Q225" s="89"/>
      <c r="R225" s="85" t="str">
        <f>IFERROR(1-SUMIF('Grid BD'!$B:$B,$A225,'Grid BD'!$AE:$AE)/($AA225+SUMIF('Grid BD'!$B:$B,$A225,'Grid BD'!$AE:$AE)),"")</f>
        <v/>
      </c>
      <c r="T225" s="89"/>
      <c r="U225" s="88" t="str">
        <f t="shared" si="13"/>
        <v/>
      </c>
      <c r="V225" s="88"/>
      <c r="W225" s="84" t="str">
        <f t="shared" si="12"/>
        <v/>
      </c>
      <c r="X225" s="86" t="str">
        <f>IFERROR(_xlfn.XLOOKUP($A225,'Raw Data'!$G:$G,'Raw Data'!AI:AI),"")</f>
        <v/>
      </c>
      <c r="Y225" s="86" t="str">
        <f>IFERROR(_xlfn.XLOOKUP($A225,'Raw Data'!$G:$G,'Raw Data'!AJ:AJ),"")</f>
        <v/>
      </c>
      <c r="Z225" s="86" t="str">
        <f>IFERROR(_xlfn.XLOOKUP($A225,'Raw Data'!$G:$G,'Raw Data'!AK:AK),"")</f>
        <v/>
      </c>
      <c r="AA225" s="86" t="str">
        <f>IFERROR(_xlfn.XLOOKUP($A225,'Raw Data'!$G:$G,'Raw Data'!$AL:$AL)*(1+(_xlfn.XLOOKUP(Table13[[#This Row],[Month Year]],JMR!$A:$A,JMR!$J:$J))),"")</f>
        <v/>
      </c>
      <c r="AB225" s="86" t="str">
        <f>IFERROR(_xlfn.XLOOKUP($A225,'Raw Data'!$G:$G,'Raw Data'!$H:$H),"")</f>
        <v/>
      </c>
      <c r="AC225" s="87">
        <f>IFERROR(_xlfn.XLOOKUP($D225,'Modelling New'!$D:$D,'Modelling New'!$P:$P),"")</f>
        <v>5.5333333333333332</v>
      </c>
      <c r="AD225" s="86">
        <f>IFERROR(_xlfn.XLOOKUP($D225,'Modelling New'!$D:$D,'Modelling New'!$T:$T)*1000,"")</f>
        <v>27380.514727051846</v>
      </c>
      <c r="AE225" s="94">
        <f>IFERROR(_xlfn.XLOOKUP($D225,'Modelling New'!$D:$D,'Modelling New'!$O:$O),"")</f>
        <v>0.69702019862033959</v>
      </c>
      <c r="AF225" s="94">
        <f>IFERROR(_xlfn.XLOOKUP($D225,'Modelling New'!$D:$D,'Modelling New'!$W:$W),"")</f>
        <v>0.16070187912635606</v>
      </c>
      <c r="AG225" s="94">
        <f>IFERROR(_xlfn.XLOOKUP($D225,'Modelling New'!$D:$D,'Modelling New'!$AE:$AE),"")</f>
        <v>0.98040000000000005</v>
      </c>
      <c r="AH225" s="94">
        <f>IFERROR(_xlfn.XLOOKUP($D225,'Modelling New'!$D:$D,'Modelling New'!$AF:$AF),"")</f>
        <v>0.98</v>
      </c>
      <c r="AN225" s="85"/>
      <c r="AO225" s="84"/>
      <c r="AP225" s="84"/>
      <c r="AQ225" s="84"/>
      <c r="AR225" s="86">
        <f>'Basic Data'!$J$2</f>
        <v>7.0991999999999997</v>
      </c>
      <c r="AT225" s="7" t="str">
        <f>IFERROR(_xlfn.XLOOKUP(Table13[[#This Row],[Date]],'Raw Data'!$E:$E,'Raw Data'!$AN:$AN),"")</f>
        <v/>
      </c>
      <c r="AU225" s="7">
        <f>IFERROR(_xlfn.XLOOKUP(Table13[[#This Row],[Month Year]],'Modelling New'!$D:$D,'Modelling New'!$AO:$AO),"")</f>
        <v>7</v>
      </c>
      <c r="AV225" s="7">
        <f>IFERROR(SUMIF('Curtailment Records'!$C:$C,Table13[[#This Row],[Date]],'Curtailment Records'!$R:$R)/1000,"")</f>
        <v>0</v>
      </c>
    </row>
    <row r="226" spans="1:48" x14ac:dyDescent="0.25">
      <c r="A226" s="93">
        <f t="shared" si="14"/>
        <v>45969</v>
      </c>
      <c r="B226" s="86">
        <f>YEAR(Table13[[#This Row],[Date]])+IF(MONTH(Table13[[#This Row],[Date]])&gt;=4,1,0)</f>
        <v>2026</v>
      </c>
      <c r="C226" s="7">
        <f>YEAR(Table13[[#This Row],[Date]])</f>
        <v>2025</v>
      </c>
      <c r="D226" s="92">
        <f>Table13[[#This Row],[Date]]-DAY(Table13[[#This Row],[Date]])+1</f>
        <v>45962</v>
      </c>
      <c r="E226" s="7">
        <f t="shared" si="15"/>
        <v>30</v>
      </c>
      <c r="F226" s="91" t="str">
        <f>IFERROR(_xlfn.XLOOKUP($A226,'Raw Data'!$G:$G,'Raw Data'!$AM:$AM),"")</f>
        <v/>
      </c>
      <c r="G226" s="90" t="str">
        <f>IFERROR(_xlfn.XLOOKUP($A226,'Raw Data'!$G:$G,'Raw Data'!$AB:$AB),"")</f>
        <v/>
      </c>
      <c r="H226" s="90"/>
      <c r="I226" s="90" t="str">
        <f>IFERROR(_xlfn.XLOOKUP($A226,'Raw Data'!$G:$G,'Raw Data'!$AC:$AC),"")</f>
        <v/>
      </c>
      <c r="J226" s="90"/>
      <c r="K226" s="90" t="str">
        <f>IFERROR(_xlfn.XLOOKUP($A226,'Raw Data'!$G:$G,'Raw Data'!AD:AD),"")</f>
        <v/>
      </c>
      <c r="L226" s="90" t="str">
        <f>IFERROR(_xlfn.XLOOKUP($A226,'Raw Data'!$G:$G,'Raw Data'!AE:AE),"")</f>
        <v/>
      </c>
      <c r="M226" s="90" t="str">
        <f>IFERROR(_xlfn.XLOOKUP($A226,'Raw Data'!$G:$G,'Raw Data'!AF:AF),"")</f>
        <v/>
      </c>
      <c r="N226" s="90" t="str">
        <f>IFERROR(_xlfn.XLOOKUP($A226,'Raw Data'!$G:$G,'Raw Data'!AG:AG),"")</f>
        <v/>
      </c>
      <c r="O226" s="85" t="str">
        <f>IFERROR(1-SUMIF('Plant BD'!$B:$B,$A226,'Plant BD'!$AM:$AM)/($AA226+SUMIF('Plant BD'!$B:$B,$A226,'Plant BD'!$AM:$AM)),"")</f>
        <v/>
      </c>
      <c r="P226" s="85"/>
      <c r="Q226" s="89"/>
      <c r="R226" s="85" t="str">
        <f>IFERROR(1-SUMIF('Grid BD'!$B:$B,$A226,'Grid BD'!$AE:$AE)/($AA226+SUMIF('Grid BD'!$B:$B,$A226,'Grid BD'!$AE:$AE)),"")</f>
        <v/>
      </c>
      <c r="T226" s="89"/>
      <c r="U226" s="88" t="str">
        <f t="shared" si="13"/>
        <v/>
      </c>
      <c r="V226" s="88"/>
      <c r="W226" s="84" t="str">
        <f t="shared" si="12"/>
        <v/>
      </c>
      <c r="X226" s="86" t="str">
        <f>IFERROR(_xlfn.XLOOKUP($A226,'Raw Data'!$G:$G,'Raw Data'!AI:AI),"")</f>
        <v/>
      </c>
      <c r="Y226" s="86" t="str">
        <f>IFERROR(_xlfn.XLOOKUP($A226,'Raw Data'!$G:$G,'Raw Data'!AJ:AJ),"")</f>
        <v/>
      </c>
      <c r="Z226" s="86" t="str">
        <f>IFERROR(_xlfn.XLOOKUP($A226,'Raw Data'!$G:$G,'Raw Data'!AK:AK),"")</f>
        <v/>
      </c>
      <c r="AA226" s="86" t="str">
        <f>IFERROR(_xlfn.XLOOKUP($A226,'Raw Data'!$G:$G,'Raw Data'!$AL:$AL)*(1+(_xlfn.XLOOKUP(Table13[[#This Row],[Month Year]],JMR!$A:$A,JMR!$J:$J))),"")</f>
        <v/>
      </c>
      <c r="AB226" s="86" t="str">
        <f>IFERROR(_xlfn.XLOOKUP($A226,'Raw Data'!$G:$G,'Raw Data'!$H:$H),"")</f>
        <v/>
      </c>
      <c r="AC226" s="87">
        <f>IFERROR(_xlfn.XLOOKUP($D226,'Modelling New'!$D:$D,'Modelling New'!$P:$P),"")</f>
        <v>5.5333333333333332</v>
      </c>
      <c r="AD226" s="86">
        <f>IFERROR(_xlfn.XLOOKUP($D226,'Modelling New'!$D:$D,'Modelling New'!$T:$T)*1000,"")</f>
        <v>27380.514727051846</v>
      </c>
      <c r="AE226" s="94">
        <f>IFERROR(_xlfn.XLOOKUP($D226,'Modelling New'!$D:$D,'Modelling New'!$O:$O),"")</f>
        <v>0.69702019862033959</v>
      </c>
      <c r="AF226" s="94">
        <f>IFERROR(_xlfn.XLOOKUP($D226,'Modelling New'!$D:$D,'Modelling New'!$W:$W),"")</f>
        <v>0.16070187912635606</v>
      </c>
      <c r="AG226" s="94">
        <f>IFERROR(_xlfn.XLOOKUP($D226,'Modelling New'!$D:$D,'Modelling New'!$AE:$AE),"")</f>
        <v>0.98040000000000005</v>
      </c>
      <c r="AH226" s="94">
        <f>IFERROR(_xlfn.XLOOKUP($D226,'Modelling New'!$D:$D,'Modelling New'!$AF:$AF),"")</f>
        <v>0.98</v>
      </c>
      <c r="AN226" s="85"/>
      <c r="AO226" s="84"/>
      <c r="AP226" s="84"/>
      <c r="AQ226" s="84"/>
      <c r="AR226" s="86">
        <f>'Basic Data'!$J$2</f>
        <v>7.0991999999999997</v>
      </c>
      <c r="AT226" s="7" t="str">
        <f>IFERROR(_xlfn.XLOOKUP(Table13[[#This Row],[Date]],'Raw Data'!$E:$E,'Raw Data'!$AN:$AN),"")</f>
        <v/>
      </c>
      <c r="AU226" s="7">
        <f>IFERROR(_xlfn.XLOOKUP(Table13[[#This Row],[Month Year]],'Modelling New'!$D:$D,'Modelling New'!$AO:$AO),"")</f>
        <v>7</v>
      </c>
      <c r="AV226" s="7">
        <f>IFERROR(SUMIF('Curtailment Records'!$C:$C,Table13[[#This Row],[Date]],'Curtailment Records'!$R:$R)/1000,"")</f>
        <v>0</v>
      </c>
    </row>
    <row r="227" spans="1:48" x14ac:dyDescent="0.25">
      <c r="A227" s="93">
        <f t="shared" si="14"/>
        <v>45970</v>
      </c>
      <c r="B227" s="86">
        <f>YEAR(Table13[[#This Row],[Date]])+IF(MONTH(Table13[[#This Row],[Date]])&gt;=4,1,0)</f>
        <v>2026</v>
      </c>
      <c r="C227" s="7">
        <f>YEAR(Table13[[#This Row],[Date]])</f>
        <v>2025</v>
      </c>
      <c r="D227" s="92">
        <f>Table13[[#This Row],[Date]]-DAY(Table13[[#This Row],[Date]])+1</f>
        <v>45962</v>
      </c>
      <c r="E227" s="7">
        <f t="shared" si="15"/>
        <v>30</v>
      </c>
      <c r="F227" s="91" t="str">
        <f>IFERROR(_xlfn.XLOOKUP($A227,'Raw Data'!$G:$G,'Raw Data'!$AM:$AM),"")</f>
        <v/>
      </c>
      <c r="G227" s="90" t="str">
        <f>IFERROR(_xlfn.XLOOKUP($A227,'Raw Data'!$G:$G,'Raw Data'!$AB:$AB),"")</f>
        <v/>
      </c>
      <c r="H227" s="90"/>
      <c r="I227" s="90" t="str">
        <f>IFERROR(_xlfn.XLOOKUP($A227,'Raw Data'!$G:$G,'Raw Data'!$AC:$AC),"")</f>
        <v/>
      </c>
      <c r="J227" s="90"/>
      <c r="K227" s="90" t="str">
        <f>IFERROR(_xlfn.XLOOKUP($A227,'Raw Data'!$G:$G,'Raw Data'!AD:AD),"")</f>
        <v/>
      </c>
      <c r="L227" s="90" t="str">
        <f>IFERROR(_xlfn.XLOOKUP($A227,'Raw Data'!$G:$G,'Raw Data'!AE:AE),"")</f>
        <v/>
      </c>
      <c r="M227" s="90" t="str">
        <f>IFERROR(_xlfn.XLOOKUP($A227,'Raw Data'!$G:$G,'Raw Data'!AF:AF),"")</f>
        <v/>
      </c>
      <c r="N227" s="90" t="str">
        <f>IFERROR(_xlfn.XLOOKUP($A227,'Raw Data'!$G:$G,'Raw Data'!AG:AG),"")</f>
        <v/>
      </c>
      <c r="O227" s="85" t="str">
        <f>IFERROR(1-SUMIF('Plant BD'!$B:$B,$A227,'Plant BD'!$AM:$AM)/($AA227+SUMIF('Plant BD'!$B:$B,$A227,'Plant BD'!$AM:$AM)),"")</f>
        <v/>
      </c>
      <c r="P227" s="85"/>
      <c r="Q227" s="89"/>
      <c r="R227" s="85" t="str">
        <f>IFERROR(1-SUMIF('Grid BD'!$B:$B,$A227,'Grid BD'!$AE:$AE)/($AA227+SUMIF('Grid BD'!$B:$B,$A227,'Grid BD'!$AE:$AE)),"")</f>
        <v/>
      </c>
      <c r="T227" s="89"/>
      <c r="U227" s="88" t="str">
        <f t="shared" si="13"/>
        <v/>
      </c>
      <c r="V227" s="88"/>
      <c r="W227" s="84" t="str">
        <f t="shared" si="12"/>
        <v/>
      </c>
      <c r="X227" s="86" t="str">
        <f>IFERROR(_xlfn.XLOOKUP($A227,'Raw Data'!$G:$G,'Raw Data'!AI:AI),"")</f>
        <v/>
      </c>
      <c r="Y227" s="86" t="str">
        <f>IFERROR(_xlfn.XLOOKUP($A227,'Raw Data'!$G:$G,'Raw Data'!AJ:AJ),"")</f>
        <v/>
      </c>
      <c r="Z227" s="86" t="str">
        <f>IFERROR(_xlfn.XLOOKUP($A227,'Raw Data'!$G:$G,'Raw Data'!AK:AK),"")</f>
        <v/>
      </c>
      <c r="AA227" s="86" t="str">
        <f>IFERROR(_xlfn.XLOOKUP($A227,'Raw Data'!$G:$G,'Raw Data'!$AL:$AL)*(1+(_xlfn.XLOOKUP(Table13[[#This Row],[Month Year]],JMR!$A:$A,JMR!$J:$J))),"")</f>
        <v/>
      </c>
      <c r="AB227" s="86" t="str">
        <f>IFERROR(_xlfn.XLOOKUP($A227,'Raw Data'!$G:$G,'Raw Data'!$H:$H),"")</f>
        <v/>
      </c>
      <c r="AC227" s="87">
        <f>IFERROR(_xlfn.XLOOKUP($D227,'Modelling New'!$D:$D,'Modelling New'!$P:$P),"")</f>
        <v>5.5333333333333332</v>
      </c>
      <c r="AD227" s="86">
        <f>IFERROR(_xlfn.XLOOKUP($D227,'Modelling New'!$D:$D,'Modelling New'!$T:$T)*1000,"")</f>
        <v>27380.514727051846</v>
      </c>
      <c r="AE227" s="94">
        <f>IFERROR(_xlfn.XLOOKUP($D227,'Modelling New'!$D:$D,'Modelling New'!$O:$O),"")</f>
        <v>0.69702019862033959</v>
      </c>
      <c r="AF227" s="94">
        <f>IFERROR(_xlfn.XLOOKUP($D227,'Modelling New'!$D:$D,'Modelling New'!$W:$W),"")</f>
        <v>0.16070187912635606</v>
      </c>
      <c r="AG227" s="94">
        <f>IFERROR(_xlfn.XLOOKUP($D227,'Modelling New'!$D:$D,'Modelling New'!$AE:$AE),"")</f>
        <v>0.98040000000000005</v>
      </c>
      <c r="AH227" s="94">
        <f>IFERROR(_xlfn.XLOOKUP($D227,'Modelling New'!$D:$D,'Modelling New'!$AF:$AF),"")</f>
        <v>0.98</v>
      </c>
      <c r="AN227" s="85"/>
      <c r="AO227" s="84"/>
      <c r="AP227" s="84"/>
      <c r="AQ227" s="84"/>
      <c r="AR227" s="86">
        <f>'Basic Data'!$J$2</f>
        <v>7.0991999999999997</v>
      </c>
      <c r="AT227" s="7" t="str">
        <f>IFERROR(_xlfn.XLOOKUP(Table13[[#This Row],[Date]],'Raw Data'!$E:$E,'Raw Data'!$AN:$AN),"")</f>
        <v/>
      </c>
      <c r="AU227" s="7">
        <f>IFERROR(_xlfn.XLOOKUP(Table13[[#This Row],[Month Year]],'Modelling New'!$D:$D,'Modelling New'!$AO:$AO),"")</f>
        <v>7</v>
      </c>
      <c r="AV227" s="7">
        <f>IFERROR(SUMIF('Curtailment Records'!$C:$C,Table13[[#This Row],[Date]],'Curtailment Records'!$R:$R)/1000,"")</f>
        <v>0</v>
      </c>
    </row>
    <row r="228" spans="1:48" x14ac:dyDescent="0.25">
      <c r="A228" s="93">
        <f t="shared" si="14"/>
        <v>45971</v>
      </c>
      <c r="B228" s="86">
        <f>YEAR(Table13[[#This Row],[Date]])+IF(MONTH(Table13[[#This Row],[Date]])&gt;=4,1,0)</f>
        <v>2026</v>
      </c>
      <c r="C228" s="7">
        <f>YEAR(Table13[[#This Row],[Date]])</f>
        <v>2025</v>
      </c>
      <c r="D228" s="92">
        <f>Table13[[#This Row],[Date]]-DAY(Table13[[#This Row],[Date]])+1</f>
        <v>45962</v>
      </c>
      <c r="E228" s="7">
        <f t="shared" si="15"/>
        <v>30</v>
      </c>
      <c r="F228" s="91" t="str">
        <f>IFERROR(_xlfn.XLOOKUP($A228,'Raw Data'!$G:$G,'Raw Data'!$AM:$AM),"")</f>
        <v/>
      </c>
      <c r="G228" s="90" t="str">
        <f>IFERROR(_xlfn.XLOOKUP($A228,'Raw Data'!$G:$G,'Raw Data'!$AB:$AB),"")</f>
        <v/>
      </c>
      <c r="H228" s="90"/>
      <c r="I228" s="90" t="str">
        <f>IFERROR(_xlfn.XLOOKUP($A228,'Raw Data'!$G:$G,'Raw Data'!$AC:$AC),"")</f>
        <v/>
      </c>
      <c r="J228" s="90"/>
      <c r="K228" s="90" t="str">
        <f>IFERROR(_xlfn.XLOOKUP($A228,'Raw Data'!$G:$G,'Raw Data'!AD:AD),"")</f>
        <v/>
      </c>
      <c r="L228" s="90" t="str">
        <f>IFERROR(_xlfn.XLOOKUP($A228,'Raw Data'!$G:$G,'Raw Data'!AE:AE),"")</f>
        <v/>
      </c>
      <c r="M228" s="90" t="str">
        <f>IFERROR(_xlfn.XLOOKUP($A228,'Raw Data'!$G:$G,'Raw Data'!AF:AF),"")</f>
        <v/>
      </c>
      <c r="N228" s="90" t="str">
        <f>IFERROR(_xlfn.XLOOKUP($A228,'Raw Data'!$G:$G,'Raw Data'!AG:AG),"")</f>
        <v/>
      </c>
      <c r="O228" s="85" t="str">
        <f>IFERROR(1-SUMIF('Plant BD'!$B:$B,$A228,'Plant BD'!$AM:$AM)/($AA228+SUMIF('Plant BD'!$B:$B,$A228,'Plant BD'!$AM:$AM)),"")</f>
        <v/>
      </c>
      <c r="P228" s="85"/>
      <c r="Q228" s="89"/>
      <c r="R228" s="85" t="str">
        <f>IFERROR(1-SUMIF('Grid BD'!$B:$B,$A228,'Grid BD'!$AE:$AE)/($AA228+SUMIF('Grid BD'!$B:$B,$A228,'Grid BD'!$AE:$AE)),"")</f>
        <v/>
      </c>
      <c r="T228" s="89"/>
      <c r="U228" s="88" t="str">
        <f t="shared" si="13"/>
        <v/>
      </c>
      <c r="V228" s="88"/>
      <c r="W228" s="84" t="str">
        <f t="shared" si="12"/>
        <v/>
      </c>
      <c r="X228" s="86" t="str">
        <f>IFERROR(_xlfn.XLOOKUP($A228,'Raw Data'!$G:$G,'Raw Data'!AI:AI),"")</f>
        <v/>
      </c>
      <c r="Y228" s="86" t="str">
        <f>IFERROR(_xlfn.XLOOKUP($A228,'Raw Data'!$G:$G,'Raw Data'!AJ:AJ),"")</f>
        <v/>
      </c>
      <c r="Z228" s="86" t="str">
        <f>IFERROR(_xlfn.XLOOKUP($A228,'Raw Data'!$G:$G,'Raw Data'!AK:AK),"")</f>
        <v/>
      </c>
      <c r="AA228" s="86" t="str">
        <f>IFERROR(_xlfn.XLOOKUP($A228,'Raw Data'!$G:$G,'Raw Data'!$AL:$AL)*(1+(_xlfn.XLOOKUP(Table13[[#This Row],[Month Year]],JMR!$A:$A,JMR!$J:$J))),"")</f>
        <v/>
      </c>
      <c r="AB228" s="86" t="str">
        <f>IFERROR(_xlfn.XLOOKUP($A228,'Raw Data'!$G:$G,'Raw Data'!$H:$H),"")</f>
        <v/>
      </c>
      <c r="AC228" s="87">
        <f>IFERROR(_xlfn.XLOOKUP($D228,'Modelling New'!$D:$D,'Modelling New'!$P:$P),"")</f>
        <v>5.5333333333333332</v>
      </c>
      <c r="AD228" s="86">
        <f>IFERROR(_xlfn.XLOOKUP($D228,'Modelling New'!$D:$D,'Modelling New'!$T:$T)*1000,"")</f>
        <v>27380.514727051846</v>
      </c>
      <c r="AE228" s="94">
        <f>IFERROR(_xlfn.XLOOKUP($D228,'Modelling New'!$D:$D,'Modelling New'!$O:$O),"")</f>
        <v>0.69702019862033959</v>
      </c>
      <c r="AF228" s="94">
        <f>IFERROR(_xlfn.XLOOKUP($D228,'Modelling New'!$D:$D,'Modelling New'!$W:$W),"")</f>
        <v>0.16070187912635606</v>
      </c>
      <c r="AG228" s="94">
        <f>IFERROR(_xlfn.XLOOKUP($D228,'Modelling New'!$D:$D,'Modelling New'!$AE:$AE),"")</f>
        <v>0.98040000000000005</v>
      </c>
      <c r="AH228" s="94">
        <f>IFERROR(_xlfn.XLOOKUP($D228,'Modelling New'!$D:$D,'Modelling New'!$AF:$AF),"")</f>
        <v>0.98</v>
      </c>
      <c r="AN228" s="85"/>
      <c r="AO228" s="84"/>
      <c r="AP228" s="84"/>
      <c r="AQ228" s="84"/>
      <c r="AR228" s="86">
        <f>'Basic Data'!$J$2</f>
        <v>7.0991999999999997</v>
      </c>
      <c r="AT228" s="7" t="str">
        <f>IFERROR(_xlfn.XLOOKUP(Table13[[#This Row],[Date]],'Raw Data'!$E:$E,'Raw Data'!$AN:$AN),"")</f>
        <v/>
      </c>
      <c r="AU228" s="7">
        <f>IFERROR(_xlfn.XLOOKUP(Table13[[#This Row],[Month Year]],'Modelling New'!$D:$D,'Modelling New'!$AO:$AO),"")</f>
        <v>7</v>
      </c>
      <c r="AV228" s="7">
        <f>IFERROR(SUMIF('Curtailment Records'!$C:$C,Table13[[#This Row],[Date]],'Curtailment Records'!$R:$R)/1000,"")</f>
        <v>0</v>
      </c>
    </row>
    <row r="229" spans="1:48" x14ac:dyDescent="0.25">
      <c r="A229" s="93">
        <f t="shared" si="14"/>
        <v>45972</v>
      </c>
      <c r="B229" s="86">
        <f>YEAR(Table13[[#This Row],[Date]])+IF(MONTH(Table13[[#This Row],[Date]])&gt;=4,1,0)</f>
        <v>2026</v>
      </c>
      <c r="C229" s="7">
        <f>YEAR(Table13[[#This Row],[Date]])</f>
        <v>2025</v>
      </c>
      <c r="D229" s="92">
        <f>Table13[[#This Row],[Date]]-DAY(Table13[[#This Row],[Date]])+1</f>
        <v>45962</v>
      </c>
      <c r="E229" s="7">
        <f t="shared" si="15"/>
        <v>30</v>
      </c>
      <c r="F229" s="91" t="str">
        <f>IFERROR(_xlfn.XLOOKUP($A229,'Raw Data'!$G:$G,'Raw Data'!$AM:$AM),"")</f>
        <v/>
      </c>
      <c r="G229" s="90" t="str">
        <f>IFERROR(_xlfn.XLOOKUP($A229,'Raw Data'!$G:$G,'Raw Data'!$AB:$AB),"")</f>
        <v/>
      </c>
      <c r="H229" s="90"/>
      <c r="I229" s="90" t="str">
        <f>IFERROR(_xlfn.XLOOKUP($A229,'Raw Data'!$G:$G,'Raw Data'!$AC:$AC),"")</f>
        <v/>
      </c>
      <c r="J229" s="90"/>
      <c r="K229" s="90" t="str">
        <f>IFERROR(_xlfn.XLOOKUP($A229,'Raw Data'!$G:$G,'Raw Data'!AD:AD),"")</f>
        <v/>
      </c>
      <c r="L229" s="90" t="str">
        <f>IFERROR(_xlfn.XLOOKUP($A229,'Raw Data'!$G:$G,'Raw Data'!AE:AE),"")</f>
        <v/>
      </c>
      <c r="M229" s="90" t="str">
        <f>IFERROR(_xlfn.XLOOKUP($A229,'Raw Data'!$G:$G,'Raw Data'!AF:AF),"")</f>
        <v/>
      </c>
      <c r="N229" s="90" t="str">
        <f>IFERROR(_xlfn.XLOOKUP($A229,'Raw Data'!$G:$G,'Raw Data'!AG:AG),"")</f>
        <v/>
      </c>
      <c r="O229" s="85" t="str">
        <f>IFERROR(1-SUMIF('Plant BD'!$B:$B,$A229,'Plant BD'!$AM:$AM)/($AA229+SUMIF('Plant BD'!$B:$B,$A229,'Plant BD'!$AM:$AM)),"")</f>
        <v/>
      </c>
      <c r="P229" s="85"/>
      <c r="Q229" s="89"/>
      <c r="R229" s="85" t="str">
        <f>IFERROR(1-SUMIF('Grid BD'!$B:$B,$A229,'Grid BD'!$AE:$AE)/($AA229+SUMIF('Grid BD'!$B:$B,$A229,'Grid BD'!$AE:$AE)),"")</f>
        <v/>
      </c>
      <c r="T229" s="89"/>
      <c r="U229" s="88" t="str">
        <f t="shared" si="13"/>
        <v/>
      </c>
      <c r="V229" s="88"/>
      <c r="W229" s="84" t="str">
        <f t="shared" si="12"/>
        <v/>
      </c>
      <c r="X229" s="86" t="str">
        <f>IFERROR(_xlfn.XLOOKUP($A229,'Raw Data'!$G:$G,'Raw Data'!AI:AI),"")</f>
        <v/>
      </c>
      <c r="Y229" s="86" t="str">
        <f>IFERROR(_xlfn.XLOOKUP($A229,'Raw Data'!$G:$G,'Raw Data'!AJ:AJ),"")</f>
        <v/>
      </c>
      <c r="Z229" s="86" t="str">
        <f>IFERROR(_xlfn.XLOOKUP($A229,'Raw Data'!$G:$G,'Raw Data'!AK:AK),"")</f>
        <v/>
      </c>
      <c r="AA229" s="86" t="str">
        <f>IFERROR(_xlfn.XLOOKUP($A229,'Raw Data'!$G:$G,'Raw Data'!$AL:$AL)*(1+(_xlfn.XLOOKUP(Table13[[#This Row],[Month Year]],JMR!$A:$A,JMR!$J:$J))),"")</f>
        <v/>
      </c>
      <c r="AB229" s="86" t="str">
        <f>IFERROR(_xlfn.XLOOKUP($A229,'Raw Data'!$G:$G,'Raw Data'!$H:$H),"")</f>
        <v/>
      </c>
      <c r="AC229" s="87">
        <f>IFERROR(_xlfn.XLOOKUP($D229,'Modelling New'!$D:$D,'Modelling New'!$P:$P),"")</f>
        <v>5.5333333333333332</v>
      </c>
      <c r="AD229" s="86">
        <f>IFERROR(_xlfn.XLOOKUP($D229,'Modelling New'!$D:$D,'Modelling New'!$T:$T)*1000,"")</f>
        <v>27380.514727051846</v>
      </c>
      <c r="AE229" s="94">
        <f>IFERROR(_xlfn.XLOOKUP($D229,'Modelling New'!$D:$D,'Modelling New'!$O:$O),"")</f>
        <v>0.69702019862033959</v>
      </c>
      <c r="AF229" s="94">
        <f>IFERROR(_xlfn.XLOOKUP($D229,'Modelling New'!$D:$D,'Modelling New'!$W:$W),"")</f>
        <v>0.16070187912635606</v>
      </c>
      <c r="AG229" s="94">
        <f>IFERROR(_xlfn.XLOOKUP($D229,'Modelling New'!$D:$D,'Modelling New'!$AE:$AE),"")</f>
        <v>0.98040000000000005</v>
      </c>
      <c r="AH229" s="94">
        <f>IFERROR(_xlfn.XLOOKUP($D229,'Modelling New'!$D:$D,'Modelling New'!$AF:$AF),"")</f>
        <v>0.98</v>
      </c>
      <c r="AN229" s="85"/>
      <c r="AO229" s="84"/>
      <c r="AP229" s="84"/>
      <c r="AQ229" s="84"/>
      <c r="AR229" s="86">
        <f>'Basic Data'!$J$2</f>
        <v>7.0991999999999997</v>
      </c>
      <c r="AT229" s="7" t="str">
        <f>IFERROR(_xlfn.XLOOKUP(Table13[[#This Row],[Date]],'Raw Data'!$E:$E,'Raw Data'!$AN:$AN),"")</f>
        <v/>
      </c>
      <c r="AU229" s="7">
        <f>IFERROR(_xlfn.XLOOKUP(Table13[[#This Row],[Month Year]],'Modelling New'!$D:$D,'Modelling New'!$AO:$AO),"")</f>
        <v>7</v>
      </c>
      <c r="AV229" s="7">
        <f>IFERROR(SUMIF('Curtailment Records'!$C:$C,Table13[[#This Row],[Date]],'Curtailment Records'!$R:$R)/1000,"")</f>
        <v>0</v>
      </c>
    </row>
    <row r="230" spans="1:48" x14ac:dyDescent="0.25">
      <c r="A230" s="93">
        <f t="shared" si="14"/>
        <v>45973</v>
      </c>
      <c r="B230" s="86">
        <f>YEAR(Table13[[#This Row],[Date]])+IF(MONTH(Table13[[#This Row],[Date]])&gt;=4,1,0)</f>
        <v>2026</v>
      </c>
      <c r="C230" s="7">
        <f>YEAR(Table13[[#This Row],[Date]])</f>
        <v>2025</v>
      </c>
      <c r="D230" s="92">
        <f>Table13[[#This Row],[Date]]-DAY(Table13[[#This Row],[Date]])+1</f>
        <v>45962</v>
      </c>
      <c r="E230" s="7">
        <f t="shared" si="15"/>
        <v>30</v>
      </c>
      <c r="F230" s="91" t="str">
        <f>IFERROR(_xlfn.XLOOKUP($A230,'Raw Data'!$G:$G,'Raw Data'!$AM:$AM),"")</f>
        <v/>
      </c>
      <c r="G230" s="90" t="str">
        <f>IFERROR(_xlfn.XLOOKUP($A230,'Raw Data'!$G:$G,'Raw Data'!$AB:$AB),"")</f>
        <v/>
      </c>
      <c r="H230" s="90"/>
      <c r="I230" s="90" t="str">
        <f>IFERROR(_xlfn.XLOOKUP($A230,'Raw Data'!$G:$G,'Raw Data'!$AC:$AC),"")</f>
        <v/>
      </c>
      <c r="J230" s="90"/>
      <c r="K230" s="90" t="str">
        <f>IFERROR(_xlfn.XLOOKUP($A230,'Raw Data'!$G:$G,'Raw Data'!AD:AD),"")</f>
        <v/>
      </c>
      <c r="L230" s="90" t="str">
        <f>IFERROR(_xlfn.XLOOKUP($A230,'Raw Data'!$G:$G,'Raw Data'!AE:AE),"")</f>
        <v/>
      </c>
      <c r="M230" s="90" t="str">
        <f>IFERROR(_xlfn.XLOOKUP($A230,'Raw Data'!$G:$G,'Raw Data'!AF:AF),"")</f>
        <v/>
      </c>
      <c r="N230" s="90" t="str">
        <f>IFERROR(_xlfn.XLOOKUP($A230,'Raw Data'!$G:$G,'Raw Data'!AG:AG),"")</f>
        <v/>
      </c>
      <c r="O230" s="85" t="str">
        <f>IFERROR(1-SUMIF('Plant BD'!$B:$B,$A230,'Plant BD'!$AM:$AM)/($AA230+SUMIF('Plant BD'!$B:$B,$A230,'Plant BD'!$AM:$AM)),"")</f>
        <v/>
      </c>
      <c r="P230" s="85"/>
      <c r="Q230" s="89"/>
      <c r="R230" s="85" t="str">
        <f>IFERROR(1-SUMIF('Grid BD'!$B:$B,$A230,'Grid BD'!$AE:$AE)/($AA230+SUMIF('Grid BD'!$B:$B,$A230,'Grid BD'!$AE:$AE)),"")</f>
        <v/>
      </c>
      <c r="T230" s="89"/>
      <c r="U230" s="88" t="str">
        <f t="shared" si="13"/>
        <v/>
      </c>
      <c r="V230" s="88"/>
      <c r="W230" s="84" t="str">
        <f t="shared" si="12"/>
        <v/>
      </c>
      <c r="X230" s="86" t="str">
        <f>IFERROR(_xlfn.XLOOKUP($A230,'Raw Data'!$G:$G,'Raw Data'!AI:AI),"")</f>
        <v/>
      </c>
      <c r="Y230" s="86" t="str">
        <f>IFERROR(_xlfn.XLOOKUP($A230,'Raw Data'!$G:$G,'Raw Data'!AJ:AJ),"")</f>
        <v/>
      </c>
      <c r="Z230" s="86" t="str">
        <f>IFERROR(_xlfn.XLOOKUP($A230,'Raw Data'!$G:$G,'Raw Data'!AK:AK),"")</f>
        <v/>
      </c>
      <c r="AA230" s="86" t="str">
        <f>IFERROR(_xlfn.XLOOKUP($A230,'Raw Data'!$G:$G,'Raw Data'!$AL:$AL)*(1+(_xlfn.XLOOKUP(Table13[[#This Row],[Month Year]],JMR!$A:$A,JMR!$J:$J))),"")</f>
        <v/>
      </c>
      <c r="AB230" s="86" t="str">
        <f>IFERROR(_xlfn.XLOOKUP($A230,'Raw Data'!$G:$G,'Raw Data'!$H:$H),"")</f>
        <v/>
      </c>
      <c r="AC230" s="87">
        <f>IFERROR(_xlfn.XLOOKUP($D230,'Modelling New'!$D:$D,'Modelling New'!$P:$P),"")</f>
        <v>5.5333333333333332</v>
      </c>
      <c r="AD230" s="86">
        <f>IFERROR(_xlfn.XLOOKUP($D230,'Modelling New'!$D:$D,'Modelling New'!$T:$T)*1000,"")</f>
        <v>27380.514727051846</v>
      </c>
      <c r="AE230" s="94">
        <f>IFERROR(_xlfn.XLOOKUP($D230,'Modelling New'!$D:$D,'Modelling New'!$O:$O),"")</f>
        <v>0.69702019862033959</v>
      </c>
      <c r="AF230" s="94">
        <f>IFERROR(_xlfn.XLOOKUP($D230,'Modelling New'!$D:$D,'Modelling New'!$W:$W),"")</f>
        <v>0.16070187912635606</v>
      </c>
      <c r="AG230" s="94">
        <f>IFERROR(_xlfn.XLOOKUP($D230,'Modelling New'!$D:$D,'Modelling New'!$AE:$AE),"")</f>
        <v>0.98040000000000005</v>
      </c>
      <c r="AH230" s="94">
        <f>IFERROR(_xlfn.XLOOKUP($D230,'Modelling New'!$D:$D,'Modelling New'!$AF:$AF),"")</f>
        <v>0.98</v>
      </c>
      <c r="AN230" s="85"/>
      <c r="AO230" s="84"/>
      <c r="AP230" s="84"/>
      <c r="AQ230" s="84"/>
      <c r="AR230" s="86">
        <f>'Basic Data'!$J$2</f>
        <v>7.0991999999999997</v>
      </c>
      <c r="AT230" s="7" t="str">
        <f>IFERROR(_xlfn.XLOOKUP(Table13[[#This Row],[Date]],'Raw Data'!$E:$E,'Raw Data'!$AN:$AN),"")</f>
        <v/>
      </c>
      <c r="AU230" s="7">
        <f>IFERROR(_xlfn.XLOOKUP(Table13[[#This Row],[Month Year]],'Modelling New'!$D:$D,'Modelling New'!$AO:$AO),"")</f>
        <v>7</v>
      </c>
      <c r="AV230" s="7">
        <f>IFERROR(SUMIF('Curtailment Records'!$C:$C,Table13[[#This Row],[Date]],'Curtailment Records'!$R:$R)/1000,"")</f>
        <v>0</v>
      </c>
    </row>
    <row r="231" spans="1:48" x14ac:dyDescent="0.25">
      <c r="A231" s="93">
        <f t="shared" si="14"/>
        <v>45974</v>
      </c>
      <c r="B231" s="86">
        <f>YEAR(Table13[[#This Row],[Date]])+IF(MONTH(Table13[[#This Row],[Date]])&gt;=4,1,0)</f>
        <v>2026</v>
      </c>
      <c r="C231" s="7">
        <f>YEAR(Table13[[#This Row],[Date]])</f>
        <v>2025</v>
      </c>
      <c r="D231" s="92">
        <f>Table13[[#This Row],[Date]]-DAY(Table13[[#This Row],[Date]])+1</f>
        <v>45962</v>
      </c>
      <c r="E231" s="7">
        <f t="shared" si="15"/>
        <v>30</v>
      </c>
      <c r="F231" s="91" t="str">
        <f>IFERROR(_xlfn.XLOOKUP($A231,'Raw Data'!$G:$G,'Raw Data'!$AM:$AM),"")</f>
        <v/>
      </c>
      <c r="G231" s="90" t="str">
        <f>IFERROR(_xlfn.XLOOKUP($A231,'Raw Data'!$G:$G,'Raw Data'!$AB:$AB),"")</f>
        <v/>
      </c>
      <c r="H231" s="90"/>
      <c r="I231" s="90" t="str">
        <f>IFERROR(_xlfn.XLOOKUP($A231,'Raw Data'!$G:$G,'Raw Data'!$AC:$AC),"")</f>
        <v/>
      </c>
      <c r="J231" s="90"/>
      <c r="K231" s="90" t="str">
        <f>IFERROR(_xlfn.XLOOKUP($A231,'Raw Data'!$G:$G,'Raw Data'!AD:AD),"")</f>
        <v/>
      </c>
      <c r="L231" s="90" t="str">
        <f>IFERROR(_xlfn.XLOOKUP($A231,'Raw Data'!$G:$G,'Raw Data'!AE:AE),"")</f>
        <v/>
      </c>
      <c r="M231" s="90" t="str">
        <f>IFERROR(_xlfn.XLOOKUP($A231,'Raw Data'!$G:$G,'Raw Data'!AF:AF),"")</f>
        <v/>
      </c>
      <c r="N231" s="90" t="str">
        <f>IFERROR(_xlfn.XLOOKUP($A231,'Raw Data'!$G:$G,'Raw Data'!AG:AG),"")</f>
        <v/>
      </c>
      <c r="O231" s="85" t="str">
        <f>IFERROR(1-SUMIF('Plant BD'!$B:$B,$A231,'Plant BD'!$AM:$AM)/($AA231+SUMIF('Plant BD'!$B:$B,$A231,'Plant BD'!$AM:$AM)),"")</f>
        <v/>
      </c>
      <c r="P231" s="85"/>
      <c r="Q231" s="89"/>
      <c r="R231" s="85" t="str">
        <f>IFERROR(1-SUMIF('Grid BD'!$B:$B,$A231,'Grid BD'!$AE:$AE)/($AA231+SUMIF('Grid BD'!$B:$B,$A231,'Grid BD'!$AE:$AE)),"")</f>
        <v/>
      </c>
      <c r="T231" s="89"/>
      <c r="U231" s="88" t="str">
        <f t="shared" si="13"/>
        <v/>
      </c>
      <c r="V231" s="88"/>
      <c r="W231" s="84" t="str">
        <f t="shared" si="12"/>
        <v/>
      </c>
      <c r="X231" s="86" t="str">
        <f>IFERROR(_xlfn.XLOOKUP($A231,'Raw Data'!$G:$G,'Raw Data'!AI:AI),"")</f>
        <v/>
      </c>
      <c r="Y231" s="86" t="str">
        <f>IFERROR(_xlfn.XLOOKUP($A231,'Raw Data'!$G:$G,'Raw Data'!AJ:AJ),"")</f>
        <v/>
      </c>
      <c r="Z231" s="86" t="str">
        <f>IFERROR(_xlfn.XLOOKUP($A231,'Raw Data'!$G:$G,'Raw Data'!AK:AK),"")</f>
        <v/>
      </c>
      <c r="AA231" s="86" t="str">
        <f>IFERROR(_xlfn.XLOOKUP($A231,'Raw Data'!$G:$G,'Raw Data'!$AL:$AL)*(1+(_xlfn.XLOOKUP(Table13[[#This Row],[Month Year]],JMR!$A:$A,JMR!$J:$J))),"")</f>
        <v/>
      </c>
      <c r="AB231" s="86" t="str">
        <f>IFERROR(_xlfn.XLOOKUP($A231,'Raw Data'!$G:$G,'Raw Data'!$H:$H),"")</f>
        <v/>
      </c>
      <c r="AC231" s="87">
        <f>IFERROR(_xlfn.XLOOKUP($D231,'Modelling New'!$D:$D,'Modelling New'!$P:$P),"")</f>
        <v>5.5333333333333332</v>
      </c>
      <c r="AD231" s="86">
        <f>IFERROR(_xlfn.XLOOKUP($D231,'Modelling New'!$D:$D,'Modelling New'!$T:$T)*1000,"")</f>
        <v>27380.514727051846</v>
      </c>
      <c r="AE231" s="94">
        <f>IFERROR(_xlfn.XLOOKUP($D231,'Modelling New'!$D:$D,'Modelling New'!$O:$O),"")</f>
        <v>0.69702019862033959</v>
      </c>
      <c r="AF231" s="94">
        <f>IFERROR(_xlfn.XLOOKUP($D231,'Modelling New'!$D:$D,'Modelling New'!$W:$W),"")</f>
        <v>0.16070187912635606</v>
      </c>
      <c r="AG231" s="94">
        <f>IFERROR(_xlfn.XLOOKUP($D231,'Modelling New'!$D:$D,'Modelling New'!$AE:$AE),"")</f>
        <v>0.98040000000000005</v>
      </c>
      <c r="AH231" s="94">
        <f>IFERROR(_xlfn.XLOOKUP($D231,'Modelling New'!$D:$D,'Modelling New'!$AF:$AF),"")</f>
        <v>0.98</v>
      </c>
      <c r="AN231" s="85"/>
      <c r="AO231" s="84"/>
      <c r="AP231" s="84"/>
      <c r="AQ231" s="84"/>
      <c r="AR231" s="86">
        <f>'Basic Data'!$J$2</f>
        <v>7.0991999999999997</v>
      </c>
      <c r="AT231" s="7" t="str">
        <f>IFERROR(_xlfn.XLOOKUP(Table13[[#This Row],[Date]],'Raw Data'!$E:$E,'Raw Data'!$AN:$AN),"")</f>
        <v/>
      </c>
      <c r="AU231" s="7">
        <f>IFERROR(_xlfn.XLOOKUP(Table13[[#This Row],[Month Year]],'Modelling New'!$D:$D,'Modelling New'!$AO:$AO),"")</f>
        <v>7</v>
      </c>
      <c r="AV231" s="7">
        <f>IFERROR(SUMIF('Curtailment Records'!$C:$C,Table13[[#This Row],[Date]],'Curtailment Records'!$R:$R)/1000,"")</f>
        <v>0</v>
      </c>
    </row>
    <row r="232" spans="1:48" x14ac:dyDescent="0.25">
      <c r="A232" s="93">
        <f t="shared" si="14"/>
        <v>45975</v>
      </c>
      <c r="B232" s="86">
        <f>YEAR(Table13[[#This Row],[Date]])+IF(MONTH(Table13[[#This Row],[Date]])&gt;=4,1,0)</f>
        <v>2026</v>
      </c>
      <c r="C232" s="7">
        <f>YEAR(Table13[[#This Row],[Date]])</f>
        <v>2025</v>
      </c>
      <c r="D232" s="92">
        <f>Table13[[#This Row],[Date]]-DAY(Table13[[#This Row],[Date]])+1</f>
        <v>45962</v>
      </c>
      <c r="E232" s="7">
        <f t="shared" si="15"/>
        <v>30</v>
      </c>
      <c r="F232" s="91" t="str">
        <f>IFERROR(_xlfn.XLOOKUP($A232,'Raw Data'!$G:$G,'Raw Data'!$AM:$AM),"")</f>
        <v/>
      </c>
      <c r="G232" s="90" t="str">
        <f>IFERROR(_xlfn.XLOOKUP($A232,'Raw Data'!$G:$G,'Raw Data'!$AB:$AB),"")</f>
        <v/>
      </c>
      <c r="H232" s="90"/>
      <c r="I232" s="90" t="str">
        <f>IFERROR(_xlfn.XLOOKUP($A232,'Raw Data'!$G:$G,'Raw Data'!$AC:$AC),"")</f>
        <v/>
      </c>
      <c r="J232" s="90"/>
      <c r="K232" s="90" t="str">
        <f>IFERROR(_xlfn.XLOOKUP($A232,'Raw Data'!$G:$G,'Raw Data'!AD:AD),"")</f>
        <v/>
      </c>
      <c r="L232" s="90" t="str">
        <f>IFERROR(_xlfn.XLOOKUP($A232,'Raw Data'!$G:$G,'Raw Data'!AE:AE),"")</f>
        <v/>
      </c>
      <c r="M232" s="90" t="str">
        <f>IFERROR(_xlfn.XLOOKUP($A232,'Raw Data'!$G:$G,'Raw Data'!AF:AF),"")</f>
        <v/>
      </c>
      <c r="N232" s="90" t="str">
        <f>IFERROR(_xlfn.XLOOKUP($A232,'Raw Data'!$G:$G,'Raw Data'!AG:AG),"")</f>
        <v/>
      </c>
      <c r="O232" s="85" t="str">
        <f>IFERROR(1-SUMIF('Plant BD'!$B:$B,$A232,'Plant BD'!$AM:$AM)/($AA232+SUMIF('Plant BD'!$B:$B,$A232,'Plant BD'!$AM:$AM)),"")</f>
        <v/>
      </c>
      <c r="P232" s="85"/>
      <c r="Q232" s="89"/>
      <c r="R232" s="85" t="str">
        <f>IFERROR(1-SUMIF('Grid BD'!$B:$B,$A232,'Grid BD'!$AE:$AE)/($AA232+SUMIF('Grid BD'!$B:$B,$A232,'Grid BD'!$AE:$AE)),"")</f>
        <v/>
      </c>
      <c r="T232" s="89"/>
      <c r="U232" s="88" t="str">
        <f t="shared" si="13"/>
        <v/>
      </c>
      <c r="V232" s="88"/>
      <c r="W232" s="84" t="str">
        <f t="shared" si="12"/>
        <v/>
      </c>
      <c r="X232" s="86" t="str">
        <f>IFERROR(_xlfn.XLOOKUP($A232,'Raw Data'!$G:$G,'Raw Data'!AI:AI),"")</f>
        <v/>
      </c>
      <c r="Y232" s="86" t="str">
        <f>IFERROR(_xlfn.XLOOKUP($A232,'Raw Data'!$G:$G,'Raw Data'!AJ:AJ),"")</f>
        <v/>
      </c>
      <c r="Z232" s="86" t="str">
        <f>IFERROR(_xlfn.XLOOKUP($A232,'Raw Data'!$G:$G,'Raw Data'!AK:AK),"")</f>
        <v/>
      </c>
      <c r="AA232" s="86" t="str">
        <f>IFERROR(_xlfn.XLOOKUP($A232,'Raw Data'!$G:$G,'Raw Data'!$AL:$AL)*(1+(_xlfn.XLOOKUP(Table13[[#This Row],[Month Year]],JMR!$A:$A,JMR!$J:$J))),"")</f>
        <v/>
      </c>
      <c r="AB232" s="86" t="str">
        <f>IFERROR(_xlfn.XLOOKUP($A232,'Raw Data'!$G:$G,'Raw Data'!$H:$H),"")</f>
        <v/>
      </c>
      <c r="AC232" s="87">
        <f>IFERROR(_xlfn.XLOOKUP($D232,'Modelling New'!$D:$D,'Modelling New'!$P:$P),"")</f>
        <v>5.5333333333333332</v>
      </c>
      <c r="AD232" s="86">
        <f>IFERROR(_xlfn.XLOOKUP($D232,'Modelling New'!$D:$D,'Modelling New'!$T:$T)*1000,"")</f>
        <v>27380.514727051846</v>
      </c>
      <c r="AE232" s="94">
        <f>IFERROR(_xlfn.XLOOKUP($D232,'Modelling New'!$D:$D,'Modelling New'!$O:$O),"")</f>
        <v>0.69702019862033959</v>
      </c>
      <c r="AF232" s="94">
        <f>IFERROR(_xlfn.XLOOKUP($D232,'Modelling New'!$D:$D,'Modelling New'!$W:$W),"")</f>
        <v>0.16070187912635606</v>
      </c>
      <c r="AG232" s="94">
        <f>IFERROR(_xlfn.XLOOKUP($D232,'Modelling New'!$D:$D,'Modelling New'!$AE:$AE),"")</f>
        <v>0.98040000000000005</v>
      </c>
      <c r="AH232" s="94">
        <f>IFERROR(_xlfn.XLOOKUP($D232,'Modelling New'!$D:$D,'Modelling New'!$AF:$AF),"")</f>
        <v>0.98</v>
      </c>
      <c r="AN232" s="85"/>
      <c r="AO232" s="84"/>
      <c r="AP232" s="84"/>
      <c r="AQ232" s="84"/>
      <c r="AR232" s="86">
        <f>'Basic Data'!$J$2</f>
        <v>7.0991999999999997</v>
      </c>
      <c r="AT232" s="7" t="str">
        <f>IFERROR(_xlfn.XLOOKUP(Table13[[#This Row],[Date]],'Raw Data'!$E:$E,'Raw Data'!$AN:$AN),"")</f>
        <v/>
      </c>
      <c r="AU232" s="7">
        <f>IFERROR(_xlfn.XLOOKUP(Table13[[#This Row],[Month Year]],'Modelling New'!$D:$D,'Modelling New'!$AO:$AO),"")</f>
        <v>7</v>
      </c>
      <c r="AV232" s="7">
        <f>IFERROR(SUMIF('Curtailment Records'!$C:$C,Table13[[#This Row],[Date]],'Curtailment Records'!$R:$R)/1000,"")</f>
        <v>0</v>
      </c>
    </row>
    <row r="233" spans="1:48" x14ac:dyDescent="0.25">
      <c r="A233" s="93">
        <f t="shared" si="14"/>
        <v>45976</v>
      </c>
      <c r="B233" s="86">
        <f>YEAR(Table13[[#This Row],[Date]])+IF(MONTH(Table13[[#This Row],[Date]])&gt;=4,1,0)</f>
        <v>2026</v>
      </c>
      <c r="C233" s="7">
        <f>YEAR(Table13[[#This Row],[Date]])</f>
        <v>2025</v>
      </c>
      <c r="D233" s="92">
        <f>Table13[[#This Row],[Date]]-DAY(Table13[[#This Row],[Date]])+1</f>
        <v>45962</v>
      </c>
      <c r="E233" s="7">
        <f t="shared" si="15"/>
        <v>30</v>
      </c>
      <c r="F233" s="91" t="str">
        <f>IFERROR(_xlfn.XLOOKUP($A233,'Raw Data'!$G:$G,'Raw Data'!$AM:$AM),"")</f>
        <v/>
      </c>
      <c r="G233" s="90" t="str">
        <f>IFERROR(_xlfn.XLOOKUP($A233,'Raw Data'!$G:$G,'Raw Data'!$AB:$AB),"")</f>
        <v/>
      </c>
      <c r="H233" s="90"/>
      <c r="I233" s="90" t="str">
        <f>IFERROR(_xlfn.XLOOKUP($A233,'Raw Data'!$G:$G,'Raw Data'!$AC:$AC),"")</f>
        <v/>
      </c>
      <c r="J233" s="90"/>
      <c r="K233" s="90" t="str">
        <f>IFERROR(_xlfn.XLOOKUP($A233,'Raw Data'!$G:$G,'Raw Data'!AD:AD),"")</f>
        <v/>
      </c>
      <c r="L233" s="90" t="str">
        <f>IFERROR(_xlfn.XLOOKUP($A233,'Raw Data'!$G:$G,'Raw Data'!AE:AE),"")</f>
        <v/>
      </c>
      <c r="M233" s="90" t="str">
        <f>IFERROR(_xlfn.XLOOKUP($A233,'Raw Data'!$G:$G,'Raw Data'!AF:AF),"")</f>
        <v/>
      </c>
      <c r="N233" s="90" t="str">
        <f>IFERROR(_xlfn.XLOOKUP($A233,'Raw Data'!$G:$G,'Raw Data'!AG:AG),"")</f>
        <v/>
      </c>
      <c r="O233" s="85" t="str">
        <f>IFERROR(1-SUMIF('Plant BD'!$B:$B,$A233,'Plant BD'!$AM:$AM)/($AA233+SUMIF('Plant BD'!$B:$B,$A233,'Plant BD'!$AM:$AM)),"")</f>
        <v/>
      </c>
      <c r="P233" s="85"/>
      <c r="Q233" s="89"/>
      <c r="R233" s="85" t="str">
        <f>IFERROR(1-SUMIF('Grid BD'!$B:$B,$A233,'Grid BD'!$AE:$AE)/($AA233+SUMIF('Grid BD'!$B:$B,$A233,'Grid BD'!$AE:$AE)),"")</f>
        <v/>
      </c>
      <c r="T233" s="89"/>
      <c r="U233" s="88" t="str">
        <f t="shared" si="13"/>
        <v/>
      </c>
      <c r="V233" s="88"/>
      <c r="W233" s="84" t="str">
        <f t="shared" si="12"/>
        <v/>
      </c>
      <c r="X233" s="86" t="str">
        <f>IFERROR(_xlfn.XLOOKUP($A233,'Raw Data'!$G:$G,'Raw Data'!AI:AI),"")</f>
        <v/>
      </c>
      <c r="Y233" s="86" t="str">
        <f>IFERROR(_xlfn.XLOOKUP($A233,'Raw Data'!$G:$G,'Raw Data'!AJ:AJ),"")</f>
        <v/>
      </c>
      <c r="Z233" s="86" t="str">
        <f>IFERROR(_xlfn.XLOOKUP($A233,'Raw Data'!$G:$G,'Raw Data'!AK:AK),"")</f>
        <v/>
      </c>
      <c r="AA233" s="86" t="str">
        <f>IFERROR(_xlfn.XLOOKUP($A233,'Raw Data'!$G:$G,'Raw Data'!$AL:$AL)*(1+(_xlfn.XLOOKUP(Table13[[#This Row],[Month Year]],JMR!$A:$A,JMR!$J:$J))),"")</f>
        <v/>
      </c>
      <c r="AB233" s="86" t="str">
        <f>IFERROR(_xlfn.XLOOKUP($A233,'Raw Data'!$G:$G,'Raw Data'!$H:$H),"")</f>
        <v/>
      </c>
      <c r="AC233" s="87">
        <f>IFERROR(_xlfn.XLOOKUP($D233,'Modelling New'!$D:$D,'Modelling New'!$P:$P),"")</f>
        <v>5.5333333333333332</v>
      </c>
      <c r="AD233" s="86">
        <f>IFERROR(_xlfn.XLOOKUP($D233,'Modelling New'!$D:$D,'Modelling New'!$T:$T)*1000,"")</f>
        <v>27380.514727051846</v>
      </c>
      <c r="AE233" s="94">
        <f>IFERROR(_xlfn.XLOOKUP($D233,'Modelling New'!$D:$D,'Modelling New'!$O:$O),"")</f>
        <v>0.69702019862033959</v>
      </c>
      <c r="AF233" s="94">
        <f>IFERROR(_xlfn.XLOOKUP($D233,'Modelling New'!$D:$D,'Modelling New'!$W:$W),"")</f>
        <v>0.16070187912635606</v>
      </c>
      <c r="AG233" s="94">
        <f>IFERROR(_xlfn.XLOOKUP($D233,'Modelling New'!$D:$D,'Modelling New'!$AE:$AE),"")</f>
        <v>0.98040000000000005</v>
      </c>
      <c r="AH233" s="94">
        <f>IFERROR(_xlfn.XLOOKUP($D233,'Modelling New'!$D:$D,'Modelling New'!$AF:$AF),"")</f>
        <v>0.98</v>
      </c>
      <c r="AN233" s="85"/>
      <c r="AO233" s="84"/>
      <c r="AP233" s="84"/>
      <c r="AQ233" s="84"/>
      <c r="AR233" s="86">
        <f>'Basic Data'!$J$2</f>
        <v>7.0991999999999997</v>
      </c>
      <c r="AT233" s="7" t="str">
        <f>IFERROR(_xlfn.XLOOKUP(Table13[[#This Row],[Date]],'Raw Data'!$E:$E,'Raw Data'!$AN:$AN),"")</f>
        <v/>
      </c>
      <c r="AU233" s="7">
        <f>IFERROR(_xlfn.XLOOKUP(Table13[[#This Row],[Month Year]],'Modelling New'!$D:$D,'Modelling New'!$AO:$AO),"")</f>
        <v>7</v>
      </c>
      <c r="AV233" s="7">
        <f>IFERROR(SUMIF('Curtailment Records'!$C:$C,Table13[[#This Row],[Date]],'Curtailment Records'!$R:$R)/1000,"")</f>
        <v>0</v>
      </c>
    </row>
    <row r="234" spans="1:48" x14ac:dyDescent="0.25">
      <c r="A234" s="93">
        <f t="shared" si="14"/>
        <v>45977</v>
      </c>
      <c r="B234" s="86">
        <f>YEAR(Table13[[#This Row],[Date]])+IF(MONTH(Table13[[#This Row],[Date]])&gt;=4,1,0)</f>
        <v>2026</v>
      </c>
      <c r="C234" s="7">
        <f>YEAR(Table13[[#This Row],[Date]])</f>
        <v>2025</v>
      </c>
      <c r="D234" s="92">
        <f>Table13[[#This Row],[Date]]-DAY(Table13[[#This Row],[Date]])+1</f>
        <v>45962</v>
      </c>
      <c r="E234" s="7">
        <f t="shared" si="15"/>
        <v>30</v>
      </c>
      <c r="F234" s="91" t="str">
        <f>IFERROR(_xlfn.XLOOKUP($A234,'Raw Data'!$G:$G,'Raw Data'!$AM:$AM),"")</f>
        <v/>
      </c>
      <c r="G234" s="90" t="str">
        <f>IFERROR(_xlfn.XLOOKUP($A234,'Raw Data'!$G:$G,'Raw Data'!$AB:$AB),"")</f>
        <v/>
      </c>
      <c r="H234" s="90"/>
      <c r="I234" s="90" t="str">
        <f>IFERROR(_xlfn.XLOOKUP($A234,'Raw Data'!$G:$G,'Raw Data'!$AC:$AC),"")</f>
        <v/>
      </c>
      <c r="J234" s="90"/>
      <c r="K234" s="90" t="str">
        <f>IFERROR(_xlfn.XLOOKUP($A234,'Raw Data'!$G:$G,'Raw Data'!AD:AD),"")</f>
        <v/>
      </c>
      <c r="L234" s="90" t="str">
        <f>IFERROR(_xlfn.XLOOKUP($A234,'Raw Data'!$G:$G,'Raw Data'!AE:AE),"")</f>
        <v/>
      </c>
      <c r="M234" s="90" t="str">
        <f>IFERROR(_xlfn.XLOOKUP($A234,'Raw Data'!$G:$G,'Raw Data'!AF:AF),"")</f>
        <v/>
      </c>
      <c r="N234" s="90" t="str">
        <f>IFERROR(_xlfn.XLOOKUP($A234,'Raw Data'!$G:$G,'Raw Data'!AG:AG),"")</f>
        <v/>
      </c>
      <c r="O234" s="85" t="str">
        <f>IFERROR(1-SUMIF('Plant BD'!$B:$B,$A234,'Plant BD'!$AM:$AM)/($AA234+SUMIF('Plant BD'!$B:$B,$A234,'Plant BD'!$AM:$AM)),"")</f>
        <v/>
      </c>
      <c r="P234" s="85"/>
      <c r="Q234" s="89"/>
      <c r="R234" s="85" t="str">
        <f>IFERROR(1-SUMIF('Grid BD'!$B:$B,$A234,'Grid BD'!$AE:$AE)/($AA234+SUMIF('Grid BD'!$B:$B,$A234,'Grid BD'!$AE:$AE)),"")</f>
        <v/>
      </c>
      <c r="T234" s="89"/>
      <c r="U234" s="88" t="str">
        <f t="shared" si="13"/>
        <v/>
      </c>
      <c r="V234" s="88"/>
      <c r="W234" s="84" t="str">
        <f t="shared" si="12"/>
        <v/>
      </c>
      <c r="X234" s="86" t="str">
        <f>IFERROR(_xlfn.XLOOKUP($A234,'Raw Data'!$G:$G,'Raw Data'!AI:AI),"")</f>
        <v/>
      </c>
      <c r="Y234" s="86" t="str">
        <f>IFERROR(_xlfn.XLOOKUP($A234,'Raw Data'!$G:$G,'Raw Data'!AJ:AJ),"")</f>
        <v/>
      </c>
      <c r="Z234" s="86" t="str">
        <f>IFERROR(_xlfn.XLOOKUP($A234,'Raw Data'!$G:$G,'Raw Data'!AK:AK),"")</f>
        <v/>
      </c>
      <c r="AA234" s="86" t="str">
        <f>IFERROR(_xlfn.XLOOKUP($A234,'Raw Data'!$G:$G,'Raw Data'!$AL:$AL)*(1+(_xlfn.XLOOKUP(Table13[[#This Row],[Month Year]],JMR!$A:$A,JMR!$J:$J))),"")</f>
        <v/>
      </c>
      <c r="AB234" s="86" t="str">
        <f>IFERROR(_xlfn.XLOOKUP($A234,'Raw Data'!$G:$G,'Raw Data'!$H:$H),"")</f>
        <v/>
      </c>
      <c r="AC234" s="87">
        <f>IFERROR(_xlfn.XLOOKUP($D234,'Modelling New'!$D:$D,'Modelling New'!$P:$P),"")</f>
        <v>5.5333333333333332</v>
      </c>
      <c r="AD234" s="86">
        <f>IFERROR(_xlfn.XLOOKUP($D234,'Modelling New'!$D:$D,'Modelling New'!$T:$T)*1000,"")</f>
        <v>27380.514727051846</v>
      </c>
      <c r="AE234" s="94">
        <f>IFERROR(_xlfn.XLOOKUP($D234,'Modelling New'!$D:$D,'Modelling New'!$O:$O),"")</f>
        <v>0.69702019862033959</v>
      </c>
      <c r="AF234" s="94">
        <f>IFERROR(_xlfn.XLOOKUP($D234,'Modelling New'!$D:$D,'Modelling New'!$W:$W),"")</f>
        <v>0.16070187912635606</v>
      </c>
      <c r="AG234" s="94">
        <f>IFERROR(_xlfn.XLOOKUP($D234,'Modelling New'!$D:$D,'Modelling New'!$AE:$AE),"")</f>
        <v>0.98040000000000005</v>
      </c>
      <c r="AH234" s="94">
        <f>IFERROR(_xlfn.XLOOKUP($D234,'Modelling New'!$D:$D,'Modelling New'!$AF:$AF),"")</f>
        <v>0.98</v>
      </c>
      <c r="AN234" s="85"/>
      <c r="AO234" s="84"/>
      <c r="AP234" s="84"/>
      <c r="AQ234" s="84"/>
      <c r="AR234" s="86">
        <f>'Basic Data'!$J$2</f>
        <v>7.0991999999999997</v>
      </c>
      <c r="AT234" s="7" t="str">
        <f>IFERROR(_xlfn.XLOOKUP(Table13[[#This Row],[Date]],'Raw Data'!$E:$E,'Raw Data'!$AN:$AN),"")</f>
        <v/>
      </c>
      <c r="AU234" s="7">
        <f>IFERROR(_xlfn.XLOOKUP(Table13[[#This Row],[Month Year]],'Modelling New'!$D:$D,'Modelling New'!$AO:$AO),"")</f>
        <v>7</v>
      </c>
      <c r="AV234" s="7">
        <f>IFERROR(SUMIF('Curtailment Records'!$C:$C,Table13[[#This Row],[Date]],'Curtailment Records'!$R:$R)/1000,"")</f>
        <v>0</v>
      </c>
    </row>
    <row r="235" spans="1:48" x14ac:dyDescent="0.25">
      <c r="A235" s="93">
        <f t="shared" si="14"/>
        <v>45978</v>
      </c>
      <c r="B235" s="86">
        <f>YEAR(Table13[[#This Row],[Date]])+IF(MONTH(Table13[[#This Row],[Date]])&gt;=4,1,0)</f>
        <v>2026</v>
      </c>
      <c r="C235" s="7">
        <f>YEAR(Table13[[#This Row],[Date]])</f>
        <v>2025</v>
      </c>
      <c r="D235" s="92">
        <f>Table13[[#This Row],[Date]]-DAY(Table13[[#This Row],[Date]])+1</f>
        <v>45962</v>
      </c>
      <c r="E235" s="7">
        <f t="shared" si="15"/>
        <v>30</v>
      </c>
      <c r="F235" s="91" t="str">
        <f>IFERROR(_xlfn.XLOOKUP($A235,'Raw Data'!$G:$G,'Raw Data'!$AM:$AM),"")</f>
        <v/>
      </c>
      <c r="G235" s="90" t="str">
        <f>IFERROR(_xlfn.XLOOKUP($A235,'Raw Data'!$G:$G,'Raw Data'!$AB:$AB),"")</f>
        <v/>
      </c>
      <c r="H235" s="90"/>
      <c r="I235" s="90" t="str">
        <f>IFERROR(_xlfn.XLOOKUP($A235,'Raw Data'!$G:$G,'Raw Data'!$AC:$AC),"")</f>
        <v/>
      </c>
      <c r="J235" s="90"/>
      <c r="K235" s="90" t="str">
        <f>IFERROR(_xlfn.XLOOKUP($A235,'Raw Data'!$G:$G,'Raw Data'!AD:AD),"")</f>
        <v/>
      </c>
      <c r="L235" s="90" t="str">
        <f>IFERROR(_xlfn.XLOOKUP($A235,'Raw Data'!$G:$G,'Raw Data'!AE:AE),"")</f>
        <v/>
      </c>
      <c r="M235" s="90" t="str">
        <f>IFERROR(_xlfn.XLOOKUP($A235,'Raw Data'!$G:$G,'Raw Data'!AF:AF),"")</f>
        <v/>
      </c>
      <c r="N235" s="90" t="str">
        <f>IFERROR(_xlfn.XLOOKUP($A235,'Raw Data'!$G:$G,'Raw Data'!AG:AG),"")</f>
        <v/>
      </c>
      <c r="O235" s="85" t="str">
        <f>IFERROR(1-SUMIF('Plant BD'!$B:$B,$A235,'Plant BD'!$AM:$AM)/($AA235+SUMIF('Plant BD'!$B:$B,$A235,'Plant BD'!$AM:$AM)),"")</f>
        <v/>
      </c>
      <c r="P235" s="85"/>
      <c r="Q235" s="89"/>
      <c r="R235" s="85" t="str">
        <f>IFERROR(1-SUMIF('Grid BD'!$B:$B,$A235,'Grid BD'!$AE:$AE)/($AA235+SUMIF('Grid BD'!$B:$B,$A235,'Grid BD'!$AE:$AE)),"")</f>
        <v/>
      </c>
      <c r="T235" s="89"/>
      <c r="U235" s="88" t="str">
        <f t="shared" si="13"/>
        <v/>
      </c>
      <c r="V235" s="88"/>
      <c r="W235" s="84" t="str">
        <f t="shared" si="12"/>
        <v/>
      </c>
      <c r="X235" s="86" t="str">
        <f>IFERROR(_xlfn.XLOOKUP($A235,'Raw Data'!$G:$G,'Raw Data'!AI:AI),"")</f>
        <v/>
      </c>
      <c r="Y235" s="86" t="str">
        <f>IFERROR(_xlfn.XLOOKUP($A235,'Raw Data'!$G:$G,'Raw Data'!AJ:AJ),"")</f>
        <v/>
      </c>
      <c r="Z235" s="86" t="str">
        <f>IFERROR(_xlfn.XLOOKUP($A235,'Raw Data'!$G:$G,'Raw Data'!AK:AK),"")</f>
        <v/>
      </c>
      <c r="AA235" s="86" t="str">
        <f>IFERROR(_xlfn.XLOOKUP($A235,'Raw Data'!$G:$G,'Raw Data'!$AL:$AL)*(1+(_xlfn.XLOOKUP(Table13[[#This Row],[Month Year]],JMR!$A:$A,JMR!$J:$J))),"")</f>
        <v/>
      </c>
      <c r="AB235" s="86" t="str">
        <f>IFERROR(_xlfn.XLOOKUP($A235,'Raw Data'!$G:$G,'Raw Data'!$H:$H),"")</f>
        <v/>
      </c>
      <c r="AC235" s="87">
        <f>IFERROR(_xlfn.XLOOKUP($D235,'Modelling New'!$D:$D,'Modelling New'!$P:$P),"")</f>
        <v>5.5333333333333332</v>
      </c>
      <c r="AD235" s="86">
        <f>IFERROR(_xlfn.XLOOKUP($D235,'Modelling New'!$D:$D,'Modelling New'!$T:$T)*1000,"")</f>
        <v>27380.514727051846</v>
      </c>
      <c r="AE235" s="94">
        <f>IFERROR(_xlfn.XLOOKUP($D235,'Modelling New'!$D:$D,'Modelling New'!$O:$O),"")</f>
        <v>0.69702019862033959</v>
      </c>
      <c r="AF235" s="94">
        <f>IFERROR(_xlfn.XLOOKUP($D235,'Modelling New'!$D:$D,'Modelling New'!$W:$W),"")</f>
        <v>0.16070187912635606</v>
      </c>
      <c r="AG235" s="94">
        <f>IFERROR(_xlfn.XLOOKUP($D235,'Modelling New'!$D:$D,'Modelling New'!$AE:$AE),"")</f>
        <v>0.98040000000000005</v>
      </c>
      <c r="AH235" s="94">
        <f>IFERROR(_xlfn.XLOOKUP($D235,'Modelling New'!$D:$D,'Modelling New'!$AF:$AF),"")</f>
        <v>0.98</v>
      </c>
      <c r="AN235" s="85"/>
      <c r="AO235" s="84"/>
      <c r="AP235" s="84"/>
      <c r="AQ235" s="84"/>
      <c r="AR235" s="86">
        <f>'Basic Data'!$J$2</f>
        <v>7.0991999999999997</v>
      </c>
      <c r="AT235" s="7" t="str">
        <f>IFERROR(_xlfn.XLOOKUP(Table13[[#This Row],[Date]],'Raw Data'!$E:$E,'Raw Data'!$AN:$AN),"")</f>
        <v/>
      </c>
      <c r="AU235" s="7">
        <f>IFERROR(_xlfn.XLOOKUP(Table13[[#This Row],[Month Year]],'Modelling New'!$D:$D,'Modelling New'!$AO:$AO),"")</f>
        <v>7</v>
      </c>
      <c r="AV235" s="7">
        <f>IFERROR(SUMIF('Curtailment Records'!$C:$C,Table13[[#This Row],[Date]],'Curtailment Records'!$R:$R)/1000,"")</f>
        <v>0</v>
      </c>
    </row>
    <row r="236" spans="1:48" x14ac:dyDescent="0.25">
      <c r="A236" s="93">
        <f t="shared" si="14"/>
        <v>45979</v>
      </c>
      <c r="B236" s="86">
        <f>YEAR(Table13[[#This Row],[Date]])+IF(MONTH(Table13[[#This Row],[Date]])&gt;=4,1,0)</f>
        <v>2026</v>
      </c>
      <c r="C236" s="7">
        <f>YEAR(Table13[[#This Row],[Date]])</f>
        <v>2025</v>
      </c>
      <c r="D236" s="92">
        <f>Table13[[#This Row],[Date]]-DAY(Table13[[#This Row],[Date]])+1</f>
        <v>45962</v>
      </c>
      <c r="E236" s="7">
        <f t="shared" si="15"/>
        <v>30</v>
      </c>
      <c r="F236" s="91" t="str">
        <f>IFERROR(_xlfn.XLOOKUP($A236,'Raw Data'!$G:$G,'Raw Data'!$AM:$AM),"")</f>
        <v/>
      </c>
      <c r="G236" s="90" t="str">
        <f>IFERROR(_xlfn.XLOOKUP($A236,'Raw Data'!$G:$G,'Raw Data'!$AB:$AB),"")</f>
        <v/>
      </c>
      <c r="H236" s="90"/>
      <c r="I236" s="90" t="str">
        <f>IFERROR(_xlfn.XLOOKUP($A236,'Raw Data'!$G:$G,'Raw Data'!$AC:$AC),"")</f>
        <v/>
      </c>
      <c r="J236" s="90"/>
      <c r="K236" s="90" t="str">
        <f>IFERROR(_xlfn.XLOOKUP($A236,'Raw Data'!$G:$G,'Raw Data'!AD:AD),"")</f>
        <v/>
      </c>
      <c r="L236" s="90" t="str">
        <f>IFERROR(_xlfn.XLOOKUP($A236,'Raw Data'!$G:$G,'Raw Data'!AE:AE),"")</f>
        <v/>
      </c>
      <c r="M236" s="90" t="str">
        <f>IFERROR(_xlfn.XLOOKUP($A236,'Raw Data'!$G:$G,'Raw Data'!AF:AF),"")</f>
        <v/>
      </c>
      <c r="N236" s="90" t="str">
        <f>IFERROR(_xlfn.XLOOKUP($A236,'Raw Data'!$G:$G,'Raw Data'!AG:AG),"")</f>
        <v/>
      </c>
      <c r="O236" s="85" t="str">
        <f>IFERROR(1-SUMIF('Plant BD'!$B:$B,$A236,'Plant BD'!$AM:$AM)/($AA236+SUMIF('Plant BD'!$B:$B,$A236,'Plant BD'!$AM:$AM)),"")</f>
        <v/>
      </c>
      <c r="P236" s="85"/>
      <c r="Q236" s="89"/>
      <c r="R236" s="85" t="str">
        <f>IFERROR(1-SUMIF('Grid BD'!$B:$B,$A236,'Grid BD'!$AE:$AE)/($AA236+SUMIF('Grid BD'!$B:$B,$A236,'Grid BD'!$AE:$AE)),"")</f>
        <v/>
      </c>
      <c r="T236" s="89"/>
      <c r="U236" s="88" t="str">
        <f t="shared" si="13"/>
        <v/>
      </c>
      <c r="V236" s="88"/>
      <c r="W236" s="84" t="str">
        <f t="shared" si="12"/>
        <v/>
      </c>
      <c r="X236" s="86" t="str">
        <f>IFERROR(_xlfn.XLOOKUP($A236,'Raw Data'!$G:$G,'Raw Data'!AI:AI),"")</f>
        <v/>
      </c>
      <c r="Y236" s="86" t="str">
        <f>IFERROR(_xlfn.XLOOKUP($A236,'Raw Data'!$G:$G,'Raw Data'!AJ:AJ),"")</f>
        <v/>
      </c>
      <c r="Z236" s="86" t="str">
        <f>IFERROR(_xlfn.XLOOKUP($A236,'Raw Data'!$G:$G,'Raw Data'!AK:AK),"")</f>
        <v/>
      </c>
      <c r="AA236" s="86" t="str">
        <f>IFERROR(_xlfn.XLOOKUP($A236,'Raw Data'!$G:$G,'Raw Data'!$AL:$AL)*(1+(_xlfn.XLOOKUP(Table13[[#This Row],[Month Year]],JMR!$A:$A,JMR!$J:$J))),"")</f>
        <v/>
      </c>
      <c r="AB236" s="86" t="str">
        <f>IFERROR(_xlfn.XLOOKUP($A236,'Raw Data'!$G:$G,'Raw Data'!$H:$H),"")</f>
        <v/>
      </c>
      <c r="AC236" s="87">
        <f>IFERROR(_xlfn.XLOOKUP($D236,'Modelling New'!$D:$D,'Modelling New'!$P:$P),"")</f>
        <v>5.5333333333333332</v>
      </c>
      <c r="AD236" s="86">
        <f>IFERROR(_xlfn.XLOOKUP($D236,'Modelling New'!$D:$D,'Modelling New'!$T:$T)*1000,"")</f>
        <v>27380.514727051846</v>
      </c>
      <c r="AE236" s="94">
        <f>IFERROR(_xlfn.XLOOKUP($D236,'Modelling New'!$D:$D,'Modelling New'!$O:$O),"")</f>
        <v>0.69702019862033959</v>
      </c>
      <c r="AF236" s="94">
        <f>IFERROR(_xlfn.XLOOKUP($D236,'Modelling New'!$D:$D,'Modelling New'!$W:$W),"")</f>
        <v>0.16070187912635606</v>
      </c>
      <c r="AG236" s="94">
        <f>IFERROR(_xlfn.XLOOKUP($D236,'Modelling New'!$D:$D,'Modelling New'!$AE:$AE),"")</f>
        <v>0.98040000000000005</v>
      </c>
      <c r="AH236" s="94">
        <f>IFERROR(_xlfn.XLOOKUP($D236,'Modelling New'!$D:$D,'Modelling New'!$AF:$AF),"")</f>
        <v>0.98</v>
      </c>
      <c r="AN236" s="85"/>
      <c r="AO236" s="84"/>
      <c r="AP236" s="84"/>
      <c r="AQ236" s="84"/>
      <c r="AR236" s="86">
        <f>'Basic Data'!$J$2</f>
        <v>7.0991999999999997</v>
      </c>
      <c r="AT236" s="7" t="str">
        <f>IFERROR(_xlfn.XLOOKUP(Table13[[#This Row],[Date]],'Raw Data'!$E:$E,'Raw Data'!$AN:$AN),"")</f>
        <v/>
      </c>
      <c r="AU236" s="7">
        <f>IFERROR(_xlfn.XLOOKUP(Table13[[#This Row],[Month Year]],'Modelling New'!$D:$D,'Modelling New'!$AO:$AO),"")</f>
        <v>7</v>
      </c>
      <c r="AV236" s="7">
        <f>IFERROR(SUMIF('Curtailment Records'!$C:$C,Table13[[#This Row],[Date]],'Curtailment Records'!$R:$R)/1000,"")</f>
        <v>0</v>
      </c>
    </row>
    <row r="237" spans="1:48" x14ac:dyDescent="0.25">
      <c r="A237" s="93">
        <f t="shared" si="14"/>
        <v>45980</v>
      </c>
      <c r="B237" s="86">
        <f>YEAR(Table13[[#This Row],[Date]])+IF(MONTH(Table13[[#This Row],[Date]])&gt;=4,1,0)</f>
        <v>2026</v>
      </c>
      <c r="C237" s="7">
        <f>YEAR(Table13[[#This Row],[Date]])</f>
        <v>2025</v>
      </c>
      <c r="D237" s="92">
        <f>Table13[[#This Row],[Date]]-DAY(Table13[[#This Row],[Date]])+1</f>
        <v>45962</v>
      </c>
      <c r="E237" s="7">
        <f t="shared" si="15"/>
        <v>30</v>
      </c>
      <c r="F237" s="91" t="str">
        <f>IFERROR(_xlfn.XLOOKUP($A237,'Raw Data'!$G:$G,'Raw Data'!$AM:$AM),"")</f>
        <v/>
      </c>
      <c r="G237" s="90" t="str">
        <f>IFERROR(_xlfn.XLOOKUP($A237,'Raw Data'!$G:$G,'Raw Data'!$AB:$AB),"")</f>
        <v/>
      </c>
      <c r="H237" s="90"/>
      <c r="I237" s="90" t="str">
        <f>IFERROR(_xlfn.XLOOKUP($A237,'Raw Data'!$G:$G,'Raw Data'!$AC:$AC),"")</f>
        <v/>
      </c>
      <c r="J237" s="90"/>
      <c r="K237" s="90" t="str">
        <f>IFERROR(_xlfn.XLOOKUP($A237,'Raw Data'!$G:$G,'Raw Data'!AD:AD),"")</f>
        <v/>
      </c>
      <c r="L237" s="90" t="str">
        <f>IFERROR(_xlfn.XLOOKUP($A237,'Raw Data'!$G:$G,'Raw Data'!AE:AE),"")</f>
        <v/>
      </c>
      <c r="M237" s="90" t="str">
        <f>IFERROR(_xlfn.XLOOKUP($A237,'Raw Data'!$G:$G,'Raw Data'!AF:AF),"")</f>
        <v/>
      </c>
      <c r="N237" s="90" t="str">
        <f>IFERROR(_xlfn.XLOOKUP($A237,'Raw Data'!$G:$G,'Raw Data'!AG:AG),"")</f>
        <v/>
      </c>
      <c r="O237" s="85" t="str">
        <f>IFERROR(1-SUMIF('Plant BD'!$B:$B,$A237,'Plant BD'!$AM:$AM)/($AA237+SUMIF('Plant BD'!$B:$B,$A237,'Plant BD'!$AM:$AM)),"")</f>
        <v/>
      </c>
      <c r="P237" s="85"/>
      <c r="Q237" s="89"/>
      <c r="R237" s="85" t="str">
        <f>IFERROR(1-SUMIF('Grid BD'!$B:$B,$A237,'Grid BD'!$AE:$AE)/($AA237+SUMIF('Grid BD'!$B:$B,$A237,'Grid BD'!$AE:$AE)),"")</f>
        <v/>
      </c>
      <c r="T237" s="89"/>
      <c r="U237" s="88" t="str">
        <f t="shared" si="13"/>
        <v/>
      </c>
      <c r="V237" s="88"/>
      <c r="W237" s="84" t="str">
        <f t="shared" si="12"/>
        <v/>
      </c>
      <c r="X237" s="86" t="str">
        <f>IFERROR(_xlfn.XLOOKUP($A237,'Raw Data'!$G:$G,'Raw Data'!AI:AI),"")</f>
        <v/>
      </c>
      <c r="Y237" s="86" t="str">
        <f>IFERROR(_xlfn.XLOOKUP($A237,'Raw Data'!$G:$G,'Raw Data'!AJ:AJ),"")</f>
        <v/>
      </c>
      <c r="Z237" s="86" t="str">
        <f>IFERROR(_xlfn.XLOOKUP($A237,'Raw Data'!$G:$G,'Raw Data'!AK:AK),"")</f>
        <v/>
      </c>
      <c r="AA237" s="86" t="str">
        <f>IFERROR(_xlfn.XLOOKUP($A237,'Raw Data'!$G:$G,'Raw Data'!$AL:$AL)*(1+(_xlfn.XLOOKUP(Table13[[#This Row],[Month Year]],JMR!$A:$A,JMR!$J:$J))),"")</f>
        <v/>
      </c>
      <c r="AB237" s="86" t="str">
        <f>IFERROR(_xlfn.XLOOKUP($A237,'Raw Data'!$G:$G,'Raw Data'!$H:$H),"")</f>
        <v/>
      </c>
      <c r="AC237" s="87">
        <f>IFERROR(_xlfn.XLOOKUP($D237,'Modelling New'!$D:$D,'Modelling New'!$P:$P),"")</f>
        <v>5.5333333333333332</v>
      </c>
      <c r="AD237" s="86">
        <f>IFERROR(_xlfn.XLOOKUP($D237,'Modelling New'!$D:$D,'Modelling New'!$T:$T)*1000,"")</f>
        <v>27380.514727051846</v>
      </c>
      <c r="AE237" s="94">
        <f>IFERROR(_xlfn.XLOOKUP($D237,'Modelling New'!$D:$D,'Modelling New'!$O:$O),"")</f>
        <v>0.69702019862033959</v>
      </c>
      <c r="AF237" s="94">
        <f>IFERROR(_xlfn.XLOOKUP($D237,'Modelling New'!$D:$D,'Modelling New'!$W:$W),"")</f>
        <v>0.16070187912635606</v>
      </c>
      <c r="AG237" s="94">
        <f>IFERROR(_xlfn.XLOOKUP($D237,'Modelling New'!$D:$D,'Modelling New'!$AE:$AE),"")</f>
        <v>0.98040000000000005</v>
      </c>
      <c r="AH237" s="94">
        <f>IFERROR(_xlfn.XLOOKUP($D237,'Modelling New'!$D:$D,'Modelling New'!$AF:$AF),"")</f>
        <v>0.98</v>
      </c>
      <c r="AN237" s="85"/>
      <c r="AO237" s="84"/>
      <c r="AP237" s="84"/>
      <c r="AQ237" s="84"/>
      <c r="AR237" s="86">
        <f>'Basic Data'!$J$2</f>
        <v>7.0991999999999997</v>
      </c>
      <c r="AT237" s="7" t="str">
        <f>IFERROR(_xlfn.XLOOKUP(Table13[[#This Row],[Date]],'Raw Data'!$E:$E,'Raw Data'!$AN:$AN),"")</f>
        <v/>
      </c>
      <c r="AU237" s="7">
        <f>IFERROR(_xlfn.XLOOKUP(Table13[[#This Row],[Month Year]],'Modelling New'!$D:$D,'Modelling New'!$AO:$AO),"")</f>
        <v>7</v>
      </c>
      <c r="AV237" s="7">
        <f>IFERROR(SUMIF('Curtailment Records'!$C:$C,Table13[[#This Row],[Date]],'Curtailment Records'!$R:$R)/1000,"")</f>
        <v>0</v>
      </c>
    </row>
    <row r="238" spans="1:48" x14ac:dyDescent="0.25">
      <c r="A238" s="93">
        <f t="shared" si="14"/>
        <v>45981</v>
      </c>
      <c r="B238" s="86">
        <f>YEAR(Table13[[#This Row],[Date]])+IF(MONTH(Table13[[#This Row],[Date]])&gt;=4,1,0)</f>
        <v>2026</v>
      </c>
      <c r="C238" s="7">
        <f>YEAR(Table13[[#This Row],[Date]])</f>
        <v>2025</v>
      </c>
      <c r="D238" s="92">
        <f>Table13[[#This Row],[Date]]-DAY(Table13[[#This Row],[Date]])+1</f>
        <v>45962</v>
      </c>
      <c r="E238" s="7">
        <f t="shared" si="15"/>
        <v>30</v>
      </c>
      <c r="F238" s="91" t="str">
        <f>IFERROR(_xlfn.XLOOKUP($A238,'Raw Data'!$G:$G,'Raw Data'!$AM:$AM),"")</f>
        <v/>
      </c>
      <c r="G238" s="90" t="str">
        <f>IFERROR(_xlfn.XLOOKUP($A238,'Raw Data'!$G:$G,'Raw Data'!$AB:$AB),"")</f>
        <v/>
      </c>
      <c r="H238" s="90"/>
      <c r="I238" s="90" t="str">
        <f>IFERROR(_xlfn.XLOOKUP($A238,'Raw Data'!$G:$G,'Raw Data'!$AC:$AC),"")</f>
        <v/>
      </c>
      <c r="J238" s="90"/>
      <c r="K238" s="90" t="str">
        <f>IFERROR(_xlfn.XLOOKUP($A238,'Raw Data'!$G:$G,'Raw Data'!AD:AD),"")</f>
        <v/>
      </c>
      <c r="L238" s="90" t="str">
        <f>IFERROR(_xlfn.XLOOKUP($A238,'Raw Data'!$G:$G,'Raw Data'!AE:AE),"")</f>
        <v/>
      </c>
      <c r="M238" s="90" t="str">
        <f>IFERROR(_xlfn.XLOOKUP($A238,'Raw Data'!$G:$G,'Raw Data'!AF:AF),"")</f>
        <v/>
      </c>
      <c r="N238" s="90" t="str">
        <f>IFERROR(_xlfn.XLOOKUP($A238,'Raw Data'!$G:$G,'Raw Data'!AG:AG),"")</f>
        <v/>
      </c>
      <c r="O238" s="85" t="str">
        <f>IFERROR(1-SUMIF('Plant BD'!$B:$B,$A238,'Plant BD'!$AM:$AM)/($AA238+SUMIF('Plant BD'!$B:$B,$A238,'Plant BD'!$AM:$AM)),"")</f>
        <v/>
      </c>
      <c r="P238" s="85"/>
      <c r="Q238" s="89"/>
      <c r="R238" s="85" t="str">
        <f>IFERROR(1-SUMIF('Grid BD'!$B:$B,$A238,'Grid BD'!$AE:$AE)/($AA238+SUMIF('Grid BD'!$B:$B,$A238,'Grid BD'!$AE:$AE)),"")</f>
        <v/>
      </c>
      <c r="T238" s="89"/>
      <c r="U238" s="88" t="str">
        <f t="shared" si="13"/>
        <v/>
      </c>
      <c r="V238" s="88"/>
      <c r="W238" s="84" t="str">
        <f t="shared" si="12"/>
        <v/>
      </c>
      <c r="X238" s="86" t="str">
        <f>IFERROR(_xlfn.XLOOKUP($A238,'Raw Data'!$G:$G,'Raw Data'!AI:AI),"")</f>
        <v/>
      </c>
      <c r="Y238" s="86" t="str">
        <f>IFERROR(_xlfn.XLOOKUP($A238,'Raw Data'!$G:$G,'Raw Data'!AJ:AJ),"")</f>
        <v/>
      </c>
      <c r="Z238" s="86" t="str">
        <f>IFERROR(_xlfn.XLOOKUP($A238,'Raw Data'!$G:$G,'Raw Data'!AK:AK),"")</f>
        <v/>
      </c>
      <c r="AA238" s="86" t="str">
        <f>IFERROR(_xlfn.XLOOKUP($A238,'Raw Data'!$G:$G,'Raw Data'!$AL:$AL)*(1+(_xlfn.XLOOKUP(Table13[[#This Row],[Month Year]],JMR!$A:$A,JMR!$J:$J))),"")</f>
        <v/>
      </c>
      <c r="AB238" s="86" t="str">
        <f>IFERROR(_xlfn.XLOOKUP($A238,'Raw Data'!$G:$G,'Raw Data'!$H:$H),"")</f>
        <v/>
      </c>
      <c r="AC238" s="87">
        <f>IFERROR(_xlfn.XLOOKUP($D238,'Modelling New'!$D:$D,'Modelling New'!$P:$P),"")</f>
        <v>5.5333333333333332</v>
      </c>
      <c r="AD238" s="86">
        <f>IFERROR(_xlfn.XLOOKUP($D238,'Modelling New'!$D:$D,'Modelling New'!$T:$T)*1000,"")</f>
        <v>27380.514727051846</v>
      </c>
      <c r="AE238" s="94">
        <f>IFERROR(_xlfn.XLOOKUP($D238,'Modelling New'!$D:$D,'Modelling New'!$O:$O),"")</f>
        <v>0.69702019862033959</v>
      </c>
      <c r="AF238" s="94">
        <f>IFERROR(_xlfn.XLOOKUP($D238,'Modelling New'!$D:$D,'Modelling New'!$W:$W),"")</f>
        <v>0.16070187912635606</v>
      </c>
      <c r="AG238" s="94">
        <f>IFERROR(_xlfn.XLOOKUP($D238,'Modelling New'!$D:$D,'Modelling New'!$AE:$AE),"")</f>
        <v>0.98040000000000005</v>
      </c>
      <c r="AH238" s="94">
        <f>IFERROR(_xlfn.XLOOKUP($D238,'Modelling New'!$D:$D,'Modelling New'!$AF:$AF),"")</f>
        <v>0.98</v>
      </c>
      <c r="AN238" s="85"/>
      <c r="AO238" s="84"/>
      <c r="AP238" s="84"/>
      <c r="AQ238" s="84"/>
      <c r="AR238" s="86">
        <f>'Basic Data'!$J$2</f>
        <v>7.0991999999999997</v>
      </c>
      <c r="AT238" s="7" t="str">
        <f>IFERROR(_xlfn.XLOOKUP(Table13[[#This Row],[Date]],'Raw Data'!$E:$E,'Raw Data'!$AN:$AN),"")</f>
        <v/>
      </c>
      <c r="AU238" s="7">
        <f>IFERROR(_xlfn.XLOOKUP(Table13[[#This Row],[Month Year]],'Modelling New'!$D:$D,'Modelling New'!$AO:$AO),"")</f>
        <v>7</v>
      </c>
      <c r="AV238" s="7">
        <f>IFERROR(SUMIF('Curtailment Records'!$C:$C,Table13[[#This Row],[Date]],'Curtailment Records'!$R:$R)/1000,"")</f>
        <v>0</v>
      </c>
    </row>
    <row r="239" spans="1:48" x14ac:dyDescent="0.25">
      <c r="A239" s="93">
        <f t="shared" si="14"/>
        <v>45982</v>
      </c>
      <c r="B239" s="86">
        <f>YEAR(Table13[[#This Row],[Date]])+IF(MONTH(Table13[[#This Row],[Date]])&gt;=4,1,0)</f>
        <v>2026</v>
      </c>
      <c r="C239" s="7">
        <f>YEAR(Table13[[#This Row],[Date]])</f>
        <v>2025</v>
      </c>
      <c r="D239" s="92">
        <f>Table13[[#This Row],[Date]]-DAY(Table13[[#This Row],[Date]])+1</f>
        <v>45962</v>
      </c>
      <c r="E239" s="7">
        <f t="shared" si="15"/>
        <v>30</v>
      </c>
      <c r="F239" s="91" t="str">
        <f>IFERROR(_xlfn.XLOOKUP($A239,'Raw Data'!$G:$G,'Raw Data'!$AM:$AM),"")</f>
        <v/>
      </c>
      <c r="G239" s="90" t="str">
        <f>IFERROR(_xlfn.XLOOKUP($A239,'Raw Data'!$G:$G,'Raw Data'!$AB:$AB),"")</f>
        <v/>
      </c>
      <c r="H239" s="90"/>
      <c r="I239" s="90" t="str">
        <f>IFERROR(_xlfn.XLOOKUP($A239,'Raw Data'!$G:$G,'Raw Data'!$AC:$AC),"")</f>
        <v/>
      </c>
      <c r="J239" s="90"/>
      <c r="K239" s="90" t="str">
        <f>IFERROR(_xlfn.XLOOKUP($A239,'Raw Data'!$G:$G,'Raw Data'!AD:AD),"")</f>
        <v/>
      </c>
      <c r="L239" s="90" t="str">
        <f>IFERROR(_xlfn.XLOOKUP($A239,'Raw Data'!$G:$G,'Raw Data'!AE:AE),"")</f>
        <v/>
      </c>
      <c r="M239" s="90" t="str">
        <f>IFERROR(_xlfn.XLOOKUP($A239,'Raw Data'!$G:$G,'Raw Data'!AF:AF),"")</f>
        <v/>
      </c>
      <c r="N239" s="90" t="str">
        <f>IFERROR(_xlfn.XLOOKUP($A239,'Raw Data'!$G:$G,'Raw Data'!AG:AG),"")</f>
        <v/>
      </c>
      <c r="O239" s="85" t="str">
        <f>IFERROR(1-SUMIF('Plant BD'!$B:$B,$A239,'Plant BD'!$AM:$AM)/($AA239+SUMIF('Plant BD'!$B:$B,$A239,'Plant BD'!$AM:$AM)),"")</f>
        <v/>
      </c>
      <c r="P239" s="85"/>
      <c r="Q239" s="89"/>
      <c r="R239" s="85" t="str">
        <f>IFERROR(1-SUMIF('Grid BD'!$B:$B,$A239,'Grid BD'!$AE:$AE)/($AA239+SUMIF('Grid BD'!$B:$B,$A239,'Grid BD'!$AE:$AE)),"")</f>
        <v/>
      </c>
      <c r="T239" s="89"/>
      <c r="U239" s="88" t="str">
        <f t="shared" si="13"/>
        <v/>
      </c>
      <c r="V239" s="88"/>
      <c r="W239" s="84" t="str">
        <f t="shared" ref="W239:W302" si="16">IFERROR(AA239/(24*AB239*1000),"")</f>
        <v/>
      </c>
      <c r="X239" s="86" t="str">
        <f>IFERROR(_xlfn.XLOOKUP($A239,'Raw Data'!$G:$G,'Raw Data'!AI:AI),"")</f>
        <v/>
      </c>
      <c r="Y239" s="86" t="str">
        <f>IFERROR(_xlfn.XLOOKUP($A239,'Raw Data'!$G:$G,'Raw Data'!AJ:AJ),"")</f>
        <v/>
      </c>
      <c r="Z239" s="86" t="str">
        <f>IFERROR(_xlfn.XLOOKUP($A239,'Raw Data'!$G:$G,'Raw Data'!AK:AK),"")</f>
        <v/>
      </c>
      <c r="AA239" s="86" t="str">
        <f>IFERROR(_xlfn.XLOOKUP($A239,'Raw Data'!$G:$G,'Raw Data'!$AL:$AL)*(1+(_xlfn.XLOOKUP(Table13[[#This Row],[Month Year]],JMR!$A:$A,JMR!$J:$J))),"")</f>
        <v/>
      </c>
      <c r="AB239" s="86" t="str">
        <f>IFERROR(_xlfn.XLOOKUP($A239,'Raw Data'!$G:$G,'Raw Data'!$H:$H),"")</f>
        <v/>
      </c>
      <c r="AC239" s="87">
        <f>IFERROR(_xlfn.XLOOKUP($D239,'Modelling New'!$D:$D,'Modelling New'!$P:$P),"")</f>
        <v>5.5333333333333332</v>
      </c>
      <c r="AD239" s="86">
        <f>IFERROR(_xlfn.XLOOKUP($D239,'Modelling New'!$D:$D,'Modelling New'!$T:$T)*1000,"")</f>
        <v>27380.514727051846</v>
      </c>
      <c r="AE239" s="94">
        <f>IFERROR(_xlfn.XLOOKUP($D239,'Modelling New'!$D:$D,'Modelling New'!$O:$O),"")</f>
        <v>0.69702019862033959</v>
      </c>
      <c r="AF239" s="94">
        <f>IFERROR(_xlfn.XLOOKUP($D239,'Modelling New'!$D:$D,'Modelling New'!$W:$W),"")</f>
        <v>0.16070187912635606</v>
      </c>
      <c r="AG239" s="94">
        <f>IFERROR(_xlfn.XLOOKUP($D239,'Modelling New'!$D:$D,'Modelling New'!$AE:$AE),"")</f>
        <v>0.98040000000000005</v>
      </c>
      <c r="AH239" s="94">
        <f>IFERROR(_xlfn.XLOOKUP($D239,'Modelling New'!$D:$D,'Modelling New'!$AF:$AF),"")</f>
        <v>0.98</v>
      </c>
      <c r="AN239" s="85"/>
      <c r="AO239" s="84"/>
      <c r="AP239" s="84"/>
      <c r="AQ239" s="84"/>
      <c r="AR239" s="86">
        <f>'Basic Data'!$J$2</f>
        <v>7.0991999999999997</v>
      </c>
      <c r="AT239" s="7" t="str">
        <f>IFERROR(_xlfn.XLOOKUP(Table13[[#This Row],[Date]],'Raw Data'!$E:$E,'Raw Data'!$AN:$AN),"")</f>
        <v/>
      </c>
      <c r="AU239" s="7">
        <f>IFERROR(_xlfn.XLOOKUP(Table13[[#This Row],[Month Year]],'Modelling New'!$D:$D,'Modelling New'!$AO:$AO),"")</f>
        <v>7</v>
      </c>
      <c r="AV239" s="7">
        <f>IFERROR(SUMIF('Curtailment Records'!$C:$C,Table13[[#This Row],[Date]],'Curtailment Records'!$R:$R)/1000,"")</f>
        <v>0</v>
      </c>
    </row>
    <row r="240" spans="1:48" x14ac:dyDescent="0.25">
      <c r="A240" s="93">
        <f t="shared" si="14"/>
        <v>45983</v>
      </c>
      <c r="B240" s="86">
        <f>YEAR(Table13[[#This Row],[Date]])+IF(MONTH(Table13[[#This Row],[Date]])&gt;=4,1,0)</f>
        <v>2026</v>
      </c>
      <c r="C240" s="7">
        <f>YEAR(Table13[[#This Row],[Date]])</f>
        <v>2025</v>
      </c>
      <c r="D240" s="92">
        <f>Table13[[#This Row],[Date]]-DAY(Table13[[#This Row],[Date]])+1</f>
        <v>45962</v>
      </c>
      <c r="E240" s="7">
        <f t="shared" si="15"/>
        <v>30</v>
      </c>
      <c r="F240" s="91" t="str">
        <f>IFERROR(_xlfn.XLOOKUP($A240,'Raw Data'!$G:$G,'Raw Data'!$AM:$AM),"")</f>
        <v/>
      </c>
      <c r="G240" s="90" t="str">
        <f>IFERROR(_xlfn.XLOOKUP($A240,'Raw Data'!$G:$G,'Raw Data'!$AB:$AB),"")</f>
        <v/>
      </c>
      <c r="H240" s="90"/>
      <c r="I240" s="90" t="str">
        <f>IFERROR(_xlfn.XLOOKUP($A240,'Raw Data'!$G:$G,'Raw Data'!$AC:$AC),"")</f>
        <v/>
      </c>
      <c r="J240" s="90"/>
      <c r="K240" s="90" t="str">
        <f>IFERROR(_xlfn.XLOOKUP($A240,'Raw Data'!$G:$G,'Raw Data'!AD:AD),"")</f>
        <v/>
      </c>
      <c r="L240" s="90" t="str">
        <f>IFERROR(_xlfn.XLOOKUP($A240,'Raw Data'!$G:$G,'Raw Data'!AE:AE),"")</f>
        <v/>
      </c>
      <c r="M240" s="90" t="str">
        <f>IFERROR(_xlfn.XLOOKUP($A240,'Raw Data'!$G:$G,'Raw Data'!AF:AF),"")</f>
        <v/>
      </c>
      <c r="N240" s="90" t="str">
        <f>IFERROR(_xlfn.XLOOKUP($A240,'Raw Data'!$G:$G,'Raw Data'!AG:AG),"")</f>
        <v/>
      </c>
      <c r="O240" s="85" t="str">
        <f>IFERROR(1-SUMIF('Plant BD'!$B:$B,$A240,'Plant BD'!$AM:$AM)/($AA240+SUMIF('Plant BD'!$B:$B,$A240,'Plant BD'!$AM:$AM)),"")</f>
        <v/>
      </c>
      <c r="P240" s="85"/>
      <c r="Q240" s="89"/>
      <c r="R240" s="85" t="str">
        <f>IFERROR(1-SUMIF('Grid BD'!$B:$B,$A240,'Grid BD'!$AE:$AE)/($AA240+SUMIF('Grid BD'!$B:$B,$A240,'Grid BD'!$AE:$AE)),"")</f>
        <v/>
      </c>
      <c r="T240" s="89"/>
      <c r="U240" s="88" t="str">
        <f t="shared" si="13"/>
        <v/>
      </c>
      <c r="V240" s="88"/>
      <c r="W240" s="84" t="str">
        <f t="shared" si="16"/>
        <v/>
      </c>
      <c r="X240" s="86" t="str">
        <f>IFERROR(_xlfn.XLOOKUP($A240,'Raw Data'!$G:$G,'Raw Data'!AI:AI),"")</f>
        <v/>
      </c>
      <c r="Y240" s="86" t="str">
        <f>IFERROR(_xlfn.XLOOKUP($A240,'Raw Data'!$G:$G,'Raw Data'!AJ:AJ),"")</f>
        <v/>
      </c>
      <c r="Z240" s="86" t="str">
        <f>IFERROR(_xlfn.XLOOKUP($A240,'Raw Data'!$G:$G,'Raw Data'!AK:AK),"")</f>
        <v/>
      </c>
      <c r="AA240" s="86" t="str">
        <f>IFERROR(_xlfn.XLOOKUP($A240,'Raw Data'!$G:$G,'Raw Data'!$AL:$AL)*(1+(_xlfn.XLOOKUP(Table13[[#This Row],[Month Year]],JMR!$A:$A,JMR!$J:$J))),"")</f>
        <v/>
      </c>
      <c r="AB240" s="86" t="str">
        <f>IFERROR(_xlfn.XLOOKUP($A240,'Raw Data'!$G:$G,'Raw Data'!$H:$H),"")</f>
        <v/>
      </c>
      <c r="AC240" s="87">
        <f>IFERROR(_xlfn.XLOOKUP($D240,'Modelling New'!$D:$D,'Modelling New'!$P:$P),"")</f>
        <v>5.5333333333333332</v>
      </c>
      <c r="AD240" s="86">
        <f>IFERROR(_xlfn.XLOOKUP($D240,'Modelling New'!$D:$D,'Modelling New'!$T:$T)*1000,"")</f>
        <v>27380.514727051846</v>
      </c>
      <c r="AE240" s="94">
        <f>IFERROR(_xlfn.XLOOKUP($D240,'Modelling New'!$D:$D,'Modelling New'!$O:$O),"")</f>
        <v>0.69702019862033959</v>
      </c>
      <c r="AF240" s="94">
        <f>IFERROR(_xlfn.XLOOKUP($D240,'Modelling New'!$D:$D,'Modelling New'!$W:$W),"")</f>
        <v>0.16070187912635606</v>
      </c>
      <c r="AG240" s="94">
        <f>IFERROR(_xlfn.XLOOKUP($D240,'Modelling New'!$D:$D,'Modelling New'!$AE:$AE),"")</f>
        <v>0.98040000000000005</v>
      </c>
      <c r="AH240" s="94">
        <f>IFERROR(_xlfn.XLOOKUP($D240,'Modelling New'!$D:$D,'Modelling New'!$AF:$AF),"")</f>
        <v>0.98</v>
      </c>
      <c r="AN240" s="85"/>
      <c r="AO240" s="84"/>
      <c r="AP240" s="84"/>
      <c r="AQ240" s="84"/>
      <c r="AR240" s="86">
        <f>'Basic Data'!$J$2</f>
        <v>7.0991999999999997</v>
      </c>
      <c r="AT240" s="7" t="str">
        <f>IFERROR(_xlfn.XLOOKUP(Table13[[#This Row],[Date]],'Raw Data'!$E:$E,'Raw Data'!$AN:$AN),"")</f>
        <v/>
      </c>
      <c r="AU240" s="7">
        <f>IFERROR(_xlfn.XLOOKUP(Table13[[#This Row],[Month Year]],'Modelling New'!$D:$D,'Modelling New'!$AO:$AO),"")</f>
        <v>7</v>
      </c>
      <c r="AV240" s="7">
        <f>IFERROR(SUMIF('Curtailment Records'!$C:$C,Table13[[#This Row],[Date]],'Curtailment Records'!$R:$R)/1000,"")</f>
        <v>0</v>
      </c>
    </row>
    <row r="241" spans="1:48" x14ac:dyDescent="0.25">
      <c r="A241" s="93">
        <f t="shared" si="14"/>
        <v>45984</v>
      </c>
      <c r="B241" s="86">
        <f>YEAR(Table13[[#This Row],[Date]])+IF(MONTH(Table13[[#This Row],[Date]])&gt;=4,1,0)</f>
        <v>2026</v>
      </c>
      <c r="C241" s="7">
        <f>YEAR(Table13[[#This Row],[Date]])</f>
        <v>2025</v>
      </c>
      <c r="D241" s="92">
        <f>Table13[[#This Row],[Date]]-DAY(Table13[[#This Row],[Date]])+1</f>
        <v>45962</v>
      </c>
      <c r="E241" s="7">
        <f t="shared" si="15"/>
        <v>30</v>
      </c>
      <c r="F241" s="91" t="str">
        <f>IFERROR(_xlfn.XLOOKUP($A241,'Raw Data'!$G:$G,'Raw Data'!$AM:$AM),"")</f>
        <v/>
      </c>
      <c r="G241" s="90" t="str">
        <f>IFERROR(_xlfn.XLOOKUP($A241,'Raw Data'!$G:$G,'Raw Data'!$AB:$AB),"")</f>
        <v/>
      </c>
      <c r="H241" s="90"/>
      <c r="I241" s="90" t="str">
        <f>IFERROR(_xlfn.XLOOKUP($A241,'Raw Data'!$G:$G,'Raw Data'!$AC:$AC),"")</f>
        <v/>
      </c>
      <c r="J241" s="90"/>
      <c r="K241" s="90" t="str">
        <f>IFERROR(_xlfn.XLOOKUP($A241,'Raw Data'!$G:$G,'Raw Data'!AD:AD),"")</f>
        <v/>
      </c>
      <c r="L241" s="90" t="str">
        <f>IFERROR(_xlfn.XLOOKUP($A241,'Raw Data'!$G:$G,'Raw Data'!AE:AE),"")</f>
        <v/>
      </c>
      <c r="M241" s="90" t="str">
        <f>IFERROR(_xlfn.XLOOKUP($A241,'Raw Data'!$G:$G,'Raw Data'!AF:AF),"")</f>
        <v/>
      </c>
      <c r="N241" s="90" t="str">
        <f>IFERROR(_xlfn.XLOOKUP($A241,'Raw Data'!$G:$G,'Raw Data'!AG:AG),"")</f>
        <v/>
      </c>
      <c r="O241" s="85" t="str">
        <f>IFERROR(1-SUMIF('Plant BD'!$B:$B,$A241,'Plant BD'!$AM:$AM)/($AA241+SUMIF('Plant BD'!$B:$B,$A241,'Plant BD'!$AM:$AM)),"")</f>
        <v/>
      </c>
      <c r="P241" s="85"/>
      <c r="Q241" s="89"/>
      <c r="R241" s="85" t="str">
        <f>IFERROR(1-SUMIF('Grid BD'!$B:$B,$A241,'Grid BD'!$AE:$AE)/($AA241+SUMIF('Grid BD'!$B:$B,$A241,'Grid BD'!$AE:$AE)),"")</f>
        <v/>
      </c>
      <c r="T241" s="89"/>
      <c r="U241" s="88" t="str">
        <f t="shared" si="13"/>
        <v/>
      </c>
      <c r="V241" s="88"/>
      <c r="W241" s="84" t="str">
        <f t="shared" si="16"/>
        <v/>
      </c>
      <c r="X241" s="86" t="str">
        <f>IFERROR(_xlfn.XLOOKUP($A241,'Raw Data'!$G:$G,'Raw Data'!AI:AI),"")</f>
        <v/>
      </c>
      <c r="Y241" s="86" t="str">
        <f>IFERROR(_xlfn.XLOOKUP($A241,'Raw Data'!$G:$G,'Raw Data'!AJ:AJ),"")</f>
        <v/>
      </c>
      <c r="Z241" s="86" t="str">
        <f>IFERROR(_xlfn.XLOOKUP($A241,'Raw Data'!$G:$G,'Raw Data'!AK:AK),"")</f>
        <v/>
      </c>
      <c r="AA241" s="86" t="str">
        <f>IFERROR(_xlfn.XLOOKUP($A241,'Raw Data'!$G:$G,'Raw Data'!$AL:$AL)*(1+(_xlfn.XLOOKUP(Table13[[#This Row],[Month Year]],JMR!$A:$A,JMR!$J:$J))),"")</f>
        <v/>
      </c>
      <c r="AB241" s="86" t="str">
        <f>IFERROR(_xlfn.XLOOKUP($A241,'Raw Data'!$G:$G,'Raw Data'!$H:$H),"")</f>
        <v/>
      </c>
      <c r="AC241" s="87">
        <f>IFERROR(_xlfn.XLOOKUP($D241,'Modelling New'!$D:$D,'Modelling New'!$P:$P),"")</f>
        <v>5.5333333333333332</v>
      </c>
      <c r="AD241" s="86">
        <f>IFERROR(_xlfn.XLOOKUP($D241,'Modelling New'!$D:$D,'Modelling New'!$T:$T)*1000,"")</f>
        <v>27380.514727051846</v>
      </c>
      <c r="AE241" s="94">
        <f>IFERROR(_xlfn.XLOOKUP($D241,'Modelling New'!$D:$D,'Modelling New'!$O:$O),"")</f>
        <v>0.69702019862033959</v>
      </c>
      <c r="AF241" s="94">
        <f>IFERROR(_xlfn.XLOOKUP($D241,'Modelling New'!$D:$D,'Modelling New'!$W:$W),"")</f>
        <v>0.16070187912635606</v>
      </c>
      <c r="AG241" s="94">
        <f>IFERROR(_xlfn.XLOOKUP($D241,'Modelling New'!$D:$D,'Modelling New'!$AE:$AE),"")</f>
        <v>0.98040000000000005</v>
      </c>
      <c r="AH241" s="94">
        <f>IFERROR(_xlfn.XLOOKUP($D241,'Modelling New'!$D:$D,'Modelling New'!$AF:$AF),"")</f>
        <v>0.98</v>
      </c>
      <c r="AN241" s="85"/>
      <c r="AO241" s="84"/>
      <c r="AP241" s="84"/>
      <c r="AQ241" s="84"/>
      <c r="AR241" s="86">
        <f>'Basic Data'!$J$2</f>
        <v>7.0991999999999997</v>
      </c>
      <c r="AT241" s="7" t="str">
        <f>IFERROR(_xlfn.XLOOKUP(Table13[[#This Row],[Date]],'Raw Data'!$E:$E,'Raw Data'!$AN:$AN),"")</f>
        <v/>
      </c>
      <c r="AU241" s="7">
        <f>IFERROR(_xlfn.XLOOKUP(Table13[[#This Row],[Month Year]],'Modelling New'!$D:$D,'Modelling New'!$AO:$AO),"")</f>
        <v>7</v>
      </c>
      <c r="AV241" s="7">
        <f>IFERROR(SUMIF('Curtailment Records'!$C:$C,Table13[[#This Row],[Date]],'Curtailment Records'!$R:$R)/1000,"")</f>
        <v>0</v>
      </c>
    </row>
    <row r="242" spans="1:48" x14ac:dyDescent="0.25">
      <c r="A242" s="93">
        <f t="shared" si="14"/>
        <v>45985</v>
      </c>
      <c r="B242" s="86">
        <f>YEAR(Table13[[#This Row],[Date]])+IF(MONTH(Table13[[#This Row],[Date]])&gt;=4,1,0)</f>
        <v>2026</v>
      </c>
      <c r="C242" s="7">
        <f>YEAR(Table13[[#This Row],[Date]])</f>
        <v>2025</v>
      </c>
      <c r="D242" s="92">
        <f>Table13[[#This Row],[Date]]-DAY(Table13[[#This Row],[Date]])+1</f>
        <v>45962</v>
      </c>
      <c r="E242" s="7">
        <f t="shared" si="15"/>
        <v>30</v>
      </c>
      <c r="F242" s="91" t="str">
        <f>IFERROR(_xlfn.XLOOKUP($A242,'Raw Data'!$G:$G,'Raw Data'!$AM:$AM),"")</f>
        <v/>
      </c>
      <c r="G242" s="90" t="str">
        <f>IFERROR(_xlfn.XLOOKUP($A242,'Raw Data'!$G:$G,'Raw Data'!$AB:$AB),"")</f>
        <v/>
      </c>
      <c r="H242" s="90"/>
      <c r="I242" s="90" t="str">
        <f>IFERROR(_xlfn.XLOOKUP($A242,'Raw Data'!$G:$G,'Raw Data'!$AC:$AC),"")</f>
        <v/>
      </c>
      <c r="J242" s="90"/>
      <c r="K242" s="90" t="str">
        <f>IFERROR(_xlfn.XLOOKUP($A242,'Raw Data'!$G:$G,'Raw Data'!AD:AD),"")</f>
        <v/>
      </c>
      <c r="L242" s="90" t="str">
        <f>IFERROR(_xlfn.XLOOKUP($A242,'Raw Data'!$G:$G,'Raw Data'!AE:AE),"")</f>
        <v/>
      </c>
      <c r="M242" s="90" t="str">
        <f>IFERROR(_xlfn.XLOOKUP($A242,'Raw Data'!$G:$G,'Raw Data'!AF:AF),"")</f>
        <v/>
      </c>
      <c r="N242" s="90" t="str">
        <f>IFERROR(_xlfn.XLOOKUP($A242,'Raw Data'!$G:$G,'Raw Data'!AG:AG),"")</f>
        <v/>
      </c>
      <c r="O242" s="85" t="str">
        <f>IFERROR(1-SUMIF('Plant BD'!$B:$B,$A242,'Plant BD'!$AM:$AM)/($AA242+SUMIF('Plant BD'!$B:$B,$A242,'Plant BD'!$AM:$AM)),"")</f>
        <v/>
      </c>
      <c r="P242" s="85"/>
      <c r="Q242" s="89"/>
      <c r="R242" s="85" t="str">
        <f>IFERROR(1-SUMIF('Grid BD'!$B:$B,$A242,'Grid BD'!$AE:$AE)/($AA242+SUMIF('Grid BD'!$B:$B,$A242,'Grid BD'!$AE:$AE)),"")</f>
        <v/>
      </c>
      <c r="T242" s="89"/>
      <c r="U242" s="88" t="str">
        <f t="shared" si="13"/>
        <v/>
      </c>
      <c r="V242" s="88"/>
      <c r="W242" s="84" t="str">
        <f t="shared" si="16"/>
        <v/>
      </c>
      <c r="X242" s="86" t="str">
        <f>IFERROR(_xlfn.XLOOKUP($A242,'Raw Data'!$G:$G,'Raw Data'!AI:AI),"")</f>
        <v/>
      </c>
      <c r="Y242" s="86" t="str">
        <f>IFERROR(_xlfn.XLOOKUP($A242,'Raw Data'!$G:$G,'Raw Data'!AJ:AJ),"")</f>
        <v/>
      </c>
      <c r="Z242" s="86" t="str">
        <f>IFERROR(_xlfn.XLOOKUP($A242,'Raw Data'!$G:$G,'Raw Data'!AK:AK),"")</f>
        <v/>
      </c>
      <c r="AA242" s="86" t="str">
        <f>IFERROR(_xlfn.XLOOKUP($A242,'Raw Data'!$G:$G,'Raw Data'!$AL:$AL)*(1+(_xlfn.XLOOKUP(Table13[[#This Row],[Month Year]],JMR!$A:$A,JMR!$J:$J))),"")</f>
        <v/>
      </c>
      <c r="AB242" s="86" t="str">
        <f>IFERROR(_xlfn.XLOOKUP($A242,'Raw Data'!$G:$G,'Raw Data'!$H:$H),"")</f>
        <v/>
      </c>
      <c r="AC242" s="87">
        <f>IFERROR(_xlfn.XLOOKUP($D242,'Modelling New'!$D:$D,'Modelling New'!$P:$P),"")</f>
        <v>5.5333333333333332</v>
      </c>
      <c r="AD242" s="86">
        <f>IFERROR(_xlfn.XLOOKUP($D242,'Modelling New'!$D:$D,'Modelling New'!$T:$T)*1000,"")</f>
        <v>27380.514727051846</v>
      </c>
      <c r="AE242" s="94">
        <f>IFERROR(_xlfn.XLOOKUP($D242,'Modelling New'!$D:$D,'Modelling New'!$O:$O),"")</f>
        <v>0.69702019862033959</v>
      </c>
      <c r="AF242" s="94">
        <f>IFERROR(_xlfn.XLOOKUP($D242,'Modelling New'!$D:$D,'Modelling New'!$W:$W),"")</f>
        <v>0.16070187912635606</v>
      </c>
      <c r="AG242" s="94">
        <f>IFERROR(_xlfn.XLOOKUP($D242,'Modelling New'!$D:$D,'Modelling New'!$AE:$AE),"")</f>
        <v>0.98040000000000005</v>
      </c>
      <c r="AH242" s="94">
        <f>IFERROR(_xlfn.XLOOKUP($D242,'Modelling New'!$D:$D,'Modelling New'!$AF:$AF),"")</f>
        <v>0.98</v>
      </c>
      <c r="AN242" s="85"/>
      <c r="AO242" s="84"/>
      <c r="AP242" s="84"/>
      <c r="AQ242" s="84"/>
      <c r="AR242" s="86">
        <f>'Basic Data'!$J$2</f>
        <v>7.0991999999999997</v>
      </c>
      <c r="AT242" s="7" t="str">
        <f>IFERROR(_xlfn.XLOOKUP(Table13[[#This Row],[Date]],'Raw Data'!$E:$E,'Raw Data'!$AN:$AN),"")</f>
        <v/>
      </c>
      <c r="AU242" s="7">
        <f>IFERROR(_xlfn.XLOOKUP(Table13[[#This Row],[Month Year]],'Modelling New'!$D:$D,'Modelling New'!$AO:$AO),"")</f>
        <v>7</v>
      </c>
      <c r="AV242" s="7">
        <f>IFERROR(SUMIF('Curtailment Records'!$C:$C,Table13[[#This Row],[Date]],'Curtailment Records'!$R:$R)/1000,"")</f>
        <v>0</v>
      </c>
    </row>
    <row r="243" spans="1:48" x14ac:dyDescent="0.25">
      <c r="A243" s="93">
        <f t="shared" si="14"/>
        <v>45986</v>
      </c>
      <c r="B243" s="86">
        <f>YEAR(Table13[[#This Row],[Date]])+IF(MONTH(Table13[[#This Row],[Date]])&gt;=4,1,0)</f>
        <v>2026</v>
      </c>
      <c r="C243" s="7">
        <f>YEAR(Table13[[#This Row],[Date]])</f>
        <v>2025</v>
      </c>
      <c r="D243" s="92">
        <f>Table13[[#This Row],[Date]]-DAY(Table13[[#This Row],[Date]])+1</f>
        <v>45962</v>
      </c>
      <c r="E243" s="7">
        <f t="shared" si="15"/>
        <v>30</v>
      </c>
      <c r="F243" s="91" t="str">
        <f>IFERROR(_xlfn.XLOOKUP($A243,'Raw Data'!$G:$G,'Raw Data'!$AM:$AM),"")</f>
        <v/>
      </c>
      <c r="G243" s="90" t="str">
        <f>IFERROR(_xlfn.XLOOKUP($A243,'Raw Data'!$G:$G,'Raw Data'!$AB:$AB),"")</f>
        <v/>
      </c>
      <c r="H243" s="90"/>
      <c r="I243" s="90" t="str">
        <f>IFERROR(_xlfn.XLOOKUP($A243,'Raw Data'!$G:$G,'Raw Data'!$AC:$AC),"")</f>
        <v/>
      </c>
      <c r="J243" s="90"/>
      <c r="K243" s="90" t="str">
        <f>IFERROR(_xlfn.XLOOKUP($A243,'Raw Data'!$G:$G,'Raw Data'!AD:AD),"")</f>
        <v/>
      </c>
      <c r="L243" s="90" t="str">
        <f>IFERROR(_xlfn.XLOOKUP($A243,'Raw Data'!$G:$G,'Raw Data'!AE:AE),"")</f>
        <v/>
      </c>
      <c r="M243" s="90" t="str">
        <f>IFERROR(_xlfn.XLOOKUP($A243,'Raw Data'!$G:$G,'Raw Data'!AF:AF),"")</f>
        <v/>
      </c>
      <c r="N243" s="90" t="str">
        <f>IFERROR(_xlfn.XLOOKUP($A243,'Raw Data'!$G:$G,'Raw Data'!AG:AG),"")</f>
        <v/>
      </c>
      <c r="O243" s="85" t="str">
        <f>IFERROR(1-SUMIF('Plant BD'!$B:$B,$A243,'Plant BD'!$AM:$AM)/($AA243+SUMIF('Plant BD'!$B:$B,$A243,'Plant BD'!$AM:$AM)),"")</f>
        <v/>
      </c>
      <c r="P243" s="85"/>
      <c r="Q243" s="89"/>
      <c r="R243" s="85" t="str">
        <f>IFERROR(1-SUMIF('Grid BD'!$B:$B,$A243,'Grid BD'!$AE:$AE)/($AA243+SUMIF('Grid BD'!$B:$B,$A243,'Grid BD'!$AE:$AE)),"")</f>
        <v/>
      </c>
      <c r="T243" s="89"/>
      <c r="U243" s="88" t="str">
        <f t="shared" si="13"/>
        <v/>
      </c>
      <c r="V243" s="88"/>
      <c r="W243" s="84" t="str">
        <f t="shared" si="16"/>
        <v/>
      </c>
      <c r="X243" s="86" t="str">
        <f>IFERROR(_xlfn.XLOOKUP($A243,'Raw Data'!$G:$G,'Raw Data'!AI:AI),"")</f>
        <v/>
      </c>
      <c r="Y243" s="86" t="str">
        <f>IFERROR(_xlfn.XLOOKUP($A243,'Raw Data'!$G:$G,'Raw Data'!AJ:AJ),"")</f>
        <v/>
      </c>
      <c r="Z243" s="86" t="str">
        <f>IFERROR(_xlfn.XLOOKUP($A243,'Raw Data'!$G:$G,'Raw Data'!AK:AK),"")</f>
        <v/>
      </c>
      <c r="AA243" s="86" t="str">
        <f>IFERROR(_xlfn.XLOOKUP($A243,'Raw Data'!$G:$G,'Raw Data'!$AL:$AL)*(1+(_xlfn.XLOOKUP(Table13[[#This Row],[Month Year]],JMR!$A:$A,JMR!$J:$J))),"")</f>
        <v/>
      </c>
      <c r="AB243" s="86" t="str">
        <f>IFERROR(_xlfn.XLOOKUP($A243,'Raw Data'!$G:$G,'Raw Data'!$H:$H),"")</f>
        <v/>
      </c>
      <c r="AC243" s="87">
        <f>IFERROR(_xlfn.XLOOKUP($D243,'Modelling New'!$D:$D,'Modelling New'!$P:$P),"")</f>
        <v>5.5333333333333332</v>
      </c>
      <c r="AD243" s="86">
        <f>IFERROR(_xlfn.XLOOKUP($D243,'Modelling New'!$D:$D,'Modelling New'!$T:$T)*1000,"")</f>
        <v>27380.514727051846</v>
      </c>
      <c r="AE243" s="94">
        <f>IFERROR(_xlfn.XLOOKUP($D243,'Modelling New'!$D:$D,'Modelling New'!$O:$O),"")</f>
        <v>0.69702019862033959</v>
      </c>
      <c r="AF243" s="94">
        <f>IFERROR(_xlfn.XLOOKUP($D243,'Modelling New'!$D:$D,'Modelling New'!$W:$W),"")</f>
        <v>0.16070187912635606</v>
      </c>
      <c r="AG243" s="94">
        <f>IFERROR(_xlfn.XLOOKUP($D243,'Modelling New'!$D:$D,'Modelling New'!$AE:$AE),"")</f>
        <v>0.98040000000000005</v>
      </c>
      <c r="AH243" s="94">
        <f>IFERROR(_xlfn.XLOOKUP($D243,'Modelling New'!$D:$D,'Modelling New'!$AF:$AF),"")</f>
        <v>0.98</v>
      </c>
      <c r="AN243" s="85"/>
      <c r="AO243" s="84"/>
      <c r="AP243" s="84"/>
      <c r="AQ243" s="84"/>
      <c r="AR243" s="86">
        <f>'Basic Data'!$J$2</f>
        <v>7.0991999999999997</v>
      </c>
      <c r="AT243" s="7" t="str">
        <f>IFERROR(_xlfn.XLOOKUP(Table13[[#This Row],[Date]],'Raw Data'!$E:$E,'Raw Data'!$AN:$AN),"")</f>
        <v/>
      </c>
      <c r="AU243" s="7">
        <f>IFERROR(_xlfn.XLOOKUP(Table13[[#This Row],[Month Year]],'Modelling New'!$D:$D,'Modelling New'!$AO:$AO),"")</f>
        <v>7</v>
      </c>
      <c r="AV243" s="7">
        <f>IFERROR(SUMIF('Curtailment Records'!$C:$C,Table13[[#This Row],[Date]],'Curtailment Records'!$R:$R)/1000,"")</f>
        <v>0</v>
      </c>
    </row>
    <row r="244" spans="1:48" x14ac:dyDescent="0.25">
      <c r="A244" s="93">
        <f t="shared" si="14"/>
        <v>45987</v>
      </c>
      <c r="B244" s="86">
        <f>YEAR(Table13[[#This Row],[Date]])+IF(MONTH(Table13[[#This Row],[Date]])&gt;=4,1,0)</f>
        <v>2026</v>
      </c>
      <c r="C244" s="7">
        <f>YEAR(Table13[[#This Row],[Date]])</f>
        <v>2025</v>
      </c>
      <c r="D244" s="92">
        <f>Table13[[#This Row],[Date]]-DAY(Table13[[#This Row],[Date]])+1</f>
        <v>45962</v>
      </c>
      <c r="E244" s="7">
        <f t="shared" si="15"/>
        <v>30</v>
      </c>
      <c r="F244" s="91" t="str">
        <f>IFERROR(_xlfn.XLOOKUP($A244,'Raw Data'!$G:$G,'Raw Data'!$AM:$AM),"")</f>
        <v/>
      </c>
      <c r="G244" s="90" t="str">
        <f>IFERROR(_xlfn.XLOOKUP($A244,'Raw Data'!$G:$G,'Raw Data'!$AB:$AB),"")</f>
        <v/>
      </c>
      <c r="H244" s="90"/>
      <c r="I244" s="90" t="str">
        <f>IFERROR(_xlfn.XLOOKUP($A244,'Raw Data'!$G:$G,'Raw Data'!$AC:$AC),"")</f>
        <v/>
      </c>
      <c r="J244" s="90"/>
      <c r="K244" s="90" t="str">
        <f>IFERROR(_xlfn.XLOOKUP($A244,'Raw Data'!$G:$G,'Raw Data'!AD:AD),"")</f>
        <v/>
      </c>
      <c r="L244" s="90" t="str">
        <f>IFERROR(_xlfn.XLOOKUP($A244,'Raw Data'!$G:$G,'Raw Data'!AE:AE),"")</f>
        <v/>
      </c>
      <c r="M244" s="90" t="str">
        <f>IFERROR(_xlfn.XLOOKUP($A244,'Raw Data'!$G:$G,'Raw Data'!AF:AF),"")</f>
        <v/>
      </c>
      <c r="N244" s="90" t="str">
        <f>IFERROR(_xlfn.XLOOKUP($A244,'Raw Data'!$G:$G,'Raw Data'!AG:AG),"")</f>
        <v/>
      </c>
      <c r="O244" s="85" t="str">
        <f>IFERROR(1-SUMIF('Plant BD'!$B:$B,$A244,'Plant BD'!$AM:$AM)/($AA244+SUMIF('Plant BD'!$B:$B,$A244,'Plant BD'!$AM:$AM)),"")</f>
        <v/>
      </c>
      <c r="P244" s="85"/>
      <c r="Q244" s="89"/>
      <c r="R244" s="85" t="str">
        <f>IFERROR(1-SUMIF('Grid BD'!$B:$B,$A244,'Grid BD'!$AE:$AE)/($AA244+SUMIF('Grid BD'!$B:$B,$A244,'Grid BD'!$AE:$AE)),"")</f>
        <v/>
      </c>
      <c r="T244" s="89"/>
      <c r="U244" s="88" t="str">
        <f t="shared" si="13"/>
        <v/>
      </c>
      <c r="V244" s="88"/>
      <c r="W244" s="84" t="str">
        <f t="shared" si="16"/>
        <v/>
      </c>
      <c r="X244" s="86" t="str">
        <f>IFERROR(_xlfn.XLOOKUP($A244,'Raw Data'!$G:$G,'Raw Data'!AI:AI),"")</f>
        <v/>
      </c>
      <c r="Y244" s="86" t="str">
        <f>IFERROR(_xlfn.XLOOKUP($A244,'Raw Data'!$G:$G,'Raw Data'!AJ:AJ),"")</f>
        <v/>
      </c>
      <c r="Z244" s="86" t="str">
        <f>IFERROR(_xlfn.XLOOKUP($A244,'Raw Data'!$G:$G,'Raw Data'!AK:AK),"")</f>
        <v/>
      </c>
      <c r="AA244" s="86" t="str">
        <f>IFERROR(_xlfn.XLOOKUP($A244,'Raw Data'!$G:$G,'Raw Data'!$AL:$AL)*(1+(_xlfn.XLOOKUP(Table13[[#This Row],[Month Year]],JMR!$A:$A,JMR!$J:$J))),"")</f>
        <v/>
      </c>
      <c r="AB244" s="86" t="str">
        <f>IFERROR(_xlfn.XLOOKUP($A244,'Raw Data'!$G:$G,'Raw Data'!$H:$H),"")</f>
        <v/>
      </c>
      <c r="AC244" s="87">
        <f>IFERROR(_xlfn.XLOOKUP($D244,'Modelling New'!$D:$D,'Modelling New'!$P:$P),"")</f>
        <v>5.5333333333333332</v>
      </c>
      <c r="AD244" s="86">
        <f>IFERROR(_xlfn.XLOOKUP($D244,'Modelling New'!$D:$D,'Modelling New'!$T:$T)*1000,"")</f>
        <v>27380.514727051846</v>
      </c>
      <c r="AE244" s="94">
        <f>IFERROR(_xlfn.XLOOKUP($D244,'Modelling New'!$D:$D,'Modelling New'!$O:$O),"")</f>
        <v>0.69702019862033959</v>
      </c>
      <c r="AF244" s="94">
        <f>IFERROR(_xlfn.XLOOKUP($D244,'Modelling New'!$D:$D,'Modelling New'!$W:$W),"")</f>
        <v>0.16070187912635606</v>
      </c>
      <c r="AG244" s="94">
        <f>IFERROR(_xlfn.XLOOKUP($D244,'Modelling New'!$D:$D,'Modelling New'!$AE:$AE),"")</f>
        <v>0.98040000000000005</v>
      </c>
      <c r="AH244" s="94">
        <f>IFERROR(_xlfn.XLOOKUP($D244,'Modelling New'!$D:$D,'Modelling New'!$AF:$AF),"")</f>
        <v>0.98</v>
      </c>
      <c r="AN244" s="85"/>
      <c r="AO244" s="84"/>
      <c r="AP244" s="84"/>
      <c r="AQ244" s="84"/>
      <c r="AR244" s="86">
        <f>'Basic Data'!$J$2</f>
        <v>7.0991999999999997</v>
      </c>
      <c r="AT244" s="7" t="str">
        <f>IFERROR(_xlfn.XLOOKUP(Table13[[#This Row],[Date]],'Raw Data'!$E:$E,'Raw Data'!$AN:$AN),"")</f>
        <v/>
      </c>
      <c r="AU244" s="7">
        <f>IFERROR(_xlfn.XLOOKUP(Table13[[#This Row],[Month Year]],'Modelling New'!$D:$D,'Modelling New'!$AO:$AO),"")</f>
        <v>7</v>
      </c>
      <c r="AV244" s="7">
        <f>IFERROR(SUMIF('Curtailment Records'!$C:$C,Table13[[#This Row],[Date]],'Curtailment Records'!$R:$R)/1000,"")</f>
        <v>0</v>
      </c>
    </row>
    <row r="245" spans="1:48" x14ac:dyDescent="0.25">
      <c r="A245" s="93">
        <f t="shared" si="14"/>
        <v>45988</v>
      </c>
      <c r="B245" s="86">
        <f>YEAR(Table13[[#This Row],[Date]])+IF(MONTH(Table13[[#This Row],[Date]])&gt;=4,1,0)</f>
        <v>2026</v>
      </c>
      <c r="C245" s="7">
        <f>YEAR(Table13[[#This Row],[Date]])</f>
        <v>2025</v>
      </c>
      <c r="D245" s="92">
        <f>Table13[[#This Row],[Date]]-DAY(Table13[[#This Row],[Date]])+1</f>
        <v>45962</v>
      </c>
      <c r="E245" s="7">
        <f t="shared" si="15"/>
        <v>30</v>
      </c>
      <c r="F245" s="91" t="str">
        <f>IFERROR(_xlfn.XLOOKUP($A245,'Raw Data'!$G:$G,'Raw Data'!$AM:$AM),"")</f>
        <v/>
      </c>
      <c r="G245" s="90" t="str">
        <f>IFERROR(_xlfn.XLOOKUP($A245,'Raw Data'!$G:$G,'Raw Data'!$AB:$AB),"")</f>
        <v/>
      </c>
      <c r="H245" s="90"/>
      <c r="I245" s="90" t="str">
        <f>IFERROR(_xlfn.XLOOKUP($A245,'Raw Data'!$G:$G,'Raw Data'!$AC:$AC),"")</f>
        <v/>
      </c>
      <c r="J245" s="90"/>
      <c r="K245" s="90" t="str">
        <f>IFERROR(_xlfn.XLOOKUP($A245,'Raw Data'!$G:$G,'Raw Data'!AD:AD),"")</f>
        <v/>
      </c>
      <c r="L245" s="90" t="str">
        <f>IFERROR(_xlfn.XLOOKUP($A245,'Raw Data'!$G:$G,'Raw Data'!AE:AE),"")</f>
        <v/>
      </c>
      <c r="M245" s="90" t="str">
        <f>IFERROR(_xlfn.XLOOKUP($A245,'Raw Data'!$G:$G,'Raw Data'!AF:AF),"")</f>
        <v/>
      </c>
      <c r="N245" s="90" t="str">
        <f>IFERROR(_xlfn.XLOOKUP($A245,'Raw Data'!$G:$G,'Raw Data'!AG:AG),"")</f>
        <v/>
      </c>
      <c r="O245" s="85" t="str">
        <f>IFERROR(1-SUMIF('Plant BD'!$B:$B,$A245,'Plant BD'!$AM:$AM)/($AA245+SUMIF('Plant BD'!$B:$B,$A245,'Plant BD'!$AM:$AM)),"")</f>
        <v/>
      </c>
      <c r="P245" s="85"/>
      <c r="Q245" s="89"/>
      <c r="R245" s="85" t="str">
        <f>IFERROR(1-SUMIF('Grid BD'!$B:$B,$A245,'Grid BD'!$AE:$AE)/($AA245+SUMIF('Grid BD'!$B:$B,$A245,'Grid BD'!$AE:$AE)),"")</f>
        <v/>
      </c>
      <c r="T245" s="89"/>
      <c r="U245" s="88" t="str">
        <f t="shared" ref="U245:U308" si="17">IFERROR(AA245/I245/AB245/1000,"")</f>
        <v/>
      </c>
      <c r="V245" s="88"/>
      <c r="W245" s="84" t="str">
        <f t="shared" si="16"/>
        <v/>
      </c>
      <c r="X245" s="86" t="str">
        <f>IFERROR(_xlfn.XLOOKUP($A245,'Raw Data'!$G:$G,'Raw Data'!AI:AI),"")</f>
        <v/>
      </c>
      <c r="Y245" s="86" t="str">
        <f>IFERROR(_xlfn.XLOOKUP($A245,'Raw Data'!$G:$G,'Raw Data'!AJ:AJ),"")</f>
        <v/>
      </c>
      <c r="Z245" s="86" t="str">
        <f>IFERROR(_xlfn.XLOOKUP($A245,'Raw Data'!$G:$G,'Raw Data'!AK:AK),"")</f>
        <v/>
      </c>
      <c r="AA245" s="86" t="str">
        <f>IFERROR(_xlfn.XLOOKUP($A245,'Raw Data'!$G:$G,'Raw Data'!$AL:$AL)*(1+(_xlfn.XLOOKUP(Table13[[#This Row],[Month Year]],JMR!$A:$A,JMR!$J:$J))),"")</f>
        <v/>
      </c>
      <c r="AB245" s="86" t="str">
        <f>IFERROR(_xlfn.XLOOKUP($A245,'Raw Data'!$G:$G,'Raw Data'!$H:$H),"")</f>
        <v/>
      </c>
      <c r="AC245" s="87">
        <f>IFERROR(_xlfn.XLOOKUP($D245,'Modelling New'!$D:$D,'Modelling New'!$P:$P),"")</f>
        <v>5.5333333333333332</v>
      </c>
      <c r="AD245" s="86">
        <f>IFERROR(_xlfn.XLOOKUP($D245,'Modelling New'!$D:$D,'Modelling New'!$T:$T)*1000,"")</f>
        <v>27380.514727051846</v>
      </c>
      <c r="AE245" s="94">
        <f>IFERROR(_xlfn.XLOOKUP($D245,'Modelling New'!$D:$D,'Modelling New'!$O:$O),"")</f>
        <v>0.69702019862033959</v>
      </c>
      <c r="AF245" s="94">
        <f>IFERROR(_xlfn.XLOOKUP($D245,'Modelling New'!$D:$D,'Modelling New'!$W:$W),"")</f>
        <v>0.16070187912635606</v>
      </c>
      <c r="AG245" s="94">
        <f>IFERROR(_xlfn.XLOOKUP($D245,'Modelling New'!$D:$D,'Modelling New'!$AE:$AE),"")</f>
        <v>0.98040000000000005</v>
      </c>
      <c r="AH245" s="94">
        <f>IFERROR(_xlfn.XLOOKUP($D245,'Modelling New'!$D:$D,'Modelling New'!$AF:$AF),"")</f>
        <v>0.98</v>
      </c>
      <c r="AN245" s="85"/>
      <c r="AO245" s="84"/>
      <c r="AP245" s="84"/>
      <c r="AQ245" s="84"/>
      <c r="AR245" s="86">
        <f>'Basic Data'!$J$2</f>
        <v>7.0991999999999997</v>
      </c>
      <c r="AT245" s="7" t="str">
        <f>IFERROR(_xlfn.XLOOKUP(Table13[[#This Row],[Date]],'Raw Data'!$E:$E,'Raw Data'!$AN:$AN),"")</f>
        <v/>
      </c>
      <c r="AU245" s="7">
        <f>IFERROR(_xlfn.XLOOKUP(Table13[[#This Row],[Month Year]],'Modelling New'!$D:$D,'Modelling New'!$AO:$AO),"")</f>
        <v>7</v>
      </c>
      <c r="AV245" s="7">
        <f>IFERROR(SUMIF('Curtailment Records'!$C:$C,Table13[[#This Row],[Date]],'Curtailment Records'!$R:$R)/1000,"")</f>
        <v>0</v>
      </c>
    </row>
    <row r="246" spans="1:48" x14ac:dyDescent="0.25">
      <c r="A246" s="93">
        <f t="shared" ref="A246:A309" si="18">A245+1</f>
        <v>45989</v>
      </c>
      <c r="B246" s="86">
        <f>YEAR(Table13[[#This Row],[Date]])+IF(MONTH(Table13[[#This Row],[Date]])&gt;=4,1,0)</f>
        <v>2026</v>
      </c>
      <c r="C246" s="7">
        <f>YEAR(Table13[[#This Row],[Date]])</f>
        <v>2025</v>
      </c>
      <c r="D246" s="92">
        <f>Table13[[#This Row],[Date]]-DAY(Table13[[#This Row],[Date]])+1</f>
        <v>45962</v>
      </c>
      <c r="E246" s="7">
        <f t="shared" si="15"/>
        <v>30</v>
      </c>
      <c r="F246" s="91" t="str">
        <f>IFERROR(_xlfn.XLOOKUP($A246,'Raw Data'!$G:$G,'Raw Data'!$AM:$AM),"")</f>
        <v/>
      </c>
      <c r="G246" s="90" t="str">
        <f>IFERROR(_xlfn.XLOOKUP($A246,'Raw Data'!$G:$G,'Raw Data'!$AB:$AB),"")</f>
        <v/>
      </c>
      <c r="H246" s="90"/>
      <c r="I246" s="90" t="str">
        <f>IFERROR(_xlfn.XLOOKUP($A246,'Raw Data'!$G:$G,'Raw Data'!$AC:$AC),"")</f>
        <v/>
      </c>
      <c r="J246" s="90"/>
      <c r="K246" s="90" t="str">
        <f>IFERROR(_xlfn.XLOOKUP($A246,'Raw Data'!$G:$G,'Raw Data'!AD:AD),"")</f>
        <v/>
      </c>
      <c r="L246" s="90" t="str">
        <f>IFERROR(_xlfn.XLOOKUP($A246,'Raw Data'!$G:$G,'Raw Data'!AE:AE),"")</f>
        <v/>
      </c>
      <c r="M246" s="90" t="str">
        <f>IFERROR(_xlfn.XLOOKUP($A246,'Raw Data'!$G:$G,'Raw Data'!AF:AF),"")</f>
        <v/>
      </c>
      <c r="N246" s="90" t="str">
        <f>IFERROR(_xlfn.XLOOKUP($A246,'Raw Data'!$G:$G,'Raw Data'!AG:AG),"")</f>
        <v/>
      </c>
      <c r="O246" s="85" t="str">
        <f>IFERROR(1-SUMIF('Plant BD'!$B:$B,$A246,'Plant BD'!$AM:$AM)/($AA246+SUMIF('Plant BD'!$B:$B,$A246,'Plant BD'!$AM:$AM)),"")</f>
        <v/>
      </c>
      <c r="P246" s="85"/>
      <c r="Q246" s="89"/>
      <c r="R246" s="85" t="str">
        <f>IFERROR(1-SUMIF('Grid BD'!$B:$B,$A246,'Grid BD'!$AE:$AE)/($AA246+SUMIF('Grid BD'!$B:$B,$A246,'Grid BD'!$AE:$AE)),"")</f>
        <v/>
      </c>
      <c r="T246" s="89"/>
      <c r="U246" s="88" t="str">
        <f t="shared" si="17"/>
        <v/>
      </c>
      <c r="V246" s="88"/>
      <c r="W246" s="84" t="str">
        <f t="shared" si="16"/>
        <v/>
      </c>
      <c r="X246" s="86" t="str">
        <f>IFERROR(_xlfn.XLOOKUP($A246,'Raw Data'!$G:$G,'Raw Data'!AI:AI),"")</f>
        <v/>
      </c>
      <c r="Y246" s="86" t="str">
        <f>IFERROR(_xlfn.XLOOKUP($A246,'Raw Data'!$G:$G,'Raw Data'!AJ:AJ),"")</f>
        <v/>
      </c>
      <c r="Z246" s="86" t="str">
        <f>IFERROR(_xlfn.XLOOKUP($A246,'Raw Data'!$G:$G,'Raw Data'!AK:AK),"")</f>
        <v/>
      </c>
      <c r="AA246" s="86" t="str">
        <f>IFERROR(_xlfn.XLOOKUP($A246,'Raw Data'!$G:$G,'Raw Data'!$AL:$AL)*(1+(_xlfn.XLOOKUP(Table13[[#This Row],[Month Year]],JMR!$A:$A,JMR!$J:$J))),"")</f>
        <v/>
      </c>
      <c r="AB246" s="86" t="str">
        <f>IFERROR(_xlfn.XLOOKUP($A246,'Raw Data'!$G:$G,'Raw Data'!$H:$H),"")</f>
        <v/>
      </c>
      <c r="AC246" s="87">
        <f>IFERROR(_xlfn.XLOOKUP($D246,'Modelling New'!$D:$D,'Modelling New'!$P:$P),"")</f>
        <v>5.5333333333333332</v>
      </c>
      <c r="AD246" s="86">
        <f>IFERROR(_xlfn.XLOOKUP($D246,'Modelling New'!$D:$D,'Modelling New'!$T:$T)*1000,"")</f>
        <v>27380.514727051846</v>
      </c>
      <c r="AE246" s="94">
        <f>IFERROR(_xlfn.XLOOKUP($D246,'Modelling New'!$D:$D,'Modelling New'!$O:$O),"")</f>
        <v>0.69702019862033959</v>
      </c>
      <c r="AF246" s="94">
        <f>IFERROR(_xlfn.XLOOKUP($D246,'Modelling New'!$D:$D,'Modelling New'!$W:$W),"")</f>
        <v>0.16070187912635606</v>
      </c>
      <c r="AG246" s="94">
        <f>IFERROR(_xlfn.XLOOKUP($D246,'Modelling New'!$D:$D,'Modelling New'!$AE:$AE),"")</f>
        <v>0.98040000000000005</v>
      </c>
      <c r="AH246" s="94">
        <f>IFERROR(_xlfn.XLOOKUP($D246,'Modelling New'!$D:$D,'Modelling New'!$AF:$AF),"")</f>
        <v>0.98</v>
      </c>
      <c r="AN246" s="85"/>
      <c r="AO246" s="84"/>
      <c r="AP246" s="84"/>
      <c r="AQ246" s="84"/>
      <c r="AR246" s="86">
        <f>'Basic Data'!$J$2</f>
        <v>7.0991999999999997</v>
      </c>
      <c r="AT246" s="7" t="str">
        <f>IFERROR(_xlfn.XLOOKUP(Table13[[#This Row],[Date]],'Raw Data'!$E:$E,'Raw Data'!$AN:$AN),"")</f>
        <v/>
      </c>
      <c r="AU246" s="7">
        <f>IFERROR(_xlfn.XLOOKUP(Table13[[#This Row],[Month Year]],'Modelling New'!$D:$D,'Modelling New'!$AO:$AO),"")</f>
        <v>7</v>
      </c>
      <c r="AV246" s="7">
        <f>IFERROR(SUMIF('Curtailment Records'!$C:$C,Table13[[#This Row],[Date]],'Curtailment Records'!$R:$R)/1000,"")</f>
        <v>0</v>
      </c>
    </row>
    <row r="247" spans="1:48" x14ac:dyDescent="0.25">
      <c r="A247" s="93">
        <f t="shared" si="18"/>
        <v>45990</v>
      </c>
      <c r="B247" s="86">
        <f>YEAR(Table13[[#This Row],[Date]])+IF(MONTH(Table13[[#This Row],[Date]])&gt;=4,1,0)</f>
        <v>2026</v>
      </c>
      <c r="C247" s="7">
        <f>YEAR(Table13[[#This Row],[Date]])</f>
        <v>2025</v>
      </c>
      <c r="D247" s="92">
        <f>Table13[[#This Row],[Date]]-DAY(Table13[[#This Row],[Date]])+1</f>
        <v>45962</v>
      </c>
      <c r="E247" s="7">
        <f t="shared" si="15"/>
        <v>30</v>
      </c>
      <c r="F247" s="91" t="str">
        <f>IFERROR(_xlfn.XLOOKUP($A247,'Raw Data'!$G:$G,'Raw Data'!$AM:$AM),"")</f>
        <v/>
      </c>
      <c r="G247" s="90" t="str">
        <f>IFERROR(_xlfn.XLOOKUP($A247,'Raw Data'!$G:$G,'Raw Data'!$AB:$AB),"")</f>
        <v/>
      </c>
      <c r="H247" s="90"/>
      <c r="I247" s="90" t="str">
        <f>IFERROR(_xlfn.XLOOKUP($A247,'Raw Data'!$G:$G,'Raw Data'!$AC:$AC),"")</f>
        <v/>
      </c>
      <c r="J247" s="90"/>
      <c r="K247" s="90" t="str">
        <f>IFERROR(_xlfn.XLOOKUP($A247,'Raw Data'!$G:$G,'Raw Data'!AD:AD),"")</f>
        <v/>
      </c>
      <c r="L247" s="90" t="str">
        <f>IFERROR(_xlfn.XLOOKUP($A247,'Raw Data'!$G:$G,'Raw Data'!AE:AE),"")</f>
        <v/>
      </c>
      <c r="M247" s="90" t="str">
        <f>IFERROR(_xlfn.XLOOKUP($A247,'Raw Data'!$G:$G,'Raw Data'!AF:AF),"")</f>
        <v/>
      </c>
      <c r="N247" s="90" t="str">
        <f>IFERROR(_xlfn.XLOOKUP($A247,'Raw Data'!$G:$G,'Raw Data'!AG:AG),"")</f>
        <v/>
      </c>
      <c r="O247" s="85" t="str">
        <f>IFERROR(1-SUMIF('Plant BD'!$B:$B,$A247,'Plant BD'!$AM:$AM)/($AA247+SUMIF('Plant BD'!$B:$B,$A247,'Plant BD'!$AM:$AM)),"")</f>
        <v/>
      </c>
      <c r="P247" s="85"/>
      <c r="Q247" s="89"/>
      <c r="R247" s="85" t="str">
        <f>IFERROR(1-SUMIF('Grid BD'!$B:$B,$A247,'Grid BD'!$AE:$AE)/($AA247+SUMIF('Grid BD'!$B:$B,$A247,'Grid BD'!$AE:$AE)),"")</f>
        <v/>
      </c>
      <c r="T247" s="89"/>
      <c r="U247" s="88" t="str">
        <f t="shared" si="17"/>
        <v/>
      </c>
      <c r="V247" s="88"/>
      <c r="W247" s="84" t="str">
        <f t="shared" si="16"/>
        <v/>
      </c>
      <c r="X247" s="86" t="str">
        <f>IFERROR(_xlfn.XLOOKUP($A247,'Raw Data'!$G:$G,'Raw Data'!AI:AI),"")</f>
        <v/>
      </c>
      <c r="Y247" s="86" t="str">
        <f>IFERROR(_xlfn.XLOOKUP($A247,'Raw Data'!$G:$G,'Raw Data'!AJ:AJ),"")</f>
        <v/>
      </c>
      <c r="Z247" s="86" t="str">
        <f>IFERROR(_xlfn.XLOOKUP($A247,'Raw Data'!$G:$G,'Raw Data'!AK:AK),"")</f>
        <v/>
      </c>
      <c r="AA247" s="86" t="str">
        <f>IFERROR(_xlfn.XLOOKUP($A247,'Raw Data'!$G:$G,'Raw Data'!$AL:$AL)*(1+(_xlfn.XLOOKUP(Table13[[#This Row],[Month Year]],JMR!$A:$A,JMR!$J:$J))),"")</f>
        <v/>
      </c>
      <c r="AB247" s="86" t="str">
        <f>IFERROR(_xlfn.XLOOKUP($A247,'Raw Data'!$G:$G,'Raw Data'!$H:$H),"")</f>
        <v/>
      </c>
      <c r="AC247" s="87">
        <f>IFERROR(_xlfn.XLOOKUP($D247,'Modelling New'!$D:$D,'Modelling New'!$P:$P),"")</f>
        <v>5.5333333333333332</v>
      </c>
      <c r="AD247" s="86">
        <f>IFERROR(_xlfn.XLOOKUP($D247,'Modelling New'!$D:$D,'Modelling New'!$T:$T)*1000,"")</f>
        <v>27380.514727051846</v>
      </c>
      <c r="AE247" s="94">
        <f>IFERROR(_xlfn.XLOOKUP($D247,'Modelling New'!$D:$D,'Modelling New'!$O:$O),"")</f>
        <v>0.69702019862033959</v>
      </c>
      <c r="AF247" s="94">
        <f>IFERROR(_xlfn.XLOOKUP($D247,'Modelling New'!$D:$D,'Modelling New'!$W:$W),"")</f>
        <v>0.16070187912635606</v>
      </c>
      <c r="AG247" s="94">
        <f>IFERROR(_xlfn.XLOOKUP($D247,'Modelling New'!$D:$D,'Modelling New'!$AE:$AE),"")</f>
        <v>0.98040000000000005</v>
      </c>
      <c r="AH247" s="94">
        <f>IFERROR(_xlfn.XLOOKUP($D247,'Modelling New'!$D:$D,'Modelling New'!$AF:$AF),"")</f>
        <v>0.98</v>
      </c>
      <c r="AN247" s="85"/>
      <c r="AO247" s="84"/>
      <c r="AP247" s="84"/>
      <c r="AQ247" s="84"/>
      <c r="AR247" s="86">
        <f>'Basic Data'!$J$2</f>
        <v>7.0991999999999997</v>
      </c>
      <c r="AT247" s="7" t="str">
        <f>IFERROR(_xlfn.XLOOKUP(Table13[[#This Row],[Date]],'Raw Data'!$E:$E,'Raw Data'!$AN:$AN),"")</f>
        <v/>
      </c>
      <c r="AU247" s="7">
        <f>IFERROR(_xlfn.XLOOKUP(Table13[[#This Row],[Month Year]],'Modelling New'!$D:$D,'Modelling New'!$AO:$AO),"")</f>
        <v>7</v>
      </c>
      <c r="AV247" s="7">
        <f>IFERROR(SUMIF('Curtailment Records'!$C:$C,Table13[[#This Row],[Date]],'Curtailment Records'!$R:$R)/1000,"")</f>
        <v>0</v>
      </c>
    </row>
    <row r="248" spans="1:48" x14ac:dyDescent="0.25">
      <c r="A248" s="93">
        <f t="shared" si="18"/>
        <v>45991</v>
      </c>
      <c r="B248" s="86">
        <f>YEAR(Table13[[#This Row],[Date]])+IF(MONTH(Table13[[#This Row],[Date]])&gt;=4,1,0)</f>
        <v>2026</v>
      </c>
      <c r="C248" s="7">
        <f>YEAR(Table13[[#This Row],[Date]])</f>
        <v>2025</v>
      </c>
      <c r="D248" s="92">
        <f>Table13[[#This Row],[Date]]-DAY(Table13[[#This Row],[Date]])+1</f>
        <v>45962</v>
      </c>
      <c r="E248" s="7">
        <f t="shared" ref="E248:E311" si="19">DAY(EOMONTH(A248,0))</f>
        <v>30</v>
      </c>
      <c r="F248" s="91" t="str">
        <f>IFERROR(_xlfn.XLOOKUP($A248,'Raw Data'!$G:$G,'Raw Data'!$AM:$AM),"")</f>
        <v/>
      </c>
      <c r="G248" s="90" t="str">
        <f>IFERROR(_xlfn.XLOOKUP($A248,'Raw Data'!$G:$G,'Raw Data'!$AB:$AB),"")</f>
        <v/>
      </c>
      <c r="H248" s="90"/>
      <c r="I248" s="90" t="str">
        <f>IFERROR(_xlfn.XLOOKUP($A248,'Raw Data'!$G:$G,'Raw Data'!$AC:$AC),"")</f>
        <v/>
      </c>
      <c r="J248" s="90"/>
      <c r="K248" s="90" t="str">
        <f>IFERROR(_xlfn.XLOOKUP($A248,'Raw Data'!$G:$G,'Raw Data'!AD:AD),"")</f>
        <v/>
      </c>
      <c r="L248" s="90" t="str">
        <f>IFERROR(_xlfn.XLOOKUP($A248,'Raw Data'!$G:$G,'Raw Data'!AE:AE),"")</f>
        <v/>
      </c>
      <c r="M248" s="90" t="str">
        <f>IFERROR(_xlfn.XLOOKUP($A248,'Raw Data'!$G:$G,'Raw Data'!AF:AF),"")</f>
        <v/>
      </c>
      <c r="N248" s="90" t="str">
        <f>IFERROR(_xlfn.XLOOKUP($A248,'Raw Data'!$G:$G,'Raw Data'!AG:AG),"")</f>
        <v/>
      </c>
      <c r="O248" s="85" t="str">
        <f>IFERROR(1-SUMIF('Plant BD'!$B:$B,$A248,'Plant BD'!$AM:$AM)/($AA248+SUMIF('Plant BD'!$B:$B,$A248,'Plant BD'!$AM:$AM)),"")</f>
        <v/>
      </c>
      <c r="P248" s="85"/>
      <c r="Q248" s="89"/>
      <c r="R248" s="85" t="str">
        <f>IFERROR(1-SUMIF('Grid BD'!$B:$B,$A248,'Grid BD'!$AE:$AE)/($AA248+SUMIF('Grid BD'!$B:$B,$A248,'Grid BD'!$AE:$AE)),"")</f>
        <v/>
      </c>
      <c r="T248" s="89"/>
      <c r="U248" s="88" t="str">
        <f t="shared" si="17"/>
        <v/>
      </c>
      <c r="V248" s="88"/>
      <c r="W248" s="84" t="str">
        <f t="shared" si="16"/>
        <v/>
      </c>
      <c r="X248" s="86" t="str">
        <f>IFERROR(_xlfn.XLOOKUP($A248,'Raw Data'!$G:$G,'Raw Data'!AI:AI),"")</f>
        <v/>
      </c>
      <c r="Y248" s="86" t="str">
        <f>IFERROR(_xlfn.XLOOKUP($A248,'Raw Data'!$G:$G,'Raw Data'!AJ:AJ),"")</f>
        <v/>
      </c>
      <c r="Z248" s="86" t="str">
        <f>IFERROR(_xlfn.XLOOKUP($A248,'Raw Data'!$G:$G,'Raw Data'!AK:AK),"")</f>
        <v/>
      </c>
      <c r="AA248" s="86" t="str">
        <f>IFERROR(_xlfn.XLOOKUP($A248,'Raw Data'!$G:$G,'Raw Data'!$AL:$AL)*(1+(_xlfn.XLOOKUP(Table13[[#This Row],[Month Year]],JMR!$A:$A,JMR!$J:$J))),"")</f>
        <v/>
      </c>
      <c r="AB248" s="86" t="str">
        <f>IFERROR(_xlfn.XLOOKUP($A248,'Raw Data'!$G:$G,'Raw Data'!$H:$H),"")</f>
        <v/>
      </c>
      <c r="AC248" s="87">
        <f>IFERROR(_xlfn.XLOOKUP($D248,'Modelling New'!$D:$D,'Modelling New'!$P:$P),"")</f>
        <v>5.5333333333333332</v>
      </c>
      <c r="AD248" s="86">
        <f>IFERROR(_xlfn.XLOOKUP($D248,'Modelling New'!$D:$D,'Modelling New'!$T:$T)*1000,"")</f>
        <v>27380.514727051846</v>
      </c>
      <c r="AE248" s="94">
        <f>IFERROR(_xlfn.XLOOKUP($D248,'Modelling New'!$D:$D,'Modelling New'!$O:$O),"")</f>
        <v>0.69702019862033959</v>
      </c>
      <c r="AF248" s="94">
        <f>IFERROR(_xlfn.XLOOKUP($D248,'Modelling New'!$D:$D,'Modelling New'!$W:$W),"")</f>
        <v>0.16070187912635606</v>
      </c>
      <c r="AG248" s="94">
        <f>IFERROR(_xlfn.XLOOKUP($D248,'Modelling New'!$D:$D,'Modelling New'!$AE:$AE),"")</f>
        <v>0.98040000000000005</v>
      </c>
      <c r="AH248" s="94">
        <f>IFERROR(_xlfn.XLOOKUP($D248,'Modelling New'!$D:$D,'Modelling New'!$AF:$AF),"")</f>
        <v>0.98</v>
      </c>
      <c r="AN248" s="85"/>
      <c r="AO248" s="84"/>
      <c r="AP248" s="84"/>
      <c r="AQ248" s="84"/>
      <c r="AR248" s="86">
        <f>'Basic Data'!$J$2</f>
        <v>7.0991999999999997</v>
      </c>
      <c r="AT248" s="7" t="str">
        <f>IFERROR(_xlfn.XLOOKUP(Table13[[#This Row],[Date]],'Raw Data'!$E:$E,'Raw Data'!$AN:$AN),"")</f>
        <v/>
      </c>
      <c r="AU248" s="7">
        <f>IFERROR(_xlfn.XLOOKUP(Table13[[#This Row],[Month Year]],'Modelling New'!$D:$D,'Modelling New'!$AO:$AO),"")</f>
        <v>7</v>
      </c>
      <c r="AV248" s="7">
        <f>IFERROR(SUMIF('Curtailment Records'!$C:$C,Table13[[#This Row],[Date]],'Curtailment Records'!$R:$R)/1000,"")</f>
        <v>0</v>
      </c>
    </row>
    <row r="249" spans="1:48" x14ac:dyDescent="0.25">
      <c r="A249" s="93">
        <f t="shared" si="18"/>
        <v>45992</v>
      </c>
      <c r="B249" s="86">
        <f>YEAR(Table13[[#This Row],[Date]])+IF(MONTH(Table13[[#This Row],[Date]])&gt;=4,1,0)</f>
        <v>2026</v>
      </c>
      <c r="C249" s="7">
        <f>YEAR(Table13[[#This Row],[Date]])</f>
        <v>2025</v>
      </c>
      <c r="D249" s="92">
        <f>Table13[[#This Row],[Date]]-DAY(Table13[[#This Row],[Date]])+1</f>
        <v>45992</v>
      </c>
      <c r="E249" s="7">
        <f t="shared" si="19"/>
        <v>31</v>
      </c>
      <c r="F249" s="91" t="str">
        <f>IFERROR(_xlfn.XLOOKUP($A249,'Raw Data'!$G:$G,'Raw Data'!$AM:$AM),"")</f>
        <v/>
      </c>
      <c r="G249" s="90" t="str">
        <f>IFERROR(_xlfn.XLOOKUP($A249,'Raw Data'!$G:$G,'Raw Data'!$AB:$AB),"")</f>
        <v/>
      </c>
      <c r="H249" s="90"/>
      <c r="I249" s="90" t="str">
        <f>IFERROR(_xlfn.XLOOKUP($A249,'Raw Data'!$G:$G,'Raw Data'!$AC:$AC),"")</f>
        <v/>
      </c>
      <c r="J249" s="90"/>
      <c r="K249" s="90" t="str">
        <f>IFERROR(_xlfn.XLOOKUP($A249,'Raw Data'!$G:$G,'Raw Data'!AD:AD),"")</f>
        <v/>
      </c>
      <c r="L249" s="90" t="str">
        <f>IFERROR(_xlfn.XLOOKUP($A249,'Raw Data'!$G:$G,'Raw Data'!AE:AE),"")</f>
        <v/>
      </c>
      <c r="M249" s="90" t="str">
        <f>IFERROR(_xlfn.XLOOKUP($A249,'Raw Data'!$G:$G,'Raw Data'!AF:AF),"")</f>
        <v/>
      </c>
      <c r="N249" s="90" t="str">
        <f>IFERROR(_xlfn.XLOOKUP($A249,'Raw Data'!$G:$G,'Raw Data'!AG:AG),"")</f>
        <v/>
      </c>
      <c r="O249" s="85" t="str">
        <f>IFERROR(1-SUMIF('Plant BD'!$B:$B,$A249,'Plant BD'!$AM:$AM)/($AA249+SUMIF('Plant BD'!$B:$B,$A249,'Plant BD'!$AM:$AM)),"")</f>
        <v/>
      </c>
      <c r="P249" s="85"/>
      <c r="Q249" s="89"/>
      <c r="R249" s="85" t="str">
        <f>IFERROR(1-SUMIF('Grid BD'!$B:$B,$A249,'Grid BD'!$AE:$AE)/($AA249+SUMIF('Grid BD'!$B:$B,$A249,'Grid BD'!$AE:$AE)),"")</f>
        <v/>
      </c>
      <c r="T249" s="89"/>
      <c r="U249" s="88" t="str">
        <f t="shared" si="17"/>
        <v/>
      </c>
      <c r="V249" s="88"/>
      <c r="W249" s="84" t="str">
        <f t="shared" si="16"/>
        <v/>
      </c>
      <c r="X249" s="86" t="str">
        <f>IFERROR(_xlfn.XLOOKUP($A249,'Raw Data'!$G:$G,'Raw Data'!AI:AI),"")</f>
        <v/>
      </c>
      <c r="Y249" s="86" t="str">
        <f>IFERROR(_xlfn.XLOOKUP($A249,'Raw Data'!$G:$G,'Raw Data'!AJ:AJ),"")</f>
        <v/>
      </c>
      <c r="Z249" s="86" t="str">
        <f>IFERROR(_xlfn.XLOOKUP($A249,'Raw Data'!$G:$G,'Raw Data'!AK:AK),"")</f>
        <v/>
      </c>
      <c r="AA249" s="86" t="str">
        <f>IFERROR(_xlfn.XLOOKUP($A249,'Raw Data'!$G:$G,'Raw Data'!$AL:$AL)*(1+(_xlfn.XLOOKUP(Table13[[#This Row],[Month Year]],JMR!$A:$A,JMR!$J:$J))),"")</f>
        <v/>
      </c>
      <c r="AB249" s="86" t="str">
        <f>IFERROR(_xlfn.XLOOKUP($A249,'Raw Data'!$G:$G,'Raw Data'!$H:$H),"")</f>
        <v/>
      </c>
      <c r="AC249" s="87">
        <f>IFERROR(_xlfn.XLOOKUP($D249,'Modelling New'!$D:$D,'Modelling New'!$P:$P),"")</f>
        <v>5.3774193548387093</v>
      </c>
      <c r="AD249" s="86">
        <f>IFERROR(_xlfn.XLOOKUP($D249,'Modelling New'!$D:$D,'Modelling New'!$T:$T)*1000,"")</f>
        <v>27590.56771095916</v>
      </c>
      <c r="AE249" s="94">
        <f>IFERROR(_xlfn.XLOOKUP($D249,'Modelling New'!$D:$D,'Modelling New'!$O:$O),"")</f>
        <v>0.72273205859143763</v>
      </c>
      <c r="AF249" s="94">
        <f>IFERROR(_xlfn.XLOOKUP($D249,'Modelling New'!$D:$D,'Modelling New'!$W:$W),"")</f>
        <v>0.16193472334300085</v>
      </c>
      <c r="AG249" s="94">
        <f>IFERROR(_xlfn.XLOOKUP($D249,'Modelling New'!$D:$D,'Modelling New'!$AE:$AE),"")</f>
        <v>0.98040000000000005</v>
      </c>
      <c r="AH249" s="94">
        <f>IFERROR(_xlfn.XLOOKUP($D249,'Modelling New'!$D:$D,'Modelling New'!$AF:$AF),"")</f>
        <v>0.98</v>
      </c>
      <c r="AN249" s="85"/>
      <c r="AO249" s="84"/>
      <c r="AP249" s="84"/>
      <c r="AQ249" s="84"/>
      <c r="AR249" s="86">
        <f>'Basic Data'!$J$2</f>
        <v>7.0991999999999997</v>
      </c>
      <c r="AT249" s="7" t="str">
        <f>IFERROR(_xlfn.XLOOKUP(Table13[[#This Row],[Date]],'Raw Data'!$E:$E,'Raw Data'!$AN:$AN),"")</f>
        <v/>
      </c>
      <c r="AU249" s="7">
        <f>IFERROR(_xlfn.XLOOKUP(Table13[[#This Row],[Month Year]],'Modelling New'!$D:$D,'Modelling New'!$AO:$AO),"")</f>
        <v>7</v>
      </c>
      <c r="AV249" s="7">
        <f>IFERROR(SUMIF('Curtailment Records'!$C:$C,Table13[[#This Row],[Date]],'Curtailment Records'!$R:$R)/1000,"")</f>
        <v>0</v>
      </c>
    </row>
    <row r="250" spans="1:48" x14ac:dyDescent="0.25">
      <c r="A250" s="93">
        <f t="shared" si="18"/>
        <v>45993</v>
      </c>
      <c r="B250" s="86">
        <f>YEAR(Table13[[#This Row],[Date]])+IF(MONTH(Table13[[#This Row],[Date]])&gt;=4,1,0)</f>
        <v>2026</v>
      </c>
      <c r="C250" s="7">
        <f>YEAR(Table13[[#This Row],[Date]])</f>
        <v>2025</v>
      </c>
      <c r="D250" s="92">
        <f>Table13[[#This Row],[Date]]-DAY(Table13[[#This Row],[Date]])+1</f>
        <v>45992</v>
      </c>
      <c r="E250" s="7">
        <f t="shared" si="19"/>
        <v>31</v>
      </c>
      <c r="F250" s="91" t="str">
        <f>IFERROR(_xlfn.XLOOKUP($A250,'Raw Data'!$G:$G,'Raw Data'!$AM:$AM),"")</f>
        <v/>
      </c>
      <c r="G250" s="90" t="str">
        <f>IFERROR(_xlfn.XLOOKUP($A250,'Raw Data'!$G:$G,'Raw Data'!$AB:$AB),"")</f>
        <v/>
      </c>
      <c r="H250" s="90"/>
      <c r="I250" s="90" t="str">
        <f>IFERROR(_xlfn.XLOOKUP($A250,'Raw Data'!$G:$G,'Raw Data'!$AC:$AC),"")</f>
        <v/>
      </c>
      <c r="J250" s="90"/>
      <c r="K250" s="90" t="str">
        <f>IFERROR(_xlfn.XLOOKUP($A250,'Raw Data'!$G:$G,'Raw Data'!AD:AD),"")</f>
        <v/>
      </c>
      <c r="L250" s="90" t="str">
        <f>IFERROR(_xlfn.XLOOKUP($A250,'Raw Data'!$G:$G,'Raw Data'!AE:AE),"")</f>
        <v/>
      </c>
      <c r="M250" s="90" t="str">
        <f>IFERROR(_xlfn.XLOOKUP($A250,'Raw Data'!$G:$G,'Raw Data'!AF:AF),"")</f>
        <v/>
      </c>
      <c r="N250" s="90" t="str">
        <f>IFERROR(_xlfn.XLOOKUP($A250,'Raw Data'!$G:$G,'Raw Data'!AG:AG),"")</f>
        <v/>
      </c>
      <c r="O250" s="85" t="str">
        <f>IFERROR(1-SUMIF('Plant BD'!$B:$B,$A250,'Plant BD'!$AM:$AM)/($AA250+SUMIF('Plant BD'!$B:$B,$A250,'Plant BD'!$AM:$AM)),"")</f>
        <v/>
      </c>
      <c r="P250" s="85"/>
      <c r="Q250" s="89"/>
      <c r="R250" s="85" t="str">
        <f>IFERROR(1-SUMIF('Grid BD'!$B:$B,$A250,'Grid BD'!$AE:$AE)/($AA250+SUMIF('Grid BD'!$B:$B,$A250,'Grid BD'!$AE:$AE)),"")</f>
        <v/>
      </c>
      <c r="T250" s="89"/>
      <c r="U250" s="88" t="str">
        <f t="shared" si="17"/>
        <v/>
      </c>
      <c r="V250" s="88"/>
      <c r="W250" s="84" t="str">
        <f t="shared" si="16"/>
        <v/>
      </c>
      <c r="X250" s="86" t="str">
        <f>IFERROR(_xlfn.XLOOKUP($A250,'Raw Data'!$G:$G,'Raw Data'!AI:AI),"")</f>
        <v/>
      </c>
      <c r="Y250" s="86" t="str">
        <f>IFERROR(_xlfn.XLOOKUP($A250,'Raw Data'!$G:$G,'Raw Data'!AJ:AJ),"")</f>
        <v/>
      </c>
      <c r="Z250" s="86" t="str">
        <f>IFERROR(_xlfn.XLOOKUP($A250,'Raw Data'!$G:$G,'Raw Data'!AK:AK),"")</f>
        <v/>
      </c>
      <c r="AA250" s="86" t="str">
        <f>IFERROR(_xlfn.XLOOKUP($A250,'Raw Data'!$G:$G,'Raw Data'!$AL:$AL)*(1+(_xlfn.XLOOKUP(Table13[[#This Row],[Month Year]],JMR!$A:$A,JMR!$J:$J))),"")</f>
        <v/>
      </c>
      <c r="AB250" s="86" t="str">
        <f>IFERROR(_xlfn.XLOOKUP($A250,'Raw Data'!$G:$G,'Raw Data'!$H:$H),"")</f>
        <v/>
      </c>
      <c r="AC250" s="87">
        <f>IFERROR(_xlfn.XLOOKUP($D250,'Modelling New'!$D:$D,'Modelling New'!$P:$P),"")</f>
        <v>5.3774193548387093</v>
      </c>
      <c r="AD250" s="86">
        <f>IFERROR(_xlfn.XLOOKUP($D250,'Modelling New'!$D:$D,'Modelling New'!$T:$T)*1000,"")</f>
        <v>27590.56771095916</v>
      </c>
      <c r="AE250" s="94">
        <f>IFERROR(_xlfn.XLOOKUP($D250,'Modelling New'!$D:$D,'Modelling New'!$O:$O),"")</f>
        <v>0.72273205859143763</v>
      </c>
      <c r="AF250" s="94">
        <f>IFERROR(_xlfn.XLOOKUP($D250,'Modelling New'!$D:$D,'Modelling New'!$W:$W),"")</f>
        <v>0.16193472334300085</v>
      </c>
      <c r="AG250" s="94">
        <f>IFERROR(_xlfn.XLOOKUP($D250,'Modelling New'!$D:$D,'Modelling New'!$AE:$AE),"")</f>
        <v>0.98040000000000005</v>
      </c>
      <c r="AH250" s="94">
        <f>IFERROR(_xlfn.XLOOKUP($D250,'Modelling New'!$D:$D,'Modelling New'!$AF:$AF),"")</f>
        <v>0.98</v>
      </c>
      <c r="AN250" s="85"/>
      <c r="AO250" s="84"/>
      <c r="AP250" s="84"/>
      <c r="AQ250" s="84"/>
      <c r="AR250" s="86">
        <f>'Basic Data'!$J$2</f>
        <v>7.0991999999999997</v>
      </c>
      <c r="AT250" s="7" t="str">
        <f>IFERROR(_xlfn.XLOOKUP(Table13[[#This Row],[Date]],'Raw Data'!$E:$E,'Raw Data'!$AN:$AN),"")</f>
        <v/>
      </c>
      <c r="AU250" s="7">
        <f>IFERROR(_xlfn.XLOOKUP(Table13[[#This Row],[Month Year]],'Modelling New'!$D:$D,'Modelling New'!$AO:$AO),"")</f>
        <v>7</v>
      </c>
      <c r="AV250" s="7">
        <f>IFERROR(SUMIF('Curtailment Records'!$C:$C,Table13[[#This Row],[Date]],'Curtailment Records'!$R:$R)/1000,"")</f>
        <v>0</v>
      </c>
    </row>
    <row r="251" spans="1:48" x14ac:dyDescent="0.25">
      <c r="A251" s="93">
        <f t="shared" si="18"/>
        <v>45994</v>
      </c>
      <c r="B251" s="86">
        <f>YEAR(Table13[[#This Row],[Date]])+IF(MONTH(Table13[[#This Row],[Date]])&gt;=4,1,0)</f>
        <v>2026</v>
      </c>
      <c r="C251" s="7">
        <f>YEAR(Table13[[#This Row],[Date]])</f>
        <v>2025</v>
      </c>
      <c r="D251" s="92">
        <f>Table13[[#This Row],[Date]]-DAY(Table13[[#This Row],[Date]])+1</f>
        <v>45992</v>
      </c>
      <c r="E251" s="7">
        <f t="shared" si="19"/>
        <v>31</v>
      </c>
      <c r="F251" s="91" t="str">
        <f>IFERROR(_xlfn.XLOOKUP($A251,'Raw Data'!$G:$G,'Raw Data'!$AM:$AM),"")</f>
        <v/>
      </c>
      <c r="G251" s="90" t="str">
        <f>IFERROR(_xlfn.XLOOKUP($A251,'Raw Data'!$G:$G,'Raw Data'!$AB:$AB),"")</f>
        <v/>
      </c>
      <c r="H251" s="90"/>
      <c r="I251" s="90" t="str">
        <f>IFERROR(_xlfn.XLOOKUP($A251,'Raw Data'!$G:$G,'Raw Data'!$AC:$AC),"")</f>
        <v/>
      </c>
      <c r="J251" s="90"/>
      <c r="K251" s="90" t="str">
        <f>IFERROR(_xlfn.XLOOKUP($A251,'Raw Data'!$G:$G,'Raw Data'!AD:AD),"")</f>
        <v/>
      </c>
      <c r="L251" s="90" t="str">
        <f>IFERROR(_xlfn.XLOOKUP($A251,'Raw Data'!$G:$G,'Raw Data'!AE:AE),"")</f>
        <v/>
      </c>
      <c r="M251" s="90" t="str">
        <f>IFERROR(_xlfn.XLOOKUP($A251,'Raw Data'!$G:$G,'Raw Data'!AF:AF),"")</f>
        <v/>
      </c>
      <c r="N251" s="90" t="str">
        <f>IFERROR(_xlfn.XLOOKUP($A251,'Raw Data'!$G:$G,'Raw Data'!AG:AG),"")</f>
        <v/>
      </c>
      <c r="O251" s="85" t="str">
        <f>IFERROR(1-SUMIF('Plant BD'!$B:$B,$A251,'Plant BD'!$AM:$AM)/($AA251+SUMIF('Plant BD'!$B:$B,$A251,'Plant BD'!$AM:$AM)),"")</f>
        <v/>
      </c>
      <c r="P251" s="85"/>
      <c r="Q251" s="89"/>
      <c r="R251" s="85" t="str">
        <f>IFERROR(1-SUMIF('Grid BD'!$B:$B,$A251,'Grid BD'!$AE:$AE)/($AA251+SUMIF('Grid BD'!$B:$B,$A251,'Grid BD'!$AE:$AE)),"")</f>
        <v/>
      </c>
      <c r="T251" s="89"/>
      <c r="U251" s="88" t="str">
        <f t="shared" si="17"/>
        <v/>
      </c>
      <c r="V251" s="88"/>
      <c r="W251" s="84" t="str">
        <f t="shared" si="16"/>
        <v/>
      </c>
      <c r="X251" s="86" t="str">
        <f>IFERROR(_xlfn.XLOOKUP($A251,'Raw Data'!$G:$G,'Raw Data'!AI:AI),"")</f>
        <v/>
      </c>
      <c r="Y251" s="86" t="str">
        <f>IFERROR(_xlfn.XLOOKUP($A251,'Raw Data'!$G:$G,'Raw Data'!AJ:AJ),"")</f>
        <v/>
      </c>
      <c r="Z251" s="86" t="str">
        <f>IFERROR(_xlfn.XLOOKUP($A251,'Raw Data'!$G:$G,'Raw Data'!AK:AK),"")</f>
        <v/>
      </c>
      <c r="AA251" s="86" t="str">
        <f>IFERROR(_xlfn.XLOOKUP($A251,'Raw Data'!$G:$G,'Raw Data'!$AL:$AL)*(1+(_xlfn.XLOOKUP(Table13[[#This Row],[Month Year]],JMR!$A:$A,JMR!$J:$J))),"")</f>
        <v/>
      </c>
      <c r="AB251" s="86" t="str">
        <f>IFERROR(_xlfn.XLOOKUP($A251,'Raw Data'!$G:$G,'Raw Data'!$H:$H),"")</f>
        <v/>
      </c>
      <c r="AC251" s="87">
        <f>IFERROR(_xlfn.XLOOKUP($D251,'Modelling New'!$D:$D,'Modelling New'!$P:$P),"")</f>
        <v>5.3774193548387093</v>
      </c>
      <c r="AD251" s="86">
        <f>IFERROR(_xlfn.XLOOKUP($D251,'Modelling New'!$D:$D,'Modelling New'!$T:$T)*1000,"")</f>
        <v>27590.56771095916</v>
      </c>
      <c r="AE251" s="94">
        <f>IFERROR(_xlfn.XLOOKUP($D251,'Modelling New'!$D:$D,'Modelling New'!$O:$O),"")</f>
        <v>0.72273205859143763</v>
      </c>
      <c r="AF251" s="94">
        <f>IFERROR(_xlfn.XLOOKUP($D251,'Modelling New'!$D:$D,'Modelling New'!$W:$W),"")</f>
        <v>0.16193472334300085</v>
      </c>
      <c r="AG251" s="94">
        <f>IFERROR(_xlfn.XLOOKUP($D251,'Modelling New'!$D:$D,'Modelling New'!$AE:$AE),"")</f>
        <v>0.98040000000000005</v>
      </c>
      <c r="AH251" s="94">
        <f>IFERROR(_xlfn.XLOOKUP($D251,'Modelling New'!$D:$D,'Modelling New'!$AF:$AF),"")</f>
        <v>0.98</v>
      </c>
      <c r="AN251" s="85"/>
      <c r="AO251" s="84"/>
      <c r="AP251" s="84"/>
      <c r="AQ251" s="84"/>
      <c r="AR251" s="86">
        <f>'Basic Data'!$J$2</f>
        <v>7.0991999999999997</v>
      </c>
      <c r="AT251" s="7" t="str">
        <f>IFERROR(_xlfn.XLOOKUP(Table13[[#This Row],[Date]],'Raw Data'!$E:$E,'Raw Data'!$AN:$AN),"")</f>
        <v/>
      </c>
      <c r="AU251" s="7">
        <f>IFERROR(_xlfn.XLOOKUP(Table13[[#This Row],[Month Year]],'Modelling New'!$D:$D,'Modelling New'!$AO:$AO),"")</f>
        <v>7</v>
      </c>
      <c r="AV251" s="7">
        <f>IFERROR(SUMIF('Curtailment Records'!$C:$C,Table13[[#This Row],[Date]],'Curtailment Records'!$R:$R)/1000,"")</f>
        <v>0</v>
      </c>
    </row>
    <row r="252" spans="1:48" x14ac:dyDescent="0.25">
      <c r="A252" s="93">
        <f t="shared" si="18"/>
        <v>45995</v>
      </c>
      <c r="B252" s="86">
        <f>YEAR(Table13[[#This Row],[Date]])+IF(MONTH(Table13[[#This Row],[Date]])&gt;=4,1,0)</f>
        <v>2026</v>
      </c>
      <c r="C252" s="7">
        <f>YEAR(Table13[[#This Row],[Date]])</f>
        <v>2025</v>
      </c>
      <c r="D252" s="92">
        <f>Table13[[#This Row],[Date]]-DAY(Table13[[#This Row],[Date]])+1</f>
        <v>45992</v>
      </c>
      <c r="E252" s="7">
        <f t="shared" si="19"/>
        <v>31</v>
      </c>
      <c r="F252" s="91" t="str">
        <f>IFERROR(_xlfn.XLOOKUP($A252,'Raw Data'!$G:$G,'Raw Data'!$AM:$AM),"")</f>
        <v/>
      </c>
      <c r="G252" s="90" t="str">
        <f>IFERROR(_xlfn.XLOOKUP($A252,'Raw Data'!$G:$G,'Raw Data'!$AB:$AB),"")</f>
        <v/>
      </c>
      <c r="H252" s="90"/>
      <c r="I252" s="90" t="str">
        <f>IFERROR(_xlfn.XLOOKUP($A252,'Raw Data'!$G:$G,'Raw Data'!$AC:$AC),"")</f>
        <v/>
      </c>
      <c r="J252" s="90"/>
      <c r="K252" s="90" t="str">
        <f>IFERROR(_xlfn.XLOOKUP($A252,'Raw Data'!$G:$G,'Raw Data'!AD:AD),"")</f>
        <v/>
      </c>
      <c r="L252" s="90" t="str">
        <f>IFERROR(_xlfn.XLOOKUP($A252,'Raw Data'!$G:$G,'Raw Data'!AE:AE),"")</f>
        <v/>
      </c>
      <c r="M252" s="90" t="str">
        <f>IFERROR(_xlfn.XLOOKUP($A252,'Raw Data'!$G:$G,'Raw Data'!AF:AF),"")</f>
        <v/>
      </c>
      <c r="N252" s="90" t="str">
        <f>IFERROR(_xlfn.XLOOKUP($A252,'Raw Data'!$G:$G,'Raw Data'!AG:AG),"")</f>
        <v/>
      </c>
      <c r="O252" s="85" t="str">
        <f>IFERROR(1-SUMIF('Plant BD'!$B:$B,$A252,'Plant BD'!$AM:$AM)/($AA252+SUMIF('Plant BD'!$B:$B,$A252,'Plant BD'!$AM:$AM)),"")</f>
        <v/>
      </c>
      <c r="P252" s="85"/>
      <c r="Q252" s="89"/>
      <c r="R252" s="85" t="str">
        <f>IFERROR(1-SUMIF('Grid BD'!$B:$B,$A252,'Grid BD'!$AE:$AE)/($AA252+SUMIF('Grid BD'!$B:$B,$A252,'Grid BD'!$AE:$AE)),"")</f>
        <v/>
      </c>
      <c r="T252" s="89"/>
      <c r="U252" s="88" t="str">
        <f t="shared" si="17"/>
        <v/>
      </c>
      <c r="V252" s="88"/>
      <c r="W252" s="84" t="str">
        <f t="shared" si="16"/>
        <v/>
      </c>
      <c r="X252" s="86" t="str">
        <f>IFERROR(_xlfn.XLOOKUP($A252,'Raw Data'!$G:$G,'Raw Data'!AI:AI),"")</f>
        <v/>
      </c>
      <c r="Y252" s="86" t="str">
        <f>IFERROR(_xlfn.XLOOKUP($A252,'Raw Data'!$G:$G,'Raw Data'!AJ:AJ),"")</f>
        <v/>
      </c>
      <c r="Z252" s="86" t="str">
        <f>IFERROR(_xlfn.XLOOKUP($A252,'Raw Data'!$G:$G,'Raw Data'!AK:AK),"")</f>
        <v/>
      </c>
      <c r="AA252" s="86" t="str">
        <f>IFERROR(_xlfn.XLOOKUP($A252,'Raw Data'!$G:$G,'Raw Data'!$AL:$AL)*(1+(_xlfn.XLOOKUP(Table13[[#This Row],[Month Year]],JMR!$A:$A,JMR!$J:$J))),"")</f>
        <v/>
      </c>
      <c r="AB252" s="86" t="str">
        <f>IFERROR(_xlfn.XLOOKUP($A252,'Raw Data'!$G:$G,'Raw Data'!$H:$H),"")</f>
        <v/>
      </c>
      <c r="AC252" s="87">
        <f>IFERROR(_xlfn.XLOOKUP($D252,'Modelling New'!$D:$D,'Modelling New'!$P:$P),"")</f>
        <v>5.3774193548387093</v>
      </c>
      <c r="AD252" s="86">
        <f>IFERROR(_xlfn.XLOOKUP($D252,'Modelling New'!$D:$D,'Modelling New'!$T:$T)*1000,"")</f>
        <v>27590.56771095916</v>
      </c>
      <c r="AE252" s="94">
        <f>IFERROR(_xlfn.XLOOKUP($D252,'Modelling New'!$D:$D,'Modelling New'!$O:$O),"")</f>
        <v>0.72273205859143763</v>
      </c>
      <c r="AF252" s="94">
        <f>IFERROR(_xlfn.XLOOKUP($D252,'Modelling New'!$D:$D,'Modelling New'!$W:$W),"")</f>
        <v>0.16193472334300085</v>
      </c>
      <c r="AG252" s="94">
        <f>IFERROR(_xlfn.XLOOKUP($D252,'Modelling New'!$D:$D,'Modelling New'!$AE:$AE),"")</f>
        <v>0.98040000000000005</v>
      </c>
      <c r="AH252" s="94">
        <f>IFERROR(_xlfn.XLOOKUP($D252,'Modelling New'!$D:$D,'Modelling New'!$AF:$AF),"")</f>
        <v>0.98</v>
      </c>
      <c r="AN252" s="85"/>
      <c r="AO252" s="84"/>
      <c r="AP252" s="84"/>
      <c r="AQ252" s="84"/>
      <c r="AR252" s="86">
        <f>'Basic Data'!$J$2</f>
        <v>7.0991999999999997</v>
      </c>
      <c r="AT252" s="7" t="str">
        <f>IFERROR(_xlfn.XLOOKUP(Table13[[#This Row],[Date]],'Raw Data'!$E:$E,'Raw Data'!$AN:$AN),"")</f>
        <v/>
      </c>
      <c r="AU252" s="7">
        <f>IFERROR(_xlfn.XLOOKUP(Table13[[#This Row],[Month Year]],'Modelling New'!$D:$D,'Modelling New'!$AO:$AO),"")</f>
        <v>7</v>
      </c>
      <c r="AV252" s="7">
        <f>IFERROR(SUMIF('Curtailment Records'!$C:$C,Table13[[#This Row],[Date]],'Curtailment Records'!$R:$R)/1000,"")</f>
        <v>0</v>
      </c>
    </row>
    <row r="253" spans="1:48" x14ac:dyDescent="0.25">
      <c r="A253" s="93">
        <f t="shared" si="18"/>
        <v>45996</v>
      </c>
      <c r="B253" s="86">
        <f>YEAR(Table13[[#This Row],[Date]])+IF(MONTH(Table13[[#This Row],[Date]])&gt;=4,1,0)</f>
        <v>2026</v>
      </c>
      <c r="C253" s="7">
        <f>YEAR(Table13[[#This Row],[Date]])</f>
        <v>2025</v>
      </c>
      <c r="D253" s="92">
        <f>Table13[[#This Row],[Date]]-DAY(Table13[[#This Row],[Date]])+1</f>
        <v>45992</v>
      </c>
      <c r="E253" s="7">
        <f t="shared" si="19"/>
        <v>31</v>
      </c>
      <c r="F253" s="91" t="str">
        <f>IFERROR(_xlfn.XLOOKUP($A253,'Raw Data'!$G:$G,'Raw Data'!$AM:$AM),"")</f>
        <v/>
      </c>
      <c r="G253" s="90" t="str">
        <f>IFERROR(_xlfn.XLOOKUP($A253,'Raw Data'!$G:$G,'Raw Data'!$AB:$AB),"")</f>
        <v/>
      </c>
      <c r="H253" s="90"/>
      <c r="I253" s="90" t="str">
        <f>IFERROR(_xlfn.XLOOKUP($A253,'Raw Data'!$G:$G,'Raw Data'!$AC:$AC),"")</f>
        <v/>
      </c>
      <c r="J253" s="90"/>
      <c r="K253" s="90" t="str">
        <f>IFERROR(_xlfn.XLOOKUP($A253,'Raw Data'!$G:$G,'Raw Data'!AD:AD),"")</f>
        <v/>
      </c>
      <c r="L253" s="90" t="str">
        <f>IFERROR(_xlfn.XLOOKUP($A253,'Raw Data'!$G:$G,'Raw Data'!AE:AE),"")</f>
        <v/>
      </c>
      <c r="M253" s="90" t="str">
        <f>IFERROR(_xlfn.XLOOKUP($A253,'Raw Data'!$G:$G,'Raw Data'!AF:AF),"")</f>
        <v/>
      </c>
      <c r="N253" s="90" t="str">
        <f>IFERROR(_xlfn.XLOOKUP($A253,'Raw Data'!$G:$G,'Raw Data'!AG:AG),"")</f>
        <v/>
      </c>
      <c r="O253" s="85" t="str">
        <f>IFERROR(1-SUMIF('Plant BD'!$B:$B,$A253,'Plant BD'!$AM:$AM)/($AA253+SUMIF('Plant BD'!$B:$B,$A253,'Plant BD'!$AM:$AM)),"")</f>
        <v/>
      </c>
      <c r="P253" s="85"/>
      <c r="Q253" s="89"/>
      <c r="R253" s="85" t="str">
        <f>IFERROR(1-SUMIF('Grid BD'!$B:$B,$A253,'Grid BD'!$AE:$AE)/($AA253+SUMIF('Grid BD'!$B:$B,$A253,'Grid BD'!$AE:$AE)),"")</f>
        <v/>
      </c>
      <c r="T253" s="89"/>
      <c r="U253" s="88" t="str">
        <f t="shared" si="17"/>
        <v/>
      </c>
      <c r="V253" s="88"/>
      <c r="W253" s="84" t="str">
        <f t="shared" si="16"/>
        <v/>
      </c>
      <c r="X253" s="86" t="str">
        <f>IFERROR(_xlfn.XLOOKUP($A253,'Raw Data'!$G:$G,'Raw Data'!AI:AI),"")</f>
        <v/>
      </c>
      <c r="Y253" s="86" t="str">
        <f>IFERROR(_xlfn.XLOOKUP($A253,'Raw Data'!$G:$G,'Raw Data'!AJ:AJ),"")</f>
        <v/>
      </c>
      <c r="Z253" s="86" t="str">
        <f>IFERROR(_xlfn.XLOOKUP($A253,'Raw Data'!$G:$G,'Raw Data'!AK:AK),"")</f>
        <v/>
      </c>
      <c r="AA253" s="86" t="str">
        <f>IFERROR(_xlfn.XLOOKUP($A253,'Raw Data'!$G:$G,'Raw Data'!$AL:$AL)*(1+(_xlfn.XLOOKUP(Table13[[#This Row],[Month Year]],JMR!$A:$A,JMR!$J:$J))),"")</f>
        <v/>
      </c>
      <c r="AB253" s="86" t="str">
        <f>IFERROR(_xlfn.XLOOKUP($A253,'Raw Data'!$G:$G,'Raw Data'!$H:$H),"")</f>
        <v/>
      </c>
      <c r="AC253" s="87">
        <f>IFERROR(_xlfn.XLOOKUP($D253,'Modelling New'!$D:$D,'Modelling New'!$P:$P),"")</f>
        <v>5.3774193548387093</v>
      </c>
      <c r="AD253" s="86">
        <f>IFERROR(_xlfn.XLOOKUP($D253,'Modelling New'!$D:$D,'Modelling New'!$T:$T)*1000,"")</f>
        <v>27590.56771095916</v>
      </c>
      <c r="AE253" s="94">
        <f>IFERROR(_xlfn.XLOOKUP($D253,'Modelling New'!$D:$D,'Modelling New'!$O:$O),"")</f>
        <v>0.72273205859143763</v>
      </c>
      <c r="AF253" s="94">
        <f>IFERROR(_xlfn.XLOOKUP($D253,'Modelling New'!$D:$D,'Modelling New'!$W:$W),"")</f>
        <v>0.16193472334300085</v>
      </c>
      <c r="AG253" s="94">
        <f>IFERROR(_xlfn.XLOOKUP($D253,'Modelling New'!$D:$D,'Modelling New'!$AE:$AE),"")</f>
        <v>0.98040000000000005</v>
      </c>
      <c r="AH253" s="94">
        <f>IFERROR(_xlfn.XLOOKUP($D253,'Modelling New'!$D:$D,'Modelling New'!$AF:$AF),"")</f>
        <v>0.98</v>
      </c>
      <c r="AN253" s="85"/>
      <c r="AO253" s="84"/>
      <c r="AP253" s="84"/>
      <c r="AQ253" s="84"/>
      <c r="AR253" s="86">
        <f>'Basic Data'!$J$2</f>
        <v>7.0991999999999997</v>
      </c>
      <c r="AT253" s="7" t="str">
        <f>IFERROR(_xlfn.XLOOKUP(Table13[[#This Row],[Date]],'Raw Data'!$E:$E,'Raw Data'!$AN:$AN),"")</f>
        <v/>
      </c>
      <c r="AU253" s="7">
        <f>IFERROR(_xlfn.XLOOKUP(Table13[[#This Row],[Month Year]],'Modelling New'!$D:$D,'Modelling New'!$AO:$AO),"")</f>
        <v>7</v>
      </c>
      <c r="AV253" s="7">
        <f>IFERROR(SUMIF('Curtailment Records'!$C:$C,Table13[[#This Row],[Date]],'Curtailment Records'!$R:$R)/1000,"")</f>
        <v>0</v>
      </c>
    </row>
    <row r="254" spans="1:48" x14ac:dyDescent="0.25">
      <c r="A254" s="93">
        <f t="shared" si="18"/>
        <v>45997</v>
      </c>
      <c r="B254" s="86">
        <f>YEAR(Table13[[#This Row],[Date]])+IF(MONTH(Table13[[#This Row],[Date]])&gt;=4,1,0)</f>
        <v>2026</v>
      </c>
      <c r="C254" s="7">
        <f>YEAR(Table13[[#This Row],[Date]])</f>
        <v>2025</v>
      </c>
      <c r="D254" s="92">
        <f>Table13[[#This Row],[Date]]-DAY(Table13[[#This Row],[Date]])+1</f>
        <v>45992</v>
      </c>
      <c r="E254" s="7">
        <f t="shared" si="19"/>
        <v>31</v>
      </c>
      <c r="F254" s="91" t="str">
        <f>IFERROR(_xlfn.XLOOKUP($A254,'Raw Data'!$G:$G,'Raw Data'!$AM:$AM),"")</f>
        <v/>
      </c>
      <c r="G254" s="90" t="str">
        <f>IFERROR(_xlfn.XLOOKUP($A254,'Raw Data'!$G:$G,'Raw Data'!$AB:$AB),"")</f>
        <v/>
      </c>
      <c r="H254" s="90"/>
      <c r="I254" s="90" t="str">
        <f>IFERROR(_xlfn.XLOOKUP($A254,'Raw Data'!$G:$G,'Raw Data'!$AC:$AC),"")</f>
        <v/>
      </c>
      <c r="J254" s="90"/>
      <c r="K254" s="90" t="str">
        <f>IFERROR(_xlfn.XLOOKUP($A254,'Raw Data'!$G:$G,'Raw Data'!AD:AD),"")</f>
        <v/>
      </c>
      <c r="L254" s="90" t="str">
        <f>IFERROR(_xlfn.XLOOKUP($A254,'Raw Data'!$G:$G,'Raw Data'!AE:AE),"")</f>
        <v/>
      </c>
      <c r="M254" s="90" t="str">
        <f>IFERROR(_xlfn.XLOOKUP($A254,'Raw Data'!$G:$G,'Raw Data'!AF:AF),"")</f>
        <v/>
      </c>
      <c r="N254" s="90" t="str">
        <f>IFERROR(_xlfn.XLOOKUP($A254,'Raw Data'!$G:$G,'Raw Data'!AG:AG),"")</f>
        <v/>
      </c>
      <c r="O254" s="85" t="str">
        <f>IFERROR(1-SUMIF('Plant BD'!$B:$B,$A254,'Plant BD'!$AM:$AM)/($AA254+SUMIF('Plant BD'!$B:$B,$A254,'Plant BD'!$AM:$AM)),"")</f>
        <v/>
      </c>
      <c r="P254" s="85"/>
      <c r="Q254" s="89"/>
      <c r="R254" s="85" t="str">
        <f>IFERROR(1-SUMIF('Grid BD'!$B:$B,$A254,'Grid BD'!$AE:$AE)/($AA254+SUMIF('Grid BD'!$B:$B,$A254,'Grid BD'!$AE:$AE)),"")</f>
        <v/>
      </c>
      <c r="T254" s="89"/>
      <c r="U254" s="88" t="str">
        <f t="shared" si="17"/>
        <v/>
      </c>
      <c r="V254" s="88"/>
      <c r="W254" s="84" t="str">
        <f t="shared" si="16"/>
        <v/>
      </c>
      <c r="X254" s="86" t="str">
        <f>IFERROR(_xlfn.XLOOKUP($A254,'Raw Data'!$G:$G,'Raw Data'!AI:AI),"")</f>
        <v/>
      </c>
      <c r="Y254" s="86" t="str">
        <f>IFERROR(_xlfn.XLOOKUP($A254,'Raw Data'!$G:$G,'Raw Data'!AJ:AJ),"")</f>
        <v/>
      </c>
      <c r="Z254" s="86" t="str">
        <f>IFERROR(_xlfn.XLOOKUP($A254,'Raw Data'!$G:$G,'Raw Data'!AK:AK),"")</f>
        <v/>
      </c>
      <c r="AA254" s="86" t="str">
        <f>IFERROR(_xlfn.XLOOKUP($A254,'Raw Data'!$G:$G,'Raw Data'!$AL:$AL)*(1+(_xlfn.XLOOKUP(Table13[[#This Row],[Month Year]],JMR!$A:$A,JMR!$J:$J))),"")</f>
        <v/>
      </c>
      <c r="AB254" s="86" t="str">
        <f>IFERROR(_xlfn.XLOOKUP($A254,'Raw Data'!$G:$G,'Raw Data'!$H:$H),"")</f>
        <v/>
      </c>
      <c r="AC254" s="87">
        <f>IFERROR(_xlfn.XLOOKUP($D254,'Modelling New'!$D:$D,'Modelling New'!$P:$P),"")</f>
        <v>5.3774193548387093</v>
      </c>
      <c r="AD254" s="86">
        <f>IFERROR(_xlfn.XLOOKUP($D254,'Modelling New'!$D:$D,'Modelling New'!$T:$T)*1000,"")</f>
        <v>27590.56771095916</v>
      </c>
      <c r="AE254" s="94">
        <f>IFERROR(_xlfn.XLOOKUP($D254,'Modelling New'!$D:$D,'Modelling New'!$O:$O),"")</f>
        <v>0.72273205859143763</v>
      </c>
      <c r="AF254" s="94">
        <f>IFERROR(_xlfn.XLOOKUP($D254,'Modelling New'!$D:$D,'Modelling New'!$W:$W),"")</f>
        <v>0.16193472334300085</v>
      </c>
      <c r="AG254" s="94">
        <f>IFERROR(_xlfn.XLOOKUP($D254,'Modelling New'!$D:$D,'Modelling New'!$AE:$AE),"")</f>
        <v>0.98040000000000005</v>
      </c>
      <c r="AH254" s="94">
        <f>IFERROR(_xlfn.XLOOKUP($D254,'Modelling New'!$D:$D,'Modelling New'!$AF:$AF),"")</f>
        <v>0.98</v>
      </c>
      <c r="AN254" s="85"/>
      <c r="AO254" s="84"/>
      <c r="AP254" s="84"/>
      <c r="AQ254" s="84"/>
      <c r="AR254" s="86">
        <f>'Basic Data'!$J$2</f>
        <v>7.0991999999999997</v>
      </c>
      <c r="AT254" s="7" t="str">
        <f>IFERROR(_xlfn.XLOOKUP(Table13[[#This Row],[Date]],'Raw Data'!$E:$E,'Raw Data'!$AN:$AN),"")</f>
        <v/>
      </c>
      <c r="AU254" s="7">
        <f>IFERROR(_xlfn.XLOOKUP(Table13[[#This Row],[Month Year]],'Modelling New'!$D:$D,'Modelling New'!$AO:$AO),"")</f>
        <v>7</v>
      </c>
      <c r="AV254" s="7">
        <f>IFERROR(SUMIF('Curtailment Records'!$C:$C,Table13[[#This Row],[Date]],'Curtailment Records'!$R:$R)/1000,"")</f>
        <v>0</v>
      </c>
    </row>
    <row r="255" spans="1:48" x14ac:dyDescent="0.25">
      <c r="A255" s="93">
        <f t="shared" si="18"/>
        <v>45998</v>
      </c>
      <c r="B255" s="86">
        <f>YEAR(Table13[[#This Row],[Date]])+IF(MONTH(Table13[[#This Row],[Date]])&gt;=4,1,0)</f>
        <v>2026</v>
      </c>
      <c r="C255" s="7">
        <f>YEAR(Table13[[#This Row],[Date]])</f>
        <v>2025</v>
      </c>
      <c r="D255" s="92">
        <f>Table13[[#This Row],[Date]]-DAY(Table13[[#This Row],[Date]])+1</f>
        <v>45992</v>
      </c>
      <c r="E255" s="7">
        <f t="shared" si="19"/>
        <v>31</v>
      </c>
      <c r="F255" s="91" t="str">
        <f>IFERROR(_xlfn.XLOOKUP($A255,'Raw Data'!$G:$G,'Raw Data'!$AM:$AM),"")</f>
        <v/>
      </c>
      <c r="G255" s="90" t="str">
        <f>IFERROR(_xlfn.XLOOKUP($A255,'Raw Data'!$G:$G,'Raw Data'!$AB:$AB),"")</f>
        <v/>
      </c>
      <c r="H255" s="90"/>
      <c r="I255" s="90" t="str">
        <f>IFERROR(_xlfn.XLOOKUP($A255,'Raw Data'!$G:$G,'Raw Data'!$AC:$AC),"")</f>
        <v/>
      </c>
      <c r="J255" s="90"/>
      <c r="K255" s="90" t="str">
        <f>IFERROR(_xlfn.XLOOKUP($A255,'Raw Data'!$G:$G,'Raw Data'!AD:AD),"")</f>
        <v/>
      </c>
      <c r="L255" s="90" t="str">
        <f>IFERROR(_xlfn.XLOOKUP($A255,'Raw Data'!$G:$G,'Raw Data'!AE:AE),"")</f>
        <v/>
      </c>
      <c r="M255" s="90" t="str">
        <f>IFERROR(_xlfn.XLOOKUP($A255,'Raw Data'!$G:$G,'Raw Data'!AF:AF),"")</f>
        <v/>
      </c>
      <c r="N255" s="90" t="str">
        <f>IFERROR(_xlfn.XLOOKUP($A255,'Raw Data'!$G:$G,'Raw Data'!AG:AG),"")</f>
        <v/>
      </c>
      <c r="O255" s="85" t="str">
        <f>IFERROR(1-SUMIF('Plant BD'!$B:$B,$A255,'Plant BD'!$AM:$AM)/($AA255+SUMIF('Plant BD'!$B:$B,$A255,'Plant BD'!$AM:$AM)),"")</f>
        <v/>
      </c>
      <c r="P255" s="85"/>
      <c r="Q255" s="89"/>
      <c r="R255" s="85" t="str">
        <f>IFERROR(1-SUMIF('Grid BD'!$B:$B,$A255,'Grid BD'!$AE:$AE)/($AA255+SUMIF('Grid BD'!$B:$B,$A255,'Grid BD'!$AE:$AE)),"")</f>
        <v/>
      </c>
      <c r="T255" s="89"/>
      <c r="U255" s="88" t="str">
        <f t="shared" si="17"/>
        <v/>
      </c>
      <c r="V255" s="88"/>
      <c r="W255" s="84" t="str">
        <f t="shared" si="16"/>
        <v/>
      </c>
      <c r="X255" s="86" t="str">
        <f>IFERROR(_xlfn.XLOOKUP($A255,'Raw Data'!$G:$G,'Raw Data'!AI:AI),"")</f>
        <v/>
      </c>
      <c r="Y255" s="86" t="str">
        <f>IFERROR(_xlfn.XLOOKUP($A255,'Raw Data'!$G:$G,'Raw Data'!AJ:AJ),"")</f>
        <v/>
      </c>
      <c r="Z255" s="86" t="str">
        <f>IFERROR(_xlfn.XLOOKUP($A255,'Raw Data'!$G:$G,'Raw Data'!AK:AK),"")</f>
        <v/>
      </c>
      <c r="AA255" s="86" t="str">
        <f>IFERROR(_xlfn.XLOOKUP($A255,'Raw Data'!$G:$G,'Raw Data'!$AL:$AL)*(1+(_xlfn.XLOOKUP(Table13[[#This Row],[Month Year]],JMR!$A:$A,JMR!$J:$J))),"")</f>
        <v/>
      </c>
      <c r="AB255" s="86" t="str">
        <f>IFERROR(_xlfn.XLOOKUP($A255,'Raw Data'!$G:$G,'Raw Data'!$H:$H),"")</f>
        <v/>
      </c>
      <c r="AC255" s="87">
        <f>IFERROR(_xlfn.XLOOKUP($D255,'Modelling New'!$D:$D,'Modelling New'!$P:$P),"")</f>
        <v>5.3774193548387093</v>
      </c>
      <c r="AD255" s="86">
        <f>IFERROR(_xlfn.XLOOKUP($D255,'Modelling New'!$D:$D,'Modelling New'!$T:$T)*1000,"")</f>
        <v>27590.56771095916</v>
      </c>
      <c r="AE255" s="94">
        <f>IFERROR(_xlfn.XLOOKUP($D255,'Modelling New'!$D:$D,'Modelling New'!$O:$O),"")</f>
        <v>0.72273205859143763</v>
      </c>
      <c r="AF255" s="94">
        <f>IFERROR(_xlfn.XLOOKUP($D255,'Modelling New'!$D:$D,'Modelling New'!$W:$W),"")</f>
        <v>0.16193472334300085</v>
      </c>
      <c r="AG255" s="94">
        <f>IFERROR(_xlfn.XLOOKUP($D255,'Modelling New'!$D:$D,'Modelling New'!$AE:$AE),"")</f>
        <v>0.98040000000000005</v>
      </c>
      <c r="AH255" s="94">
        <f>IFERROR(_xlfn.XLOOKUP($D255,'Modelling New'!$D:$D,'Modelling New'!$AF:$AF),"")</f>
        <v>0.98</v>
      </c>
      <c r="AN255" s="85"/>
      <c r="AO255" s="84"/>
      <c r="AP255" s="84"/>
      <c r="AQ255" s="84"/>
      <c r="AR255" s="86">
        <f>'Basic Data'!$J$2</f>
        <v>7.0991999999999997</v>
      </c>
      <c r="AT255" s="7" t="str">
        <f>IFERROR(_xlfn.XLOOKUP(Table13[[#This Row],[Date]],'Raw Data'!$E:$E,'Raw Data'!$AN:$AN),"")</f>
        <v/>
      </c>
      <c r="AU255" s="7">
        <f>IFERROR(_xlfn.XLOOKUP(Table13[[#This Row],[Month Year]],'Modelling New'!$D:$D,'Modelling New'!$AO:$AO),"")</f>
        <v>7</v>
      </c>
      <c r="AV255" s="7">
        <f>IFERROR(SUMIF('Curtailment Records'!$C:$C,Table13[[#This Row],[Date]],'Curtailment Records'!$R:$R)/1000,"")</f>
        <v>0</v>
      </c>
    </row>
    <row r="256" spans="1:48" x14ac:dyDescent="0.25">
      <c r="A256" s="93">
        <f t="shared" si="18"/>
        <v>45999</v>
      </c>
      <c r="B256" s="86">
        <f>YEAR(Table13[[#This Row],[Date]])+IF(MONTH(Table13[[#This Row],[Date]])&gt;=4,1,0)</f>
        <v>2026</v>
      </c>
      <c r="C256" s="7">
        <f>YEAR(Table13[[#This Row],[Date]])</f>
        <v>2025</v>
      </c>
      <c r="D256" s="92">
        <f>Table13[[#This Row],[Date]]-DAY(Table13[[#This Row],[Date]])+1</f>
        <v>45992</v>
      </c>
      <c r="E256" s="7">
        <f t="shared" si="19"/>
        <v>31</v>
      </c>
      <c r="F256" s="91" t="str">
        <f>IFERROR(_xlfn.XLOOKUP($A256,'Raw Data'!$G:$G,'Raw Data'!$AM:$AM),"")</f>
        <v/>
      </c>
      <c r="G256" s="90" t="str">
        <f>IFERROR(_xlfn.XLOOKUP($A256,'Raw Data'!$G:$G,'Raw Data'!$AB:$AB),"")</f>
        <v/>
      </c>
      <c r="H256" s="90"/>
      <c r="I256" s="90" t="str">
        <f>IFERROR(_xlfn.XLOOKUP($A256,'Raw Data'!$G:$G,'Raw Data'!$AC:$AC),"")</f>
        <v/>
      </c>
      <c r="J256" s="90"/>
      <c r="K256" s="90" t="str">
        <f>IFERROR(_xlfn.XLOOKUP($A256,'Raw Data'!$G:$G,'Raw Data'!AD:AD),"")</f>
        <v/>
      </c>
      <c r="L256" s="90" t="str">
        <f>IFERROR(_xlfn.XLOOKUP($A256,'Raw Data'!$G:$G,'Raw Data'!AE:AE),"")</f>
        <v/>
      </c>
      <c r="M256" s="90" t="str">
        <f>IFERROR(_xlfn.XLOOKUP($A256,'Raw Data'!$G:$G,'Raw Data'!AF:AF),"")</f>
        <v/>
      </c>
      <c r="N256" s="90" t="str">
        <f>IFERROR(_xlfn.XLOOKUP($A256,'Raw Data'!$G:$G,'Raw Data'!AG:AG),"")</f>
        <v/>
      </c>
      <c r="O256" s="85" t="str">
        <f>IFERROR(1-SUMIF('Plant BD'!$B:$B,$A256,'Plant BD'!$AM:$AM)/($AA256+SUMIF('Plant BD'!$B:$B,$A256,'Plant BD'!$AM:$AM)),"")</f>
        <v/>
      </c>
      <c r="P256" s="85"/>
      <c r="Q256" s="89"/>
      <c r="R256" s="85" t="str">
        <f>IFERROR(1-SUMIF('Grid BD'!$B:$B,$A256,'Grid BD'!$AE:$AE)/($AA256+SUMIF('Grid BD'!$B:$B,$A256,'Grid BD'!$AE:$AE)),"")</f>
        <v/>
      </c>
      <c r="T256" s="89"/>
      <c r="U256" s="88" t="str">
        <f t="shared" si="17"/>
        <v/>
      </c>
      <c r="V256" s="88"/>
      <c r="W256" s="84" t="str">
        <f t="shared" si="16"/>
        <v/>
      </c>
      <c r="X256" s="86" t="str">
        <f>IFERROR(_xlfn.XLOOKUP($A256,'Raw Data'!$G:$G,'Raw Data'!AI:AI),"")</f>
        <v/>
      </c>
      <c r="Y256" s="86" t="str">
        <f>IFERROR(_xlfn.XLOOKUP($A256,'Raw Data'!$G:$G,'Raw Data'!AJ:AJ),"")</f>
        <v/>
      </c>
      <c r="Z256" s="86" t="str">
        <f>IFERROR(_xlfn.XLOOKUP($A256,'Raw Data'!$G:$G,'Raw Data'!AK:AK),"")</f>
        <v/>
      </c>
      <c r="AA256" s="86" t="str">
        <f>IFERROR(_xlfn.XLOOKUP($A256,'Raw Data'!$G:$G,'Raw Data'!$AL:$AL)*(1+(_xlfn.XLOOKUP(Table13[[#This Row],[Month Year]],JMR!$A:$A,JMR!$J:$J))),"")</f>
        <v/>
      </c>
      <c r="AB256" s="86" t="str">
        <f>IFERROR(_xlfn.XLOOKUP($A256,'Raw Data'!$G:$G,'Raw Data'!$H:$H),"")</f>
        <v/>
      </c>
      <c r="AC256" s="87">
        <f>IFERROR(_xlfn.XLOOKUP($D256,'Modelling New'!$D:$D,'Modelling New'!$P:$P),"")</f>
        <v>5.3774193548387093</v>
      </c>
      <c r="AD256" s="86">
        <f>IFERROR(_xlfn.XLOOKUP($D256,'Modelling New'!$D:$D,'Modelling New'!$T:$T)*1000,"")</f>
        <v>27590.56771095916</v>
      </c>
      <c r="AE256" s="94">
        <f>IFERROR(_xlfn.XLOOKUP($D256,'Modelling New'!$D:$D,'Modelling New'!$O:$O),"")</f>
        <v>0.72273205859143763</v>
      </c>
      <c r="AF256" s="94">
        <f>IFERROR(_xlfn.XLOOKUP($D256,'Modelling New'!$D:$D,'Modelling New'!$W:$W),"")</f>
        <v>0.16193472334300085</v>
      </c>
      <c r="AG256" s="94">
        <f>IFERROR(_xlfn.XLOOKUP($D256,'Modelling New'!$D:$D,'Modelling New'!$AE:$AE),"")</f>
        <v>0.98040000000000005</v>
      </c>
      <c r="AH256" s="94">
        <f>IFERROR(_xlfn.XLOOKUP($D256,'Modelling New'!$D:$D,'Modelling New'!$AF:$AF),"")</f>
        <v>0.98</v>
      </c>
      <c r="AN256" s="85"/>
      <c r="AO256" s="84"/>
      <c r="AP256" s="84"/>
      <c r="AQ256" s="84"/>
      <c r="AR256" s="86">
        <f>'Basic Data'!$J$2</f>
        <v>7.0991999999999997</v>
      </c>
      <c r="AT256" s="7" t="str">
        <f>IFERROR(_xlfn.XLOOKUP(Table13[[#This Row],[Date]],'Raw Data'!$E:$E,'Raw Data'!$AN:$AN),"")</f>
        <v/>
      </c>
      <c r="AU256" s="7">
        <f>IFERROR(_xlfn.XLOOKUP(Table13[[#This Row],[Month Year]],'Modelling New'!$D:$D,'Modelling New'!$AO:$AO),"")</f>
        <v>7</v>
      </c>
      <c r="AV256" s="7">
        <f>IFERROR(SUMIF('Curtailment Records'!$C:$C,Table13[[#This Row],[Date]],'Curtailment Records'!$R:$R)/1000,"")</f>
        <v>0</v>
      </c>
    </row>
    <row r="257" spans="1:48" x14ac:dyDescent="0.25">
      <c r="A257" s="93">
        <f t="shared" si="18"/>
        <v>46000</v>
      </c>
      <c r="B257" s="86">
        <f>YEAR(Table13[[#This Row],[Date]])+IF(MONTH(Table13[[#This Row],[Date]])&gt;=4,1,0)</f>
        <v>2026</v>
      </c>
      <c r="C257" s="7">
        <f>YEAR(Table13[[#This Row],[Date]])</f>
        <v>2025</v>
      </c>
      <c r="D257" s="92">
        <f>Table13[[#This Row],[Date]]-DAY(Table13[[#This Row],[Date]])+1</f>
        <v>45992</v>
      </c>
      <c r="E257" s="7">
        <f t="shared" si="19"/>
        <v>31</v>
      </c>
      <c r="F257" s="91" t="str">
        <f>IFERROR(_xlfn.XLOOKUP($A257,'Raw Data'!$G:$G,'Raw Data'!$AM:$AM),"")</f>
        <v/>
      </c>
      <c r="G257" s="90" t="str">
        <f>IFERROR(_xlfn.XLOOKUP($A257,'Raw Data'!$G:$G,'Raw Data'!$AB:$AB),"")</f>
        <v/>
      </c>
      <c r="H257" s="90"/>
      <c r="I257" s="90" t="str">
        <f>IFERROR(_xlfn.XLOOKUP($A257,'Raw Data'!$G:$G,'Raw Data'!$AC:$AC),"")</f>
        <v/>
      </c>
      <c r="J257" s="90"/>
      <c r="K257" s="90" t="str">
        <f>IFERROR(_xlfn.XLOOKUP($A257,'Raw Data'!$G:$G,'Raw Data'!AD:AD),"")</f>
        <v/>
      </c>
      <c r="L257" s="90" t="str">
        <f>IFERROR(_xlfn.XLOOKUP($A257,'Raw Data'!$G:$G,'Raw Data'!AE:AE),"")</f>
        <v/>
      </c>
      <c r="M257" s="90" t="str">
        <f>IFERROR(_xlfn.XLOOKUP($A257,'Raw Data'!$G:$G,'Raw Data'!AF:AF),"")</f>
        <v/>
      </c>
      <c r="N257" s="90" t="str">
        <f>IFERROR(_xlfn.XLOOKUP($A257,'Raw Data'!$G:$G,'Raw Data'!AG:AG),"")</f>
        <v/>
      </c>
      <c r="O257" s="85" t="str">
        <f>IFERROR(1-SUMIF('Plant BD'!$B:$B,$A257,'Plant BD'!$AM:$AM)/($AA257+SUMIF('Plant BD'!$B:$B,$A257,'Plant BD'!$AM:$AM)),"")</f>
        <v/>
      </c>
      <c r="P257" s="85"/>
      <c r="Q257" s="89"/>
      <c r="R257" s="85" t="str">
        <f>IFERROR(1-SUMIF('Grid BD'!$B:$B,$A257,'Grid BD'!$AE:$AE)/($AA257+SUMIF('Grid BD'!$B:$B,$A257,'Grid BD'!$AE:$AE)),"")</f>
        <v/>
      </c>
      <c r="T257" s="89"/>
      <c r="U257" s="88" t="str">
        <f t="shared" si="17"/>
        <v/>
      </c>
      <c r="V257" s="88"/>
      <c r="W257" s="84" t="str">
        <f t="shared" si="16"/>
        <v/>
      </c>
      <c r="X257" s="86" t="str">
        <f>IFERROR(_xlfn.XLOOKUP($A257,'Raw Data'!$G:$G,'Raw Data'!AI:AI),"")</f>
        <v/>
      </c>
      <c r="Y257" s="86" t="str">
        <f>IFERROR(_xlfn.XLOOKUP($A257,'Raw Data'!$G:$G,'Raw Data'!AJ:AJ),"")</f>
        <v/>
      </c>
      <c r="Z257" s="86" t="str">
        <f>IFERROR(_xlfn.XLOOKUP($A257,'Raw Data'!$G:$G,'Raw Data'!AK:AK),"")</f>
        <v/>
      </c>
      <c r="AA257" s="86" t="str">
        <f>IFERROR(_xlfn.XLOOKUP($A257,'Raw Data'!$G:$G,'Raw Data'!$AL:$AL)*(1+(_xlfn.XLOOKUP(Table13[[#This Row],[Month Year]],JMR!$A:$A,JMR!$J:$J))),"")</f>
        <v/>
      </c>
      <c r="AB257" s="86" t="str">
        <f>IFERROR(_xlfn.XLOOKUP($A257,'Raw Data'!$G:$G,'Raw Data'!$H:$H),"")</f>
        <v/>
      </c>
      <c r="AC257" s="87">
        <f>IFERROR(_xlfn.XLOOKUP($D257,'Modelling New'!$D:$D,'Modelling New'!$P:$P),"")</f>
        <v>5.3774193548387093</v>
      </c>
      <c r="AD257" s="86">
        <f>IFERROR(_xlfn.XLOOKUP($D257,'Modelling New'!$D:$D,'Modelling New'!$T:$T)*1000,"")</f>
        <v>27590.56771095916</v>
      </c>
      <c r="AE257" s="94">
        <f>IFERROR(_xlfn.XLOOKUP($D257,'Modelling New'!$D:$D,'Modelling New'!$O:$O),"")</f>
        <v>0.72273205859143763</v>
      </c>
      <c r="AF257" s="94">
        <f>IFERROR(_xlfn.XLOOKUP($D257,'Modelling New'!$D:$D,'Modelling New'!$W:$W),"")</f>
        <v>0.16193472334300085</v>
      </c>
      <c r="AG257" s="94">
        <f>IFERROR(_xlfn.XLOOKUP($D257,'Modelling New'!$D:$D,'Modelling New'!$AE:$AE),"")</f>
        <v>0.98040000000000005</v>
      </c>
      <c r="AH257" s="94">
        <f>IFERROR(_xlfn.XLOOKUP($D257,'Modelling New'!$D:$D,'Modelling New'!$AF:$AF),"")</f>
        <v>0.98</v>
      </c>
      <c r="AN257" s="85"/>
      <c r="AO257" s="84"/>
      <c r="AP257" s="84"/>
      <c r="AQ257" s="84"/>
      <c r="AR257" s="86">
        <f>'Basic Data'!$J$2</f>
        <v>7.0991999999999997</v>
      </c>
      <c r="AT257" s="7" t="str">
        <f>IFERROR(_xlfn.XLOOKUP(Table13[[#This Row],[Date]],'Raw Data'!$E:$E,'Raw Data'!$AN:$AN),"")</f>
        <v/>
      </c>
      <c r="AU257" s="7">
        <f>IFERROR(_xlfn.XLOOKUP(Table13[[#This Row],[Month Year]],'Modelling New'!$D:$D,'Modelling New'!$AO:$AO),"")</f>
        <v>7</v>
      </c>
      <c r="AV257" s="7">
        <f>IFERROR(SUMIF('Curtailment Records'!$C:$C,Table13[[#This Row],[Date]],'Curtailment Records'!$R:$R)/1000,"")</f>
        <v>0</v>
      </c>
    </row>
    <row r="258" spans="1:48" x14ac:dyDescent="0.25">
      <c r="A258" s="93">
        <f t="shared" si="18"/>
        <v>46001</v>
      </c>
      <c r="B258" s="86">
        <f>YEAR(Table13[[#This Row],[Date]])+IF(MONTH(Table13[[#This Row],[Date]])&gt;=4,1,0)</f>
        <v>2026</v>
      </c>
      <c r="C258" s="7">
        <f>YEAR(Table13[[#This Row],[Date]])</f>
        <v>2025</v>
      </c>
      <c r="D258" s="92">
        <f>Table13[[#This Row],[Date]]-DAY(Table13[[#This Row],[Date]])+1</f>
        <v>45992</v>
      </c>
      <c r="E258" s="7">
        <f t="shared" si="19"/>
        <v>31</v>
      </c>
      <c r="F258" s="91" t="str">
        <f>IFERROR(_xlfn.XLOOKUP($A258,'Raw Data'!$G:$G,'Raw Data'!$AM:$AM),"")</f>
        <v/>
      </c>
      <c r="G258" s="90" t="str">
        <f>IFERROR(_xlfn.XLOOKUP($A258,'Raw Data'!$G:$G,'Raw Data'!$AB:$AB),"")</f>
        <v/>
      </c>
      <c r="H258" s="90"/>
      <c r="I258" s="90" t="str">
        <f>IFERROR(_xlfn.XLOOKUP($A258,'Raw Data'!$G:$G,'Raw Data'!$AC:$AC),"")</f>
        <v/>
      </c>
      <c r="J258" s="90"/>
      <c r="K258" s="90" t="str">
        <f>IFERROR(_xlfn.XLOOKUP($A258,'Raw Data'!$G:$G,'Raw Data'!AD:AD),"")</f>
        <v/>
      </c>
      <c r="L258" s="90" t="str">
        <f>IFERROR(_xlfn.XLOOKUP($A258,'Raw Data'!$G:$G,'Raw Data'!AE:AE),"")</f>
        <v/>
      </c>
      <c r="M258" s="90" t="str">
        <f>IFERROR(_xlfn.XLOOKUP($A258,'Raw Data'!$G:$G,'Raw Data'!AF:AF),"")</f>
        <v/>
      </c>
      <c r="N258" s="90" t="str">
        <f>IFERROR(_xlfn.XLOOKUP($A258,'Raw Data'!$G:$G,'Raw Data'!AG:AG),"")</f>
        <v/>
      </c>
      <c r="O258" s="85" t="str">
        <f>IFERROR(1-SUMIF('Plant BD'!$B:$B,$A258,'Plant BD'!$AM:$AM)/($AA258+SUMIF('Plant BD'!$B:$B,$A258,'Plant BD'!$AM:$AM)),"")</f>
        <v/>
      </c>
      <c r="P258" s="85"/>
      <c r="Q258" s="89"/>
      <c r="R258" s="85" t="str">
        <f>IFERROR(1-SUMIF('Grid BD'!$B:$B,$A258,'Grid BD'!$AE:$AE)/($AA258+SUMIF('Grid BD'!$B:$B,$A258,'Grid BD'!$AE:$AE)),"")</f>
        <v/>
      </c>
      <c r="T258" s="89"/>
      <c r="U258" s="88" t="str">
        <f t="shared" si="17"/>
        <v/>
      </c>
      <c r="V258" s="88"/>
      <c r="W258" s="84" t="str">
        <f t="shared" si="16"/>
        <v/>
      </c>
      <c r="X258" s="86" t="str">
        <f>IFERROR(_xlfn.XLOOKUP($A258,'Raw Data'!$G:$G,'Raw Data'!AI:AI),"")</f>
        <v/>
      </c>
      <c r="Y258" s="86" t="str">
        <f>IFERROR(_xlfn.XLOOKUP($A258,'Raw Data'!$G:$G,'Raw Data'!AJ:AJ),"")</f>
        <v/>
      </c>
      <c r="Z258" s="86" t="str">
        <f>IFERROR(_xlfn.XLOOKUP($A258,'Raw Data'!$G:$G,'Raw Data'!AK:AK),"")</f>
        <v/>
      </c>
      <c r="AA258" s="86" t="str">
        <f>IFERROR(_xlfn.XLOOKUP($A258,'Raw Data'!$G:$G,'Raw Data'!$AL:$AL)*(1+(_xlfn.XLOOKUP(Table13[[#This Row],[Month Year]],JMR!$A:$A,JMR!$J:$J))),"")</f>
        <v/>
      </c>
      <c r="AB258" s="86" t="str">
        <f>IFERROR(_xlfn.XLOOKUP($A258,'Raw Data'!$G:$G,'Raw Data'!$H:$H),"")</f>
        <v/>
      </c>
      <c r="AC258" s="87">
        <f>IFERROR(_xlfn.XLOOKUP($D258,'Modelling New'!$D:$D,'Modelling New'!$P:$P),"")</f>
        <v>5.3774193548387093</v>
      </c>
      <c r="AD258" s="86">
        <f>IFERROR(_xlfn.XLOOKUP($D258,'Modelling New'!$D:$D,'Modelling New'!$T:$T)*1000,"")</f>
        <v>27590.56771095916</v>
      </c>
      <c r="AE258" s="94">
        <f>IFERROR(_xlfn.XLOOKUP($D258,'Modelling New'!$D:$D,'Modelling New'!$O:$O),"")</f>
        <v>0.72273205859143763</v>
      </c>
      <c r="AF258" s="94">
        <f>IFERROR(_xlfn.XLOOKUP($D258,'Modelling New'!$D:$D,'Modelling New'!$W:$W),"")</f>
        <v>0.16193472334300085</v>
      </c>
      <c r="AG258" s="94">
        <f>IFERROR(_xlfn.XLOOKUP($D258,'Modelling New'!$D:$D,'Modelling New'!$AE:$AE),"")</f>
        <v>0.98040000000000005</v>
      </c>
      <c r="AH258" s="94">
        <f>IFERROR(_xlfn.XLOOKUP($D258,'Modelling New'!$D:$D,'Modelling New'!$AF:$AF),"")</f>
        <v>0.98</v>
      </c>
      <c r="AN258" s="85"/>
      <c r="AO258" s="84"/>
      <c r="AP258" s="84"/>
      <c r="AQ258" s="84"/>
      <c r="AR258" s="86">
        <f>'Basic Data'!$J$2</f>
        <v>7.0991999999999997</v>
      </c>
      <c r="AT258" s="7" t="str">
        <f>IFERROR(_xlfn.XLOOKUP(Table13[[#This Row],[Date]],'Raw Data'!$E:$E,'Raw Data'!$AN:$AN),"")</f>
        <v/>
      </c>
      <c r="AU258" s="7">
        <f>IFERROR(_xlfn.XLOOKUP(Table13[[#This Row],[Month Year]],'Modelling New'!$D:$D,'Modelling New'!$AO:$AO),"")</f>
        <v>7</v>
      </c>
      <c r="AV258" s="7">
        <f>IFERROR(SUMIF('Curtailment Records'!$C:$C,Table13[[#This Row],[Date]],'Curtailment Records'!$R:$R)/1000,"")</f>
        <v>0</v>
      </c>
    </row>
    <row r="259" spans="1:48" x14ac:dyDescent="0.25">
      <c r="A259" s="93">
        <f t="shared" si="18"/>
        <v>46002</v>
      </c>
      <c r="B259" s="86">
        <f>YEAR(Table13[[#This Row],[Date]])+IF(MONTH(Table13[[#This Row],[Date]])&gt;=4,1,0)</f>
        <v>2026</v>
      </c>
      <c r="C259" s="7">
        <f>YEAR(Table13[[#This Row],[Date]])</f>
        <v>2025</v>
      </c>
      <c r="D259" s="92">
        <f>Table13[[#This Row],[Date]]-DAY(Table13[[#This Row],[Date]])+1</f>
        <v>45992</v>
      </c>
      <c r="E259" s="7">
        <f t="shared" si="19"/>
        <v>31</v>
      </c>
      <c r="F259" s="91" t="str">
        <f>IFERROR(_xlfn.XLOOKUP($A259,'Raw Data'!$G:$G,'Raw Data'!$AM:$AM),"")</f>
        <v/>
      </c>
      <c r="G259" s="90" t="str">
        <f>IFERROR(_xlfn.XLOOKUP($A259,'Raw Data'!$G:$G,'Raw Data'!$AB:$AB),"")</f>
        <v/>
      </c>
      <c r="H259" s="90"/>
      <c r="I259" s="90" t="str">
        <f>IFERROR(_xlfn.XLOOKUP($A259,'Raw Data'!$G:$G,'Raw Data'!$AC:$AC),"")</f>
        <v/>
      </c>
      <c r="J259" s="90"/>
      <c r="K259" s="90" t="str">
        <f>IFERROR(_xlfn.XLOOKUP($A259,'Raw Data'!$G:$G,'Raw Data'!AD:AD),"")</f>
        <v/>
      </c>
      <c r="L259" s="90" t="str">
        <f>IFERROR(_xlfn.XLOOKUP($A259,'Raw Data'!$G:$G,'Raw Data'!AE:AE),"")</f>
        <v/>
      </c>
      <c r="M259" s="90" t="str">
        <f>IFERROR(_xlfn.XLOOKUP($A259,'Raw Data'!$G:$G,'Raw Data'!AF:AF),"")</f>
        <v/>
      </c>
      <c r="N259" s="90" t="str">
        <f>IFERROR(_xlfn.XLOOKUP($A259,'Raw Data'!$G:$G,'Raw Data'!AG:AG),"")</f>
        <v/>
      </c>
      <c r="O259" s="85" t="str">
        <f>IFERROR(1-SUMIF('Plant BD'!$B:$B,$A259,'Plant BD'!$AM:$AM)/($AA259+SUMIF('Plant BD'!$B:$B,$A259,'Plant BD'!$AM:$AM)),"")</f>
        <v/>
      </c>
      <c r="P259" s="85"/>
      <c r="Q259" s="89"/>
      <c r="R259" s="85" t="str">
        <f>IFERROR(1-SUMIF('Grid BD'!$B:$B,$A259,'Grid BD'!$AE:$AE)/($AA259+SUMIF('Grid BD'!$B:$B,$A259,'Grid BD'!$AE:$AE)),"")</f>
        <v/>
      </c>
      <c r="T259" s="89"/>
      <c r="U259" s="88" t="str">
        <f t="shared" si="17"/>
        <v/>
      </c>
      <c r="V259" s="88"/>
      <c r="W259" s="84" t="str">
        <f t="shared" si="16"/>
        <v/>
      </c>
      <c r="X259" s="86" t="str">
        <f>IFERROR(_xlfn.XLOOKUP($A259,'Raw Data'!$G:$G,'Raw Data'!AI:AI),"")</f>
        <v/>
      </c>
      <c r="Y259" s="86" t="str">
        <f>IFERROR(_xlfn.XLOOKUP($A259,'Raw Data'!$G:$G,'Raw Data'!AJ:AJ),"")</f>
        <v/>
      </c>
      <c r="Z259" s="86" t="str">
        <f>IFERROR(_xlfn.XLOOKUP($A259,'Raw Data'!$G:$G,'Raw Data'!AK:AK),"")</f>
        <v/>
      </c>
      <c r="AA259" s="86" t="str">
        <f>IFERROR(_xlfn.XLOOKUP($A259,'Raw Data'!$G:$G,'Raw Data'!$AL:$AL)*(1+(_xlfn.XLOOKUP(Table13[[#This Row],[Month Year]],JMR!$A:$A,JMR!$J:$J))),"")</f>
        <v/>
      </c>
      <c r="AB259" s="86" t="str">
        <f>IFERROR(_xlfn.XLOOKUP($A259,'Raw Data'!$G:$G,'Raw Data'!$H:$H),"")</f>
        <v/>
      </c>
      <c r="AC259" s="87">
        <f>IFERROR(_xlfn.XLOOKUP($D259,'Modelling New'!$D:$D,'Modelling New'!$P:$P),"")</f>
        <v>5.3774193548387093</v>
      </c>
      <c r="AD259" s="86">
        <f>IFERROR(_xlfn.XLOOKUP($D259,'Modelling New'!$D:$D,'Modelling New'!$T:$T)*1000,"")</f>
        <v>27590.56771095916</v>
      </c>
      <c r="AE259" s="94">
        <f>IFERROR(_xlfn.XLOOKUP($D259,'Modelling New'!$D:$D,'Modelling New'!$O:$O),"")</f>
        <v>0.72273205859143763</v>
      </c>
      <c r="AF259" s="94">
        <f>IFERROR(_xlfn.XLOOKUP($D259,'Modelling New'!$D:$D,'Modelling New'!$W:$W),"")</f>
        <v>0.16193472334300085</v>
      </c>
      <c r="AG259" s="94">
        <f>IFERROR(_xlfn.XLOOKUP($D259,'Modelling New'!$D:$D,'Modelling New'!$AE:$AE),"")</f>
        <v>0.98040000000000005</v>
      </c>
      <c r="AH259" s="94">
        <f>IFERROR(_xlfn.XLOOKUP($D259,'Modelling New'!$D:$D,'Modelling New'!$AF:$AF),"")</f>
        <v>0.98</v>
      </c>
      <c r="AN259" s="85"/>
      <c r="AO259" s="84"/>
      <c r="AP259" s="84"/>
      <c r="AQ259" s="84"/>
      <c r="AR259" s="86">
        <f>'Basic Data'!$J$2</f>
        <v>7.0991999999999997</v>
      </c>
      <c r="AT259" s="7" t="str">
        <f>IFERROR(_xlfn.XLOOKUP(Table13[[#This Row],[Date]],'Raw Data'!$E:$E,'Raw Data'!$AN:$AN),"")</f>
        <v/>
      </c>
      <c r="AU259" s="7">
        <f>IFERROR(_xlfn.XLOOKUP(Table13[[#This Row],[Month Year]],'Modelling New'!$D:$D,'Modelling New'!$AO:$AO),"")</f>
        <v>7</v>
      </c>
      <c r="AV259" s="7">
        <f>IFERROR(SUMIF('Curtailment Records'!$C:$C,Table13[[#This Row],[Date]],'Curtailment Records'!$R:$R)/1000,"")</f>
        <v>0</v>
      </c>
    </row>
    <row r="260" spans="1:48" x14ac:dyDescent="0.25">
      <c r="A260" s="93">
        <f t="shared" si="18"/>
        <v>46003</v>
      </c>
      <c r="B260" s="86">
        <f>YEAR(Table13[[#This Row],[Date]])+IF(MONTH(Table13[[#This Row],[Date]])&gt;=4,1,0)</f>
        <v>2026</v>
      </c>
      <c r="C260" s="7">
        <f>YEAR(Table13[[#This Row],[Date]])</f>
        <v>2025</v>
      </c>
      <c r="D260" s="92">
        <f>Table13[[#This Row],[Date]]-DAY(Table13[[#This Row],[Date]])+1</f>
        <v>45992</v>
      </c>
      <c r="E260" s="7">
        <f t="shared" si="19"/>
        <v>31</v>
      </c>
      <c r="F260" s="91" t="str">
        <f>IFERROR(_xlfn.XLOOKUP($A260,'Raw Data'!$G:$G,'Raw Data'!$AM:$AM),"")</f>
        <v/>
      </c>
      <c r="G260" s="90" t="str">
        <f>IFERROR(_xlfn.XLOOKUP($A260,'Raw Data'!$G:$G,'Raw Data'!$AB:$AB),"")</f>
        <v/>
      </c>
      <c r="H260" s="90"/>
      <c r="I260" s="90" t="str">
        <f>IFERROR(_xlfn.XLOOKUP($A260,'Raw Data'!$G:$G,'Raw Data'!$AC:$AC),"")</f>
        <v/>
      </c>
      <c r="J260" s="90"/>
      <c r="K260" s="90" t="str">
        <f>IFERROR(_xlfn.XLOOKUP($A260,'Raw Data'!$G:$G,'Raw Data'!AD:AD),"")</f>
        <v/>
      </c>
      <c r="L260" s="90" t="str">
        <f>IFERROR(_xlfn.XLOOKUP($A260,'Raw Data'!$G:$G,'Raw Data'!AE:AE),"")</f>
        <v/>
      </c>
      <c r="M260" s="90" t="str">
        <f>IFERROR(_xlfn.XLOOKUP($A260,'Raw Data'!$G:$G,'Raw Data'!AF:AF),"")</f>
        <v/>
      </c>
      <c r="N260" s="90" t="str">
        <f>IFERROR(_xlfn.XLOOKUP($A260,'Raw Data'!$G:$G,'Raw Data'!AG:AG),"")</f>
        <v/>
      </c>
      <c r="O260" s="85" t="str">
        <f>IFERROR(1-SUMIF('Plant BD'!$B:$B,$A260,'Plant BD'!$AM:$AM)/($AA260+SUMIF('Plant BD'!$B:$B,$A260,'Plant BD'!$AM:$AM)),"")</f>
        <v/>
      </c>
      <c r="P260" s="85"/>
      <c r="Q260" s="89"/>
      <c r="R260" s="85" t="str">
        <f>IFERROR(1-SUMIF('Grid BD'!$B:$B,$A260,'Grid BD'!$AE:$AE)/($AA260+SUMIF('Grid BD'!$B:$B,$A260,'Grid BD'!$AE:$AE)),"")</f>
        <v/>
      </c>
      <c r="T260" s="89"/>
      <c r="U260" s="88" t="str">
        <f t="shared" si="17"/>
        <v/>
      </c>
      <c r="V260" s="88"/>
      <c r="W260" s="84" t="str">
        <f t="shared" si="16"/>
        <v/>
      </c>
      <c r="X260" s="86" t="str">
        <f>IFERROR(_xlfn.XLOOKUP($A260,'Raw Data'!$G:$G,'Raw Data'!AI:AI),"")</f>
        <v/>
      </c>
      <c r="Y260" s="86" t="str">
        <f>IFERROR(_xlfn.XLOOKUP($A260,'Raw Data'!$G:$G,'Raw Data'!AJ:AJ),"")</f>
        <v/>
      </c>
      <c r="Z260" s="86" t="str">
        <f>IFERROR(_xlfn.XLOOKUP($A260,'Raw Data'!$G:$G,'Raw Data'!AK:AK),"")</f>
        <v/>
      </c>
      <c r="AA260" s="86" t="str">
        <f>IFERROR(_xlfn.XLOOKUP($A260,'Raw Data'!$G:$G,'Raw Data'!$AL:$AL)*(1+(_xlfn.XLOOKUP(Table13[[#This Row],[Month Year]],JMR!$A:$A,JMR!$J:$J))),"")</f>
        <v/>
      </c>
      <c r="AB260" s="86" t="str">
        <f>IFERROR(_xlfn.XLOOKUP($A260,'Raw Data'!$G:$G,'Raw Data'!$H:$H),"")</f>
        <v/>
      </c>
      <c r="AC260" s="87">
        <f>IFERROR(_xlfn.XLOOKUP($D260,'Modelling New'!$D:$D,'Modelling New'!$P:$P),"")</f>
        <v>5.3774193548387093</v>
      </c>
      <c r="AD260" s="86">
        <f>IFERROR(_xlfn.XLOOKUP($D260,'Modelling New'!$D:$D,'Modelling New'!$T:$T)*1000,"")</f>
        <v>27590.56771095916</v>
      </c>
      <c r="AE260" s="94">
        <f>IFERROR(_xlfn.XLOOKUP($D260,'Modelling New'!$D:$D,'Modelling New'!$O:$O),"")</f>
        <v>0.72273205859143763</v>
      </c>
      <c r="AF260" s="94">
        <f>IFERROR(_xlfn.XLOOKUP($D260,'Modelling New'!$D:$D,'Modelling New'!$W:$W),"")</f>
        <v>0.16193472334300085</v>
      </c>
      <c r="AG260" s="94">
        <f>IFERROR(_xlfn.XLOOKUP($D260,'Modelling New'!$D:$D,'Modelling New'!$AE:$AE),"")</f>
        <v>0.98040000000000005</v>
      </c>
      <c r="AH260" s="94">
        <f>IFERROR(_xlfn.XLOOKUP($D260,'Modelling New'!$D:$D,'Modelling New'!$AF:$AF),"")</f>
        <v>0.98</v>
      </c>
      <c r="AN260" s="85"/>
      <c r="AO260" s="84"/>
      <c r="AP260" s="84"/>
      <c r="AQ260" s="84"/>
      <c r="AR260" s="86">
        <f>'Basic Data'!$J$2</f>
        <v>7.0991999999999997</v>
      </c>
      <c r="AT260" s="7" t="str">
        <f>IFERROR(_xlfn.XLOOKUP(Table13[[#This Row],[Date]],'Raw Data'!$E:$E,'Raw Data'!$AN:$AN),"")</f>
        <v/>
      </c>
      <c r="AU260" s="7">
        <f>IFERROR(_xlfn.XLOOKUP(Table13[[#This Row],[Month Year]],'Modelling New'!$D:$D,'Modelling New'!$AO:$AO),"")</f>
        <v>7</v>
      </c>
      <c r="AV260" s="7">
        <f>IFERROR(SUMIF('Curtailment Records'!$C:$C,Table13[[#This Row],[Date]],'Curtailment Records'!$R:$R)/1000,"")</f>
        <v>0</v>
      </c>
    </row>
    <row r="261" spans="1:48" x14ac:dyDescent="0.25">
      <c r="A261" s="93">
        <f t="shared" si="18"/>
        <v>46004</v>
      </c>
      <c r="B261" s="86">
        <f>YEAR(Table13[[#This Row],[Date]])+IF(MONTH(Table13[[#This Row],[Date]])&gt;=4,1,0)</f>
        <v>2026</v>
      </c>
      <c r="C261" s="7">
        <f>YEAR(Table13[[#This Row],[Date]])</f>
        <v>2025</v>
      </c>
      <c r="D261" s="92">
        <f>Table13[[#This Row],[Date]]-DAY(Table13[[#This Row],[Date]])+1</f>
        <v>45992</v>
      </c>
      <c r="E261" s="7">
        <f t="shared" si="19"/>
        <v>31</v>
      </c>
      <c r="F261" s="91" t="str">
        <f>IFERROR(_xlfn.XLOOKUP($A261,'Raw Data'!$G:$G,'Raw Data'!$AM:$AM),"")</f>
        <v/>
      </c>
      <c r="G261" s="90" t="str">
        <f>IFERROR(_xlfn.XLOOKUP($A261,'Raw Data'!$G:$G,'Raw Data'!$AB:$AB),"")</f>
        <v/>
      </c>
      <c r="H261" s="90"/>
      <c r="I261" s="90" t="str">
        <f>IFERROR(_xlfn.XLOOKUP($A261,'Raw Data'!$G:$G,'Raw Data'!$AC:$AC),"")</f>
        <v/>
      </c>
      <c r="J261" s="90"/>
      <c r="K261" s="90" t="str">
        <f>IFERROR(_xlfn.XLOOKUP($A261,'Raw Data'!$G:$G,'Raw Data'!AD:AD),"")</f>
        <v/>
      </c>
      <c r="L261" s="90" t="str">
        <f>IFERROR(_xlfn.XLOOKUP($A261,'Raw Data'!$G:$G,'Raw Data'!AE:AE),"")</f>
        <v/>
      </c>
      <c r="M261" s="90" t="str">
        <f>IFERROR(_xlfn.XLOOKUP($A261,'Raw Data'!$G:$G,'Raw Data'!AF:AF),"")</f>
        <v/>
      </c>
      <c r="N261" s="90" t="str">
        <f>IFERROR(_xlfn.XLOOKUP($A261,'Raw Data'!$G:$G,'Raw Data'!AG:AG),"")</f>
        <v/>
      </c>
      <c r="O261" s="85" t="str">
        <f>IFERROR(1-SUMIF('Plant BD'!$B:$B,$A261,'Plant BD'!$AM:$AM)/($AA261+SUMIF('Plant BD'!$B:$B,$A261,'Plant BD'!$AM:$AM)),"")</f>
        <v/>
      </c>
      <c r="P261" s="85"/>
      <c r="Q261" s="89"/>
      <c r="R261" s="85" t="str">
        <f>IFERROR(1-SUMIF('Grid BD'!$B:$B,$A261,'Grid BD'!$AE:$AE)/($AA261+SUMIF('Grid BD'!$B:$B,$A261,'Grid BD'!$AE:$AE)),"")</f>
        <v/>
      </c>
      <c r="T261" s="89"/>
      <c r="U261" s="88" t="str">
        <f t="shared" si="17"/>
        <v/>
      </c>
      <c r="V261" s="88"/>
      <c r="W261" s="84" t="str">
        <f t="shared" si="16"/>
        <v/>
      </c>
      <c r="X261" s="86" t="str">
        <f>IFERROR(_xlfn.XLOOKUP($A261,'Raw Data'!$G:$G,'Raw Data'!AI:AI),"")</f>
        <v/>
      </c>
      <c r="Y261" s="86" t="str">
        <f>IFERROR(_xlfn.XLOOKUP($A261,'Raw Data'!$G:$G,'Raw Data'!AJ:AJ),"")</f>
        <v/>
      </c>
      <c r="Z261" s="86" t="str">
        <f>IFERROR(_xlfn.XLOOKUP($A261,'Raw Data'!$G:$G,'Raw Data'!AK:AK),"")</f>
        <v/>
      </c>
      <c r="AA261" s="86" t="str">
        <f>IFERROR(_xlfn.XLOOKUP($A261,'Raw Data'!$G:$G,'Raw Data'!$AL:$AL)*(1+(_xlfn.XLOOKUP(Table13[[#This Row],[Month Year]],JMR!$A:$A,JMR!$J:$J))),"")</f>
        <v/>
      </c>
      <c r="AB261" s="86" t="str">
        <f>IFERROR(_xlfn.XLOOKUP($A261,'Raw Data'!$G:$G,'Raw Data'!$H:$H),"")</f>
        <v/>
      </c>
      <c r="AC261" s="87">
        <f>IFERROR(_xlfn.XLOOKUP($D261,'Modelling New'!$D:$D,'Modelling New'!$P:$P),"")</f>
        <v>5.3774193548387093</v>
      </c>
      <c r="AD261" s="86">
        <f>IFERROR(_xlfn.XLOOKUP($D261,'Modelling New'!$D:$D,'Modelling New'!$T:$T)*1000,"")</f>
        <v>27590.56771095916</v>
      </c>
      <c r="AE261" s="94">
        <f>IFERROR(_xlfn.XLOOKUP($D261,'Modelling New'!$D:$D,'Modelling New'!$O:$O),"")</f>
        <v>0.72273205859143763</v>
      </c>
      <c r="AF261" s="94">
        <f>IFERROR(_xlfn.XLOOKUP($D261,'Modelling New'!$D:$D,'Modelling New'!$W:$W),"")</f>
        <v>0.16193472334300085</v>
      </c>
      <c r="AG261" s="94">
        <f>IFERROR(_xlfn.XLOOKUP($D261,'Modelling New'!$D:$D,'Modelling New'!$AE:$AE),"")</f>
        <v>0.98040000000000005</v>
      </c>
      <c r="AH261" s="94">
        <f>IFERROR(_xlfn.XLOOKUP($D261,'Modelling New'!$D:$D,'Modelling New'!$AF:$AF),"")</f>
        <v>0.98</v>
      </c>
      <c r="AN261" s="85"/>
      <c r="AO261" s="84"/>
      <c r="AP261" s="84"/>
      <c r="AQ261" s="84"/>
      <c r="AR261" s="86">
        <f>'Basic Data'!$J$2</f>
        <v>7.0991999999999997</v>
      </c>
      <c r="AT261" s="7" t="str">
        <f>IFERROR(_xlfn.XLOOKUP(Table13[[#This Row],[Date]],'Raw Data'!$E:$E,'Raw Data'!$AN:$AN),"")</f>
        <v/>
      </c>
      <c r="AU261" s="7">
        <f>IFERROR(_xlfn.XLOOKUP(Table13[[#This Row],[Month Year]],'Modelling New'!$D:$D,'Modelling New'!$AO:$AO),"")</f>
        <v>7</v>
      </c>
      <c r="AV261" s="7">
        <f>IFERROR(SUMIF('Curtailment Records'!$C:$C,Table13[[#This Row],[Date]],'Curtailment Records'!$R:$R)/1000,"")</f>
        <v>0</v>
      </c>
    </row>
    <row r="262" spans="1:48" x14ac:dyDescent="0.25">
      <c r="A262" s="93">
        <f t="shared" si="18"/>
        <v>46005</v>
      </c>
      <c r="B262" s="86">
        <f>YEAR(Table13[[#This Row],[Date]])+IF(MONTH(Table13[[#This Row],[Date]])&gt;=4,1,0)</f>
        <v>2026</v>
      </c>
      <c r="C262" s="7">
        <f>YEAR(Table13[[#This Row],[Date]])</f>
        <v>2025</v>
      </c>
      <c r="D262" s="92">
        <f>Table13[[#This Row],[Date]]-DAY(Table13[[#This Row],[Date]])+1</f>
        <v>45992</v>
      </c>
      <c r="E262" s="7">
        <f t="shared" si="19"/>
        <v>31</v>
      </c>
      <c r="F262" s="91" t="str">
        <f>IFERROR(_xlfn.XLOOKUP($A262,'Raw Data'!$G:$G,'Raw Data'!$AM:$AM),"")</f>
        <v/>
      </c>
      <c r="G262" s="90" t="str">
        <f>IFERROR(_xlfn.XLOOKUP($A262,'Raw Data'!$G:$G,'Raw Data'!$AB:$AB),"")</f>
        <v/>
      </c>
      <c r="H262" s="90"/>
      <c r="I262" s="90" t="str">
        <f>IFERROR(_xlfn.XLOOKUP($A262,'Raw Data'!$G:$G,'Raw Data'!$AC:$AC),"")</f>
        <v/>
      </c>
      <c r="J262" s="90"/>
      <c r="K262" s="90" t="str">
        <f>IFERROR(_xlfn.XLOOKUP($A262,'Raw Data'!$G:$G,'Raw Data'!AD:AD),"")</f>
        <v/>
      </c>
      <c r="L262" s="90" t="str">
        <f>IFERROR(_xlfn.XLOOKUP($A262,'Raw Data'!$G:$G,'Raw Data'!AE:AE),"")</f>
        <v/>
      </c>
      <c r="M262" s="90" t="str">
        <f>IFERROR(_xlfn.XLOOKUP($A262,'Raw Data'!$G:$G,'Raw Data'!AF:AF),"")</f>
        <v/>
      </c>
      <c r="N262" s="90" t="str">
        <f>IFERROR(_xlfn.XLOOKUP($A262,'Raw Data'!$G:$G,'Raw Data'!AG:AG),"")</f>
        <v/>
      </c>
      <c r="O262" s="85" t="str">
        <f>IFERROR(1-SUMIF('Plant BD'!$B:$B,$A262,'Plant BD'!$AM:$AM)/($AA262+SUMIF('Plant BD'!$B:$B,$A262,'Plant BD'!$AM:$AM)),"")</f>
        <v/>
      </c>
      <c r="P262" s="85"/>
      <c r="Q262" s="89"/>
      <c r="R262" s="85" t="str">
        <f>IFERROR(1-SUMIF('Grid BD'!$B:$B,$A262,'Grid BD'!$AE:$AE)/($AA262+SUMIF('Grid BD'!$B:$B,$A262,'Grid BD'!$AE:$AE)),"")</f>
        <v/>
      </c>
      <c r="T262" s="89"/>
      <c r="U262" s="88" t="str">
        <f t="shared" si="17"/>
        <v/>
      </c>
      <c r="V262" s="88"/>
      <c r="W262" s="84" t="str">
        <f t="shared" si="16"/>
        <v/>
      </c>
      <c r="X262" s="86" t="str">
        <f>IFERROR(_xlfn.XLOOKUP($A262,'Raw Data'!$G:$G,'Raw Data'!AI:AI),"")</f>
        <v/>
      </c>
      <c r="Y262" s="86" t="str">
        <f>IFERROR(_xlfn.XLOOKUP($A262,'Raw Data'!$G:$G,'Raw Data'!AJ:AJ),"")</f>
        <v/>
      </c>
      <c r="Z262" s="86" t="str">
        <f>IFERROR(_xlfn.XLOOKUP($A262,'Raw Data'!$G:$G,'Raw Data'!AK:AK),"")</f>
        <v/>
      </c>
      <c r="AA262" s="86" t="str">
        <f>IFERROR(_xlfn.XLOOKUP($A262,'Raw Data'!$G:$G,'Raw Data'!$AL:$AL)*(1+(_xlfn.XLOOKUP(Table13[[#This Row],[Month Year]],JMR!$A:$A,JMR!$J:$J))),"")</f>
        <v/>
      </c>
      <c r="AB262" s="86" t="str">
        <f>IFERROR(_xlfn.XLOOKUP($A262,'Raw Data'!$G:$G,'Raw Data'!$H:$H),"")</f>
        <v/>
      </c>
      <c r="AC262" s="87">
        <f>IFERROR(_xlfn.XLOOKUP($D262,'Modelling New'!$D:$D,'Modelling New'!$P:$P),"")</f>
        <v>5.3774193548387093</v>
      </c>
      <c r="AD262" s="86">
        <f>IFERROR(_xlfn.XLOOKUP($D262,'Modelling New'!$D:$D,'Modelling New'!$T:$T)*1000,"")</f>
        <v>27590.56771095916</v>
      </c>
      <c r="AE262" s="94">
        <f>IFERROR(_xlfn.XLOOKUP($D262,'Modelling New'!$D:$D,'Modelling New'!$O:$O),"")</f>
        <v>0.72273205859143763</v>
      </c>
      <c r="AF262" s="94">
        <f>IFERROR(_xlfn.XLOOKUP($D262,'Modelling New'!$D:$D,'Modelling New'!$W:$W),"")</f>
        <v>0.16193472334300085</v>
      </c>
      <c r="AG262" s="94">
        <f>IFERROR(_xlfn.XLOOKUP($D262,'Modelling New'!$D:$D,'Modelling New'!$AE:$AE),"")</f>
        <v>0.98040000000000005</v>
      </c>
      <c r="AH262" s="94">
        <f>IFERROR(_xlfn.XLOOKUP($D262,'Modelling New'!$D:$D,'Modelling New'!$AF:$AF),"")</f>
        <v>0.98</v>
      </c>
      <c r="AN262" s="85"/>
      <c r="AO262" s="84"/>
      <c r="AP262" s="84"/>
      <c r="AQ262" s="84"/>
      <c r="AR262" s="86">
        <f>'Basic Data'!$J$2</f>
        <v>7.0991999999999997</v>
      </c>
      <c r="AT262" s="7" t="str">
        <f>IFERROR(_xlfn.XLOOKUP(Table13[[#This Row],[Date]],'Raw Data'!$E:$E,'Raw Data'!$AN:$AN),"")</f>
        <v/>
      </c>
      <c r="AU262" s="7">
        <f>IFERROR(_xlfn.XLOOKUP(Table13[[#This Row],[Month Year]],'Modelling New'!$D:$D,'Modelling New'!$AO:$AO),"")</f>
        <v>7</v>
      </c>
      <c r="AV262" s="7">
        <f>IFERROR(SUMIF('Curtailment Records'!$C:$C,Table13[[#This Row],[Date]],'Curtailment Records'!$R:$R)/1000,"")</f>
        <v>0</v>
      </c>
    </row>
    <row r="263" spans="1:48" x14ac:dyDescent="0.25">
      <c r="A263" s="93">
        <f t="shared" si="18"/>
        <v>46006</v>
      </c>
      <c r="B263" s="86">
        <f>YEAR(Table13[[#This Row],[Date]])+IF(MONTH(Table13[[#This Row],[Date]])&gt;=4,1,0)</f>
        <v>2026</v>
      </c>
      <c r="C263" s="7">
        <f>YEAR(Table13[[#This Row],[Date]])</f>
        <v>2025</v>
      </c>
      <c r="D263" s="92">
        <f>Table13[[#This Row],[Date]]-DAY(Table13[[#This Row],[Date]])+1</f>
        <v>45992</v>
      </c>
      <c r="E263" s="7">
        <f t="shared" si="19"/>
        <v>31</v>
      </c>
      <c r="F263" s="91" t="str">
        <f>IFERROR(_xlfn.XLOOKUP($A263,'Raw Data'!$G:$G,'Raw Data'!$AM:$AM),"")</f>
        <v/>
      </c>
      <c r="G263" s="90" t="str">
        <f>IFERROR(_xlfn.XLOOKUP($A263,'Raw Data'!$G:$G,'Raw Data'!$AB:$AB),"")</f>
        <v/>
      </c>
      <c r="H263" s="90"/>
      <c r="I263" s="90" t="str">
        <f>IFERROR(_xlfn.XLOOKUP($A263,'Raw Data'!$G:$G,'Raw Data'!$AC:$AC),"")</f>
        <v/>
      </c>
      <c r="J263" s="90"/>
      <c r="K263" s="90" t="str">
        <f>IFERROR(_xlfn.XLOOKUP($A263,'Raw Data'!$G:$G,'Raw Data'!AD:AD),"")</f>
        <v/>
      </c>
      <c r="L263" s="90" t="str">
        <f>IFERROR(_xlfn.XLOOKUP($A263,'Raw Data'!$G:$G,'Raw Data'!AE:AE),"")</f>
        <v/>
      </c>
      <c r="M263" s="90" t="str">
        <f>IFERROR(_xlfn.XLOOKUP($A263,'Raw Data'!$G:$G,'Raw Data'!AF:AF),"")</f>
        <v/>
      </c>
      <c r="N263" s="90" t="str">
        <f>IFERROR(_xlfn.XLOOKUP($A263,'Raw Data'!$G:$G,'Raw Data'!AG:AG),"")</f>
        <v/>
      </c>
      <c r="O263" s="85" t="str">
        <f>IFERROR(1-SUMIF('Plant BD'!$B:$B,$A263,'Plant BD'!$AM:$AM)/($AA263+SUMIF('Plant BD'!$B:$B,$A263,'Plant BD'!$AM:$AM)),"")</f>
        <v/>
      </c>
      <c r="P263" s="85"/>
      <c r="Q263" s="89"/>
      <c r="R263" s="85" t="str">
        <f>IFERROR(1-SUMIF('Grid BD'!$B:$B,$A263,'Grid BD'!$AE:$AE)/($AA263+SUMIF('Grid BD'!$B:$B,$A263,'Grid BD'!$AE:$AE)),"")</f>
        <v/>
      </c>
      <c r="T263" s="89"/>
      <c r="U263" s="88" t="str">
        <f t="shared" si="17"/>
        <v/>
      </c>
      <c r="V263" s="88"/>
      <c r="W263" s="84" t="str">
        <f t="shared" si="16"/>
        <v/>
      </c>
      <c r="X263" s="86" t="str">
        <f>IFERROR(_xlfn.XLOOKUP($A263,'Raw Data'!$G:$G,'Raw Data'!AI:AI),"")</f>
        <v/>
      </c>
      <c r="Y263" s="86" t="str">
        <f>IFERROR(_xlfn.XLOOKUP($A263,'Raw Data'!$G:$G,'Raw Data'!AJ:AJ),"")</f>
        <v/>
      </c>
      <c r="Z263" s="86" t="str">
        <f>IFERROR(_xlfn.XLOOKUP($A263,'Raw Data'!$G:$G,'Raw Data'!AK:AK),"")</f>
        <v/>
      </c>
      <c r="AA263" s="86" t="str">
        <f>IFERROR(_xlfn.XLOOKUP($A263,'Raw Data'!$G:$G,'Raw Data'!$AL:$AL)*(1+(_xlfn.XLOOKUP(Table13[[#This Row],[Month Year]],JMR!$A:$A,JMR!$J:$J))),"")</f>
        <v/>
      </c>
      <c r="AB263" s="86" t="str">
        <f>IFERROR(_xlfn.XLOOKUP($A263,'Raw Data'!$G:$G,'Raw Data'!$H:$H),"")</f>
        <v/>
      </c>
      <c r="AC263" s="87">
        <f>IFERROR(_xlfn.XLOOKUP($D263,'Modelling New'!$D:$D,'Modelling New'!$P:$P),"")</f>
        <v>5.3774193548387093</v>
      </c>
      <c r="AD263" s="86">
        <f>IFERROR(_xlfn.XLOOKUP($D263,'Modelling New'!$D:$D,'Modelling New'!$T:$T)*1000,"")</f>
        <v>27590.56771095916</v>
      </c>
      <c r="AE263" s="94">
        <f>IFERROR(_xlfn.XLOOKUP($D263,'Modelling New'!$D:$D,'Modelling New'!$O:$O),"")</f>
        <v>0.72273205859143763</v>
      </c>
      <c r="AF263" s="94">
        <f>IFERROR(_xlfn.XLOOKUP($D263,'Modelling New'!$D:$D,'Modelling New'!$W:$W),"")</f>
        <v>0.16193472334300085</v>
      </c>
      <c r="AG263" s="94">
        <f>IFERROR(_xlfn.XLOOKUP($D263,'Modelling New'!$D:$D,'Modelling New'!$AE:$AE),"")</f>
        <v>0.98040000000000005</v>
      </c>
      <c r="AH263" s="94">
        <f>IFERROR(_xlfn.XLOOKUP($D263,'Modelling New'!$D:$D,'Modelling New'!$AF:$AF),"")</f>
        <v>0.98</v>
      </c>
      <c r="AN263" s="85"/>
      <c r="AO263" s="84"/>
      <c r="AP263" s="84"/>
      <c r="AQ263" s="84"/>
      <c r="AR263" s="86">
        <f>'Basic Data'!$J$2</f>
        <v>7.0991999999999997</v>
      </c>
      <c r="AT263" s="7" t="str">
        <f>IFERROR(_xlfn.XLOOKUP(Table13[[#This Row],[Date]],'Raw Data'!$E:$E,'Raw Data'!$AN:$AN),"")</f>
        <v/>
      </c>
      <c r="AU263" s="7">
        <f>IFERROR(_xlfn.XLOOKUP(Table13[[#This Row],[Month Year]],'Modelling New'!$D:$D,'Modelling New'!$AO:$AO),"")</f>
        <v>7</v>
      </c>
      <c r="AV263" s="7">
        <f>IFERROR(SUMIF('Curtailment Records'!$C:$C,Table13[[#This Row],[Date]],'Curtailment Records'!$R:$R)/1000,"")</f>
        <v>0</v>
      </c>
    </row>
    <row r="264" spans="1:48" x14ac:dyDescent="0.25">
      <c r="A264" s="93">
        <f t="shared" si="18"/>
        <v>46007</v>
      </c>
      <c r="B264" s="86">
        <f>YEAR(Table13[[#This Row],[Date]])+IF(MONTH(Table13[[#This Row],[Date]])&gt;=4,1,0)</f>
        <v>2026</v>
      </c>
      <c r="C264" s="7">
        <f>YEAR(Table13[[#This Row],[Date]])</f>
        <v>2025</v>
      </c>
      <c r="D264" s="92">
        <f>Table13[[#This Row],[Date]]-DAY(Table13[[#This Row],[Date]])+1</f>
        <v>45992</v>
      </c>
      <c r="E264" s="7">
        <f t="shared" si="19"/>
        <v>31</v>
      </c>
      <c r="F264" s="91" t="str">
        <f>IFERROR(_xlfn.XLOOKUP($A264,'Raw Data'!$G:$G,'Raw Data'!$AM:$AM),"")</f>
        <v/>
      </c>
      <c r="G264" s="90" t="str">
        <f>IFERROR(_xlfn.XLOOKUP($A264,'Raw Data'!$G:$G,'Raw Data'!$AB:$AB),"")</f>
        <v/>
      </c>
      <c r="H264" s="90"/>
      <c r="I264" s="90" t="str">
        <f>IFERROR(_xlfn.XLOOKUP($A264,'Raw Data'!$G:$G,'Raw Data'!$AC:$AC),"")</f>
        <v/>
      </c>
      <c r="J264" s="90"/>
      <c r="K264" s="90" t="str">
        <f>IFERROR(_xlfn.XLOOKUP($A264,'Raw Data'!$G:$G,'Raw Data'!AD:AD),"")</f>
        <v/>
      </c>
      <c r="L264" s="90" t="str">
        <f>IFERROR(_xlfn.XLOOKUP($A264,'Raw Data'!$G:$G,'Raw Data'!AE:AE),"")</f>
        <v/>
      </c>
      <c r="M264" s="90" t="str">
        <f>IFERROR(_xlfn.XLOOKUP($A264,'Raw Data'!$G:$G,'Raw Data'!AF:AF),"")</f>
        <v/>
      </c>
      <c r="N264" s="90" t="str">
        <f>IFERROR(_xlfn.XLOOKUP($A264,'Raw Data'!$G:$G,'Raw Data'!AG:AG),"")</f>
        <v/>
      </c>
      <c r="O264" s="85" t="str">
        <f>IFERROR(1-SUMIF('Plant BD'!$B:$B,$A264,'Plant BD'!$AM:$AM)/($AA264+SUMIF('Plant BD'!$B:$B,$A264,'Plant BD'!$AM:$AM)),"")</f>
        <v/>
      </c>
      <c r="P264" s="85"/>
      <c r="Q264" s="89"/>
      <c r="R264" s="85" t="str">
        <f>IFERROR(1-SUMIF('Grid BD'!$B:$B,$A264,'Grid BD'!$AE:$AE)/($AA264+SUMIF('Grid BD'!$B:$B,$A264,'Grid BD'!$AE:$AE)),"")</f>
        <v/>
      </c>
      <c r="T264" s="89"/>
      <c r="U264" s="88" t="str">
        <f t="shared" si="17"/>
        <v/>
      </c>
      <c r="V264" s="88"/>
      <c r="W264" s="84" t="str">
        <f t="shared" si="16"/>
        <v/>
      </c>
      <c r="X264" s="86" t="str">
        <f>IFERROR(_xlfn.XLOOKUP($A264,'Raw Data'!$G:$G,'Raw Data'!AI:AI),"")</f>
        <v/>
      </c>
      <c r="Y264" s="86" t="str">
        <f>IFERROR(_xlfn.XLOOKUP($A264,'Raw Data'!$G:$G,'Raw Data'!AJ:AJ),"")</f>
        <v/>
      </c>
      <c r="Z264" s="86" t="str">
        <f>IFERROR(_xlfn.XLOOKUP($A264,'Raw Data'!$G:$G,'Raw Data'!AK:AK),"")</f>
        <v/>
      </c>
      <c r="AA264" s="86" t="str">
        <f>IFERROR(_xlfn.XLOOKUP($A264,'Raw Data'!$G:$G,'Raw Data'!$AL:$AL)*(1+(_xlfn.XLOOKUP(Table13[[#This Row],[Month Year]],JMR!$A:$A,JMR!$J:$J))),"")</f>
        <v/>
      </c>
      <c r="AB264" s="86" t="str">
        <f>IFERROR(_xlfn.XLOOKUP($A264,'Raw Data'!$G:$G,'Raw Data'!$H:$H),"")</f>
        <v/>
      </c>
      <c r="AC264" s="87">
        <f>IFERROR(_xlfn.XLOOKUP($D264,'Modelling New'!$D:$D,'Modelling New'!$P:$P),"")</f>
        <v>5.3774193548387093</v>
      </c>
      <c r="AD264" s="86">
        <f>IFERROR(_xlfn.XLOOKUP($D264,'Modelling New'!$D:$D,'Modelling New'!$T:$T)*1000,"")</f>
        <v>27590.56771095916</v>
      </c>
      <c r="AE264" s="94">
        <f>IFERROR(_xlfn.XLOOKUP($D264,'Modelling New'!$D:$D,'Modelling New'!$O:$O),"")</f>
        <v>0.72273205859143763</v>
      </c>
      <c r="AF264" s="94">
        <f>IFERROR(_xlfn.XLOOKUP($D264,'Modelling New'!$D:$D,'Modelling New'!$W:$W),"")</f>
        <v>0.16193472334300085</v>
      </c>
      <c r="AG264" s="94">
        <f>IFERROR(_xlfn.XLOOKUP($D264,'Modelling New'!$D:$D,'Modelling New'!$AE:$AE),"")</f>
        <v>0.98040000000000005</v>
      </c>
      <c r="AH264" s="94">
        <f>IFERROR(_xlfn.XLOOKUP($D264,'Modelling New'!$D:$D,'Modelling New'!$AF:$AF),"")</f>
        <v>0.98</v>
      </c>
      <c r="AN264" s="85"/>
      <c r="AO264" s="84"/>
      <c r="AP264" s="84"/>
      <c r="AQ264" s="84"/>
      <c r="AR264" s="86">
        <f>'Basic Data'!$J$2</f>
        <v>7.0991999999999997</v>
      </c>
      <c r="AT264" s="7" t="str">
        <f>IFERROR(_xlfn.XLOOKUP(Table13[[#This Row],[Date]],'Raw Data'!$E:$E,'Raw Data'!$AN:$AN),"")</f>
        <v/>
      </c>
      <c r="AU264" s="7">
        <f>IFERROR(_xlfn.XLOOKUP(Table13[[#This Row],[Month Year]],'Modelling New'!$D:$D,'Modelling New'!$AO:$AO),"")</f>
        <v>7</v>
      </c>
      <c r="AV264" s="7">
        <f>IFERROR(SUMIF('Curtailment Records'!$C:$C,Table13[[#This Row],[Date]],'Curtailment Records'!$R:$R)/1000,"")</f>
        <v>0</v>
      </c>
    </row>
    <row r="265" spans="1:48" x14ac:dyDescent="0.25">
      <c r="A265" s="93">
        <f t="shared" si="18"/>
        <v>46008</v>
      </c>
      <c r="B265" s="86">
        <f>YEAR(Table13[[#This Row],[Date]])+IF(MONTH(Table13[[#This Row],[Date]])&gt;=4,1,0)</f>
        <v>2026</v>
      </c>
      <c r="C265" s="7">
        <f>YEAR(Table13[[#This Row],[Date]])</f>
        <v>2025</v>
      </c>
      <c r="D265" s="92">
        <f>Table13[[#This Row],[Date]]-DAY(Table13[[#This Row],[Date]])+1</f>
        <v>45992</v>
      </c>
      <c r="E265" s="7">
        <f t="shared" si="19"/>
        <v>31</v>
      </c>
      <c r="F265" s="91" t="str">
        <f>IFERROR(_xlfn.XLOOKUP($A265,'Raw Data'!$G:$G,'Raw Data'!$AM:$AM),"")</f>
        <v/>
      </c>
      <c r="G265" s="90" t="str">
        <f>IFERROR(_xlfn.XLOOKUP($A265,'Raw Data'!$G:$G,'Raw Data'!$AB:$AB),"")</f>
        <v/>
      </c>
      <c r="H265" s="90"/>
      <c r="I265" s="90" t="str">
        <f>IFERROR(_xlfn.XLOOKUP($A265,'Raw Data'!$G:$G,'Raw Data'!$AC:$AC),"")</f>
        <v/>
      </c>
      <c r="J265" s="90"/>
      <c r="K265" s="90" t="str">
        <f>IFERROR(_xlfn.XLOOKUP($A265,'Raw Data'!$G:$G,'Raw Data'!AD:AD),"")</f>
        <v/>
      </c>
      <c r="L265" s="90" t="str">
        <f>IFERROR(_xlfn.XLOOKUP($A265,'Raw Data'!$G:$G,'Raw Data'!AE:AE),"")</f>
        <v/>
      </c>
      <c r="M265" s="90" t="str">
        <f>IFERROR(_xlfn.XLOOKUP($A265,'Raw Data'!$G:$G,'Raw Data'!AF:AF),"")</f>
        <v/>
      </c>
      <c r="N265" s="90" t="str">
        <f>IFERROR(_xlfn.XLOOKUP($A265,'Raw Data'!$G:$G,'Raw Data'!AG:AG),"")</f>
        <v/>
      </c>
      <c r="O265" s="85" t="str">
        <f>IFERROR(1-SUMIF('Plant BD'!$B:$B,$A265,'Plant BD'!$AM:$AM)/($AA265+SUMIF('Plant BD'!$B:$B,$A265,'Plant BD'!$AM:$AM)),"")</f>
        <v/>
      </c>
      <c r="P265" s="85"/>
      <c r="Q265" s="89"/>
      <c r="R265" s="85" t="str">
        <f>IFERROR(1-SUMIF('Grid BD'!$B:$B,$A265,'Grid BD'!$AE:$AE)/($AA265+SUMIF('Grid BD'!$B:$B,$A265,'Grid BD'!$AE:$AE)),"")</f>
        <v/>
      </c>
      <c r="T265" s="89"/>
      <c r="U265" s="88" t="str">
        <f t="shared" si="17"/>
        <v/>
      </c>
      <c r="V265" s="88"/>
      <c r="W265" s="84" t="str">
        <f t="shared" si="16"/>
        <v/>
      </c>
      <c r="X265" s="86" t="str">
        <f>IFERROR(_xlfn.XLOOKUP($A265,'Raw Data'!$G:$G,'Raw Data'!AI:AI),"")</f>
        <v/>
      </c>
      <c r="Y265" s="86" t="str">
        <f>IFERROR(_xlfn.XLOOKUP($A265,'Raw Data'!$G:$G,'Raw Data'!AJ:AJ),"")</f>
        <v/>
      </c>
      <c r="Z265" s="86" t="str">
        <f>IFERROR(_xlfn.XLOOKUP($A265,'Raw Data'!$G:$G,'Raw Data'!AK:AK),"")</f>
        <v/>
      </c>
      <c r="AA265" s="86" t="str">
        <f>IFERROR(_xlfn.XLOOKUP($A265,'Raw Data'!$G:$G,'Raw Data'!$AL:$AL)*(1+(_xlfn.XLOOKUP(Table13[[#This Row],[Month Year]],JMR!$A:$A,JMR!$J:$J))),"")</f>
        <v/>
      </c>
      <c r="AB265" s="86" t="str">
        <f>IFERROR(_xlfn.XLOOKUP($A265,'Raw Data'!$G:$G,'Raw Data'!$H:$H),"")</f>
        <v/>
      </c>
      <c r="AC265" s="87">
        <f>IFERROR(_xlfn.XLOOKUP($D265,'Modelling New'!$D:$D,'Modelling New'!$P:$P),"")</f>
        <v>5.3774193548387093</v>
      </c>
      <c r="AD265" s="86">
        <f>IFERROR(_xlfn.XLOOKUP($D265,'Modelling New'!$D:$D,'Modelling New'!$T:$T)*1000,"")</f>
        <v>27590.56771095916</v>
      </c>
      <c r="AE265" s="94">
        <f>IFERROR(_xlfn.XLOOKUP($D265,'Modelling New'!$D:$D,'Modelling New'!$O:$O),"")</f>
        <v>0.72273205859143763</v>
      </c>
      <c r="AF265" s="94">
        <f>IFERROR(_xlfn.XLOOKUP($D265,'Modelling New'!$D:$D,'Modelling New'!$W:$W),"")</f>
        <v>0.16193472334300085</v>
      </c>
      <c r="AG265" s="94">
        <f>IFERROR(_xlfn.XLOOKUP($D265,'Modelling New'!$D:$D,'Modelling New'!$AE:$AE),"")</f>
        <v>0.98040000000000005</v>
      </c>
      <c r="AH265" s="94">
        <f>IFERROR(_xlfn.XLOOKUP($D265,'Modelling New'!$D:$D,'Modelling New'!$AF:$AF),"")</f>
        <v>0.98</v>
      </c>
      <c r="AN265" s="85"/>
      <c r="AO265" s="84"/>
      <c r="AP265" s="84"/>
      <c r="AQ265" s="84"/>
      <c r="AR265" s="86">
        <f>'Basic Data'!$J$2</f>
        <v>7.0991999999999997</v>
      </c>
      <c r="AT265" s="7" t="str">
        <f>IFERROR(_xlfn.XLOOKUP(Table13[[#This Row],[Date]],'Raw Data'!$E:$E,'Raw Data'!$AN:$AN),"")</f>
        <v/>
      </c>
      <c r="AU265" s="7">
        <f>IFERROR(_xlfn.XLOOKUP(Table13[[#This Row],[Month Year]],'Modelling New'!$D:$D,'Modelling New'!$AO:$AO),"")</f>
        <v>7</v>
      </c>
      <c r="AV265" s="7">
        <f>IFERROR(SUMIF('Curtailment Records'!$C:$C,Table13[[#This Row],[Date]],'Curtailment Records'!$R:$R)/1000,"")</f>
        <v>0</v>
      </c>
    </row>
    <row r="266" spans="1:48" x14ac:dyDescent="0.25">
      <c r="A266" s="93">
        <f t="shared" si="18"/>
        <v>46009</v>
      </c>
      <c r="B266" s="86">
        <f>YEAR(Table13[[#This Row],[Date]])+IF(MONTH(Table13[[#This Row],[Date]])&gt;=4,1,0)</f>
        <v>2026</v>
      </c>
      <c r="C266" s="7">
        <f>YEAR(Table13[[#This Row],[Date]])</f>
        <v>2025</v>
      </c>
      <c r="D266" s="92">
        <f>Table13[[#This Row],[Date]]-DAY(Table13[[#This Row],[Date]])+1</f>
        <v>45992</v>
      </c>
      <c r="E266" s="7">
        <f t="shared" si="19"/>
        <v>31</v>
      </c>
      <c r="F266" s="91" t="str">
        <f>IFERROR(_xlfn.XLOOKUP($A266,'Raw Data'!$G:$G,'Raw Data'!$AM:$AM),"")</f>
        <v/>
      </c>
      <c r="G266" s="90" t="str">
        <f>IFERROR(_xlfn.XLOOKUP($A266,'Raw Data'!$G:$G,'Raw Data'!$AB:$AB),"")</f>
        <v/>
      </c>
      <c r="H266" s="90"/>
      <c r="I266" s="90" t="str">
        <f>IFERROR(_xlfn.XLOOKUP($A266,'Raw Data'!$G:$G,'Raw Data'!$AC:$AC),"")</f>
        <v/>
      </c>
      <c r="J266" s="90"/>
      <c r="K266" s="90" t="str">
        <f>IFERROR(_xlfn.XLOOKUP($A266,'Raw Data'!$G:$G,'Raw Data'!AD:AD),"")</f>
        <v/>
      </c>
      <c r="L266" s="90" t="str">
        <f>IFERROR(_xlfn.XLOOKUP($A266,'Raw Data'!$G:$G,'Raw Data'!AE:AE),"")</f>
        <v/>
      </c>
      <c r="M266" s="90" t="str">
        <f>IFERROR(_xlfn.XLOOKUP($A266,'Raw Data'!$G:$G,'Raw Data'!AF:AF),"")</f>
        <v/>
      </c>
      <c r="N266" s="90" t="str">
        <f>IFERROR(_xlfn.XLOOKUP($A266,'Raw Data'!$G:$G,'Raw Data'!AG:AG),"")</f>
        <v/>
      </c>
      <c r="O266" s="85" t="str">
        <f>IFERROR(1-SUMIF('Plant BD'!$B:$B,$A266,'Plant BD'!$AM:$AM)/($AA266+SUMIF('Plant BD'!$B:$B,$A266,'Plant BD'!$AM:$AM)),"")</f>
        <v/>
      </c>
      <c r="P266" s="85"/>
      <c r="Q266" s="89"/>
      <c r="R266" s="85" t="str">
        <f>IFERROR(1-SUMIF('Grid BD'!$B:$B,$A266,'Grid BD'!$AE:$AE)/($AA266+SUMIF('Grid BD'!$B:$B,$A266,'Grid BD'!$AE:$AE)),"")</f>
        <v/>
      </c>
      <c r="T266" s="89"/>
      <c r="U266" s="88" t="str">
        <f t="shared" si="17"/>
        <v/>
      </c>
      <c r="V266" s="88"/>
      <c r="W266" s="84" t="str">
        <f t="shared" si="16"/>
        <v/>
      </c>
      <c r="X266" s="86" t="str">
        <f>IFERROR(_xlfn.XLOOKUP($A266,'Raw Data'!$G:$G,'Raw Data'!AI:AI),"")</f>
        <v/>
      </c>
      <c r="Y266" s="86" t="str">
        <f>IFERROR(_xlfn.XLOOKUP($A266,'Raw Data'!$G:$G,'Raw Data'!AJ:AJ),"")</f>
        <v/>
      </c>
      <c r="Z266" s="86" t="str">
        <f>IFERROR(_xlfn.XLOOKUP($A266,'Raw Data'!$G:$G,'Raw Data'!AK:AK),"")</f>
        <v/>
      </c>
      <c r="AA266" s="86" t="str">
        <f>IFERROR(_xlfn.XLOOKUP($A266,'Raw Data'!$G:$G,'Raw Data'!$AL:$AL)*(1+(_xlfn.XLOOKUP(Table13[[#This Row],[Month Year]],JMR!$A:$A,JMR!$J:$J))),"")</f>
        <v/>
      </c>
      <c r="AB266" s="86" t="str">
        <f>IFERROR(_xlfn.XLOOKUP($A266,'Raw Data'!$G:$G,'Raw Data'!$H:$H),"")</f>
        <v/>
      </c>
      <c r="AC266" s="87">
        <f>IFERROR(_xlfn.XLOOKUP($D266,'Modelling New'!$D:$D,'Modelling New'!$P:$P),"")</f>
        <v>5.3774193548387093</v>
      </c>
      <c r="AD266" s="86">
        <f>IFERROR(_xlfn.XLOOKUP($D266,'Modelling New'!$D:$D,'Modelling New'!$T:$T)*1000,"")</f>
        <v>27590.56771095916</v>
      </c>
      <c r="AE266" s="94">
        <f>IFERROR(_xlfn.XLOOKUP($D266,'Modelling New'!$D:$D,'Modelling New'!$O:$O),"")</f>
        <v>0.72273205859143763</v>
      </c>
      <c r="AF266" s="94">
        <f>IFERROR(_xlfn.XLOOKUP($D266,'Modelling New'!$D:$D,'Modelling New'!$W:$W),"")</f>
        <v>0.16193472334300085</v>
      </c>
      <c r="AG266" s="94">
        <f>IFERROR(_xlfn.XLOOKUP($D266,'Modelling New'!$D:$D,'Modelling New'!$AE:$AE),"")</f>
        <v>0.98040000000000005</v>
      </c>
      <c r="AH266" s="94">
        <f>IFERROR(_xlfn.XLOOKUP($D266,'Modelling New'!$D:$D,'Modelling New'!$AF:$AF),"")</f>
        <v>0.98</v>
      </c>
      <c r="AN266" s="85"/>
      <c r="AO266" s="84"/>
      <c r="AP266" s="84"/>
      <c r="AQ266" s="84"/>
      <c r="AR266" s="86">
        <f>'Basic Data'!$J$2</f>
        <v>7.0991999999999997</v>
      </c>
      <c r="AT266" s="7" t="str">
        <f>IFERROR(_xlfn.XLOOKUP(Table13[[#This Row],[Date]],'Raw Data'!$E:$E,'Raw Data'!$AN:$AN),"")</f>
        <v/>
      </c>
      <c r="AU266" s="7">
        <f>IFERROR(_xlfn.XLOOKUP(Table13[[#This Row],[Month Year]],'Modelling New'!$D:$D,'Modelling New'!$AO:$AO),"")</f>
        <v>7</v>
      </c>
      <c r="AV266" s="7">
        <f>IFERROR(SUMIF('Curtailment Records'!$C:$C,Table13[[#This Row],[Date]],'Curtailment Records'!$R:$R)/1000,"")</f>
        <v>0</v>
      </c>
    </row>
    <row r="267" spans="1:48" x14ac:dyDescent="0.25">
      <c r="A267" s="93">
        <f t="shared" si="18"/>
        <v>46010</v>
      </c>
      <c r="B267" s="86">
        <f>YEAR(Table13[[#This Row],[Date]])+IF(MONTH(Table13[[#This Row],[Date]])&gt;=4,1,0)</f>
        <v>2026</v>
      </c>
      <c r="C267" s="7">
        <f>YEAR(Table13[[#This Row],[Date]])</f>
        <v>2025</v>
      </c>
      <c r="D267" s="92">
        <f>Table13[[#This Row],[Date]]-DAY(Table13[[#This Row],[Date]])+1</f>
        <v>45992</v>
      </c>
      <c r="E267" s="7">
        <f t="shared" si="19"/>
        <v>31</v>
      </c>
      <c r="F267" s="91" t="str">
        <f>IFERROR(_xlfn.XLOOKUP($A267,'Raw Data'!$G:$G,'Raw Data'!$AM:$AM),"")</f>
        <v/>
      </c>
      <c r="G267" s="90" t="str">
        <f>IFERROR(_xlfn.XLOOKUP($A267,'Raw Data'!$G:$G,'Raw Data'!$AB:$AB),"")</f>
        <v/>
      </c>
      <c r="H267" s="90"/>
      <c r="I267" s="90" t="str">
        <f>IFERROR(_xlfn.XLOOKUP($A267,'Raw Data'!$G:$G,'Raw Data'!$AC:$AC),"")</f>
        <v/>
      </c>
      <c r="J267" s="90"/>
      <c r="K267" s="90" t="str">
        <f>IFERROR(_xlfn.XLOOKUP($A267,'Raw Data'!$G:$G,'Raw Data'!AD:AD),"")</f>
        <v/>
      </c>
      <c r="L267" s="90" t="str">
        <f>IFERROR(_xlfn.XLOOKUP($A267,'Raw Data'!$G:$G,'Raw Data'!AE:AE),"")</f>
        <v/>
      </c>
      <c r="M267" s="90" t="str">
        <f>IFERROR(_xlfn.XLOOKUP($A267,'Raw Data'!$G:$G,'Raw Data'!AF:AF),"")</f>
        <v/>
      </c>
      <c r="N267" s="90" t="str">
        <f>IFERROR(_xlfn.XLOOKUP($A267,'Raw Data'!$G:$G,'Raw Data'!AG:AG),"")</f>
        <v/>
      </c>
      <c r="O267" s="85" t="str">
        <f>IFERROR(1-SUMIF('Plant BD'!$B:$B,$A267,'Plant BD'!$AM:$AM)/($AA267+SUMIF('Plant BD'!$B:$B,$A267,'Plant BD'!$AM:$AM)),"")</f>
        <v/>
      </c>
      <c r="P267" s="85"/>
      <c r="Q267" s="89"/>
      <c r="R267" s="85" t="str">
        <f>IFERROR(1-SUMIF('Grid BD'!$B:$B,$A267,'Grid BD'!$AE:$AE)/($AA267+SUMIF('Grid BD'!$B:$B,$A267,'Grid BD'!$AE:$AE)),"")</f>
        <v/>
      </c>
      <c r="T267" s="89"/>
      <c r="U267" s="88" t="str">
        <f t="shared" si="17"/>
        <v/>
      </c>
      <c r="V267" s="88"/>
      <c r="W267" s="84" t="str">
        <f t="shared" si="16"/>
        <v/>
      </c>
      <c r="X267" s="86" t="str">
        <f>IFERROR(_xlfn.XLOOKUP($A267,'Raw Data'!$G:$G,'Raw Data'!AI:AI),"")</f>
        <v/>
      </c>
      <c r="Y267" s="86" t="str">
        <f>IFERROR(_xlfn.XLOOKUP($A267,'Raw Data'!$G:$G,'Raw Data'!AJ:AJ),"")</f>
        <v/>
      </c>
      <c r="Z267" s="86" t="str">
        <f>IFERROR(_xlfn.XLOOKUP($A267,'Raw Data'!$G:$G,'Raw Data'!AK:AK),"")</f>
        <v/>
      </c>
      <c r="AA267" s="86" t="str">
        <f>IFERROR(_xlfn.XLOOKUP($A267,'Raw Data'!$G:$G,'Raw Data'!$AL:$AL)*(1+(_xlfn.XLOOKUP(Table13[[#This Row],[Month Year]],JMR!$A:$A,JMR!$J:$J))),"")</f>
        <v/>
      </c>
      <c r="AB267" s="86" t="str">
        <f>IFERROR(_xlfn.XLOOKUP($A267,'Raw Data'!$G:$G,'Raw Data'!$H:$H),"")</f>
        <v/>
      </c>
      <c r="AC267" s="87">
        <f>IFERROR(_xlfn.XLOOKUP($D267,'Modelling New'!$D:$D,'Modelling New'!$P:$P),"")</f>
        <v>5.3774193548387093</v>
      </c>
      <c r="AD267" s="86">
        <f>IFERROR(_xlfn.XLOOKUP($D267,'Modelling New'!$D:$D,'Modelling New'!$T:$T)*1000,"")</f>
        <v>27590.56771095916</v>
      </c>
      <c r="AE267" s="94">
        <f>IFERROR(_xlfn.XLOOKUP($D267,'Modelling New'!$D:$D,'Modelling New'!$O:$O),"")</f>
        <v>0.72273205859143763</v>
      </c>
      <c r="AF267" s="94">
        <f>IFERROR(_xlfn.XLOOKUP($D267,'Modelling New'!$D:$D,'Modelling New'!$W:$W),"")</f>
        <v>0.16193472334300085</v>
      </c>
      <c r="AG267" s="94">
        <f>IFERROR(_xlfn.XLOOKUP($D267,'Modelling New'!$D:$D,'Modelling New'!$AE:$AE),"")</f>
        <v>0.98040000000000005</v>
      </c>
      <c r="AH267" s="94">
        <f>IFERROR(_xlfn.XLOOKUP($D267,'Modelling New'!$D:$D,'Modelling New'!$AF:$AF),"")</f>
        <v>0.98</v>
      </c>
      <c r="AN267" s="85"/>
      <c r="AO267" s="84"/>
      <c r="AP267" s="84"/>
      <c r="AQ267" s="84"/>
      <c r="AR267" s="86">
        <f>'Basic Data'!$J$2</f>
        <v>7.0991999999999997</v>
      </c>
      <c r="AT267" s="7" t="str">
        <f>IFERROR(_xlfn.XLOOKUP(Table13[[#This Row],[Date]],'Raw Data'!$E:$E,'Raw Data'!$AN:$AN),"")</f>
        <v/>
      </c>
      <c r="AU267" s="7">
        <f>IFERROR(_xlfn.XLOOKUP(Table13[[#This Row],[Month Year]],'Modelling New'!$D:$D,'Modelling New'!$AO:$AO),"")</f>
        <v>7</v>
      </c>
      <c r="AV267" s="7">
        <f>IFERROR(SUMIF('Curtailment Records'!$C:$C,Table13[[#This Row],[Date]],'Curtailment Records'!$R:$R)/1000,"")</f>
        <v>0</v>
      </c>
    </row>
    <row r="268" spans="1:48" x14ac:dyDescent="0.25">
      <c r="A268" s="93">
        <f t="shared" si="18"/>
        <v>46011</v>
      </c>
      <c r="B268" s="86">
        <f>YEAR(Table13[[#This Row],[Date]])+IF(MONTH(Table13[[#This Row],[Date]])&gt;=4,1,0)</f>
        <v>2026</v>
      </c>
      <c r="C268" s="7">
        <f>YEAR(Table13[[#This Row],[Date]])</f>
        <v>2025</v>
      </c>
      <c r="D268" s="92">
        <f>Table13[[#This Row],[Date]]-DAY(Table13[[#This Row],[Date]])+1</f>
        <v>45992</v>
      </c>
      <c r="E268" s="7">
        <f t="shared" si="19"/>
        <v>31</v>
      </c>
      <c r="F268" s="91" t="str">
        <f>IFERROR(_xlfn.XLOOKUP($A268,'Raw Data'!$G:$G,'Raw Data'!$AM:$AM),"")</f>
        <v/>
      </c>
      <c r="G268" s="90" t="str">
        <f>IFERROR(_xlfn.XLOOKUP($A268,'Raw Data'!$G:$G,'Raw Data'!$AB:$AB),"")</f>
        <v/>
      </c>
      <c r="H268" s="90"/>
      <c r="I268" s="90" t="str">
        <f>IFERROR(_xlfn.XLOOKUP($A268,'Raw Data'!$G:$G,'Raw Data'!$AC:$AC),"")</f>
        <v/>
      </c>
      <c r="J268" s="90"/>
      <c r="K268" s="90" t="str">
        <f>IFERROR(_xlfn.XLOOKUP($A268,'Raw Data'!$G:$G,'Raw Data'!AD:AD),"")</f>
        <v/>
      </c>
      <c r="L268" s="90" t="str">
        <f>IFERROR(_xlfn.XLOOKUP($A268,'Raw Data'!$G:$G,'Raw Data'!AE:AE),"")</f>
        <v/>
      </c>
      <c r="M268" s="90" t="str">
        <f>IFERROR(_xlfn.XLOOKUP($A268,'Raw Data'!$G:$G,'Raw Data'!AF:AF),"")</f>
        <v/>
      </c>
      <c r="N268" s="90" t="str">
        <f>IFERROR(_xlfn.XLOOKUP($A268,'Raw Data'!$G:$G,'Raw Data'!AG:AG),"")</f>
        <v/>
      </c>
      <c r="O268" s="85" t="str">
        <f>IFERROR(1-SUMIF('Plant BD'!$B:$B,$A268,'Plant BD'!$AM:$AM)/($AA268+SUMIF('Plant BD'!$B:$B,$A268,'Plant BD'!$AM:$AM)),"")</f>
        <v/>
      </c>
      <c r="P268" s="85"/>
      <c r="Q268" s="89"/>
      <c r="R268" s="85" t="str">
        <f>IFERROR(1-SUMIF('Grid BD'!$B:$B,$A268,'Grid BD'!$AE:$AE)/($AA268+SUMIF('Grid BD'!$B:$B,$A268,'Grid BD'!$AE:$AE)),"")</f>
        <v/>
      </c>
      <c r="T268" s="89"/>
      <c r="U268" s="88" t="str">
        <f t="shared" si="17"/>
        <v/>
      </c>
      <c r="V268" s="88"/>
      <c r="W268" s="84" t="str">
        <f t="shared" si="16"/>
        <v/>
      </c>
      <c r="X268" s="86" t="str">
        <f>IFERROR(_xlfn.XLOOKUP($A268,'Raw Data'!$G:$G,'Raw Data'!AI:AI),"")</f>
        <v/>
      </c>
      <c r="Y268" s="86" t="str">
        <f>IFERROR(_xlfn.XLOOKUP($A268,'Raw Data'!$G:$G,'Raw Data'!AJ:AJ),"")</f>
        <v/>
      </c>
      <c r="Z268" s="86" t="str">
        <f>IFERROR(_xlfn.XLOOKUP($A268,'Raw Data'!$G:$G,'Raw Data'!AK:AK),"")</f>
        <v/>
      </c>
      <c r="AA268" s="86" t="str">
        <f>IFERROR(_xlfn.XLOOKUP($A268,'Raw Data'!$G:$G,'Raw Data'!$AL:$AL)*(1+(_xlfn.XLOOKUP(Table13[[#This Row],[Month Year]],JMR!$A:$A,JMR!$J:$J))),"")</f>
        <v/>
      </c>
      <c r="AB268" s="86" t="str">
        <f>IFERROR(_xlfn.XLOOKUP($A268,'Raw Data'!$G:$G,'Raw Data'!$H:$H),"")</f>
        <v/>
      </c>
      <c r="AC268" s="87">
        <f>IFERROR(_xlfn.XLOOKUP($D268,'Modelling New'!$D:$D,'Modelling New'!$P:$P),"")</f>
        <v>5.3774193548387093</v>
      </c>
      <c r="AD268" s="86">
        <f>IFERROR(_xlfn.XLOOKUP($D268,'Modelling New'!$D:$D,'Modelling New'!$T:$T)*1000,"")</f>
        <v>27590.56771095916</v>
      </c>
      <c r="AE268" s="94">
        <f>IFERROR(_xlfn.XLOOKUP($D268,'Modelling New'!$D:$D,'Modelling New'!$O:$O),"")</f>
        <v>0.72273205859143763</v>
      </c>
      <c r="AF268" s="94">
        <f>IFERROR(_xlfn.XLOOKUP($D268,'Modelling New'!$D:$D,'Modelling New'!$W:$W),"")</f>
        <v>0.16193472334300085</v>
      </c>
      <c r="AG268" s="94">
        <f>IFERROR(_xlfn.XLOOKUP($D268,'Modelling New'!$D:$D,'Modelling New'!$AE:$AE),"")</f>
        <v>0.98040000000000005</v>
      </c>
      <c r="AH268" s="94">
        <f>IFERROR(_xlfn.XLOOKUP($D268,'Modelling New'!$D:$D,'Modelling New'!$AF:$AF),"")</f>
        <v>0.98</v>
      </c>
      <c r="AN268" s="85"/>
      <c r="AO268" s="84"/>
      <c r="AP268" s="84"/>
      <c r="AQ268" s="84"/>
      <c r="AR268" s="86">
        <f>'Basic Data'!$J$2</f>
        <v>7.0991999999999997</v>
      </c>
      <c r="AT268" s="7" t="str">
        <f>IFERROR(_xlfn.XLOOKUP(Table13[[#This Row],[Date]],'Raw Data'!$E:$E,'Raw Data'!$AN:$AN),"")</f>
        <v/>
      </c>
      <c r="AU268" s="7">
        <f>IFERROR(_xlfn.XLOOKUP(Table13[[#This Row],[Month Year]],'Modelling New'!$D:$D,'Modelling New'!$AO:$AO),"")</f>
        <v>7</v>
      </c>
      <c r="AV268" s="7">
        <f>IFERROR(SUMIF('Curtailment Records'!$C:$C,Table13[[#This Row],[Date]],'Curtailment Records'!$R:$R)/1000,"")</f>
        <v>0</v>
      </c>
    </row>
    <row r="269" spans="1:48" x14ac:dyDescent="0.25">
      <c r="A269" s="93">
        <f t="shared" si="18"/>
        <v>46012</v>
      </c>
      <c r="B269" s="86">
        <f>YEAR(Table13[[#This Row],[Date]])+IF(MONTH(Table13[[#This Row],[Date]])&gt;=4,1,0)</f>
        <v>2026</v>
      </c>
      <c r="C269" s="7">
        <f>YEAR(Table13[[#This Row],[Date]])</f>
        <v>2025</v>
      </c>
      <c r="D269" s="92">
        <f>Table13[[#This Row],[Date]]-DAY(Table13[[#This Row],[Date]])+1</f>
        <v>45992</v>
      </c>
      <c r="E269" s="7">
        <f t="shared" si="19"/>
        <v>31</v>
      </c>
      <c r="F269" s="91" t="str">
        <f>IFERROR(_xlfn.XLOOKUP($A269,'Raw Data'!$G:$G,'Raw Data'!$AM:$AM),"")</f>
        <v/>
      </c>
      <c r="G269" s="90" t="str">
        <f>IFERROR(_xlfn.XLOOKUP($A269,'Raw Data'!$G:$G,'Raw Data'!$AB:$AB),"")</f>
        <v/>
      </c>
      <c r="H269" s="90"/>
      <c r="I269" s="90" t="str">
        <f>IFERROR(_xlfn.XLOOKUP($A269,'Raw Data'!$G:$G,'Raw Data'!$AC:$AC),"")</f>
        <v/>
      </c>
      <c r="J269" s="90"/>
      <c r="K269" s="90" t="str">
        <f>IFERROR(_xlfn.XLOOKUP($A269,'Raw Data'!$G:$G,'Raw Data'!AD:AD),"")</f>
        <v/>
      </c>
      <c r="L269" s="90" t="str">
        <f>IFERROR(_xlfn.XLOOKUP($A269,'Raw Data'!$G:$G,'Raw Data'!AE:AE),"")</f>
        <v/>
      </c>
      <c r="M269" s="90" t="str">
        <f>IFERROR(_xlfn.XLOOKUP($A269,'Raw Data'!$G:$G,'Raw Data'!AF:AF),"")</f>
        <v/>
      </c>
      <c r="N269" s="90" t="str">
        <f>IFERROR(_xlfn.XLOOKUP($A269,'Raw Data'!$G:$G,'Raw Data'!AG:AG),"")</f>
        <v/>
      </c>
      <c r="O269" s="85" t="str">
        <f>IFERROR(1-SUMIF('Plant BD'!$B:$B,$A269,'Plant BD'!$AM:$AM)/($AA269+SUMIF('Plant BD'!$B:$B,$A269,'Plant BD'!$AM:$AM)),"")</f>
        <v/>
      </c>
      <c r="P269" s="85"/>
      <c r="Q269" s="89"/>
      <c r="R269" s="85" t="str">
        <f>IFERROR(1-SUMIF('Grid BD'!$B:$B,$A269,'Grid BD'!$AE:$AE)/($AA269+SUMIF('Grid BD'!$B:$B,$A269,'Grid BD'!$AE:$AE)),"")</f>
        <v/>
      </c>
      <c r="T269" s="89"/>
      <c r="U269" s="88" t="str">
        <f t="shared" si="17"/>
        <v/>
      </c>
      <c r="V269" s="88"/>
      <c r="W269" s="84" t="str">
        <f t="shared" si="16"/>
        <v/>
      </c>
      <c r="X269" s="86" t="str">
        <f>IFERROR(_xlfn.XLOOKUP($A269,'Raw Data'!$G:$G,'Raw Data'!AI:AI),"")</f>
        <v/>
      </c>
      <c r="Y269" s="86" t="str">
        <f>IFERROR(_xlfn.XLOOKUP($A269,'Raw Data'!$G:$G,'Raw Data'!AJ:AJ),"")</f>
        <v/>
      </c>
      <c r="Z269" s="86" t="str">
        <f>IFERROR(_xlfn.XLOOKUP($A269,'Raw Data'!$G:$G,'Raw Data'!AK:AK),"")</f>
        <v/>
      </c>
      <c r="AA269" s="86" t="str">
        <f>IFERROR(_xlfn.XLOOKUP($A269,'Raw Data'!$G:$G,'Raw Data'!$AL:$AL)*(1+(_xlfn.XLOOKUP(Table13[[#This Row],[Month Year]],JMR!$A:$A,JMR!$J:$J))),"")</f>
        <v/>
      </c>
      <c r="AB269" s="86" t="str">
        <f>IFERROR(_xlfn.XLOOKUP($A269,'Raw Data'!$G:$G,'Raw Data'!$H:$H),"")</f>
        <v/>
      </c>
      <c r="AC269" s="87">
        <f>IFERROR(_xlfn.XLOOKUP($D269,'Modelling New'!$D:$D,'Modelling New'!$P:$P),"")</f>
        <v>5.3774193548387093</v>
      </c>
      <c r="AD269" s="86">
        <f>IFERROR(_xlfn.XLOOKUP($D269,'Modelling New'!$D:$D,'Modelling New'!$T:$T)*1000,"")</f>
        <v>27590.56771095916</v>
      </c>
      <c r="AE269" s="94">
        <f>IFERROR(_xlfn.XLOOKUP($D269,'Modelling New'!$D:$D,'Modelling New'!$O:$O),"")</f>
        <v>0.72273205859143763</v>
      </c>
      <c r="AF269" s="94">
        <f>IFERROR(_xlfn.XLOOKUP($D269,'Modelling New'!$D:$D,'Modelling New'!$W:$W),"")</f>
        <v>0.16193472334300085</v>
      </c>
      <c r="AG269" s="94">
        <f>IFERROR(_xlfn.XLOOKUP($D269,'Modelling New'!$D:$D,'Modelling New'!$AE:$AE),"")</f>
        <v>0.98040000000000005</v>
      </c>
      <c r="AH269" s="94">
        <f>IFERROR(_xlfn.XLOOKUP($D269,'Modelling New'!$D:$D,'Modelling New'!$AF:$AF),"")</f>
        <v>0.98</v>
      </c>
      <c r="AN269" s="85"/>
      <c r="AO269" s="84"/>
      <c r="AP269" s="84"/>
      <c r="AQ269" s="84"/>
      <c r="AR269" s="86">
        <f>'Basic Data'!$J$2</f>
        <v>7.0991999999999997</v>
      </c>
      <c r="AT269" s="7" t="str">
        <f>IFERROR(_xlfn.XLOOKUP(Table13[[#This Row],[Date]],'Raw Data'!$E:$E,'Raw Data'!$AN:$AN),"")</f>
        <v/>
      </c>
      <c r="AU269" s="7">
        <f>IFERROR(_xlfn.XLOOKUP(Table13[[#This Row],[Month Year]],'Modelling New'!$D:$D,'Modelling New'!$AO:$AO),"")</f>
        <v>7</v>
      </c>
      <c r="AV269" s="7">
        <f>IFERROR(SUMIF('Curtailment Records'!$C:$C,Table13[[#This Row],[Date]],'Curtailment Records'!$R:$R)/1000,"")</f>
        <v>0</v>
      </c>
    </row>
    <row r="270" spans="1:48" x14ac:dyDescent="0.25">
      <c r="A270" s="93">
        <f t="shared" si="18"/>
        <v>46013</v>
      </c>
      <c r="B270" s="86">
        <f>YEAR(Table13[[#This Row],[Date]])+IF(MONTH(Table13[[#This Row],[Date]])&gt;=4,1,0)</f>
        <v>2026</v>
      </c>
      <c r="C270" s="7">
        <f>YEAR(Table13[[#This Row],[Date]])</f>
        <v>2025</v>
      </c>
      <c r="D270" s="92">
        <f>Table13[[#This Row],[Date]]-DAY(Table13[[#This Row],[Date]])+1</f>
        <v>45992</v>
      </c>
      <c r="E270" s="7">
        <f t="shared" si="19"/>
        <v>31</v>
      </c>
      <c r="F270" s="91" t="str">
        <f>IFERROR(_xlfn.XLOOKUP($A270,'Raw Data'!$G:$G,'Raw Data'!$AM:$AM),"")</f>
        <v/>
      </c>
      <c r="G270" s="90" t="str">
        <f>IFERROR(_xlfn.XLOOKUP($A270,'Raw Data'!$G:$G,'Raw Data'!$AB:$AB),"")</f>
        <v/>
      </c>
      <c r="H270" s="90"/>
      <c r="I270" s="90" t="str">
        <f>IFERROR(_xlfn.XLOOKUP($A270,'Raw Data'!$G:$G,'Raw Data'!$AC:$AC),"")</f>
        <v/>
      </c>
      <c r="J270" s="90"/>
      <c r="K270" s="90" t="str">
        <f>IFERROR(_xlfn.XLOOKUP($A270,'Raw Data'!$G:$G,'Raw Data'!AD:AD),"")</f>
        <v/>
      </c>
      <c r="L270" s="90" t="str">
        <f>IFERROR(_xlfn.XLOOKUP($A270,'Raw Data'!$G:$G,'Raw Data'!AE:AE),"")</f>
        <v/>
      </c>
      <c r="M270" s="90" t="str">
        <f>IFERROR(_xlfn.XLOOKUP($A270,'Raw Data'!$G:$G,'Raw Data'!AF:AF),"")</f>
        <v/>
      </c>
      <c r="N270" s="90" t="str">
        <f>IFERROR(_xlfn.XLOOKUP($A270,'Raw Data'!$G:$G,'Raw Data'!AG:AG),"")</f>
        <v/>
      </c>
      <c r="O270" s="85" t="str">
        <f>IFERROR(1-SUMIF('Plant BD'!$B:$B,$A270,'Plant BD'!$AM:$AM)/($AA270+SUMIF('Plant BD'!$B:$B,$A270,'Plant BD'!$AM:$AM)),"")</f>
        <v/>
      </c>
      <c r="P270" s="85"/>
      <c r="Q270" s="89"/>
      <c r="R270" s="85" t="str">
        <f>IFERROR(1-SUMIF('Grid BD'!$B:$B,$A270,'Grid BD'!$AE:$AE)/($AA270+SUMIF('Grid BD'!$B:$B,$A270,'Grid BD'!$AE:$AE)),"")</f>
        <v/>
      </c>
      <c r="T270" s="89"/>
      <c r="U270" s="88" t="str">
        <f t="shared" si="17"/>
        <v/>
      </c>
      <c r="V270" s="88"/>
      <c r="W270" s="84" t="str">
        <f t="shared" si="16"/>
        <v/>
      </c>
      <c r="X270" s="86" t="str">
        <f>IFERROR(_xlfn.XLOOKUP($A270,'Raw Data'!$G:$G,'Raw Data'!AI:AI),"")</f>
        <v/>
      </c>
      <c r="Y270" s="86" t="str">
        <f>IFERROR(_xlfn.XLOOKUP($A270,'Raw Data'!$G:$G,'Raw Data'!AJ:AJ),"")</f>
        <v/>
      </c>
      <c r="Z270" s="86" t="str">
        <f>IFERROR(_xlfn.XLOOKUP($A270,'Raw Data'!$G:$G,'Raw Data'!AK:AK),"")</f>
        <v/>
      </c>
      <c r="AA270" s="86" t="str">
        <f>IFERROR(_xlfn.XLOOKUP($A270,'Raw Data'!$G:$G,'Raw Data'!$AL:$AL)*(1+(_xlfn.XLOOKUP(Table13[[#This Row],[Month Year]],JMR!$A:$A,JMR!$J:$J))),"")</f>
        <v/>
      </c>
      <c r="AB270" s="86" t="str">
        <f>IFERROR(_xlfn.XLOOKUP($A270,'Raw Data'!$G:$G,'Raw Data'!$H:$H),"")</f>
        <v/>
      </c>
      <c r="AC270" s="87">
        <f>IFERROR(_xlfn.XLOOKUP($D270,'Modelling New'!$D:$D,'Modelling New'!$P:$P),"")</f>
        <v>5.3774193548387093</v>
      </c>
      <c r="AD270" s="86">
        <f>IFERROR(_xlfn.XLOOKUP($D270,'Modelling New'!$D:$D,'Modelling New'!$T:$T)*1000,"")</f>
        <v>27590.56771095916</v>
      </c>
      <c r="AE270" s="94">
        <f>IFERROR(_xlfn.XLOOKUP($D270,'Modelling New'!$D:$D,'Modelling New'!$O:$O),"")</f>
        <v>0.72273205859143763</v>
      </c>
      <c r="AF270" s="94">
        <f>IFERROR(_xlfn.XLOOKUP($D270,'Modelling New'!$D:$D,'Modelling New'!$W:$W),"")</f>
        <v>0.16193472334300085</v>
      </c>
      <c r="AG270" s="94">
        <f>IFERROR(_xlfn.XLOOKUP($D270,'Modelling New'!$D:$D,'Modelling New'!$AE:$AE),"")</f>
        <v>0.98040000000000005</v>
      </c>
      <c r="AH270" s="94">
        <f>IFERROR(_xlfn.XLOOKUP($D270,'Modelling New'!$D:$D,'Modelling New'!$AF:$AF),"")</f>
        <v>0.98</v>
      </c>
      <c r="AN270" s="85"/>
      <c r="AO270" s="84"/>
      <c r="AP270" s="84"/>
      <c r="AQ270" s="84"/>
      <c r="AR270" s="86">
        <f>'Basic Data'!$J$2</f>
        <v>7.0991999999999997</v>
      </c>
      <c r="AT270" s="7" t="str">
        <f>IFERROR(_xlfn.XLOOKUP(Table13[[#This Row],[Date]],'Raw Data'!$E:$E,'Raw Data'!$AN:$AN),"")</f>
        <v/>
      </c>
      <c r="AU270" s="7">
        <f>IFERROR(_xlfn.XLOOKUP(Table13[[#This Row],[Month Year]],'Modelling New'!$D:$D,'Modelling New'!$AO:$AO),"")</f>
        <v>7</v>
      </c>
      <c r="AV270" s="7">
        <f>IFERROR(SUMIF('Curtailment Records'!$C:$C,Table13[[#This Row],[Date]],'Curtailment Records'!$R:$R)/1000,"")</f>
        <v>0</v>
      </c>
    </row>
    <row r="271" spans="1:48" x14ac:dyDescent="0.25">
      <c r="A271" s="93">
        <f t="shared" si="18"/>
        <v>46014</v>
      </c>
      <c r="B271" s="86">
        <f>YEAR(Table13[[#This Row],[Date]])+IF(MONTH(Table13[[#This Row],[Date]])&gt;=4,1,0)</f>
        <v>2026</v>
      </c>
      <c r="C271" s="7">
        <f>YEAR(Table13[[#This Row],[Date]])</f>
        <v>2025</v>
      </c>
      <c r="D271" s="92">
        <f>Table13[[#This Row],[Date]]-DAY(Table13[[#This Row],[Date]])+1</f>
        <v>45992</v>
      </c>
      <c r="E271" s="7">
        <f t="shared" si="19"/>
        <v>31</v>
      </c>
      <c r="F271" s="91" t="str">
        <f>IFERROR(_xlfn.XLOOKUP($A271,'Raw Data'!$G:$G,'Raw Data'!$AM:$AM),"")</f>
        <v/>
      </c>
      <c r="G271" s="90" t="str">
        <f>IFERROR(_xlfn.XLOOKUP($A271,'Raw Data'!$G:$G,'Raw Data'!$AB:$AB),"")</f>
        <v/>
      </c>
      <c r="H271" s="90"/>
      <c r="I271" s="90" t="str">
        <f>IFERROR(_xlfn.XLOOKUP($A271,'Raw Data'!$G:$G,'Raw Data'!$AC:$AC),"")</f>
        <v/>
      </c>
      <c r="J271" s="90"/>
      <c r="K271" s="90" t="str">
        <f>IFERROR(_xlfn.XLOOKUP($A271,'Raw Data'!$G:$G,'Raw Data'!AD:AD),"")</f>
        <v/>
      </c>
      <c r="L271" s="90" t="str">
        <f>IFERROR(_xlfn.XLOOKUP($A271,'Raw Data'!$G:$G,'Raw Data'!AE:AE),"")</f>
        <v/>
      </c>
      <c r="M271" s="90" t="str">
        <f>IFERROR(_xlfn.XLOOKUP($A271,'Raw Data'!$G:$G,'Raw Data'!AF:AF),"")</f>
        <v/>
      </c>
      <c r="N271" s="90" t="str">
        <f>IFERROR(_xlfn.XLOOKUP($A271,'Raw Data'!$G:$G,'Raw Data'!AG:AG),"")</f>
        <v/>
      </c>
      <c r="O271" s="85" t="str">
        <f>IFERROR(1-SUMIF('Plant BD'!$B:$B,$A271,'Plant BD'!$AM:$AM)/($AA271+SUMIF('Plant BD'!$B:$B,$A271,'Plant BD'!$AM:$AM)),"")</f>
        <v/>
      </c>
      <c r="P271" s="85"/>
      <c r="Q271" s="89"/>
      <c r="R271" s="85" t="str">
        <f>IFERROR(1-SUMIF('Grid BD'!$B:$B,$A271,'Grid BD'!$AE:$AE)/($AA271+SUMIF('Grid BD'!$B:$B,$A271,'Grid BD'!$AE:$AE)),"")</f>
        <v/>
      </c>
      <c r="T271" s="89"/>
      <c r="U271" s="88" t="str">
        <f t="shared" si="17"/>
        <v/>
      </c>
      <c r="V271" s="88"/>
      <c r="W271" s="84" t="str">
        <f t="shared" si="16"/>
        <v/>
      </c>
      <c r="X271" s="86" t="str">
        <f>IFERROR(_xlfn.XLOOKUP($A271,'Raw Data'!$G:$G,'Raw Data'!AI:AI),"")</f>
        <v/>
      </c>
      <c r="Y271" s="86" t="str">
        <f>IFERROR(_xlfn.XLOOKUP($A271,'Raw Data'!$G:$G,'Raw Data'!AJ:AJ),"")</f>
        <v/>
      </c>
      <c r="Z271" s="86" t="str">
        <f>IFERROR(_xlfn.XLOOKUP($A271,'Raw Data'!$G:$G,'Raw Data'!AK:AK),"")</f>
        <v/>
      </c>
      <c r="AA271" s="86" t="str">
        <f>IFERROR(_xlfn.XLOOKUP($A271,'Raw Data'!$G:$G,'Raw Data'!$AL:$AL)*(1+(_xlfn.XLOOKUP(Table13[[#This Row],[Month Year]],JMR!$A:$A,JMR!$J:$J))),"")</f>
        <v/>
      </c>
      <c r="AB271" s="86" t="str">
        <f>IFERROR(_xlfn.XLOOKUP($A271,'Raw Data'!$G:$G,'Raw Data'!$H:$H),"")</f>
        <v/>
      </c>
      <c r="AC271" s="87">
        <f>IFERROR(_xlfn.XLOOKUP($D271,'Modelling New'!$D:$D,'Modelling New'!$P:$P),"")</f>
        <v>5.3774193548387093</v>
      </c>
      <c r="AD271" s="86">
        <f>IFERROR(_xlfn.XLOOKUP($D271,'Modelling New'!$D:$D,'Modelling New'!$T:$T)*1000,"")</f>
        <v>27590.56771095916</v>
      </c>
      <c r="AE271" s="94">
        <f>IFERROR(_xlfn.XLOOKUP($D271,'Modelling New'!$D:$D,'Modelling New'!$O:$O),"")</f>
        <v>0.72273205859143763</v>
      </c>
      <c r="AF271" s="94">
        <f>IFERROR(_xlfn.XLOOKUP($D271,'Modelling New'!$D:$D,'Modelling New'!$W:$W),"")</f>
        <v>0.16193472334300085</v>
      </c>
      <c r="AG271" s="94">
        <f>IFERROR(_xlfn.XLOOKUP($D271,'Modelling New'!$D:$D,'Modelling New'!$AE:$AE),"")</f>
        <v>0.98040000000000005</v>
      </c>
      <c r="AH271" s="94">
        <f>IFERROR(_xlfn.XLOOKUP($D271,'Modelling New'!$D:$D,'Modelling New'!$AF:$AF),"")</f>
        <v>0.98</v>
      </c>
      <c r="AN271" s="85"/>
      <c r="AO271" s="84"/>
      <c r="AP271" s="84"/>
      <c r="AQ271" s="84"/>
      <c r="AR271" s="86">
        <f>'Basic Data'!$J$2</f>
        <v>7.0991999999999997</v>
      </c>
      <c r="AT271" s="7" t="str">
        <f>IFERROR(_xlfn.XLOOKUP(Table13[[#This Row],[Date]],'Raw Data'!$E:$E,'Raw Data'!$AN:$AN),"")</f>
        <v/>
      </c>
      <c r="AU271" s="7">
        <f>IFERROR(_xlfn.XLOOKUP(Table13[[#This Row],[Month Year]],'Modelling New'!$D:$D,'Modelling New'!$AO:$AO),"")</f>
        <v>7</v>
      </c>
      <c r="AV271" s="7">
        <f>IFERROR(SUMIF('Curtailment Records'!$C:$C,Table13[[#This Row],[Date]],'Curtailment Records'!$R:$R)/1000,"")</f>
        <v>0</v>
      </c>
    </row>
    <row r="272" spans="1:48" x14ac:dyDescent="0.25">
      <c r="A272" s="93">
        <f t="shared" si="18"/>
        <v>46015</v>
      </c>
      <c r="B272" s="86">
        <f>YEAR(Table13[[#This Row],[Date]])+IF(MONTH(Table13[[#This Row],[Date]])&gt;=4,1,0)</f>
        <v>2026</v>
      </c>
      <c r="C272" s="7">
        <f>YEAR(Table13[[#This Row],[Date]])</f>
        <v>2025</v>
      </c>
      <c r="D272" s="92">
        <f>Table13[[#This Row],[Date]]-DAY(Table13[[#This Row],[Date]])+1</f>
        <v>45992</v>
      </c>
      <c r="E272" s="7">
        <f t="shared" si="19"/>
        <v>31</v>
      </c>
      <c r="F272" s="91" t="str">
        <f>IFERROR(_xlfn.XLOOKUP($A272,'Raw Data'!$G:$G,'Raw Data'!$AM:$AM),"")</f>
        <v/>
      </c>
      <c r="G272" s="90" t="str">
        <f>IFERROR(_xlfn.XLOOKUP($A272,'Raw Data'!$G:$G,'Raw Data'!$AB:$AB),"")</f>
        <v/>
      </c>
      <c r="H272" s="90"/>
      <c r="I272" s="90" t="str">
        <f>IFERROR(_xlfn.XLOOKUP($A272,'Raw Data'!$G:$G,'Raw Data'!$AC:$AC),"")</f>
        <v/>
      </c>
      <c r="J272" s="90"/>
      <c r="K272" s="90" t="str">
        <f>IFERROR(_xlfn.XLOOKUP($A272,'Raw Data'!$G:$G,'Raw Data'!AD:AD),"")</f>
        <v/>
      </c>
      <c r="L272" s="90" t="str">
        <f>IFERROR(_xlfn.XLOOKUP($A272,'Raw Data'!$G:$G,'Raw Data'!AE:AE),"")</f>
        <v/>
      </c>
      <c r="M272" s="90" t="str">
        <f>IFERROR(_xlfn.XLOOKUP($A272,'Raw Data'!$G:$G,'Raw Data'!AF:AF),"")</f>
        <v/>
      </c>
      <c r="N272" s="90" t="str">
        <f>IFERROR(_xlfn.XLOOKUP($A272,'Raw Data'!$G:$G,'Raw Data'!AG:AG),"")</f>
        <v/>
      </c>
      <c r="O272" s="85" t="str">
        <f>IFERROR(1-SUMIF('Plant BD'!$B:$B,$A272,'Plant BD'!$AM:$AM)/($AA272+SUMIF('Plant BD'!$B:$B,$A272,'Plant BD'!$AM:$AM)),"")</f>
        <v/>
      </c>
      <c r="P272" s="85"/>
      <c r="Q272" s="89"/>
      <c r="R272" s="85" t="str">
        <f>IFERROR(1-SUMIF('Grid BD'!$B:$B,$A272,'Grid BD'!$AE:$AE)/($AA272+SUMIF('Grid BD'!$B:$B,$A272,'Grid BD'!$AE:$AE)),"")</f>
        <v/>
      </c>
      <c r="T272" s="89"/>
      <c r="U272" s="88" t="str">
        <f t="shared" si="17"/>
        <v/>
      </c>
      <c r="V272" s="88"/>
      <c r="W272" s="84" t="str">
        <f t="shared" si="16"/>
        <v/>
      </c>
      <c r="X272" s="86" t="str">
        <f>IFERROR(_xlfn.XLOOKUP($A272,'Raw Data'!$G:$G,'Raw Data'!AI:AI),"")</f>
        <v/>
      </c>
      <c r="Y272" s="86" t="str">
        <f>IFERROR(_xlfn.XLOOKUP($A272,'Raw Data'!$G:$G,'Raw Data'!AJ:AJ),"")</f>
        <v/>
      </c>
      <c r="Z272" s="86" t="str">
        <f>IFERROR(_xlfn.XLOOKUP($A272,'Raw Data'!$G:$G,'Raw Data'!AK:AK),"")</f>
        <v/>
      </c>
      <c r="AA272" s="86" t="str">
        <f>IFERROR(_xlfn.XLOOKUP($A272,'Raw Data'!$G:$G,'Raw Data'!$AL:$AL)*(1+(_xlfn.XLOOKUP(Table13[[#This Row],[Month Year]],JMR!$A:$A,JMR!$J:$J))),"")</f>
        <v/>
      </c>
      <c r="AB272" s="86" t="str">
        <f>IFERROR(_xlfn.XLOOKUP($A272,'Raw Data'!$G:$G,'Raw Data'!$H:$H),"")</f>
        <v/>
      </c>
      <c r="AC272" s="87">
        <f>IFERROR(_xlfn.XLOOKUP($D272,'Modelling New'!$D:$D,'Modelling New'!$P:$P),"")</f>
        <v>5.3774193548387093</v>
      </c>
      <c r="AD272" s="86">
        <f>IFERROR(_xlfn.XLOOKUP($D272,'Modelling New'!$D:$D,'Modelling New'!$T:$T)*1000,"")</f>
        <v>27590.56771095916</v>
      </c>
      <c r="AE272" s="94">
        <f>IFERROR(_xlfn.XLOOKUP($D272,'Modelling New'!$D:$D,'Modelling New'!$O:$O),"")</f>
        <v>0.72273205859143763</v>
      </c>
      <c r="AF272" s="94">
        <f>IFERROR(_xlfn.XLOOKUP($D272,'Modelling New'!$D:$D,'Modelling New'!$W:$W),"")</f>
        <v>0.16193472334300085</v>
      </c>
      <c r="AG272" s="94">
        <f>IFERROR(_xlfn.XLOOKUP($D272,'Modelling New'!$D:$D,'Modelling New'!$AE:$AE),"")</f>
        <v>0.98040000000000005</v>
      </c>
      <c r="AH272" s="94">
        <f>IFERROR(_xlfn.XLOOKUP($D272,'Modelling New'!$D:$D,'Modelling New'!$AF:$AF),"")</f>
        <v>0.98</v>
      </c>
      <c r="AN272" s="85"/>
      <c r="AO272" s="84"/>
      <c r="AP272" s="84"/>
      <c r="AQ272" s="84"/>
      <c r="AR272" s="86">
        <f>'Basic Data'!$J$2</f>
        <v>7.0991999999999997</v>
      </c>
      <c r="AT272" s="7" t="str">
        <f>IFERROR(_xlfn.XLOOKUP(Table13[[#This Row],[Date]],'Raw Data'!$E:$E,'Raw Data'!$AN:$AN),"")</f>
        <v/>
      </c>
      <c r="AU272" s="7">
        <f>IFERROR(_xlfn.XLOOKUP(Table13[[#This Row],[Month Year]],'Modelling New'!$D:$D,'Modelling New'!$AO:$AO),"")</f>
        <v>7</v>
      </c>
      <c r="AV272" s="7">
        <f>IFERROR(SUMIF('Curtailment Records'!$C:$C,Table13[[#This Row],[Date]],'Curtailment Records'!$R:$R)/1000,"")</f>
        <v>0</v>
      </c>
    </row>
    <row r="273" spans="1:48" x14ac:dyDescent="0.25">
      <c r="A273" s="93">
        <f t="shared" si="18"/>
        <v>46016</v>
      </c>
      <c r="B273" s="86">
        <f>YEAR(Table13[[#This Row],[Date]])+IF(MONTH(Table13[[#This Row],[Date]])&gt;=4,1,0)</f>
        <v>2026</v>
      </c>
      <c r="C273" s="7">
        <f>YEAR(Table13[[#This Row],[Date]])</f>
        <v>2025</v>
      </c>
      <c r="D273" s="92">
        <f>Table13[[#This Row],[Date]]-DAY(Table13[[#This Row],[Date]])+1</f>
        <v>45992</v>
      </c>
      <c r="E273" s="7">
        <f t="shared" si="19"/>
        <v>31</v>
      </c>
      <c r="F273" s="91" t="str">
        <f>IFERROR(_xlfn.XLOOKUP($A273,'Raw Data'!$G:$G,'Raw Data'!$AM:$AM),"")</f>
        <v/>
      </c>
      <c r="G273" s="90" t="str">
        <f>IFERROR(_xlfn.XLOOKUP($A273,'Raw Data'!$G:$G,'Raw Data'!$AB:$AB),"")</f>
        <v/>
      </c>
      <c r="H273" s="90"/>
      <c r="I273" s="90" t="str">
        <f>IFERROR(_xlfn.XLOOKUP($A273,'Raw Data'!$G:$G,'Raw Data'!$AC:$AC),"")</f>
        <v/>
      </c>
      <c r="J273" s="90"/>
      <c r="K273" s="90" t="str">
        <f>IFERROR(_xlfn.XLOOKUP($A273,'Raw Data'!$G:$G,'Raw Data'!AD:AD),"")</f>
        <v/>
      </c>
      <c r="L273" s="90" t="str">
        <f>IFERROR(_xlfn.XLOOKUP($A273,'Raw Data'!$G:$G,'Raw Data'!AE:AE),"")</f>
        <v/>
      </c>
      <c r="M273" s="90" t="str">
        <f>IFERROR(_xlfn.XLOOKUP($A273,'Raw Data'!$G:$G,'Raw Data'!AF:AF),"")</f>
        <v/>
      </c>
      <c r="N273" s="90" t="str">
        <f>IFERROR(_xlfn.XLOOKUP($A273,'Raw Data'!$G:$G,'Raw Data'!AG:AG),"")</f>
        <v/>
      </c>
      <c r="O273" s="85" t="str">
        <f>IFERROR(1-SUMIF('Plant BD'!$B:$B,$A273,'Plant BD'!$AM:$AM)/($AA273+SUMIF('Plant BD'!$B:$B,$A273,'Plant BD'!$AM:$AM)),"")</f>
        <v/>
      </c>
      <c r="P273" s="85"/>
      <c r="Q273" s="89"/>
      <c r="R273" s="85" t="str">
        <f>IFERROR(1-SUMIF('Grid BD'!$B:$B,$A273,'Grid BD'!$AE:$AE)/($AA273+SUMIF('Grid BD'!$B:$B,$A273,'Grid BD'!$AE:$AE)),"")</f>
        <v/>
      </c>
      <c r="T273" s="89"/>
      <c r="U273" s="88" t="str">
        <f t="shared" si="17"/>
        <v/>
      </c>
      <c r="V273" s="88"/>
      <c r="W273" s="84" t="str">
        <f t="shared" si="16"/>
        <v/>
      </c>
      <c r="X273" s="86" t="str">
        <f>IFERROR(_xlfn.XLOOKUP($A273,'Raw Data'!$G:$G,'Raw Data'!AI:AI),"")</f>
        <v/>
      </c>
      <c r="Y273" s="86" t="str">
        <f>IFERROR(_xlfn.XLOOKUP($A273,'Raw Data'!$G:$G,'Raw Data'!AJ:AJ),"")</f>
        <v/>
      </c>
      <c r="Z273" s="86" t="str">
        <f>IFERROR(_xlfn.XLOOKUP($A273,'Raw Data'!$G:$G,'Raw Data'!AK:AK),"")</f>
        <v/>
      </c>
      <c r="AA273" s="86" t="str">
        <f>IFERROR(_xlfn.XLOOKUP($A273,'Raw Data'!$G:$G,'Raw Data'!$AL:$AL)*(1+(_xlfn.XLOOKUP(Table13[[#This Row],[Month Year]],JMR!$A:$A,JMR!$J:$J))),"")</f>
        <v/>
      </c>
      <c r="AB273" s="86" t="str">
        <f>IFERROR(_xlfn.XLOOKUP($A273,'Raw Data'!$G:$G,'Raw Data'!$H:$H),"")</f>
        <v/>
      </c>
      <c r="AC273" s="87">
        <f>IFERROR(_xlfn.XLOOKUP($D273,'Modelling New'!$D:$D,'Modelling New'!$P:$P),"")</f>
        <v>5.3774193548387093</v>
      </c>
      <c r="AD273" s="86">
        <f>IFERROR(_xlfn.XLOOKUP($D273,'Modelling New'!$D:$D,'Modelling New'!$T:$T)*1000,"")</f>
        <v>27590.56771095916</v>
      </c>
      <c r="AE273" s="94">
        <f>IFERROR(_xlfn.XLOOKUP($D273,'Modelling New'!$D:$D,'Modelling New'!$O:$O),"")</f>
        <v>0.72273205859143763</v>
      </c>
      <c r="AF273" s="94">
        <f>IFERROR(_xlfn.XLOOKUP($D273,'Modelling New'!$D:$D,'Modelling New'!$W:$W),"")</f>
        <v>0.16193472334300085</v>
      </c>
      <c r="AG273" s="94">
        <f>IFERROR(_xlfn.XLOOKUP($D273,'Modelling New'!$D:$D,'Modelling New'!$AE:$AE),"")</f>
        <v>0.98040000000000005</v>
      </c>
      <c r="AH273" s="94">
        <f>IFERROR(_xlfn.XLOOKUP($D273,'Modelling New'!$D:$D,'Modelling New'!$AF:$AF),"")</f>
        <v>0.98</v>
      </c>
      <c r="AN273" s="85"/>
      <c r="AO273" s="84"/>
      <c r="AP273" s="84"/>
      <c r="AQ273" s="84"/>
      <c r="AR273" s="86">
        <f>'Basic Data'!$J$2</f>
        <v>7.0991999999999997</v>
      </c>
      <c r="AT273" s="7" t="str">
        <f>IFERROR(_xlfn.XLOOKUP(Table13[[#This Row],[Date]],'Raw Data'!$E:$E,'Raw Data'!$AN:$AN),"")</f>
        <v/>
      </c>
      <c r="AU273" s="7">
        <f>IFERROR(_xlfn.XLOOKUP(Table13[[#This Row],[Month Year]],'Modelling New'!$D:$D,'Modelling New'!$AO:$AO),"")</f>
        <v>7</v>
      </c>
      <c r="AV273" s="7">
        <f>IFERROR(SUMIF('Curtailment Records'!$C:$C,Table13[[#This Row],[Date]],'Curtailment Records'!$R:$R)/1000,"")</f>
        <v>0</v>
      </c>
    </row>
    <row r="274" spans="1:48" x14ac:dyDescent="0.25">
      <c r="A274" s="93">
        <f t="shared" si="18"/>
        <v>46017</v>
      </c>
      <c r="B274" s="86">
        <f>YEAR(Table13[[#This Row],[Date]])+IF(MONTH(Table13[[#This Row],[Date]])&gt;=4,1,0)</f>
        <v>2026</v>
      </c>
      <c r="C274" s="7">
        <f>YEAR(Table13[[#This Row],[Date]])</f>
        <v>2025</v>
      </c>
      <c r="D274" s="92">
        <f>Table13[[#This Row],[Date]]-DAY(Table13[[#This Row],[Date]])+1</f>
        <v>45992</v>
      </c>
      <c r="E274" s="7">
        <f t="shared" si="19"/>
        <v>31</v>
      </c>
      <c r="F274" s="91" t="str">
        <f>IFERROR(_xlfn.XLOOKUP($A274,'Raw Data'!$G:$G,'Raw Data'!$AM:$AM),"")</f>
        <v/>
      </c>
      <c r="G274" s="90" t="str">
        <f>IFERROR(_xlfn.XLOOKUP($A274,'Raw Data'!$G:$G,'Raw Data'!$AB:$AB),"")</f>
        <v/>
      </c>
      <c r="H274" s="90"/>
      <c r="I274" s="90" t="str">
        <f>IFERROR(_xlfn.XLOOKUP($A274,'Raw Data'!$G:$G,'Raw Data'!$AC:$AC),"")</f>
        <v/>
      </c>
      <c r="J274" s="90"/>
      <c r="K274" s="90" t="str">
        <f>IFERROR(_xlfn.XLOOKUP($A274,'Raw Data'!$G:$G,'Raw Data'!AD:AD),"")</f>
        <v/>
      </c>
      <c r="L274" s="90" t="str">
        <f>IFERROR(_xlfn.XLOOKUP($A274,'Raw Data'!$G:$G,'Raw Data'!AE:AE),"")</f>
        <v/>
      </c>
      <c r="M274" s="90" t="str">
        <f>IFERROR(_xlfn.XLOOKUP($A274,'Raw Data'!$G:$G,'Raw Data'!AF:AF),"")</f>
        <v/>
      </c>
      <c r="N274" s="90" t="str">
        <f>IFERROR(_xlfn.XLOOKUP($A274,'Raw Data'!$G:$G,'Raw Data'!AG:AG),"")</f>
        <v/>
      </c>
      <c r="O274" s="85" t="str">
        <f>IFERROR(1-SUMIF('Plant BD'!$B:$B,$A274,'Plant BD'!$AM:$AM)/($AA274+SUMIF('Plant BD'!$B:$B,$A274,'Plant BD'!$AM:$AM)),"")</f>
        <v/>
      </c>
      <c r="P274" s="85"/>
      <c r="Q274" s="89"/>
      <c r="R274" s="85" t="str">
        <f>IFERROR(1-SUMIF('Grid BD'!$B:$B,$A274,'Grid BD'!$AE:$AE)/($AA274+SUMIF('Grid BD'!$B:$B,$A274,'Grid BD'!$AE:$AE)),"")</f>
        <v/>
      </c>
      <c r="T274" s="89"/>
      <c r="U274" s="88" t="str">
        <f t="shared" si="17"/>
        <v/>
      </c>
      <c r="V274" s="88"/>
      <c r="W274" s="84" t="str">
        <f t="shared" si="16"/>
        <v/>
      </c>
      <c r="X274" s="86" t="str">
        <f>IFERROR(_xlfn.XLOOKUP($A274,'Raw Data'!$G:$G,'Raw Data'!AI:AI),"")</f>
        <v/>
      </c>
      <c r="Y274" s="86" t="str">
        <f>IFERROR(_xlfn.XLOOKUP($A274,'Raw Data'!$G:$G,'Raw Data'!AJ:AJ),"")</f>
        <v/>
      </c>
      <c r="Z274" s="86" t="str">
        <f>IFERROR(_xlfn.XLOOKUP($A274,'Raw Data'!$G:$G,'Raw Data'!AK:AK),"")</f>
        <v/>
      </c>
      <c r="AA274" s="86" t="str">
        <f>IFERROR(_xlfn.XLOOKUP($A274,'Raw Data'!$G:$G,'Raw Data'!$AL:$AL)*(1+(_xlfn.XLOOKUP(Table13[[#This Row],[Month Year]],JMR!$A:$A,JMR!$J:$J))),"")</f>
        <v/>
      </c>
      <c r="AB274" s="86" t="str">
        <f>IFERROR(_xlfn.XLOOKUP($A274,'Raw Data'!$G:$G,'Raw Data'!$H:$H),"")</f>
        <v/>
      </c>
      <c r="AC274" s="87">
        <f>IFERROR(_xlfn.XLOOKUP($D274,'Modelling New'!$D:$D,'Modelling New'!$P:$P),"")</f>
        <v>5.3774193548387093</v>
      </c>
      <c r="AD274" s="86">
        <f>IFERROR(_xlfn.XLOOKUP($D274,'Modelling New'!$D:$D,'Modelling New'!$T:$T)*1000,"")</f>
        <v>27590.56771095916</v>
      </c>
      <c r="AE274" s="94">
        <f>IFERROR(_xlfn.XLOOKUP($D274,'Modelling New'!$D:$D,'Modelling New'!$O:$O),"")</f>
        <v>0.72273205859143763</v>
      </c>
      <c r="AF274" s="94">
        <f>IFERROR(_xlfn.XLOOKUP($D274,'Modelling New'!$D:$D,'Modelling New'!$W:$W),"")</f>
        <v>0.16193472334300085</v>
      </c>
      <c r="AG274" s="94">
        <f>IFERROR(_xlfn.XLOOKUP($D274,'Modelling New'!$D:$D,'Modelling New'!$AE:$AE),"")</f>
        <v>0.98040000000000005</v>
      </c>
      <c r="AH274" s="94">
        <f>IFERROR(_xlfn.XLOOKUP($D274,'Modelling New'!$D:$D,'Modelling New'!$AF:$AF),"")</f>
        <v>0.98</v>
      </c>
      <c r="AN274" s="85"/>
      <c r="AO274" s="84"/>
      <c r="AP274" s="84"/>
      <c r="AQ274" s="84"/>
      <c r="AR274" s="86">
        <f>'Basic Data'!$J$2</f>
        <v>7.0991999999999997</v>
      </c>
      <c r="AT274" s="7" t="str">
        <f>IFERROR(_xlfn.XLOOKUP(Table13[[#This Row],[Date]],'Raw Data'!$E:$E,'Raw Data'!$AN:$AN),"")</f>
        <v/>
      </c>
      <c r="AU274" s="7">
        <f>IFERROR(_xlfn.XLOOKUP(Table13[[#This Row],[Month Year]],'Modelling New'!$D:$D,'Modelling New'!$AO:$AO),"")</f>
        <v>7</v>
      </c>
      <c r="AV274" s="7">
        <f>IFERROR(SUMIF('Curtailment Records'!$C:$C,Table13[[#This Row],[Date]],'Curtailment Records'!$R:$R)/1000,"")</f>
        <v>0</v>
      </c>
    </row>
    <row r="275" spans="1:48" x14ac:dyDescent="0.25">
      <c r="A275" s="93">
        <f t="shared" si="18"/>
        <v>46018</v>
      </c>
      <c r="B275" s="86">
        <f>YEAR(Table13[[#This Row],[Date]])+IF(MONTH(Table13[[#This Row],[Date]])&gt;=4,1,0)</f>
        <v>2026</v>
      </c>
      <c r="C275" s="7">
        <f>YEAR(Table13[[#This Row],[Date]])</f>
        <v>2025</v>
      </c>
      <c r="D275" s="92">
        <f>Table13[[#This Row],[Date]]-DAY(Table13[[#This Row],[Date]])+1</f>
        <v>45992</v>
      </c>
      <c r="E275" s="7">
        <f t="shared" si="19"/>
        <v>31</v>
      </c>
      <c r="F275" s="91" t="str">
        <f>IFERROR(_xlfn.XLOOKUP($A275,'Raw Data'!$G:$G,'Raw Data'!$AM:$AM),"")</f>
        <v/>
      </c>
      <c r="G275" s="90" t="str">
        <f>IFERROR(_xlfn.XLOOKUP($A275,'Raw Data'!$G:$G,'Raw Data'!$AB:$AB),"")</f>
        <v/>
      </c>
      <c r="H275" s="90"/>
      <c r="I275" s="90" t="str">
        <f>IFERROR(_xlfn.XLOOKUP($A275,'Raw Data'!$G:$G,'Raw Data'!$AC:$AC),"")</f>
        <v/>
      </c>
      <c r="J275" s="90"/>
      <c r="K275" s="90" t="str">
        <f>IFERROR(_xlfn.XLOOKUP($A275,'Raw Data'!$G:$G,'Raw Data'!AD:AD),"")</f>
        <v/>
      </c>
      <c r="L275" s="90" t="str">
        <f>IFERROR(_xlfn.XLOOKUP($A275,'Raw Data'!$G:$G,'Raw Data'!AE:AE),"")</f>
        <v/>
      </c>
      <c r="M275" s="90" t="str">
        <f>IFERROR(_xlfn.XLOOKUP($A275,'Raw Data'!$G:$G,'Raw Data'!AF:AF),"")</f>
        <v/>
      </c>
      <c r="N275" s="90" t="str">
        <f>IFERROR(_xlfn.XLOOKUP($A275,'Raw Data'!$G:$G,'Raw Data'!AG:AG),"")</f>
        <v/>
      </c>
      <c r="O275" s="85" t="str">
        <f>IFERROR(1-SUMIF('Plant BD'!$B:$B,$A275,'Plant BD'!$AM:$AM)/($AA275+SUMIF('Plant BD'!$B:$B,$A275,'Plant BD'!$AM:$AM)),"")</f>
        <v/>
      </c>
      <c r="P275" s="85"/>
      <c r="Q275" s="89"/>
      <c r="R275" s="85" t="str">
        <f>IFERROR(1-SUMIF('Grid BD'!$B:$B,$A275,'Grid BD'!$AE:$AE)/($AA275+SUMIF('Grid BD'!$B:$B,$A275,'Grid BD'!$AE:$AE)),"")</f>
        <v/>
      </c>
      <c r="T275" s="89"/>
      <c r="U275" s="88" t="str">
        <f t="shared" si="17"/>
        <v/>
      </c>
      <c r="V275" s="88"/>
      <c r="W275" s="84" t="str">
        <f t="shared" si="16"/>
        <v/>
      </c>
      <c r="X275" s="86" t="str">
        <f>IFERROR(_xlfn.XLOOKUP($A275,'Raw Data'!$G:$G,'Raw Data'!AI:AI),"")</f>
        <v/>
      </c>
      <c r="Y275" s="86" t="str">
        <f>IFERROR(_xlfn.XLOOKUP($A275,'Raw Data'!$G:$G,'Raw Data'!AJ:AJ),"")</f>
        <v/>
      </c>
      <c r="Z275" s="86" t="str">
        <f>IFERROR(_xlfn.XLOOKUP($A275,'Raw Data'!$G:$G,'Raw Data'!AK:AK),"")</f>
        <v/>
      </c>
      <c r="AA275" s="86" t="str">
        <f>IFERROR(_xlfn.XLOOKUP($A275,'Raw Data'!$G:$G,'Raw Data'!$AL:$AL)*(1+(_xlfn.XLOOKUP(Table13[[#This Row],[Month Year]],JMR!$A:$A,JMR!$J:$J))),"")</f>
        <v/>
      </c>
      <c r="AB275" s="86" t="str">
        <f>IFERROR(_xlfn.XLOOKUP($A275,'Raw Data'!$G:$G,'Raw Data'!$H:$H),"")</f>
        <v/>
      </c>
      <c r="AC275" s="87">
        <f>IFERROR(_xlfn.XLOOKUP($D275,'Modelling New'!$D:$D,'Modelling New'!$P:$P),"")</f>
        <v>5.3774193548387093</v>
      </c>
      <c r="AD275" s="86">
        <f>IFERROR(_xlfn.XLOOKUP($D275,'Modelling New'!$D:$D,'Modelling New'!$T:$T)*1000,"")</f>
        <v>27590.56771095916</v>
      </c>
      <c r="AE275" s="94">
        <f>IFERROR(_xlfn.XLOOKUP($D275,'Modelling New'!$D:$D,'Modelling New'!$O:$O),"")</f>
        <v>0.72273205859143763</v>
      </c>
      <c r="AF275" s="94">
        <f>IFERROR(_xlfn.XLOOKUP($D275,'Modelling New'!$D:$D,'Modelling New'!$W:$W),"")</f>
        <v>0.16193472334300085</v>
      </c>
      <c r="AG275" s="94">
        <f>IFERROR(_xlfn.XLOOKUP($D275,'Modelling New'!$D:$D,'Modelling New'!$AE:$AE),"")</f>
        <v>0.98040000000000005</v>
      </c>
      <c r="AH275" s="94">
        <f>IFERROR(_xlfn.XLOOKUP($D275,'Modelling New'!$D:$D,'Modelling New'!$AF:$AF),"")</f>
        <v>0.98</v>
      </c>
      <c r="AN275" s="85"/>
      <c r="AO275" s="84"/>
      <c r="AP275" s="84"/>
      <c r="AQ275" s="84"/>
      <c r="AR275" s="86">
        <f>'Basic Data'!$J$2</f>
        <v>7.0991999999999997</v>
      </c>
      <c r="AT275" s="7" t="str">
        <f>IFERROR(_xlfn.XLOOKUP(Table13[[#This Row],[Date]],'Raw Data'!$E:$E,'Raw Data'!$AN:$AN),"")</f>
        <v/>
      </c>
      <c r="AU275" s="7">
        <f>IFERROR(_xlfn.XLOOKUP(Table13[[#This Row],[Month Year]],'Modelling New'!$D:$D,'Modelling New'!$AO:$AO),"")</f>
        <v>7</v>
      </c>
      <c r="AV275" s="7">
        <f>IFERROR(SUMIF('Curtailment Records'!$C:$C,Table13[[#This Row],[Date]],'Curtailment Records'!$R:$R)/1000,"")</f>
        <v>0</v>
      </c>
    </row>
    <row r="276" spans="1:48" x14ac:dyDescent="0.25">
      <c r="A276" s="93">
        <f t="shared" si="18"/>
        <v>46019</v>
      </c>
      <c r="B276" s="86">
        <f>YEAR(Table13[[#This Row],[Date]])+IF(MONTH(Table13[[#This Row],[Date]])&gt;=4,1,0)</f>
        <v>2026</v>
      </c>
      <c r="C276" s="7">
        <f>YEAR(Table13[[#This Row],[Date]])</f>
        <v>2025</v>
      </c>
      <c r="D276" s="92">
        <f>Table13[[#This Row],[Date]]-DAY(Table13[[#This Row],[Date]])+1</f>
        <v>45992</v>
      </c>
      <c r="E276" s="7">
        <f t="shared" si="19"/>
        <v>31</v>
      </c>
      <c r="F276" s="91" t="str">
        <f>IFERROR(_xlfn.XLOOKUP($A276,'Raw Data'!$G:$G,'Raw Data'!$AM:$AM),"")</f>
        <v/>
      </c>
      <c r="G276" s="90" t="str">
        <f>IFERROR(_xlfn.XLOOKUP($A276,'Raw Data'!$G:$G,'Raw Data'!$AB:$AB),"")</f>
        <v/>
      </c>
      <c r="H276" s="90"/>
      <c r="I276" s="90" t="str">
        <f>IFERROR(_xlfn.XLOOKUP($A276,'Raw Data'!$G:$G,'Raw Data'!$AC:$AC),"")</f>
        <v/>
      </c>
      <c r="J276" s="90"/>
      <c r="K276" s="90" t="str">
        <f>IFERROR(_xlfn.XLOOKUP($A276,'Raw Data'!$G:$G,'Raw Data'!AD:AD),"")</f>
        <v/>
      </c>
      <c r="L276" s="90" t="str">
        <f>IFERROR(_xlfn.XLOOKUP($A276,'Raw Data'!$G:$G,'Raw Data'!AE:AE),"")</f>
        <v/>
      </c>
      <c r="M276" s="90" t="str">
        <f>IFERROR(_xlfn.XLOOKUP($A276,'Raw Data'!$G:$G,'Raw Data'!AF:AF),"")</f>
        <v/>
      </c>
      <c r="N276" s="90" t="str">
        <f>IFERROR(_xlfn.XLOOKUP($A276,'Raw Data'!$G:$G,'Raw Data'!AG:AG),"")</f>
        <v/>
      </c>
      <c r="O276" s="85" t="str">
        <f>IFERROR(1-SUMIF('Plant BD'!$B:$B,$A276,'Plant BD'!$AM:$AM)/($AA276+SUMIF('Plant BD'!$B:$B,$A276,'Plant BD'!$AM:$AM)),"")</f>
        <v/>
      </c>
      <c r="P276" s="85"/>
      <c r="Q276" s="89"/>
      <c r="R276" s="85" t="str">
        <f>IFERROR(1-SUMIF('Grid BD'!$B:$B,$A276,'Grid BD'!$AE:$AE)/($AA276+SUMIF('Grid BD'!$B:$B,$A276,'Grid BD'!$AE:$AE)),"")</f>
        <v/>
      </c>
      <c r="T276" s="89"/>
      <c r="U276" s="88" t="str">
        <f t="shared" si="17"/>
        <v/>
      </c>
      <c r="V276" s="88"/>
      <c r="W276" s="84" t="str">
        <f t="shared" si="16"/>
        <v/>
      </c>
      <c r="X276" s="86" t="str">
        <f>IFERROR(_xlfn.XLOOKUP($A276,'Raw Data'!$G:$G,'Raw Data'!AI:AI),"")</f>
        <v/>
      </c>
      <c r="Y276" s="86" t="str">
        <f>IFERROR(_xlfn.XLOOKUP($A276,'Raw Data'!$G:$G,'Raw Data'!AJ:AJ),"")</f>
        <v/>
      </c>
      <c r="Z276" s="86" t="str">
        <f>IFERROR(_xlfn.XLOOKUP($A276,'Raw Data'!$G:$G,'Raw Data'!AK:AK),"")</f>
        <v/>
      </c>
      <c r="AA276" s="86" t="str">
        <f>IFERROR(_xlfn.XLOOKUP($A276,'Raw Data'!$G:$G,'Raw Data'!$AL:$AL)*(1+(_xlfn.XLOOKUP(Table13[[#This Row],[Month Year]],JMR!$A:$A,JMR!$J:$J))),"")</f>
        <v/>
      </c>
      <c r="AB276" s="86" t="str">
        <f>IFERROR(_xlfn.XLOOKUP($A276,'Raw Data'!$G:$G,'Raw Data'!$H:$H),"")</f>
        <v/>
      </c>
      <c r="AC276" s="87">
        <f>IFERROR(_xlfn.XLOOKUP($D276,'Modelling New'!$D:$D,'Modelling New'!$P:$P),"")</f>
        <v>5.3774193548387093</v>
      </c>
      <c r="AD276" s="86">
        <f>IFERROR(_xlfn.XLOOKUP($D276,'Modelling New'!$D:$D,'Modelling New'!$T:$T)*1000,"")</f>
        <v>27590.56771095916</v>
      </c>
      <c r="AE276" s="94">
        <f>IFERROR(_xlfn.XLOOKUP($D276,'Modelling New'!$D:$D,'Modelling New'!$O:$O),"")</f>
        <v>0.72273205859143763</v>
      </c>
      <c r="AF276" s="94">
        <f>IFERROR(_xlfn.XLOOKUP($D276,'Modelling New'!$D:$D,'Modelling New'!$W:$W),"")</f>
        <v>0.16193472334300085</v>
      </c>
      <c r="AG276" s="94">
        <f>IFERROR(_xlfn.XLOOKUP($D276,'Modelling New'!$D:$D,'Modelling New'!$AE:$AE),"")</f>
        <v>0.98040000000000005</v>
      </c>
      <c r="AH276" s="94">
        <f>IFERROR(_xlfn.XLOOKUP($D276,'Modelling New'!$D:$D,'Modelling New'!$AF:$AF),"")</f>
        <v>0.98</v>
      </c>
      <c r="AN276" s="85"/>
      <c r="AO276" s="84"/>
      <c r="AP276" s="84"/>
      <c r="AQ276" s="84"/>
      <c r="AR276" s="86">
        <f>'Basic Data'!$J$2</f>
        <v>7.0991999999999997</v>
      </c>
      <c r="AT276" s="7" t="str">
        <f>IFERROR(_xlfn.XLOOKUP(Table13[[#This Row],[Date]],'Raw Data'!$E:$E,'Raw Data'!$AN:$AN),"")</f>
        <v/>
      </c>
      <c r="AU276" s="7">
        <f>IFERROR(_xlfn.XLOOKUP(Table13[[#This Row],[Month Year]],'Modelling New'!$D:$D,'Modelling New'!$AO:$AO),"")</f>
        <v>7</v>
      </c>
      <c r="AV276" s="7">
        <f>IFERROR(SUMIF('Curtailment Records'!$C:$C,Table13[[#This Row],[Date]],'Curtailment Records'!$R:$R)/1000,"")</f>
        <v>0</v>
      </c>
    </row>
    <row r="277" spans="1:48" x14ac:dyDescent="0.25">
      <c r="A277" s="93">
        <f t="shared" si="18"/>
        <v>46020</v>
      </c>
      <c r="B277" s="86">
        <f>YEAR(Table13[[#This Row],[Date]])+IF(MONTH(Table13[[#This Row],[Date]])&gt;=4,1,0)</f>
        <v>2026</v>
      </c>
      <c r="C277" s="7">
        <f>YEAR(Table13[[#This Row],[Date]])</f>
        <v>2025</v>
      </c>
      <c r="D277" s="92">
        <f>Table13[[#This Row],[Date]]-DAY(Table13[[#This Row],[Date]])+1</f>
        <v>45992</v>
      </c>
      <c r="E277" s="7">
        <f t="shared" si="19"/>
        <v>31</v>
      </c>
      <c r="F277" s="91" t="str">
        <f>IFERROR(_xlfn.XLOOKUP($A277,'Raw Data'!$G:$G,'Raw Data'!$AM:$AM),"")</f>
        <v/>
      </c>
      <c r="G277" s="90" t="str">
        <f>IFERROR(_xlfn.XLOOKUP($A277,'Raw Data'!$G:$G,'Raw Data'!$AB:$AB),"")</f>
        <v/>
      </c>
      <c r="H277" s="90"/>
      <c r="I277" s="90" t="str">
        <f>IFERROR(_xlfn.XLOOKUP($A277,'Raw Data'!$G:$G,'Raw Data'!$AC:$AC),"")</f>
        <v/>
      </c>
      <c r="J277" s="90"/>
      <c r="K277" s="90" t="str">
        <f>IFERROR(_xlfn.XLOOKUP($A277,'Raw Data'!$G:$G,'Raw Data'!AD:AD),"")</f>
        <v/>
      </c>
      <c r="L277" s="90" t="str">
        <f>IFERROR(_xlfn.XLOOKUP($A277,'Raw Data'!$G:$G,'Raw Data'!AE:AE),"")</f>
        <v/>
      </c>
      <c r="M277" s="90" t="str">
        <f>IFERROR(_xlfn.XLOOKUP($A277,'Raw Data'!$G:$G,'Raw Data'!AF:AF),"")</f>
        <v/>
      </c>
      <c r="N277" s="90" t="str">
        <f>IFERROR(_xlfn.XLOOKUP($A277,'Raw Data'!$G:$G,'Raw Data'!AG:AG),"")</f>
        <v/>
      </c>
      <c r="O277" s="85" t="str">
        <f>IFERROR(1-SUMIF('Plant BD'!$B:$B,$A277,'Plant BD'!$AM:$AM)/($AA277+SUMIF('Plant BD'!$B:$B,$A277,'Plant BD'!$AM:$AM)),"")</f>
        <v/>
      </c>
      <c r="P277" s="85"/>
      <c r="Q277" s="89"/>
      <c r="R277" s="85" t="str">
        <f>IFERROR(1-SUMIF('Grid BD'!$B:$B,$A277,'Grid BD'!$AE:$AE)/($AA277+SUMIF('Grid BD'!$B:$B,$A277,'Grid BD'!$AE:$AE)),"")</f>
        <v/>
      </c>
      <c r="T277" s="89"/>
      <c r="U277" s="88" t="str">
        <f t="shared" si="17"/>
        <v/>
      </c>
      <c r="V277" s="88"/>
      <c r="W277" s="84" t="str">
        <f t="shared" si="16"/>
        <v/>
      </c>
      <c r="X277" s="86" t="str">
        <f>IFERROR(_xlfn.XLOOKUP($A277,'Raw Data'!$G:$G,'Raw Data'!AI:AI),"")</f>
        <v/>
      </c>
      <c r="Y277" s="86" t="str">
        <f>IFERROR(_xlfn.XLOOKUP($A277,'Raw Data'!$G:$G,'Raw Data'!AJ:AJ),"")</f>
        <v/>
      </c>
      <c r="Z277" s="86" t="str">
        <f>IFERROR(_xlfn.XLOOKUP($A277,'Raw Data'!$G:$G,'Raw Data'!AK:AK),"")</f>
        <v/>
      </c>
      <c r="AA277" s="86" t="str">
        <f>IFERROR(_xlfn.XLOOKUP($A277,'Raw Data'!$G:$G,'Raw Data'!$AL:$AL)*(1+(_xlfn.XLOOKUP(Table13[[#This Row],[Month Year]],JMR!$A:$A,JMR!$J:$J))),"")</f>
        <v/>
      </c>
      <c r="AB277" s="86" t="str">
        <f>IFERROR(_xlfn.XLOOKUP($A277,'Raw Data'!$G:$G,'Raw Data'!$H:$H),"")</f>
        <v/>
      </c>
      <c r="AC277" s="87">
        <f>IFERROR(_xlfn.XLOOKUP($D277,'Modelling New'!$D:$D,'Modelling New'!$P:$P),"")</f>
        <v>5.3774193548387093</v>
      </c>
      <c r="AD277" s="86">
        <f>IFERROR(_xlfn.XLOOKUP($D277,'Modelling New'!$D:$D,'Modelling New'!$T:$T)*1000,"")</f>
        <v>27590.56771095916</v>
      </c>
      <c r="AE277" s="94">
        <f>IFERROR(_xlfn.XLOOKUP($D277,'Modelling New'!$D:$D,'Modelling New'!$O:$O),"")</f>
        <v>0.72273205859143763</v>
      </c>
      <c r="AF277" s="94">
        <f>IFERROR(_xlfn.XLOOKUP($D277,'Modelling New'!$D:$D,'Modelling New'!$W:$W),"")</f>
        <v>0.16193472334300085</v>
      </c>
      <c r="AG277" s="94">
        <f>IFERROR(_xlfn.XLOOKUP($D277,'Modelling New'!$D:$D,'Modelling New'!$AE:$AE),"")</f>
        <v>0.98040000000000005</v>
      </c>
      <c r="AH277" s="94">
        <f>IFERROR(_xlfn.XLOOKUP($D277,'Modelling New'!$D:$D,'Modelling New'!$AF:$AF),"")</f>
        <v>0.98</v>
      </c>
      <c r="AN277" s="85"/>
      <c r="AO277" s="84"/>
      <c r="AP277" s="84"/>
      <c r="AQ277" s="84"/>
      <c r="AR277" s="86">
        <f>'Basic Data'!$J$2</f>
        <v>7.0991999999999997</v>
      </c>
      <c r="AT277" s="7" t="str">
        <f>IFERROR(_xlfn.XLOOKUP(Table13[[#This Row],[Date]],'Raw Data'!$E:$E,'Raw Data'!$AN:$AN),"")</f>
        <v/>
      </c>
      <c r="AU277" s="7">
        <f>IFERROR(_xlfn.XLOOKUP(Table13[[#This Row],[Month Year]],'Modelling New'!$D:$D,'Modelling New'!$AO:$AO),"")</f>
        <v>7</v>
      </c>
      <c r="AV277" s="7">
        <f>IFERROR(SUMIF('Curtailment Records'!$C:$C,Table13[[#This Row],[Date]],'Curtailment Records'!$R:$R)/1000,"")</f>
        <v>0</v>
      </c>
    </row>
    <row r="278" spans="1:48" x14ac:dyDescent="0.25">
      <c r="A278" s="93">
        <f t="shared" si="18"/>
        <v>46021</v>
      </c>
      <c r="B278" s="86">
        <f>YEAR(Table13[[#This Row],[Date]])+IF(MONTH(Table13[[#This Row],[Date]])&gt;=4,1,0)</f>
        <v>2026</v>
      </c>
      <c r="C278" s="7">
        <f>YEAR(Table13[[#This Row],[Date]])</f>
        <v>2025</v>
      </c>
      <c r="D278" s="92">
        <f>Table13[[#This Row],[Date]]-DAY(Table13[[#This Row],[Date]])+1</f>
        <v>45992</v>
      </c>
      <c r="E278" s="7">
        <f t="shared" si="19"/>
        <v>31</v>
      </c>
      <c r="F278" s="91" t="str">
        <f>IFERROR(_xlfn.XLOOKUP($A278,'Raw Data'!$G:$G,'Raw Data'!$AM:$AM),"")</f>
        <v/>
      </c>
      <c r="G278" s="90" t="str">
        <f>IFERROR(_xlfn.XLOOKUP($A278,'Raw Data'!$G:$G,'Raw Data'!$AB:$AB),"")</f>
        <v/>
      </c>
      <c r="H278" s="90"/>
      <c r="I278" s="90" t="str">
        <f>IFERROR(_xlfn.XLOOKUP($A278,'Raw Data'!$G:$G,'Raw Data'!$AC:$AC),"")</f>
        <v/>
      </c>
      <c r="J278" s="90"/>
      <c r="K278" s="90" t="str">
        <f>IFERROR(_xlfn.XLOOKUP($A278,'Raw Data'!$G:$G,'Raw Data'!AD:AD),"")</f>
        <v/>
      </c>
      <c r="L278" s="90" t="str">
        <f>IFERROR(_xlfn.XLOOKUP($A278,'Raw Data'!$G:$G,'Raw Data'!AE:AE),"")</f>
        <v/>
      </c>
      <c r="M278" s="90" t="str">
        <f>IFERROR(_xlfn.XLOOKUP($A278,'Raw Data'!$G:$G,'Raw Data'!AF:AF),"")</f>
        <v/>
      </c>
      <c r="N278" s="90" t="str">
        <f>IFERROR(_xlfn.XLOOKUP($A278,'Raw Data'!$G:$G,'Raw Data'!AG:AG),"")</f>
        <v/>
      </c>
      <c r="O278" s="85" t="str">
        <f>IFERROR(1-SUMIF('Plant BD'!$B:$B,$A278,'Plant BD'!$AM:$AM)/($AA278+SUMIF('Plant BD'!$B:$B,$A278,'Plant BD'!$AM:$AM)),"")</f>
        <v/>
      </c>
      <c r="P278" s="85"/>
      <c r="Q278" s="89"/>
      <c r="R278" s="85" t="str">
        <f>IFERROR(1-SUMIF('Grid BD'!$B:$B,$A278,'Grid BD'!$AE:$AE)/($AA278+SUMIF('Grid BD'!$B:$B,$A278,'Grid BD'!$AE:$AE)),"")</f>
        <v/>
      </c>
      <c r="T278" s="89"/>
      <c r="U278" s="88" t="str">
        <f t="shared" si="17"/>
        <v/>
      </c>
      <c r="V278" s="88"/>
      <c r="W278" s="84" t="str">
        <f t="shared" si="16"/>
        <v/>
      </c>
      <c r="X278" s="86" t="str">
        <f>IFERROR(_xlfn.XLOOKUP($A278,'Raw Data'!$G:$G,'Raw Data'!AI:AI),"")</f>
        <v/>
      </c>
      <c r="Y278" s="86" t="str">
        <f>IFERROR(_xlfn.XLOOKUP($A278,'Raw Data'!$G:$G,'Raw Data'!AJ:AJ),"")</f>
        <v/>
      </c>
      <c r="Z278" s="86" t="str">
        <f>IFERROR(_xlfn.XLOOKUP($A278,'Raw Data'!$G:$G,'Raw Data'!AK:AK),"")</f>
        <v/>
      </c>
      <c r="AA278" s="86" t="str">
        <f>IFERROR(_xlfn.XLOOKUP($A278,'Raw Data'!$G:$G,'Raw Data'!$AL:$AL)*(1+(_xlfn.XLOOKUP(Table13[[#This Row],[Month Year]],JMR!$A:$A,JMR!$J:$J))),"")</f>
        <v/>
      </c>
      <c r="AB278" s="86" t="str">
        <f>IFERROR(_xlfn.XLOOKUP($A278,'Raw Data'!$G:$G,'Raw Data'!$H:$H),"")</f>
        <v/>
      </c>
      <c r="AC278" s="87">
        <f>IFERROR(_xlfn.XLOOKUP($D278,'Modelling New'!$D:$D,'Modelling New'!$P:$P),"")</f>
        <v>5.3774193548387093</v>
      </c>
      <c r="AD278" s="86">
        <f>IFERROR(_xlfn.XLOOKUP($D278,'Modelling New'!$D:$D,'Modelling New'!$T:$T)*1000,"")</f>
        <v>27590.56771095916</v>
      </c>
      <c r="AE278" s="94">
        <f>IFERROR(_xlfn.XLOOKUP($D278,'Modelling New'!$D:$D,'Modelling New'!$O:$O),"")</f>
        <v>0.72273205859143763</v>
      </c>
      <c r="AF278" s="94">
        <f>IFERROR(_xlfn.XLOOKUP($D278,'Modelling New'!$D:$D,'Modelling New'!$W:$W),"")</f>
        <v>0.16193472334300085</v>
      </c>
      <c r="AG278" s="94">
        <f>IFERROR(_xlfn.XLOOKUP($D278,'Modelling New'!$D:$D,'Modelling New'!$AE:$AE),"")</f>
        <v>0.98040000000000005</v>
      </c>
      <c r="AH278" s="94">
        <f>IFERROR(_xlfn.XLOOKUP($D278,'Modelling New'!$D:$D,'Modelling New'!$AF:$AF),"")</f>
        <v>0.98</v>
      </c>
      <c r="AN278" s="85"/>
      <c r="AO278" s="84"/>
      <c r="AP278" s="84"/>
      <c r="AQ278" s="84"/>
      <c r="AR278" s="86">
        <f>'Basic Data'!$J$2</f>
        <v>7.0991999999999997</v>
      </c>
      <c r="AT278" s="7" t="str">
        <f>IFERROR(_xlfn.XLOOKUP(Table13[[#This Row],[Date]],'Raw Data'!$E:$E,'Raw Data'!$AN:$AN),"")</f>
        <v/>
      </c>
      <c r="AU278" s="7">
        <f>IFERROR(_xlfn.XLOOKUP(Table13[[#This Row],[Month Year]],'Modelling New'!$D:$D,'Modelling New'!$AO:$AO),"")</f>
        <v>7</v>
      </c>
      <c r="AV278" s="7">
        <f>IFERROR(SUMIF('Curtailment Records'!$C:$C,Table13[[#This Row],[Date]],'Curtailment Records'!$R:$R)/1000,"")</f>
        <v>0</v>
      </c>
    </row>
    <row r="279" spans="1:48" x14ac:dyDescent="0.25">
      <c r="A279" s="93">
        <f t="shared" si="18"/>
        <v>46022</v>
      </c>
      <c r="B279" s="86">
        <f>YEAR(Table13[[#This Row],[Date]])+IF(MONTH(Table13[[#This Row],[Date]])&gt;=4,1,0)</f>
        <v>2026</v>
      </c>
      <c r="C279" s="7">
        <f>YEAR(Table13[[#This Row],[Date]])</f>
        <v>2025</v>
      </c>
      <c r="D279" s="92">
        <f>Table13[[#This Row],[Date]]-DAY(Table13[[#This Row],[Date]])+1</f>
        <v>45992</v>
      </c>
      <c r="E279" s="7">
        <f t="shared" si="19"/>
        <v>31</v>
      </c>
      <c r="F279" s="91" t="str">
        <f>IFERROR(_xlfn.XLOOKUP($A279,'Raw Data'!$G:$G,'Raw Data'!$AM:$AM),"")</f>
        <v/>
      </c>
      <c r="G279" s="90" t="str">
        <f>IFERROR(_xlfn.XLOOKUP($A279,'Raw Data'!$G:$G,'Raw Data'!$AB:$AB),"")</f>
        <v/>
      </c>
      <c r="H279" s="90"/>
      <c r="I279" s="90" t="str">
        <f>IFERROR(_xlfn.XLOOKUP($A279,'Raw Data'!$G:$G,'Raw Data'!$AC:$AC),"")</f>
        <v/>
      </c>
      <c r="J279" s="90"/>
      <c r="K279" s="90" t="str">
        <f>IFERROR(_xlfn.XLOOKUP($A279,'Raw Data'!$G:$G,'Raw Data'!AD:AD),"")</f>
        <v/>
      </c>
      <c r="L279" s="90" t="str">
        <f>IFERROR(_xlfn.XLOOKUP($A279,'Raw Data'!$G:$G,'Raw Data'!AE:AE),"")</f>
        <v/>
      </c>
      <c r="M279" s="90" t="str">
        <f>IFERROR(_xlfn.XLOOKUP($A279,'Raw Data'!$G:$G,'Raw Data'!AF:AF),"")</f>
        <v/>
      </c>
      <c r="N279" s="90" t="str">
        <f>IFERROR(_xlfn.XLOOKUP($A279,'Raw Data'!$G:$G,'Raw Data'!AG:AG),"")</f>
        <v/>
      </c>
      <c r="O279" s="85" t="str">
        <f>IFERROR(1-SUMIF('Plant BD'!$B:$B,$A279,'Plant BD'!$AM:$AM)/($AA279+SUMIF('Plant BD'!$B:$B,$A279,'Plant BD'!$AM:$AM)),"")</f>
        <v/>
      </c>
      <c r="P279" s="85"/>
      <c r="Q279" s="89"/>
      <c r="R279" s="85" t="str">
        <f>IFERROR(1-SUMIF('Grid BD'!$B:$B,$A279,'Grid BD'!$AE:$AE)/($AA279+SUMIF('Grid BD'!$B:$B,$A279,'Grid BD'!$AE:$AE)),"")</f>
        <v/>
      </c>
      <c r="T279" s="89"/>
      <c r="U279" s="88" t="str">
        <f t="shared" si="17"/>
        <v/>
      </c>
      <c r="V279" s="88"/>
      <c r="W279" s="84" t="str">
        <f t="shared" si="16"/>
        <v/>
      </c>
      <c r="X279" s="86" t="str">
        <f>IFERROR(_xlfn.XLOOKUP($A279,'Raw Data'!$G:$G,'Raw Data'!AI:AI),"")</f>
        <v/>
      </c>
      <c r="Y279" s="86" t="str">
        <f>IFERROR(_xlfn.XLOOKUP($A279,'Raw Data'!$G:$G,'Raw Data'!AJ:AJ),"")</f>
        <v/>
      </c>
      <c r="Z279" s="86" t="str">
        <f>IFERROR(_xlfn.XLOOKUP($A279,'Raw Data'!$G:$G,'Raw Data'!AK:AK),"")</f>
        <v/>
      </c>
      <c r="AA279" s="86" t="str">
        <f>IFERROR(_xlfn.XLOOKUP($A279,'Raw Data'!$G:$G,'Raw Data'!$AL:$AL)*(1+(_xlfn.XLOOKUP(Table13[[#This Row],[Month Year]],JMR!$A:$A,JMR!$J:$J))),"")</f>
        <v/>
      </c>
      <c r="AB279" s="86" t="str">
        <f>IFERROR(_xlfn.XLOOKUP($A279,'Raw Data'!$G:$G,'Raw Data'!$H:$H),"")</f>
        <v/>
      </c>
      <c r="AC279" s="87">
        <f>IFERROR(_xlfn.XLOOKUP($D279,'Modelling New'!$D:$D,'Modelling New'!$P:$P),"")</f>
        <v>5.3774193548387093</v>
      </c>
      <c r="AD279" s="86">
        <f>IFERROR(_xlfn.XLOOKUP($D279,'Modelling New'!$D:$D,'Modelling New'!$T:$T)*1000,"")</f>
        <v>27590.56771095916</v>
      </c>
      <c r="AE279" s="94">
        <f>IFERROR(_xlfn.XLOOKUP($D279,'Modelling New'!$D:$D,'Modelling New'!$O:$O),"")</f>
        <v>0.72273205859143763</v>
      </c>
      <c r="AF279" s="94">
        <f>IFERROR(_xlfn.XLOOKUP($D279,'Modelling New'!$D:$D,'Modelling New'!$W:$W),"")</f>
        <v>0.16193472334300085</v>
      </c>
      <c r="AG279" s="94">
        <f>IFERROR(_xlfn.XLOOKUP($D279,'Modelling New'!$D:$D,'Modelling New'!$AE:$AE),"")</f>
        <v>0.98040000000000005</v>
      </c>
      <c r="AH279" s="94">
        <f>IFERROR(_xlfn.XLOOKUP($D279,'Modelling New'!$D:$D,'Modelling New'!$AF:$AF),"")</f>
        <v>0.98</v>
      </c>
      <c r="AN279" s="85"/>
      <c r="AO279" s="84"/>
      <c r="AP279" s="84"/>
      <c r="AQ279" s="84"/>
      <c r="AR279" s="86">
        <f>'Basic Data'!$J$2</f>
        <v>7.0991999999999997</v>
      </c>
      <c r="AT279" s="7" t="str">
        <f>IFERROR(_xlfn.XLOOKUP(Table13[[#This Row],[Date]],'Raw Data'!$E:$E,'Raw Data'!$AN:$AN),"")</f>
        <v/>
      </c>
      <c r="AU279" s="7">
        <f>IFERROR(_xlfn.XLOOKUP(Table13[[#This Row],[Month Year]],'Modelling New'!$D:$D,'Modelling New'!$AO:$AO),"")</f>
        <v>7</v>
      </c>
      <c r="AV279" s="7">
        <f>IFERROR(SUMIF('Curtailment Records'!$C:$C,Table13[[#This Row],[Date]],'Curtailment Records'!$R:$R)/1000,"")</f>
        <v>0</v>
      </c>
    </row>
    <row r="280" spans="1:48" x14ac:dyDescent="0.25">
      <c r="A280" s="93">
        <f t="shared" si="18"/>
        <v>46023</v>
      </c>
      <c r="B280" s="86">
        <f>YEAR(Table13[[#This Row],[Date]])+IF(MONTH(Table13[[#This Row],[Date]])&gt;=4,1,0)</f>
        <v>2026</v>
      </c>
      <c r="C280" s="7">
        <f>YEAR(Table13[[#This Row],[Date]])</f>
        <v>2026</v>
      </c>
      <c r="D280" s="92">
        <f>Table13[[#This Row],[Date]]-DAY(Table13[[#This Row],[Date]])+1</f>
        <v>46023</v>
      </c>
      <c r="E280" s="7">
        <f t="shared" si="19"/>
        <v>31</v>
      </c>
      <c r="F280" s="91" t="str">
        <f>IFERROR(_xlfn.XLOOKUP($A280,'Raw Data'!$G:$G,'Raw Data'!$AM:$AM),"")</f>
        <v/>
      </c>
      <c r="G280" s="90" t="str">
        <f>IFERROR(_xlfn.XLOOKUP($A280,'Raw Data'!$G:$G,'Raw Data'!$AB:$AB),"")</f>
        <v/>
      </c>
      <c r="H280" s="90"/>
      <c r="I280" s="90" t="str">
        <f>IFERROR(_xlfn.XLOOKUP($A280,'Raw Data'!$G:$G,'Raw Data'!$AC:$AC),"")</f>
        <v/>
      </c>
      <c r="J280" s="90"/>
      <c r="K280" s="90" t="str">
        <f>IFERROR(_xlfn.XLOOKUP($A280,'Raw Data'!$G:$G,'Raw Data'!AD:AD),"")</f>
        <v/>
      </c>
      <c r="L280" s="90" t="str">
        <f>IFERROR(_xlfn.XLOOKUP($A280,'Raw Data'!$G:$G,'Raw Data'!AE:AE),"")</f>
        <v/>
      </c>
      <c r="M280" s="90" t="str">
        <f>IFERROR(_xlfn.XLOOKUP($A280,'Raw Data'!$G:$G,'Raw Data'!AF:AF),"")</f>
        <v/>
      </c>
      <c r="N280" s="90" t="str">
        <f>IFERROR(_xlfn.XLOOKUP($A280,'Raw Data'!$G:$G,'Raw Data'!AG:AG),"")</f>
        <v/>
      </c>
      <c r="O280" s="85" t="str">
        <f>IFERROR(1-SUMIF('Plant BD'!$B:$B,$A280,'Plant BD'!$AM:$AM)/($AA280+SUMIF('Plant BD'!$B:$B,$A280,'Plant BD'!$AM:$AM)),"")</f>
        <v/>
      </c>
      <c r="P280" s="85"/>
      <c r="Q280" s="89"/>
      <c r="R280" s="85" t="str">
        <f>IFERROR(1-SUMIF('Grid BD'!$B:$B,$A280,'Grid BD'!$AE:$AE)/($AA280+SUMIF('Grid BD'!$B:$B,$A280,'Grid BD'!$AE:$AE)),"")</f>
        <v/>
      </c>
      <c r="T280" s="89"/>
      <c r="U280" s="88" t="str">
        <f t="shared" si="17"/>
        <v/>
      </c>
      <c r="V280" s="88"/>
      <c r="W280" s="84" t="str">
        <f t="shared" si="16"/>
        <v/>
      </c>
      <c r="X280" s="86" t="str">
        <f>IFERROR(_xlfn.XLOOKUP($A280,'Raw Data'!$G:$G,'Raw Data'!AI:AI),"")</f>
        <v/>
      </c>
      <c r="Y280" s="86" t="str">
        <f>IFERROR(_xlfn.XLOOKUP($A280,'Raw Data'!$G:$G,'Raw Data'!AJ:AJ),"")</f>
        <v/>
      </c>
      <c r="Z280" s="86" t="str">
        <f>IFERROR(_xlfn.XLOOKUP($A280,'Raw Data'!$G:$G,'Raw Data'!AK:AK),"")</f>
        <v/>
      </c>
      <c r="AA280" s="86" t="str">
        <f>IFERROR(_xlfn.XLOOKUP($A280,'Raw Data'!$G:$G,'Raw Data'!$AL:$AL)*(1+(_xlfn.XLOOKUP(Table13[[#This Row],[Month Year]],JMR!$A:$A,JMR!$J:$J))),"")</f>
        <v/>
      </c>
      <c r="AB280" s="86" t="str">
        <f>IFERROR(_xlfn.XLOOKUP($A280,'Raw Data'!$G:$G,'Raw Data'!$H:$H),"")</f>
        <v/>
      </c>
      <c r="AC280" s="87">
        <f>IFERROR(_xlfn.XLOOKUP($D280,'Modelling New'!$D:$D,'Modelling New'!$P:$P),"")</f>
        <v>5.9580645161290322</v>
      </c>
      <c r="AD280" s="86">
        <f>IFERROR(_xlfn.XLOOKUP($D280,'Modelling New'!$D:$D,'Modelling New'!$T:$T)*1000,"")</f>
        <v>30513.985528225832</v>
      </c>
      <c r="AE280" s="94">
        <f>IFERROR(_xlfn.XLOOKUP($D280,'Modelling New'!$D:$D,'Modelling New'!$O:$O),"")</f>
        <v>0.72141359604684618</v>
      </c>
      <c r="AF280" s="94">
        <f>IFERROR(_xlfn.XLOOKUP($D280,'Modelling New'!$D:$D,'Modelling New'!$W:$W),"")</f>
        <v>0.1790928645024899</v>
      </c>
      <c r="AG280" s="94">
        <f>IFERROR(_xlfn.XLOOKUP($D280,'Modelling New'!$D:$D,'Modelling New'!$AE:$AE),"")</f>
        <v>0.98040000000000005</v>
      </c>
      <c r="AH280" s="94">
        <f>IFERROR(_xlfn.XLOOKUP($D280,'Modelling New'!$D:$D,'Modelling New'!$AF:$AF),"")</f>
        <v>0.98</v>
      </c>
      <c r="AN280" s="85"/>
      <c r="AO280" s="84"/>
      <c r="AP280" s="84"/>
      <c r="AQ280" s="84"/>
      <c r="AR280" s="86">
        <f>'Basic Data'!$J$2</f>
        <v>7.0991999999999997</v>
      </c>
      <c r="AT280" s="7" t="str">
        <f>IFERROR(_xlfn.XLOOKUP(Table13[[#This Row],[Date]],'Raw Data'!$E:$E,'Raw Data'!$AN:$AN),"")</f>
        <v/>
      </c>
      <c r="AU280" s="7">
        <f>IFERROR(_xlfn.XLOOKUP(Table13[[#This Row],[Month Year]],'Modelling New'!$D:$D,'Modelling New'!$AO:$AO),"")</f>
        <v>7</v>
      </c>
      <c r="AV280" s="7">
        <f>IFERROR(SUMIF('Curtailment Records'!$C:$C,Table13[[#This Row],[Date]],'Curtailment Records'!$R:$R)/1000,"")</f>
        <v>0</v>
      </c>
    </row>
    <row r="281" spans="1:48" x14ac:dyDescent="0.25">
      <c r="A281" s="93">
        <f t="shared" si="18"/>
        <v>46024</v>
      </c>
      <c r="B281" s="86">
        <f>YEAR(Table13[[#This Row],[Date]])+IF(MONTH(Table13[[#This Row],[Date]])&gt;=4,1,0)</f>
        <v>2026</v>
      </c>
      <c r="C281" s="7">
        <f>YEAR(Table13[[#This Row],[Date]])</f>
        <v>2026</v>
      </c>
      <c r="D281" s="92">
        <f>Table13[[#This Row],[Date]]-DAY(Table13[[#This Row],[Date]])+1</f>
        <v>46023</v>
      </c>
      <c r="E281" s="7">
        <f t="shared" si="19"/>
        <v>31</v>
      </c>
      <c r="F281" s="91" t="str">
        <f>IFERROR(_xlfn.XLOOKUP($A281,'Raw Data'!$G:$G,'Raw Data'!$AM:$AM),"")</f>
        <v/>
      </c>
      <c r="G281" s="90" t="str">
        <f>IFERROR(_xlfn.XLOOKUP($A281,'Raw Data'!$G:$G,'Raw Data'!$AB:$AB),"")</f>
        <v/>
      </c>
      <c r="H281" s="90"/>
      <c r="I281" s="90" t="str">
        <f>IFERROR(_xlfn.XLOOKUP($A281,'Raw Data'!$G:$G,'Raw Data'!$AC:$AC),"")</f>
        <v/>
      </c>
      <c r="J281" s="90"/>
      <c r="K281" s="90" t="str">
        <f>IFERROR(_xlfn.XLOOKUP($A281,'Raw Data'!$G:$G,'Raw Data'!AD:AD),"")</f>
        <v/>
      </c>
      <c r="L281" s="90" t="str">
        <f>IFERROR(_xlfn.XLOOKUP($A281,'Raw Data'!$G:$G,'Raw Data'!AE:AE),"")</f>
        <v/>
      </c>
      <c r="M281" s="90" t="str">
        <f>IFERROR(_xlfn.XLOOKUP($A281,'Raw Data'!$G:$G,'Raw Data'!AF:AF),"")</f>
        <v/>
      </c>
      <c r="N281" s="90" t="str">
        <f>IFERROR(_xlfn.XLOOKUP($A281,'Raw Data'!$G:$G,'Raw Data'!AG:AG),"")</f>
        <v/>
      </c>
      <c r="O281" s="85" t="str">
        <f>IFERROR(1-SUMIF('Plant BD'!$B:$B,$A281,'Plant BD'!$AM:$AM)/($AA281+SUMIF('Plant BD'!$B:$B,$A281,'Plant BD'!$AM:$AM)),"")</f>
        <v/>
      </c>
      <c r="P281" s="85"/>
      <c r="Q281" s="89"/>
      <c r="R281" s="85" t="str">
        <f>IFERROR(1-SUMIF('Grid BD'!$B:$B,$A281,'Grid BD'!$AE:$AE)/($AA281+SUMIF('Grid BD'!$B:$B,$A281,'Grid BD'!$AE:$AE)),"")</f>
        <v/>
      </c>
      <c r="T281" s="89"/>
      <c r="U281" s="88" t="str">
        <f t="shared" si="17"/>
        <v/>
      </c>
      <c r="V281" s="88"/>
      <c r="W281" s="84" t="str">
        <f t="shared" si="16"/>
        <v/>
      </c>
      <c r="X281" s="86" t="str">
        <f>IFERROR(_xlfn.XLOOKUP($A281,'Raw Data'!$G:$G,'Raw Data'!AI:AI),"")</f>
        <v/>
      </c>
      <c r="Y281" s="86" t="str">
        <f>IFERROR(_xlfn.XLOOKUP($A281,'Raw Data'!$G:$G,'Raw Data'!AJ:AJ),"")</f>
        <v/>
      </c>
      <c r="Z281" s="86" t="str">
        <f>IFERROR(_xlfn.XLOOKUP($A281,'Raw Data'!$G:$G,'Raw Data'!AK:AK),"")</f>
        <v/>
      </c>
      <c r="AA281" s="86" t="str">
        <f>IFERROR(_xlfn.XLOOKUP($A281,'Raw Data'!$G:$G,'Raw Data'!$AL:$AL)*(1+(_xlfn.XLOOKUP(Table13[[#This Row],[Month Year]],JMR!$A:$A,JMR!$J:$J))),"")</f>
        <v/>
      </c>
      <c r="AB281" s="86" t="str">
        <f>IFERROR(_xlfn.XLOOKUP($A281,'Raw Data'!$G:$G,'Raw Data'!$H:$H),"")</f>
        <v/>
      </c>
      <c r="AC281" s="87">
        <f>IFERROR(_xlfn.XLOOKUP($D281,'Modelling New'!$D:$D,'Modelling New'!$P:$P),"")</f>
        <v>5.9580645161290322</v>
      </c>
      <c r="AD281" s="86">
        <f>IFERROR(_xlfn.XLOOKUP($D281,'Modelling New'!$D:$D,'Modelling New'!$T:$T)*1000,"")</f>
        <v>30513.985528225832</v>
      </c>
      <c r="AE281" s="94">
        <f>IFERROR(_xlfn.XLOOKUP($D281,'Modelling New'!$D:$D,'Modelling New'!$O:$O),"")</f>
        <v>0.72141359604684618</v>
      </c>
      <c r="AF281" s="94">
        <f>IFERROR(_xlfn.XLOOKUP($D281,'Modelling New'!$D:$D,'Modelling New'!$W:$W),"")</f>
        <v>0.1790928645024899</v>
      </c>
      <c r="AG281" s="94">
        <f>IFERROR(_xlfn.XLOOKUP($D281,'Modelling New'!$D:$D,'Modelling New'!$AE:$AE),"")</f>
        <v>0.98040000000000005</v>
      </c>
      <c r="AH281" s="94">
        <f>IFERROR(_xlfn.XLOOKUP($D281,'Modelling New'!$D:$D,'Modelling New'!$AF:$AF),"")</f>
        <v>0.98</v>
      </c>
      <c r="AN281" s="85"/>
      <c r="AO281" s="84"/>
      <c r="AP281" s="84"/>
      <c r="AQ281" s="84"/>
      <c r="AR281" s="86">
        <f>'Basic Data'!$J$2</f>
        <v>7.0991999999999997</v>
      </c>
      <c r="AT281" s="7" t="str">
        <f>IFERROR(_xlfn.XLOOKUP(Table13[[#This Row],[Date]],'Raw Data'!$E:$E,'Raw Data'!$AN:$AN),"")</f>
        <v/>
      </c>
      <c r="AU281" s="7">
        <f>IFERROR(_xlfn.XLOOKUP(Table13[[#This Row],[Month Year]],'Modelling New'!$D:$D,'Modelling New'!$AO:$AO),"")</f>
        <v>7</v>
      </c>
      <c r="AV281" s="7">
        <f>IFERROR(SUMIF('Curtailment Records'!$C:$C,Table13[[#This Row],[Date]],'Curtailment Records'!$R:$R)/1000,"")</f>
        <v>0</v>
      </c>
    </row>
    <row r="282" spans="1:48" x14ac:dyDescent="0.25">
      <c r="A282" s="93">
        <f t="shared" si="18"/>
        <v>46025</v>
      </c>
      <c r="B282" s="86">
        <f>YEAR(Table13[[#This Row],[Date]])+IF(MONTH(Table13[[#This Row],[Date]])&gt;=4,1,0)</f>
        <v>2026</v>
      </c>
      <c r="C282" s="7">
        <f>YEAR(Table13[[#This Row],[Date]])</f>
        <v>2026</v>
      </c>
      <c r="D282" s="92">
        <f>Table13[[#This Row],[Date]]-DAY(Table13[[#This Row],[Date]])+1</f>
        <v>46023</v>
      </c>
      <c r="E282" s="7">
        <f t="shared" si="19"/>
        <v>31</v>
      </c>
      <c r="F282" s="91" t="str">
        <f>IFERROR(_xlfn.XLOOKUP($A282,'Raw Data'!$G:$G,'Raw Data'!$AM:$AM),"")</f>
        <v/>
      </c>
      <c r="G282" s="90" t="str">
        <f>IFERROR(_xlfn.XLOOKUP($A282,'Raw Data'!$G:$G,'Raw Data'!$AB:$AB),"")</f>
        <v/>
      </c>
      <c r="H282" s="90"/>
      <c r="I282" s="90" t="str">
        <f>IFERROR(_xlfn.XLOOKUP($A282,'Raw Data'!$G:$G,'Raw Data'!$AC:$AC),"")</f>
        <v/>
      </c>
      <c r="J282" s="90"/>
      <c r="K282" s="90" t="str">
        <f>IFERROR(_xlfn.XLOOKUP($A282,'Raw Data'!$G:$G,'Raw Data'!AD:AD),"")</f>
        <v/>
      </c>
      <c r="L282" s="90" t="str">
        <f>IFERROR(_xlfn.XLOOKUP($A282,'Raw Data'!$G:$G,'Raw Data'!AE:AE),"")</f>
        <v/>
      </c>
      <c r="M282" s="90" t="str">
        <f>IFERROR(_xlfn.XLOOKUP($A282,'Raw Data'!$G:$G,'Raw Data'!AF:AF),"")</f>
        <v/>
      </c>
      <c r="N282" s="90" t="str">
        <f>IFERROR(_xlfn.XLOOKUP($A282,'Raw Data'!$G:$G,'Raw Data'!AG:AG),"")</f>
        <v/>
      </c>
      <c r="O282" s="85" t="str">
        <f>IFERROR(1-SUMIF('Plant BD'!$B:$B,$A282,'Plant BD'!$AM:$AM)/($AA282+SUMIF('Plant BD'!$B:$B,$A282,'Plant BD'!$AM:$AM)),"")</f>
        <v/>
      </c>
      <c r="P282" s="85"/>
      <c r="Q282" s="89"/>
      <c r="R282" s="85" t="str">
        <f>IFERROR(1-SUMIF('Grid BD'!$B:$B,$A282,'Grid BD'!$AE:$AE)/($AA282+SUMIF('Grid BD'!$B:$B,$A282,'Grid BD'!$AE:$AE)),"")</f>
        <v/>
      </c>
      <c r="T282" s="89"/>
      <c r="U282" s="88" t="str">
        <f t="shared" si="17"/>
        <v/>
      </c>
      <c r="V282" s="88"/>
      <c r="W282" s="84" t="str">
        <f t="shared" si="16"/>
        <v/>
      </c>
      <c r="X282" s="86" t="str">
        <f>IFERROR(_xlfn.XLOOKUP($A282,'Raw Data'!$G:$G,'Raw Data'!AI:AI),"")</f>
        <v/>
      </c>
      <c r="Y282" s="86" t="str">
        <f>IFERROR(_xlfn.XLOOKUP($A282,'Raw Data'!$G:$G,'Raw Data'!AJ:AJ),"")</f>
        <v/>
      </c>
      <c r="Z282" s="86" t="str">
        <f>IFERROR(_xlfn.XLOOKUP($A282,'Raw Data'!$G:$G,'Raw Data'!AK:AK),"")</f>
        <v/>
      </c>
      <c r="AA282" s="86" t="str">
        <f>IFERROR(_xlfn.XLOOKUP($A282,'Raw Data'!$G:$G,'Raw Data'!$AL:$AL)*(1+(_xlfn.XLOOKUP(Table13[[#This Row],[Month Year]],JMR!$A:$A,JMR!$J:$J))),"")</f>
        <v/>
      </c>
      <c r="AB282" s="86" t="str">
        <f>IFERROR(_xlfn.XLOOKUP($A282,'Raw Data'!$G:$G,'Raw Data'!$H:$H),"")</f>
        <v/>
      </c>
      <c r="AC282" s="87">
        <f>IFERROR(_xlfn.XLOOKUP($D282,'Modelling New'!$D:$D,'Modelling New'!$P:$P),"")</f>
        <v>5.9580645161290322</v>
      </c>
      <c r="AD282" s="86">
        <f>IFERROR(_xlfn.XLOOKUP($D282,'Modelling New'!$D:$D,'Modelling New'!$T:$T)*1000,"")</f>
        <v>30513.985528225832</v>
      </c>
      <c r="AE282" s="94">
        <f>IFERROR(_xlfn.XLOOKUP($D282,'Modelling New'!$D:$D,'Modelling New'!$O:$O),"")</f>
        <v>0.72141359604684618</v>
      </c>
      <c r="AF282" s="94">
        <f>IFERROR(_xlfn.XLOOKUP($D282,'Modelling New'!$D:$D,'Modelling New'!$W:$W),"")</f>
        <v>0.1790928645024899</v>
      </c>
      <c r="AG282" s="94">
        <f>IFERROR(_xlfn.XLOOKUP($D282,'Modelling New'!$D:$D,'Modelling New'!$AE:$AE),"")</f>
        <v>0.98040000000000005</v>
      </c>
      <c r="AH282" s="94">
        <f>IFERROR(_xlfn.XLOOKUP($D282,'Modelling New'!$D:$D,'Modelling New'!$AF:$AF),"")</f>
        <v>0.98</v>
      </c>
      <c r="AN282" s="85"/>
      <c r="AO282" s="84"/>
      <c r="AP282" s="84"/>
      <c r="AQ282" s="84"/>
      <c r="AR282" s="86">
        <f>'Basic Data'!$J$2</f>
        <v>7.0991999999999997</v>
      </c>
      <c r="AT282" s="7" t="str">
        <f>IFERROR(_xlfn.XLOOKUP(Table13[[#This Row],[Date]],'Raw Data'!$E:$E,'Raw Data'!$AN:$AN),"")</f>
        <v/>
      </c>
      <c r="AU282" s="7">
        <f>IFERROR(_xlfn.XLOOKUP(Table13[[#This Row],[Month Year]],'Modelling New'!$D:$D,'Modelling New'!$AO:$AO),"")</f>
        <v>7</v>
      </c>
      <c r="AV282" s="7">
        <f>IFERROR(SUMIF('Curtailment Records'!$C:$C,Table13[[#This Row],[Date]],'Curtailment Records'!$R:$R)/1000,"")</f>
        <v>0</v>
      </c>
    </row>
    <row r="283" spans="1:48" x14ac:dyDescent="0.25">
      <c r="A283" s="93">
        <f t="shared" si="18"/>
        <v>46026</v>
      </c>
      <c r="B283" s="86">
        <f>YEAR(Table13[[#This Row],[Date]])+IF(MONTH(Table13[[#This Row],[Date]])&gt;=4,1,0)</f>
        <v>2026</v>
      </c>
      <c r="C283" s="7">
        <f>YEAR(Table13[[#This Row],[Date]])</f>
        <v>2026</v>
      </c>
      <c r="D283" s="92">
        <f>Table13[[#This Row],[Date]]-DAY(Table13[[#This Row],[Date]])+1</f>
        <v>46023</v>
      </c>
      <c r="E283" s="7">
        <f t="shared" si="19"/>
        <v>31</v>
      </c>
      <c r="F283" s="91" t="str">
        <f>IFERROR(_xlfn.XLOOKUP($A283,'Raw Data'!$G:$G,'Raw Data'!$AM:$AM),"")</f>
        <v/>
      </c>
      <c r="G283" s="90" t="str">
        <f>IFERROR(_xlfn.XLOOKUP($A283,'Raw Data'!$G:$G,'Raw Data'!$AB:$AB),"")</f>
        <v/>
      </c>
      <c r="H283" s="90"/>
      <c r="I283" s="90" t="str">
        <f>IFERROR(_xlfn.XLOOKUP($A283,'Raw Data'!$G:$G,'Raw Data'!$AC:$AC),"")</f>
        <v/>
      </c>
      <c r="J283" s="90"/>
      <c r="K283" s="90" t="str">
        <f>IFERROR(_xlfn.XLOOKUP($A283,'Raw Data'!$G:$G,'Raw Data'!AD:AD),"")</f>
        <v/>
      </c>
      <c r="L283" s="90" t="str">
        <f>IFERROR(_xlfn.XLOOKUP($A283,'Raw Data'!$G:$G,'Raw Data'!AE:AE),"")</f>
        <v/>
      </c>
      <c r="M283" s="90" t="str">
        <f>IFERROR(_xlfn.XLOOKUP($A283,'Raw Data'!$G:$G,'Raw Data'!AF:AF),"")</f>
        <v/>
      </c>
      <c r="N283" s="90" t="str">
        <f>IFERROR(_xlfn.XLOOKUP($A283,'Raw Data'!$G:$G,'Raw Data'!AG:AG),"")</f>
        <v/>
      </c>
      <c r="O283" s="85" t="str">
        <f>IFERROR(1-SUMIF('Plant BD'!$B:$B,$A283,'Plant BD'!$AM:$AM)/($AA283+SUMIF('Plant BD'!$B:$B,$A283,'Plant BD'!$AM:$AM)),"")</f>
        <v/>
      </c>
      <c r="P283" s="85"/>
      <c r="Q283" s="89"/>
      <c r="R283" s="85" t="str">
        <f>IFERROR(1-SUMIF('Grid BD'!$B:$B,$A283,'Grid BD'!$AE:$AE)/($AA283+SUMIF('Grid BD'!$B:$B,$A283,'Grid BD'!$AE:$AE)),"")</f>
        <v/>
      </c>
      <c r="T283" s="89"/>
      <c r="U283" s="88" t="str">
        <f t="shared" si="17"/>
        <v/>
      </c>
      <c r="V283" s="88"/>
      <c r="W283" s="84" t="str">
        <f t="shared" si="16"/>
        <v/>
      </c>
      <c r="X283" s="86" t="str">
        <f>IFERROR(_xlfn.XLOOKUP($A283,'Raw Data'!$G:$G,'Raw Data'!AI:AI),"")</f>
        <v/>
      </c>
      <c r="Y283" s="86" t="str">
        <f>IFERROR(_xlfn.XLOOKUP($A283,'Raw Data'!$G:$G,'Raw Data'!AJ:AJ),"")</f>
        <v/>
      </c>
      <c r="Z283" s="86" t="str">
        <f>IFERROR(_xlfn.XLOOKUP($A283,'Raw Data'!$G:$G,'Raw Data'!AK:AK),"")</f>
        <v/>
      </c>
      <c r="AA283" s="86" t="str">
        <f>IFERROR(_xlfn.XLOOKUP($A283,'Raw Data'!$G:$G,'Raw Data'!$AL:$AL)*(1+(_xlfn.XLOOKUP(Table13[[#This Row],[Month Year]],JMR!$A:$A,JMR!$J:$J))),"")</f>
        <v/>
      </c>
      <c r="AB283" s="86" t="str">
        <f>IFERROR(_xlfn.XLOOKUP($A283,'Raw Data'!$G:$G,'Raw Data'!$H:$H),"")</f>
        <v/>
      </c>
      <c r="AC283" s="87">
        <f>IFERROR(_xlfn.XLOOKUP($D283,'Modelling New'!$D:$D,'Modelling New'!$P:$P),"")</f>
        <v>5.9580645161290322</v>
      </c>
      <c r="AD283" s="86">
        <f>IFERROR(_xlfn.XLOOKUP($D283,'Modelling New'!$D:$D,'Modelling New'!$T:$T)*1000,"")</f>
        <v>30513.985528225832</v>
      </c>
      <c r="AE283" s="94">
        <f>IFERROR(_xlfn.XLOOKUP($D283,'Modelling New'!$D:$D,'Modelling New'!$O:$O),"")</f>
        <v>0.72141359604684618</v>
      </c>
      <c r="AF283" s="94">
        <f>IFERROR(_xlfn.XLOOKUP($D283,'Modelling New'!$D:$D,'Modelling New'!$W:$W),"")</f>
        <v>0.1790928645024899</v>
      </c>
      <c r="AG283" s="94">
        <f>IFERROR(_xlfn.XLOOKUP($D283,'Modelling New'!$D:$D,'Modelling New'!$AE:$AE),"")</f>
        <v>0.98040000000000005</v>
      </c>
      <c r="AH283" s="94">
        <f>IFERROR(_xlfn.XLOOKUP($D283,'Modelling New'!$D:$D,'Modelling New'!$AF:$AF),"")</f>
        <v>0.98</v>
      </c>
      <c r="AN283" s="85"/>
      <c r="AO283" s="84"/>
      <c r="AP283" s="84"/>
      <c r="AQ283" s="84"/>
      <c r="AR283" s="86">
        <f>'Basic Data'!$J$2</f>
        <v>7.0991999999999997</v>
      </c>
      <c r="AT283" s="7" t="str">
        <f>IFERROR(_xlfn.XLOOKUP(Table13[[#This Row],[Date]],'Raw Data'!$E:$E,'Raw Data'!$AN:$AN),"")</f>
        <v/>
      </c>
      <c r="AU283" s="7">
        <f>IFERROR(_xlfn.XLOOKUP(Table13[[#This Row],[Month Year]],'Modelling New'!$D:$D,'Modelling New'!$AO:$AO),"")</f>
        <v>7</v>
      </c>
      <c r="AV283" s="7">
        <f>IFERROR(SUMIF('Curtailment Records'!$C:$C,Table13[[#This Row],[Date]],'Curtailment Records'!$R:$R)/1000,"")</f>
        <v>0</v>
      </c>
    </row>
    <row r="284" spans="1:48" x14ac:dyDescent="0.25">
      <c r="A284" s="93">
        <f t="shared" si="18"/>
        <v>46027</v>
      </c>
      <c r="B284" s="86">
        <f>YEAR(Table13[[#This Row],[Date]])+IF(MONTH(Table13[[#This Row],[Date]])&gt;=4,1,0)</f>
        <v>2026</v>
      </c>
      <c r="C284" s="7">
        <f>YEAR(Table13[[#This Row],[Date]])</f>
        <v>2026</v>
      </c>
      <c r="D284" s="92">
        <f>Table13[[#This Row],[Date]]-DAY(Table13[[#This Row],[Date]])+1</f>
        <v>46023</v>
      </c>
      <c r="E284" s="7">
        <f t="shared" si="19"/>
        <v>31</v>
      </c>
      <c r="F284" s="91" t="str">
        <f>IFERROR(_xlfn.XLOOKUP($A284,'Raw Data'!$G:$G,'Raw Data'!$AM:$AM),"")</f>
        <v/>
      </c>
      <c r="G284" s="90" t="str">
        <f>IFERROR(_xlfn.XLOOKUP($A284,'Raw Data'!$G:$G,'Raw Data'!$AB:$AB),"")</f>
        <v/>
      </c>
      <c r="H284" s="90"/>
      <c r="I284" s="90" t="str">
        <f>IFERROR(_xlfn.XLOOKUP($A284,'Raw Data'!$G:$G,'Raw Data'!$AC:$AC),"")</f>
        <v/>
      </c>
      <c r="J284" s="90"/>
      <c r="K284" s="90" t="str">
        <f>IFERROR(_xlfn.XLOOKUP($A284,'Raw Data'!$G:$G,'Raw Data'!AD:AD),"")</f>
        <v/>
      </c>
      <c r="L284" s="90" t="str">
        <f>IFERROR(_xlfn.XLOOKUP($A284,'Raw Data'!$G:$G,'Raw Data'!AE:AE),"")</f>
        <v/>
      </c>
      <c r="M284" s="90" t="str">
        <f>IFERROR(_xlfn.XLOOKUP($A284,'Raw Data'!$G:$G,'Raw Data'!AF:AF),"")</f>
        <v/>
      </c>
      <c r="N284" s="90" t="str">
        <f>IFERROR(_xlfn.XLOOKUP($A284,'Raw Data'!$G:$G,'Raw Data'!AG:AG),"")</f>
        <v/>
      </c>
      <c r="O284" s="85" t="str">
        <f>IFERROR(1-SUMIF('Plant BD'!$B:$B,$A284,'Plant BD'!$AM:$AM)/($AA284+SUMIF('Plant BD'!$B:$B,$A284,'Plant BD'!$AM:$AM)),"")</f>
        <v/>
      </c>
      <c r="P284" s="85"/>
      <c r="Q284" s="89"/>
      <c r="R284" s="85" t="str">
        <f>IFERROR(1-SUMIF('Grid BD'!$B:$B,$A284,'Grid BD'!$AE:$AE)/($AA284+SUMIF('Grid BD'!$B:$B,$A284,'Grid BD'!$AE:$AE)),"")</f>
        <v/>
      </c>
      <c r="T284" s="89"/>
      <c r="U284" s="88" t="str">
        <f t="shared" si="17"/>
        <v/>
      </c>
      <c r="V284" s="88"/>
      <c r="W284" s="84" t="str">
        <f t="shared" si="16"/>
        <v/>
      </c>
      <c r="X284" s="86" t="str">
        <f>IFERROR(_xlfn.XLOOKUP($A284,'Raw Data'!$G:$G,'Raw Data'!AI:AI),"")</f>
        <v/>
      </c>
      <c r="Y284" s="86" t="str">
        <f>IFERROR(_xlfn.XLOOKUP($A284,'Raw Data'!$G:$G,'Raw Data'!AJ:AJ),"")</f>
        <v/>
      </c>
      <c r="Z284" s="86" t="str">
        <f>IFERROR(_xlfn.XLOOKUP($A284,'Raw Data'!$G:$G,'Raw Data'!AK:AK),"")</f>
        <v/>
      </c>
      <c r="AA284" s="86" t="str">
        <f>IFERROR(_xlfn.XLOOKUP($A284,'Raw Data'!$G:$G,'Raw Data'!$AL:$AL)*(1+(_xlfn.XLOOKUP(Table13[[#This Row],[Month Year]],JMR!$A:$A,JMR!$J:$J))),"")</f>
        <v/>
      </c>
      <c r="AB284" s="86" t="str">
        <f>IFERROR(_xlfn.XLOOKUP($A284,'Raw Data'!$G:$G,'Raw Data'!$H:$H),"")</f>
        <v/>
      </c>
      <c r="AC284" s="87">
        <f>IFERROR(_xlfn.XLOOKUP($D284,'Modelling New'!$D:$D,'Modelling New'!$P:$P),"")</f>
        <v>5.9580645161290322</v>
      </c>
      <c r="AD284" s="86">
        <f>IFERROR(_xlfn.XLOOKUP($D284,'Modelling New'!$D:$D,'Modelling New'!$T:$T)*1000,"")</f>
        <v>30513.985528225832</v>
      </c>
      <c r="AE284" s="94">
        <f>IFERROR(_xlfn.XLOOKUP($D284,'Modelling New'!$D:$D,'Modelling New'!$O:$O),"")</f>
        <v>0.72141359604684618</v>
      </c>
      <c r="AF284" s="94">
        <f>IFERROR(_xlfn.XLOOKUP($D284,'Modelling New'!$D:$D,'Modelling New'!$W:$W),"")</f>
        <v>0.1790928645024899</v>
      </c>
      <c r="AG284" s="94">
        <f>IFERROR(_xlfn.XLOOKUP($D284,'Modelling New'!$D:$D,'Modelling New'!$AE:$AE),"")</f>
        <v>0.98040000000000005</v>
      </c>
      <c r="AH284" s="94">
        <f>IFERROR(_xlfn.XLOOKUP($D284,'Modelling New'!$D:$D,'Modelling New'!$AF:$AF),"")</f>
        <v>0.98</v>
      </c>
      <c r="AN284" s="85"/>
      <c r="AO284" s="84"/>
      <c r="AP284" s="84"/>
      <c r="AQ284" s="84"/>
      <c r="AR284" s="86">
        <f>'Basic Data'!$J$2</f>
        <v>7.0991999999999997</v>
      </c>
      <c r="AT284" s="7" t="str">
        <f>IFERROR(_xlfn.XLOOKUP(Table13[[#This Row],[Date]],'Raw Data'!$E:$E,'Raw Data'!$AN:$AN),"")</f>
        <v/>
      </c>
      <c r="AU284" s="7">
        <f>IFERROR(_xlfn.XLOOKUP(Table13[[#This Row],[Month Year]],'Modelling New'!$D:$D,'Modelling New'!$AO:$AO),"")</f>
        <v>7</v>
      </c>
      <c r="AV284" s="7">
        <f>IFERROR(SUMIF('Curtailment Records'!$C:$C,Table13[[#This Row],[Date]],'Curtailment Records'!$R:$R)/1000,"")</f>
        <v>0</v>
      </c>
    </row>
    <row r="285" spans="1:48" x14ac:dyDescent="0.25">
      <c r="A285" s="93">
        <f t="shared" si="18"/>
        <v>46028</v>
      </c>
      <c r="B285" s="86">
        <f>YEAR(Table13[[#This Row],[Date]])+IF(MONTH(Table13[[#This Row],[Date]])&gt;=4,1,0)</f>
        <v>2026</v>
      </c>
      <c r="C285" s="7">
        <f>YEAR(Table13[[#This Row],[Date]])</f>
        <v>2026</v>
      </c>
      <c r="D285" s="92">
        <f>Table13[[#This Row],[Date]]-DAY(Table13[[#This Row],[Date]])+1</f>
        <v>46023</v>
      </c>
      <c r="E285" s="7">
        <f t="shared" si="19"/>
        <v>31</v>
      </c>
      <c r="F285" s="91" t="str">
        <f>IFERROR(_xlfn.XLOOKUP($A285,'Raw Data'!$G:$G,'Raw Data'!$AM:$AM),"")</f>
        <v/>
      </c>
      <c r="G285" s="90" t="str">
        <f>IFERROR(_xlfn.XLOOKUP($A285,'Raw Data'!$G:$G,'Raw Data'!$AB:$AB),"")</f>
        <v/>
      </c>
      <c r="H285" s="90"/>
      <c r="I285" s="90" t="str">
        <f>IFERROR(_xlfn.XLOOKUP($A285,'Raw Data'!$G:$G,'Raw Data'!$AC:$AC),"")</f>
        <v/>
      </c>
      <c r="J285" s="90"/>
      <c r="K285" s="90" t="str">
        <f>IFERROR(_xlfn.XLOOKUP($A285,'Raw Data'!$G:$G,'Raw Data'!AD:AD),"")</f>
        <v/>
      </c>
      <c r="L285" s="90" t="str">
        <f>IFERROR(_xlfn.XLOOKUP($A285,'Raw Data'!$G:$G,'Raw Data'!AE:AE),"")</f>
        <v/>
      </c>
      <c r="M285" s="90" t="str">
        <f>IFERROR(_xlfn.XLOOKUP($A285,'Raw Data'!$G:$G,'Raw Data'!AF:AF),"")</f>
        <v/>
      </c>
      <c r="N285" s="90" t="str">
        <f>IFERROR(_xlfn.XLOOKUP($A285,'Raw Data'!$G:$G,'Raw Data'!AG:AG),"")</f>
        <v/>
      </c>
      <c r="O285" s="85" t="str">
        <f>IFERROR(1-SUMIF('Plant BD'!$B:$B,$A285,'Plant BD'!$AM:$AM)/($AA285+SUMIF('Plant BD'!$B:$B,$A285,'Plant BD'!$AM:$AM)),"")</f>
        <v/>
      </c>
      <c r="P285" s="85"/>
      <c r="Q285" s="89"/>
      <c r="R285" s="85" t="str">
        <f>IFERROR(1-SUMIF('Grid BD'!$B:$B,$A285,'Grid BD'!$AE:$AE)/($AA285+SUMIF('Grid BD'!$B:$B,$A285,'Grid BD'!$AE:$AE)),"")</f>
        <v/>
      </c>
      <c r="T285" s="89"/>
      <c r="U285" s="88" t="str">
        <f t="shared" si="17"/>
        <v/>
      </c>
      <c r="V285" s="88"/>
      <c r="W285" s="84" t="str">
        <f t="shared" si="16"/>
        <v/>
      </c>
      <c r="X285" s="86" t="str">
        <f>IFERROR(_xlfn.XLOOKUP($A285,'Raw Data'!$G:$G,'Raw Data'!AI:AI),"")</f>
        <v/>
      </c>
      <c r="Y285" s="86" t="str">
        <f>IFERROR(_xlfn.XLOOKUP($A285,'Raw Data'!$G:$G,'Raw Data'!AJ:AJ),"")</f>
        <v/>
      </c>
      <c r="Z285" s="86" t="str">
        <f>IFERROR(_xlfn.XLOOKUP($A285,'Raw Data'!$G:$G,'Raw Data'!AK:AK),"")</f>
        <v/>
      </c>
      <c r="AA285" s="86" t="str">
        <f>IFERROR(_xlfn.XLOOKUP($A285,'Raw Data'!$G:$G,'Raw Data'!$AL:$AL)*(1+(_xlfn.XLOOKUP(Table13[[#This Row],[Month Year]],JMR!$A:$A,JMR!$J:$J))),"")</f>
        <v/>
      </c>
      <c r="AB285" s="86" t="str">
        <f>IFERROR(_xlfn.XLOOKUP($A285,'Raw Data'!$G:$G,'Raw Data'!$H:$H),"")</f>
        <v/>
      </c>
      <c r="AC285" s="87">
        <f>IFERROR(_xlfn.XLOOKUP($D285,'Modelling New'!$D:$D,'Modelling New'!$P:$P),"")</f>
        <v>5.9580645161290322</v>
      </c>
      <c r="AD285" s="86">
        <f>IFERROR(_xlfn.XLOOKUP($D285,'Modelling New'!$D:$D,'Modelling New'!$T:$T)*1000,"")</f>
        <v>30513.985528225832</v>
      </c>
      <c r="AE285" s="94">
        <f>IFERROR(_xlfn.XLOOKUP($D285,'Modelling New'!$D:$D,'Modelling New'!$O:$O),"")</f>
        <v>0.72141359604684618</v>
      </c>
      <c r="AF285" s="94">
        <f>IFERROR(_xlfn.XLOOKUP($D285,'Modelling New'!$D:$D,'Modelling New'!$W:$W),"")</f>
        <v>0.1790928645024899</v>
      </c>
      <c r="AG285" s="94">
        <f>IFERROR(_xlfn.XLOOKUP($D285,'Modelling New'!$D:$D,'Modelling New'!$AE:$AE),"")</f>
        <v>0.98040000000000005</v>
      </c>
      <c r="AH285" s="94">
        <f>IFERROR(_xlfn.XLOOKUP($D285,'Modelling New'!$D:$D,'Modelling New'!$AF:$AF),"")</f>
        <v>0.98</v>
      </c>
      <c r="AN285" s="85"/>
      <c r="AO285" s="84"/>
      <c r="AP285" s="84"/>
      <c r="AQ285" s="84"/>
      <c r="AR285" s="86">
        <f>'Basic Data'!$J$2</f>
        <v>7.0991999999999997</v>
      </c>
      <c r="AT285" s="7" t="str">
        <f>IFERROR(_xlfn.XLOOKUP(Table13[[#This Row],[Date]],'Raw Data'!$E:$E,'Raw Data'!$AN:$AN),"")</f>
        <v/>
      </c>
      <c r="AU285" s="7">
        <f>IFERROR(_xlfn.XLOOKUP(Table13[[#This Row],[Month Year]],'Modelling New'!$D:$D,'Modelling New'!$AO:$AO),"")</f>
        <v>7</v>
      </c>
      <c r="AV285" s="7">
        <f>IFERROR(SUMIF('Curtailment Records'!$C:$C,Table13[[#This Row],[Date]],'Curtailment Records'!$R:$R)/1000,"")</f>
        <v>0</v>
      </c>
    </row>
    <row r="286" spans="1:48" x14ac:dyDescent="0.25">
      <c r="A286" s="93">
        <f t="shared" si="18"/>
        <v>46029</v>
      </c>
      <c r="B286" s="86">
        <f>YEAR(Table13[[#This Row],[Date]])+IF(MONTH(Table13[[#This Row],[Date]])&gt;=4,1,0)</f>
        <v>2026</v>
      </c>
      <c r="C286" s="7">
        <f>YEAR(Table13[[#This Row],[Date]])</f>
        <v>2026</v>
      </c>
      <c r="D286" s="92">
        <f>Table13[[#This Row],[Date]]-DAY(Table13[[#This Row],[Date]])+1</f>
        <v>46023</v>
      </c>
      <c r="E286" s="7">
        <f t="shared" si="19"/>
        <v>31</v>
      </c>
      <c r="F286" s="91" t="str">
        <f>IFERROR(_xlfn.XLOOKUP($A286,'Raw Data'!$G:$G,'Raw Data'!$AM:$AM),"")</f>
        <v/>
      </c>
      <c r="G286" s="90" t="str">
        <f>IFERROR(_xlfn.XLOOKUP($A286,'Raw Data'!$G:$G,'Raw Data'!$AB:$AB),"")</f>
        <v/>
      </c>
      <c r="H286" s="90"/>
      <c r="I286" s="90" t="str">
        <f>IFERROR(_xlfn.XLOOKUP($A286,'Raw Data'!$G:$G,'Raw Data'!$AC:$AC),"")</f>
        <v/>
      </c>
      <c r="J286" s="90"/>
      <c r="K286" s="90" t="str">
        <f>IFERROR(_xlfn.XLOOKUP($A286,'Raw Data'!$G:$G,'Raw Data'!AD:AD),"")</f>
        <v/>
      </c>
      <c r="L286" s="90" t="str">
        <f>IFERROR(_xlfn.XLOOKUP($A286,'Raw Data'!$G:$G,'Raw Data'!AE:AE),"")</f>
        <v/>
      </c>
      <c r="M286" s="90" t="str">
        <f>IFERROR(_xlfn.XLOOKUP($A286,'Raw Data'!$G:$G,'Raw Data'!AF:AF),"")</f>
        <v/>
      </c>
      <c r="N286" s="90" t="str">
        <f>IFERROR(_xlfn.XLOOKUP($A286,'Raw Data'!$G:$G,'Raw Data'!AG:AG),"")</f>
        <v/>
      </c>
      <c r="O286" s="85" t="str">
        <f>IFERROR(1-SUMIF('Plant BD'!$B:$B,$A286,'Plant BD'!$AM:$AM)/($AA286+SUMIF('Plant BD'!$B:$B,$A286,'Plant BD'!$AM:$AM)),"")</f>
        <v/>
      </c>
      <c r="P286" s="85"/>
      <c r="Q286" s="89"/>
      <c r="R286" s="85" t="str">
        <f>IFERROR(1-SUMIF('Grid BD'!$B:$B,$A286,'Grid BD'!$AE:$AE)/($AA286+SUMIF('Grid BD'!$B:$B,$A286,'Grid BD'!$AE:$AE)),"")</f>
        <v/>
      </c>
      <c r="T286" s="89"/>
      <c r="U286" s="88" t="str">
        <f t="shared" si="17"/>
        <v/>
      </c>
      <c r="V286" s="88"/>
      <c r="W286" s="84" t="str">
        <f t="shared" si="16"/>
        <v/>
      </c>
      <c r="X286" s="86" t="str">
        <f>IFERROR(_xlfn.XLOOKUP($A286,'Raw Data'!$G:$G,'Raw Data'!AI:AI),"")</f>
        <v/>
      </c>
      <c r="Y286" s="86" t="str">
        <f>IFERROR(_xlfn.XLOOKUP($A286,'Raw Data'!$G:$G,'Raw Data'!AJ:AJ),"")</f>
        <v/>
      </c>
      <c r="Z286" s="86" t="str">
        <f>IFERROR(_xlfn.XLOOKUP($A286,'Raw Data'!$G:$G,'Raw Data'!AK:AK),"")</f>
        <v/>
      </c>
      <c r="AA286" s="86" t="str">
        <f>IFERROR(_xlfn.XLOOKUP($A286,'Raw Data'!$G:$G,'Raw Data'!$AL:$AL)*(1+(_xlfn.XLOOKUP(Table13[[#This Row],[Month Year]],JMR!$A:$A,JMR!$J:$J))),"")</f>
        <v/>
      </c>
      <c r="AB286" s="86" t="str">
        <f>IFERROR(_xlfn.XLOOKUP($A286,'Raw Data'!$G:$G,'Raw Data'!$H:$H),"")</f>
        <v/>
      </c>
      <c r="AC286" s="87">
        <f>IFERROR(_xlfn.XLOOKUP($D286,'Modelling New'!$D:$D,'Modelling New'!$P:$P),"")</f>
        <v>5.9580645161290322</v>
      </c>
      <c r="AD286" s="86">
        <f>IFERROR(_xlfn.XLOOKUP($D286,'Modelling New'!$D:$D,'Modelling New'!$T:$T)*1000,"")</f>
        <v>30513.985528225832</v>
      </c>
      <c r="AE286" s="94">
        <f>IFERROR(_xlfn.XLOOKUP($D286,'Modelling New'!$D:$D,'Modelling New'!$O:$O),"")</f>
        <v>0.72141359604684618</v>
      </c>
      <c r="AF286" s="94">
        <f>IFERROR(_xlfn.XLOOKUP($D286,'Modelling New'!$D:$D,'Modelling New'!$W:$W),"")</f>
        <v>0.1790928645024899</v>
      </c>
      <c r="AG286" s="94">
        <f>IFERROR(_xlfn.XLOOKUP($D286,'Modelling New'!$D:$D,'Modelling New'!$AE:$AE),"")</f>
        <v>0.98040000000000005</v>
      </c>
      <c r="AH286" s="94">
        <f>IFERROR(_xlfn.XLOOKUP($D286,'Modelling New'!$D:$D,'Modelling New'!$AF:$AF),"")</f>
        <v>0.98</v>
      </c>
      <c r="AN286" s="85"/>
      <c r="AO286" s="84"/>
      <c r="AP286" s="84"/>
      <c r="AQ286" s="84"/>
      <c r="AR286" s="86">
        <f>'Basic Data'!$J$2</f>
        <v>7.0991999999999997</v>
      </c>
      <c r="AT286" s="7" t="str">
        <f>IFERROR(_xlfn.XLOOKUP(Table13[[#This Row],[Date]],'Raw Data'!$E:$E,'Raw Data'!$AN:$AN),"")</f>
        <v/>
      </c>
      <c r="AU286" s="7">
        <f>IFERROR(_xlfn.XLOOKUP(Table13[[#This Row],[Month Year]],'Modelling New'!$D:$D,'Modelling New'!$AO:$AO),"")</f>
        <v>7</v>
      </c>
      <c r="AV286" s="7">
        <f>IFERROR(SUMIF('Curtailment Records'!$C:$C,Table13[[#This Row],[Date]],'Curtailment Records'!$R:$R)/1000,"")</f>
        <v>0</v>
      </c>
    </row>
    <row r="287" spans="1:48" x14ac:dyDescent="0.25">
      <c r="A287" s="93">
        <f t="shared" si="18"/>
        <v>46030</v>
      </c>
      <c r="B287" s="86">
        <f>YEAR(Table13[[#This Row],[Date]])+IF(MONTH(Table13[[#This Row],[Date]])&gt;=4,1,0)</f>
        <v>2026</v>
      </c>
      <c r="C287" s="7">
        <f>YEAR(Table13[[#This Row],[Date]])</f>
        <v>2026</v>
      </c>
      <c r="D287" s="92">
        <f>Table13[[#This Row],[Date]]-DAY(Table13[[#This Row],[Date]])+1</f>
        <v>46023</v>
      </c>
      <c r="E287" s="7">
        <f t="shared" si="19"/>
        <v>31</v>
      </c>
      <c r="F287" s="91" t="str">
        <f>IFERROR(_xlfn.XLOOKUP($A287,'Raw Data'!$G:$G,'Raw Data'!$AM:$AM),"")</f>
        <v/>
      </c>
      <c r="G287" s="90" t="str">
        <f>IFERROR(_xlfn.XLOOKUP($A287,'Raw Data'!$G:$G,'Raw Data'!$AB:$AB),"")</f>
        <v/>
      </c>
      <c r="H287" s="90"/>
      <c r="I287" s="90" t="str">
        <f>IFERROR(_xlfn.XLOOKUP($A287,'Raw Data'!$G:$G,'Raw Data'!$AC:$AC),"")</f>
        <v/>
      </c>
      <c r="J287" s="90"/>
      <c r="K287" s="90" t="str">
        <f>IFERROR(_xlfn.XLOOKUP($A287,'Raw Data'!$G:$G,'Raw Data'!AD:AD),"")</f>
        <v/>
      </c>
      <c r="L287" s="90" t="str">
        <f>IFERROR(_xlfn.XLOOKUP($A287,'Raw Data'!$G:$G,'Raw Data'!AE:AE),"")</f>
        <v/>
      </c>
      <c r="M287" s="90" t="str">
        <f>IFERROR(_xlfn.XLOOKUP($A287,'Raw Data'!$G:$G,'Raw Data'!AF:AF),"")</f>
        <v/>
      </c>
      <c r="N287" s="90" t="str">
        <f>IFERROR(_xlfn.XLOOKUP($A287,'Raw Data'!$G:$G,'Raw Data'!AG:AG),"")</f>
        <v/>
      </c>
      <c r="O287" s="85" t="str">
        <f>IFERROR(1-SUMIF('Plant BD'!$B:$B,$A287,'Plant BD'!$AM:$AM)/($AA287+SUMIF('Plant BD'!$B:$B,$A287,'Plant BD'!$AM:$AM)),"")</f>
        <v/>
      </c>
      <c r="P287" s="85"/>
      <c r="Q287" s="89"/>
      <c r="R287" s="85" t="str">
        <f>IFERROR(1-SUMIF('Grid BD'!$B:$B,$A287,'Grid BD'!$AE:$AE)/($AA287+SUMIF('Grid BD'!$B:$B,$A287,'Grid BD'!$AE:$AE)),"")</f>
        <v/>
      </c>
      <c r="T287" s="89"/>
      <c r="U287" s="88" t="str">
        <f t="shared" si="17"/>
        <v/>
      </c>
      <c r="V287" s="88"/>
      <c r="W287" s="84" t="str">
        <f t="shared" si="16"/>
        <v/>
      </c>
      <c r="X287" s="86" t="str">
        <f>IFERROR(_xlfn.XLOOKUP($A287,'Raw Data'!$G:$G,'Raw Data'!AI:AI),"")</f>
        <v/>
      </c>
      <c r="Y287" s="86" t="str">
        <f>IFERROR(_xlfn.XLOOKUP($A287,'Raw Data'!$G:$G,'Raw Data'!AJ:AJ),"")</f>
        <v/>
      </c>
      <c r="Z287" s="86" t="str">
        <f>IFERROR(_xlfn.XLOOKUP($A287,'Raw Data'!$G:$G,'Raw Data'!AK:AK),"")</f>
        <v/>
      </c>
      <c r="AA287" s="86" t="str">
        <f>IFERROR(_xlfn.XLOOKUP($A287,'Raw Data'!$G:$G,'Raw Data'!$AL:$AL)*(1+(_xlfn.XLOOKUP(Table13[[#This Row],[Month Year]],JMR!$A:$A,JMR!$J:$J))),"")</f>
        <v/>
      </c>
      <c r="AB287" s="86" t="str">
        <f>IFERROR(_xlfn.XLOOKUP($A287,'Raw Data'!$G:$G,'Raw Data'!$H:$H),"")</f>
        <v/>
      </c>
      <c r="AC287" s="87">
        <f>IFERROR(_xlfn.XLOOKUP($D287,'Modelling New'!$D:$D,'Modelling New'!$P:$P),"")</f>
        <v>5.9580645161290322</v>
      </c>
      <c r="AD287" s="86">
        <f>IFERROR(_xlfn.XLOOKUP($D287,'Modelling New'!$D:$D,'Modelling New'!$T:$T)*1000,"")</f>
        <v>30513.985528225832</v>
      </c>
      <c r="AE287" s="94">
        <f>IFERROR(_xlfn.XLOOKUP($D287,'Modelling New'!$D:$D,'Modelling New'!$O:$O),"")</f>
        <v>0.72141359604684618</v>
      </c>
      <c r="AF287" s="94">
        <f>IFERROR(_xlfn.XLOOKUP($D287,'Modelling New'!$D:$D,'Modelling New'!$W:$W),"")</f>
        <v>0.1790928645024899</v>
      </c>
      <c r="AG287" s="94">
        <f>IFERROR(_xlfn.XLOOKUP($D287,'Modelling New'!$D:$D,'Modelling New'!$AE:$AE),"")</f>
        <v>0.98040000000000005</v>
      </c>
      <c r="AH287" s="94">
        <f>IFERROR(_xlfn.XLOOKUP($D287,'Modelling New'!$D:$D,'Modelling New'!$AF:$AF),"")</f>
        <v>0.98</v>
      </c>
      <c r="AN287" s="85"/>
      <c r="AO287" s="84"/>
      <c r="AP287" s="84"/>
      <c r="AQ287" s="84"/>
      <c r="AR287" s="86">
        <f>'Basic Data'!$J$2</f>
        <v>7.0991999999999997</v>
      </c>
      <c r="AT287" s="7" t="str">
        <f>IFERROR(_xlfn.XLOOKUP(Table13[[#This Row],[Date]],'Raw Data'!$E:$E,'Raw Data'!$AN:$AN),"")</f>
        <v/>
      </c>
      <c r="AU287" s="7">
        <f>IFERROR(_xlfn.XLOOKUP(Table13[[#This Row],[Month Year]],'Modelling New'!$D:$D,'Modelling New'!$AO:$AO),"")</f>
        <v>7</v>
      </c>
      <c r="AV287" s="7">
        <f>IFERROR(SUMIF('Curtailment Records'!$C:$C,Table13[[#This Row],[Date]],'Curtailment Records'!$R:$R)/1000,"")</f>
        <v>0</v>
      </c>
    </row>
    <row r="288" spans="1:48" x14ac:dyDescent="0.25">
      <c r="A288" s="93">
        <f t="shared" si="18"/>
        <v>46031</v>
      </c>
      <c r="B288" s="86">
        <f>YEAR(Table13[[#This Row],[Date]])+IF(MONTH(Table13[[#This Row],[Date]])&gt;=4,1,0)</f>
        <v>2026</v>
      </c>
      <c r="C288" s="7">
        <f>YEAR(Table13[[#This Row],[Date]])</f>
        <v>2026</v>
      </c>
      <c r="D288" s="92">
        <f>Table13[[#This Row],[Date]]-DAY(Table13[[#This Row],[Date]])+1</f>
        <v>46023</v>
      </c>
      <c r="E288" s="7">
        <f t="shared" si="19"/>
        <v>31</v>
      </c>
      <c r="F288" s="91" t="str">
        <f>IFERROR(_xlfn.XLOOKUP($A288,'Raw Data'!$G:$G,'Raw Data'!$AM:$AM),"")</f>
        <v/>
      </c>
      <c r="G288" s="90" t="str">
        <f>IFERROR(_xlfn.XLOOKUP($A288,'Raw Data'!$G:$G,'Raw Data'!$AB:$AB),"")</f>
        <v/>
      </c>
      <c r="H288" s="90"/>
      <c r="I288" s="90" t="str">
        <f>IFERROR(_xlfn.XLOOKUP($A288,'Raw Data'!$G:$G,'Raw Data'!$AC:$AC),"")</f>
        <v/>
      </c>
      <c r="J288" s="90"/>
      <c r="K288" s="90" t="str">
        <f>IFERROR(_xlfn.XLOOKUP($A288,'Raw Data'!$G:$G,'Raw Data'!AD:AD),"")</f>
        <v/>
      </c>
      <c r="L288" s="90" t="str">
        <f>IFERROR(_xlfn.XLOOKUP($A288,'Raw Data'!$G:$G,'Raw Data'!AE:AE),"")</f>
        <v/>
      </c>
      <c r="M288" s="90" t="str">
        <f>IFERROR(_xlfn.XLOOKUP($A288,'Raw Data'!$G:$G,'Raw Data'!AF:AF),"")</f>
        <v/>
      </c>
      <c r="N288" s="90" t="str">
        <f>IFERROR(_xlfn.XLOOKUP($A288,'Raw Data'!$G:$G,'Raw Data'!AG:AG),"")</f>
        <v/>
      </c>
      <c r="O288" s="85" t="str">
        <f>IFERROR(1-SUMIF('Plant BD'!$B:$B,$A288,'Plant BD'!$AM:$AM)/($AA288+SUMIF('Plant BD'!$B:$B,$A288,'Plant BD'!$AM:$AM)),"")</f>
        <v/>
      </c>
      <c r="P288" s="85"/>
      <c r="Q288" s="89"/>
      <c r="R288" s="85" t="str">
        <f>IFERROR(1-SUMIF('Grid BD'!$B:$B,$A288,'Grid BD'!$AE:$AE)/($AA288+SUMIF('Grid BD'!$B:$B,$A288,'Grid BD'!$AE:$AE)),"")</f>
        <v/>
      </c>
      <c r="T288" s="89"/>
      <c r="U288" s="88" t="str">
        <f t="shared" si="17"/>
        <v/>
      </c>
      <c r="V288" s="88"/>
      <c r="W288" s="84" t="str">
        <f t="shared" si="16"/>
        <v/>
      </c>
      <c r="X288" s="86" t="str">
        <f>IFERROR(_xlfn.XLOOKUP($A288,'Raw Data'!$G:$G,'Raw Data'!AI:AI),"")</f>
        <v/>
      </c>
      <c r="Y288" s="86" t="str">
        <f>IFERROR(_xlfn.XLOOKUP($A288,'Raw Data'!$G:$G,'Raw Data'!AJ:AJ),"")</f>
        <v/>
      </c>
      <c r="Z288" s="86" t="str">
        <f>IFERROR(_xlfn.XLOOKUP($A288,'Raw Data'!$G:$G,'Raw Data'!AK:AK),"")</f>
        <v/>
      </c>
      <c r="AA288" s="86" t="str">
        <f>IFERROR(_xlfn.XLOOKUP($A288,'Raw Data'!$G:$G,'Raw Data'!$AL:$AL)*(1+(_xlfn.XLOOKUP(Table13[[#This Row],[Month Year]],JMR!$A:$A,JMR!$J:$J))),"")</f>
        <v/>
      </c>
      <c r="AB288" s="86" t="str">
        <f>IFERROR(_xlfn.XLOOKUP($A288,'Raw Data'!$G:$G,'Raw Data'!$H:$H),"")</f>
        <v/>
      </c>
      <c r="AC288" s="87">
        <f>IFERROR(_xlfn.XLOOKUP($D288,'Modelling New'!$D:$D,'Modelling New'!$P:$P),"")</f>
        <v>5.9580645161290322</v>
      </c>
      <c r="AD288" s="86">
        <f>IFERROR(_xlfn.XLOOKUP($D288,'Modelling New'!$D:$D,'Modelling New'!$T:$T)*1000,"")</f>
        <v>30513.985528225832</v>
      </c>
      <c r="AE288" s="94">
        <f>IFERROR(_xlfn.XLOOKUP($D288,'Modelling New'!$D:$D,'Modelling New'!$O:$O),"")</f>
        <v>0.72141359604684618</v>
      </c>
      <c r="AF288" s="94">
        <f>IFERROR(_xlfn.XLOOKUP($D288,'Modelling New'!$D:$D,'Modelling New'!$W:$W),"")</f>
        <v>0.1790928645024899</v>
      </c>
      <c r="AG288" s="94">
        <f>IFERROR(_xlfn.XLOOKUP($D288,'Modelling New'!$D:$D,'Modelling New'!$AE:$AE),"")</f>
        <v>0.98040000000000005</v>
      </c>
      <c r="AH288" s="94">
        <f>IFERROR(_xlfn.XLOOKUP($D288,'Modelling New'!$D:$D,'Modelling New'!$AF:$AF),"")</f>
        <v>0.98</v>
      </c>
      <c r="AN288" s="85"/>
      <c r="AO288" s="84"/>
      <c r="AP288" s="84"/>
      <c r="AQ288" s="84"/>
      <c r="AR288" s="86">
        <f>'Basic Data'!$J$2</f>
        <v>7.0991999999999997</v>
      </c>
      <c r="AT288" s="7" t="str">
        <f>IFERROR(_xlfn.XLOOKUP(Table13[[#This Row],[Date]],'Raw Data'!$E:$E,'Raw Data'!$AN:$AN),"")</f>
        <v/>
      </c>
      <c r="AU288" s="7">
        <f>IFERROR(_xlfn.XLOOKUP(Table13[[#This Row],[Month Year]],'Modelling New'!$D:$D,'Modelling New'!$AO:$AO),"")</f>
        <v>7</v>
      </c>
      <c r="AV288" s="7">
        <f>IFERROR(SUMIF('Curtailment Records'!$C:$C,Table13[[#This Row],[Date]],'Curtailment Records'!$R:$R)/1000,"")</f>
        <v>0</v>
      </c>
    </row>
    <row r="289" spans="1:48" x14ac:dyDescent="0.25">
      <c r="A289" s="93">
        <f t="shared" si="18"/>
        <v>46032</v>
      </c>
      <c r="B289" s="86">
        <f>YEAR(Table13[[#This Row],[Date]])+IF(MONTH(Table13[[#This Row],[Date]])&gt;=4,1,0)</f>
        <v>2026</v>
      </c>
      <c r="C289" s="7">
        <f>YEAR(Table13[[#This Row],[Date]])</f>
        <v>2026</v>
      </c>
      <c r="D289" s="92">
        <f>Table13[[#This Row],[Date]]-DAY(Table13[[#This Row],[Date]])+1</f>
        <v>46023</v>
      </c>
      <c r="E289" s="7">
        <f t="shared" si="19"/>
        <v>31</v>
      </c>
      <c r="F289" s="91" t="str">
        <f>IFERROR(_xlfn.XLOOKUP($A289,'Raw Data'!$G:$G,'Raw Data'!$AM:$AM),"")</f>
        <v/>
      </c>
      <c r="G289" s="90" t="str">
        <f>IFERROR(_xlfn.XLOOKUP($A289,'Raw Data'!$G:$G,'Raw Data'!$AB:$AB),"")</f>
        <v/>
      </c>
      <c r="H289" s="90"/>
      <c r="I289" s="90" t="str">
        <f>IFERROR(_xlfn.XLOOKUP($A289,'Raw Data'!$G:$G,'Raw Data'!$AC:$AC),"")</f>
        <v/>
      </c>
      <c r="J289" s="90"/>
      <c r="K289" s="90" t="str">
        <f>IFERROR(_xlfn.XLOOKUP($A289,'Raw Data'!$G:$G,'Raw Data'!AD:AD),"")</f>
        <v/>
      </c>
      <c r="L289" s="90" t="str">
        <f>IFERROR(_xlfn.XLOOKUP($A289,'Raw Data'!$G:$G,'Raw Data'!AE:AE),"")</f>
        <v/>
      </c>
      <c r="M289" s="90" t="str">
        <f>IFERROR(_xlfn.XLOOKUP($A289,'Raw Data'!$G:$G,'Raw Data'!AF:AF),"")</f>
        <v/>
      </c>
      <c r="N289" s="90" t="str">
        <f>IFERROR(_xlfn.XLOOKUP($A289,'Raw Data'!$G:$G,'Raw Data'!AG:AG),"")</f>
        <v/>
      </c>
      <c r="O289" s="85" t="str">
        <f>IFERROR(1-SUMIF('Plant BD'!$B:$B,$A289,'Plant BD'!$AM:$AM)/($AA289+SUMIF('Plant BD'!$B:$B,$A289,'Plant BD'!$AM:$AM)),"")</f>
        <v/>
      </c>
      <c r="P289" s="85"/>
      <c r="Q289" s="89"/>
      <c r="R289" s="85" t="str">
        <f>IFERROR(1-SUMIF('Grid BD'!$B:$B,$A289,'Grid BD'!$AE:$AE)/($AA289+SUMIF('Grid BD'!$B:$B,$A289,'Grid BD'!$AE:$AE)),"")</f>
        <v/>
      </c>
      <c r="T289" s="89"/>
      <c r="U289" s="88" t="str">
        <f t="shared" si="17"/>
        <v/>
      </c>
      <c r="V289" s="88"/>
      <c r="W289" s="84" t="str">
        <f t="shared" si="16"/>
        <v/>
      </c>
      <c r="X289" s="86" t="str">
        <f>IFERROR(_xlfn.XLOOKUP($A289,'Raw Data'!$G:$G,'Raw Data'!AI:AI),"")</f>
        <v/>
      </c>
      <c r="Y289" s="86" t="str">
        <f>IFERROR(_xlfn.XLOOKUP($A289,'Raw Data'!$G:$G,'Raw Data'!AJ:AJ),"")</f>
        <v/>
      </c>
      <c r="Z289" s="86" t="str">
        <f>IFERROR(_xlfn.XLOOKUP($A289,'Raw Data'!$G:$G,'Raw Data'!AK:AK),"")</f>
        <v/>
      </c>
      <c r="AA289" s="86" t="str">
        <f>IFERROR(_xlfn.XLOOKUP($A289,'Raw Data'!$G:$G,'Raw Data'!$AL:$AL)*(1+(_xlfn.XLOOKUP(Table13[[#This Row],[Month Year]],JMR!$A:$A,JMR!$J:$J))),"")</f>
        <v/>
      </c>
      <c r="AB289" s="86" t="str">
        <f>IFERROR(_xlfn.XLOOKUP($A289,'Raw Data'!$G:$G,'Raw Data'!$H:$H),"")</f>
        <v/>
      </c>
      <c r="AC289" s="87">
        <f>IFERROR(_xlfn.XLOOKUP($D289,'Modelling New'!$D:$D,'Modelling New'!$P:$P),"")</f>
        <v>5.9580645161290322</v>
      </c>
      <c r="AD289" s="86">
        <f>IFERROR(_xlfn.XLOOKUP($D289,'Modelling New'!$D:$D,'Modelling New'!$T:$T)*1000,"")</f>
        <v>30513.985528225832</v>
      </c>
      <c r="AE289" s="94">
        <f>IFERROR(_xlfn.XLOOKUP($D289,'Modelling New'!$D:$D,'Modelling New'!$O:$O),"")</f>
        <v>0.72141359604684618</v>
      </c>
      <c r="AF289" s="94">
        <f>IFERROR(_xlfn.XLOOKUP($D289,'Modelling New'!$D:$D,'Modelling New'!$W:$W),"")</f>
        <v>0.1790928645024899</v>
      </c>
      <c r="AG289" s="94">
        <f>IFERROR(_xlfn.XLOOKUP($D289,'Modelling New'!$D:$D,'Modelling New'!$AE:$AE),"")</f>
        <v>0.98040000000000005</v>
      </c>
      <c r="AH289" s="94">
        <f>IFERROR(_xlfn.XLOOKUP($D289,'Modelling New'!$D:$D,'Modelling New'!$AF:$AF),"")</f>
        <v>0.98</v>
      </c>
      <c r="AN289" s="85"/>
      <c r="AO289" s="84"/>
      <c r="AP289" s="84"/>
      <c r="AQ289" s="84"/>
      <c r="AR289" s="86">
        <f>'Basic Data'!$J$2</f>
        <v>7.0991999999999997</v>
      </c>
      <c r="AT289" s="7" t="str">
        <f>IFERROR(_xlfn.XLOOKUP(Table13[[#This Row],[Date]],'Raw Data'!$E:$E,'Raw Data'!$AN:$AN),"")</f>
        <v/>
      </c>
      <c r="AU289" s="7">
        <f>IFERROR(_xlfn.XLOOKUP(Table13[[#This Row],[Month Year]],'Modelling New'!$D:$D,'Modelling New'!$AO:$AO),"")</f>
        <v>7</v>
      </c>
      <c r="AV289" s="7">
        <f>IFERROR(SUMIF('Curtailment Records'!$C:$C,Table13[[#This Row],[Date]],'Curtailment Records'!$R:$R)/1000,"")</f>
        <v>0</v>
      </c>
    </row>
    <row r="290" spans="1:48" x14ac:dyDescent="0.25">
      <c r="A290" s="93">
        <f t="shared" si="18"/>
        <v>46033</v>
      </c>
      <c r="B290" s="86">
        <f>YEAR(Table13[[#This Row],[Date]])+IF(MONTH(Table13[[#This Row],[Date]])&gt;=4,1,0)</f>
        <v>2026</v>
      </c>
      <c r="C290" s="7">
        <f>YEAR(Table13[[#This Row],[Date]])</f>
        <v>2026</v>
      </c>
      <c r="D290" s="92">
        <f>Table13[[#This Row],[Date]]-DAY(Table13[[#This Row],[Date]])+1</f>
        <v>46023</v>
      </c>
      <c r="E290" s="7">
        <f t="shared" si="19"/>
        <v>31</v>
      </c>
      <c r="F290" s="91" t="str">
        <f>IFERROR(_xlfn.XLOOKUP($A290,'Raw Data'!$G:$G,'Raw Data'!$AM:$AM),"")</f>
        <v/>
      </c>
      <c r="G290" s="90" t="str">
        <f>IFERROR(_xlfn.XLOOKUP($A290,'Raw Data'!$G:$G,'Raw Data'!$AB:$AB),"")</f>
        <v/>
      </c>
      <c r="H290" s="90"/>
      <c r="I290" s="90" t="str">
        <f>IFERROR(_xlfn.XLOOKUP($A290,'Raw Data'!$G:$G,'Raw Data'!$AC:$AC),"")</f>
        <v/>
      </c>
      <c r="J290" s="90"/>
      <c r="K290" s="90" t="str">
        <f>IFERROR(_xlfn.XLOOKUP($A290,'Raw Data'!$G:$G,'Raw Data'!AD:AD),"")</f>
        <v/>
      </c>
      <c r="L290" s="90" t="str">
        <f>IFERROR(_xlfn.XLOOKUP($A290,'Raw Data'!$G:$G,'Raw Data'!AE:AE),"")</f>
        <v/>
      </c>
      <c r="M290" s="90" t="str">
        <f>IFERROR(_xlfn.XLOOKUP($A290,'Raw Data'!$G:$G,'Raw Data'!AF:AF),"")</f>
        <v/>
      </c>
      <c r="N290" s="90" t="str">
        <f>IFERROR(_xlfn.XLOOKUP($A290,'Raw Data'!$G:$G,'Raw Data'!AG:AG),"")</f>
        <v/>
      </c>
      <c r="O290" s="85" t="str">
        <f>IFERROR(1-SUMIF('Plant BD'!$B:$B,$A290,'Plant BD'!$AM:$AM)/($AA290+SUMIF('Plant BD'!$B:$B,$A290,'Plant BD'!$AM:$AM)),"")</f>
        <v/>
      </c>
      <c r="P290" s="85"/>
      <c r="Q290" s="89"/>
      <c r="R290" s="85" t="str">
        <f>IFERROR(1-SUMIF('Grid BD'!$B:$B,$A290,'Grid BD'!$AE:$AE)/($AA290+SUMIF('Grid BD'!$B:$B,$A290,'Grid BD'!$AE:$AE)),"")</f>
        <v/>
      </c>
      <c r="T290" s="89"/>
      <c r="U290" s="88" t="str">
        <f t="shared" si="17"/>
        <v/>
      </c>
      <c r="V290" s="88"/>
      <c r="W290" s="84" t="str">
        <f t="shared" si="16"/>
        <v/>
      </c>
      <c r="X290" s="86" t="str">
        <f>IFERROR(_xlfn.XLOOKUP($A290,'Raw Data'!$G:$G,'Raw Data'!AI:AI),"")</f>
        <v/>
      </c>
      <c r="Y290" s="86" t="str">
        <f>IFERROR(_xlfn.XLOOKUP($A290,'Raw Data'!$G:$G,'Raw Data'!AJ:AJ),"")</f>
        <v/>
      </c>
      <c r="Z290" s="86" t="str">
        <f>IFERROR(_xlfn.XLOOKUP($A290,'Raw Data'!$G:$G,'Raw Data'!AK:AK),"")</f>
        <v/>
      </c>
      <c r="AA290" s="86" t="str">
        <f>IFERROR(_xlfn.XLOOKUP($A290,'Raw Data'!$G:$G,'Raw Data'!$AL:$AL)*(1+(_xlfn.XLOOKUP(Table13[[#This Row],[Month Year]],JMR!$A:$A,JMR!$J:$J))),"")</f>
        <v/>
      </c>
      <c r="AB290" s="86" t="str">
        <f>IFERROR(_xlfn.XLOOKUP($A290,'Raw Data'!$G:$G,'Raw Data'!$H:$H),"")</f>
        <v/>
      </c>
      <c r="AC290" s="87">
        <f>IFERROR(_xlfn.XLOOKUP($D290,'Modelling New'!$D:$D,'Modelling New'!$P:$P),"")</f>
        <v>5.9580645161290322</v>
      </c>
      <c r="AD290" s="86">
        <f>IFERROR(_xlfn.XLOOKUP($D290,'Modelling New'!$D:$D,'Modelling New'!$T:$T)*1000,"")</f>
        <v>30513.985528225832</v>
      </c>
      <c r="AE290" s="94">
        <f>IFERROR(_xlfn.XLOOKUP($D290,'Modelling New'!$D:$D,'Modelling New'!$O:$O),"")</f>
        <v>0.72141359604684618</v>
      </c>
      <c r="AF290" s="94">
        <f>IFERROR(_xlfn.XLOOKUP($D290,'Modelling New'!$D:$D,'Modelling New'!$W:$W),"")</f>
        <v>0.1790928645024899</v>
      </c>
      <c r="AG290" s="94">
        <f>IFERROR(_xlfn.XLOOKUP($D290,'Modelling New'!$D:$D,'Modelling New'!$AE:$AE),"")</f>
        <v>0.98040000000000005</v>
      </c>
      <c r="AH290" s="94">
        <f>IFERROR(_xlfn.XLOOKUP($D290,'Modelling New'!$D:$D,'Modelling New'!$AF:$AF),"")</f>
        <v>0.98</v>
      </c>
      <c r="AN290" s="85"/>
      <c r="AO290" s="84"/>
      <c r="AP290" s="84"/>
      <c r="AQ290" s="84"/>
      <c r="AR290" s="86">
        <f>'Basic Data'!$J$2</f>
        <v>7.0991999999999997</v>
      </c>
      <c r="AT290" s="7" t="str">
        <f>IFERROR(_xlfn.XLOOKUP(Table13[[#This Row],[Date]],'Raw Data'!$E:$E,'Raw Data'!$AN:$AN),"")</f>
        <v/>
      </c>
      <c r="AU290" s="7">
        <f>IFERROR(_xlfn.XLOOKUP(Table13[[#This Row],[Month Year]],'Modelling New'!$D:$D,'Modelling New'!$AO:$AO),"")</f>
        <v>7</v>
      </c>
      <c r="AV290" s="7">
        <f>IFERROR(SUMIF('Curtailment Records'!$C:$C,Table13[[#This Row],[Date]],'Curtailment Records'!$R:$R)/1000,"")</f>
        <v>0</v>
      </c>
    </row>
    <row r="291" spans="1:48" x14ac:dyDescent="0.25">
      <c r="A291" s="93">
        <f t="shared" si="18"/>
        <v>46034</v>
      </c>
      <c r="B291" s="86">
        <f>YEAR(Table13[[#This Row],[Date]])+IF(MONTH(Table13[[#This Row],[Date]])&gt;=4,1,0)</f>
        <v>2026</v>
      </c>
      <c r="C291" s="7">
        <f>YEAR(Table13[[#This Row],[Date]])</f>
        <v>2026</v>
      </c>
      <c r="D291" s="92">
        <f>Table13[[#This Row],[Date]]-DAY(Table13[[#This Row],[Date]])+1</f>
        <v>46023</v>
      </c>
      <c r="E291" s="7">
        <f t="shared" si="19"/>
        <v>31</v>
      </c>
      <c r="F291" s="91" t="str">
        <f>IFERROR(_xlfn.XLOOKUP($A291,'Raw Data'!$G:$G,'Raw Data'!$AM:$AM),"")</f>
        <v/>
      </c>
      <c r="G291" s="90" t="str">
        <f>IFERROR(_xlfn.XLOOKUP($A291,'Raw Data'!$G:$G,'Raw Data'!$AB:$AB),"")</f>
        <v/>
      </c>
      <c r="H291" s="90"/>
      <c r="I291" s="90" t="str">
        <f>IFERROR(_xlfn.XLOOKUP($A291,'Raw Data'!$G:$G,'Raw Data'!$AC:$AC),"")</f>
        <v/>
      </c>
      <c r="J291" s="90"/>
      <c r="K291" s="90" t="str">
        <f>IFERROR(_xlfn.XLOOKUP($A291,'Raw Data'!$G:$G,'Raw Data'!AD:AD),"")</f>
        <v/>
      </c>
      <c r="L291" s="90" t="str">
        <f>IFERROR(_xlfn.XLOOKUP($A291,'Raw Data'!$G:$G,'Raw Data'!AE:AE),"")</f>
        <v/>
      </c>
      <c r="M291" s="90" t="str">
        <f>IFERROR(_xlfn.XLOOKUP($A291,'Raw Data'!$G:$G,'Raw Data'!AF:AF),"")</f>
        <v/>
      </c>
      <c r="N291" s="90" t="str">
        <f>IFERROR(_xlfn.XLOOKUP($A291,'Raw Data'!$G:$G,'Raw Data'!AG:AG),"")</f>
        <v/>
      </c>
      <c r="O291" s="85" t="str">
        <f>IFERROR(1-SUMIF('Plant BD'!$B:$B,$A291,'Plant BD'!$AM:$AM)/($AA291+SUMIF('Plant BD'!$B:$B,$A291,'Plant BD'!$AM:$AM)),"")</f>
        <v/>
      </c>
      <c r="P291" s="85"/>
      <c r="Q291" s="89"/>
      <c r="R291" s="85" t="str">
        <f>IFERROR(1-SUMIF('Grid BD'!$B:$B,$A291,'Grid BD'!$AE:$AE)/($AA291+SUMIF('Grid BD'!$B:$B,$A291,'Grid BD'!$AE:$AE)),"")</f>
        <v/>
      </c>
      <c r="T291" s="89"/>
      <c r="U291" s="88" t="str">
        <f t="shared" si="17"/>
        <v/>
      </c>
      <c r="V291" s="88"/>
      <c r="W291" s="84" t="str">
        <f t="shared" si="16"/>
        <v/>
      </c>
      <c r="X291" s="86" t="str">
        <f>IFERROR(_xlfn.XLOOKUP($A291,'Raw Data'!$G:$G,'Raw Data'!AI:AI),"")</f>
        <v/>
      </c>
      <c r="Y291" s="86" t="str">
        <f>IFERROR(_xlfn.XLOOKUP($A291,'Raw Data'!$G:$G,'Raw Data'!AJ:AJ),"")</f>
        <v/>
      </c>
      <c r="Z291" s="86" t="str">
        <f>IFERROR(_xlfn.XLOOKUP($A291,'Raw Data'!$G:$G,'Raw Data'!AK:AK),"")</f>
        <v/>
      </c>
      <c r="AA291" s="86" t="str">
        <f>IFERROR(_xlfn.XLOOKUP($A291,'Raw Data'!$G:$G,'Raw Data'!$AL:$AL)*(1+(_xlfn.XLOOKUP(Table13[[#This Row],[Month Year]],JMR!$A:$A,JMR!$J:$J))),"")</f>
        <v/>
      </c>
      <c r="AB291" s="86" t="str">
        <f>IFERROR(_xlfn.XLOOKUP($A291,'Raw Data'!$G:$G,'Raw Data'!$H:$H),"")</f>
        <v/>
      </c>
      <c r="AC291" s="87">
        <f>IFERROR(_xlfn.XLOOKUP($D291,'Modelling New'!$D:$D,'Modelling New'!$P:$P),"")</f>
        <v>5.9580645161290322</v>
      </c>
      <c r="AD291" s="86">
        <f>IFERROR(_xlfn.XLOOKUP($D291,'Modelling New'!$D:$D,'Modelling New'!$T:$T)*1000,"")</f>
        <v>30513.985528225832</v>
      </c>
      <c r="AE291" s="94">
        <f>IFERROR(_xlfn.XLOOKUP($D291,'Modelling New'!$D:$D,'Modelling New'!$O:$O),"")</f>
        <v>0.72141359604684618</v>
      </c>
      <c r="AF291" s="94">
        <f>IFERROR(_xlfn.XLOOKUP($D291,'Modelling New'!$D:$D,'Modelling New'!$W:$W),"")</f>
        <v>0.1790928645024899</v>
      </c>
      <c r="AG291" s="94">
        <f>IFERROR(_xlfn.XLOOKUP($D291,'Modelling New'!$D:$D,'Modelling New'!$AE:$AE),"")</f>
        <v>0.98040000000000005</v>
      </c>
      <c r="AH291" s="94">
        <f>IFERROR(_xlfn.XLOOKUP($D291,'Modelling New'!$D:$D,'Modelling New'!$AF:$AF),"")</f>
        <v>0.98</v>
      </c>
      <c r="AN291" s="85"/>
      <c r="AO291" s="84"/>
      <c r="AP291" s="84"/>
      <c r="AQ291" s="84"/>
      <c r="AR291" s="86">
        <f>'Basic Data'!$J$2</f>
        <v>7.0991999999999997</v>
      </c>
      <c r="AT291" s="7" t="str">
        <f>IFERROR(_xlfn.XLOOKUP(Table13[[#This Row],[Date]],'Raw Data'!$E:$E,'Raw Data'!$AN:$AN),"")</f>
        <v/>
      </c>
      <c r="AU291" s="7">
        <f>IFERROR(_xlfn.XLOOKUP(Table13[[#This Row],[Month Year]],'Modelling New'!$D:$D,'Modelling New'!$AO:$AO),"")</f>
        <v>7</v>
      </c>
      <c r="AV291" s="7">
        <f>IFERROR(SUMIF('Curtailment Records'!$C:$C,Table13[[#This Row],[Date]],'Curtailment Records'!$R:$R)/1000,"")</f>
        <v>0</v>
      </c>
    </row>
    <row r="292" spans="1:48" x14ac:dyDescent="0.25">
      <c r="A292" s="93">
        <f t="shared" si="18"/>
        <v>46035</v>
      </c>
      <c r="B292" s="86">
        <f>YEAR(Table13[[#This Row],[Date]])+IF(MONTH(Table13[[#This Row],[Date]])&gt;=4,1,0)</f>
        <v>2026</v>
      </c>
      <c r="C292" s="7">
        <f>YEAR(Table13[[#This Row],[Date]])</f>
        <v>2026</v>
      </c>
      <c r="D292" s="92">
        <f>Table13[[#This Row],[Date]]-DAY(Table13[[#This Row],[Date]])+1</f>
        <v>46023</v>
      </c>
      <c r="E292" s="7">
        <f t="shared" si="19"/>
        <v>31</v>
      </c>
      <c r="F292" s="91" t="str">
        <f>IFERROR(_xlfn.XLOOKUP($A292,'Raw Data'!$G:$G,'Raw Data'!$AM:$AM),"")</f>
        <v/>
      </c>
      <c r="G292" s="90" t="str">
        <f>IFERROR(_xlfn.XLOOKUP($A292,'Raw Data'!$G:$G,'Raw Data'!$AB:$AB),"")</f>
        <v/>
      </c>
      <c r="H292" s="90"/>
      <c r="I292" s="90" t="str">
        <f>IFERROR(_xlfn.XLOOKUP($A292,'Raw Data'!$G:$G,'Raw Data'!$AC:$AC),"")</f>
        <v/>
      </c>
      <c r="J292" s="90"/>
      <c r="K292" s="90" t="str">
        <f>IFERROR(_xlfn.XLOOKUP($A292,'Raw Data'!$G:$G,'Raw Data'!AD:AD),"")</f>
        <v/>
      </c>
      <c r="L292" s="90" t="str">
        <f>IFERROR(_xlfn.XLOOKUP($A292,'Raw Data'!$G:$G,'Raw Data'!AE:AE),"")</f>
        <v/>
      </c>
      <c r="M292" s="90" t="str">
        <f>IFERROR(_xlfn.XLOOKUP($A292,'Raw Data'!$G:$G,'Raw Data'!AF:AF),"")</f>
        <v/>
      </c>
      <c r="N292" s="90" t="str">
        <f>IFERROR(_xlfn.XLOOKUP($A292,'Raw Data'!$G:$G,'Raw Data'!AG:AG),"")</f>
        <v/>
      </c>
      <c r="O292" s="85" t="str">
        <f>IFERROR(1-SUMIF('Plant BD'!$B:$B,$A292,'Plant BD'!$AM:$AM)/($AA292+SUMIF('Plant BD'!$B:$B,$A292,'Plant BD'!$AM:$AM)),"")</f>
        <v/>
      </c>
      <c r="P292" s="85"/>
      <c r="Q292" s="89"/>
      <c r="R292" s="85" t="str">
        <f>IFERROR(1-SUMIF('Grid BD'!$B:$B,$A292,'Grid BD'!$AE:$AE)/($AA292+SUMIF('Grid BD'!$B:$B,$A292,'Grid BD'!$AE:$AE)),"")</f>
        <v/>
      </c>
      <c r="T292" s="89"/>
      <c r="U292" s="88" t="str">
        <f t="shared" si="17"/>
        <v/>
      </c>
      <c r="V292" s="88"/>
      <c r="W292" s="84" t="str">
        <f t="shared" si="16"/>
        <v/>
      </c>
      <c r="X292" s="86" t="str">
        <f>IFERROR(_xlfn.XLOOKUP($A292,'Raw Data'!$G:$G,'Raw Data'!AI:AI),"")</f>
        <v/>
      </c>
      <c r="Y292" s="86" t="str">
        <f>IFERROR(_xlfn.XLOOKUP($A292,'Raw Data'!$G:$G,'Raw Data'!AJ:AJ),"")</f>
        <v/>
      </c>
      <c r="Z292" s="86" t="str">
        <f>IFERROR(_xlfn.XLOOKUP($A292,'Raw Data'!$G:$G,'Raw Data'!AK:AK),"")</f>
        <v/>
      </c>
      <c r="AA292" s="86" t="str">
        <f>IFERROR(_xlfn.XLOOKUP($A292,'Raw Data'!$G:$G,'Raw Data'!$AL:$AL)*(1+(_xlfn.XLOOKUP(Table13[[#This Row],[Month Year]],JMR!$A:$A,JMR!$J:$J))),"")</f>
        <v/>
      </c>
      <c r="AB292" s="86" t="str">
        <f>IFERROR(_xlfn.XLOOKUP($A292,'Raw Data'!$G:$G,'Raw Data'!$H:$H),"")</f>
        <v/>
      </c>
      <c r="AC292" s="87">
        <f>IFERROR(_xlfn.XLOOKUP($D292,'Modelling New'!$D:$D,'Modelling New'!$P:$P),"")</f>
        <v>5.9580645161290322</v>
      </c>
      <c r="AD292" s="86">
        <f>IFERROR(_xlfn.XLOOKUP($D292,'Modelling New'!$D:$D,'Modelling New'!$T:$T)*1000,"")</f>
        <v>30513.985528225832</v>
      </c>
      <c r="AE292" s="94">
        <f>IFERROR(_xlfn.XLOOKUP($D292,'Modelling New'!$D:$D,'Modelling New'!$O:$O),"")</f>
        <v>0.72141359604684618</v>
      </c>
      <c r="AF292" s="94">
        <f>IFERROR(_xlfn.XLOOKUP($D292,'Modelling New'!$D:$D,'Modelling New'!$W:$W),"")</f>
        <v>0.1790928645024899</v>
      </c>
      <c r="AG292" s="94">
        <f>IFERROR(_xlfn.XLOOKUP($D292,'Modelling New'!$D:$D,'Modelling New'!$AE:$AE),"")</f>
        <v>0.98040000000000005</v>
      </c>
      <c r="AH292" s="94">
        <f>IFERROR(_xlfn.XLOOKUP($D292,'Modelling New'!$D:$D,'Modelling New'!$AF:$AF),"")</f>
        <v>0.98</v>
      </c>
      <c r="AN292" s="85"/>
      <c r="AO292" s="84"/>
      <c r="AP292" s="84"/>
      <c r="AQ292" s="84"/>
      <c r="AR292" s="86">
        <f>'Basic Data'!$J$2</f>
        <v>7.0991999999999997</v>
      </c>
      <c r="AT292" s="7" t="str">
        <f>IFERROR(_xlfn.XLOOKUP(Table13[[#This Row],[Date]],'Raw Data'!$E:$E,'Raw Data'!$AN:$AN),"")</f>
        <v/>
      </c>
      <c r="AU292" s="7">
        <f>IFERROR(_xlfn.XLOOKUP(Table13[[#This Row],[Month Year]],'Modelling New'!$D:$D,'Modelling New'!$AO:$AO),"")</f>
        <v>7</v>
      </c>
      <c r="AV292" s="7">
        <f>IFERROR(SUMIF('Curtailment Records'!$C:$C,Table13[[#This Row],[Date]],'Curtailment Records'!$R:$R)/1000,"")</f>
        <v>0</v>
      </c>
    </row>
    <row r="293" spans="1:48" x14ac:dyDescent="0.25">
      <c r="A293" s="93">
        <f t="shared" si="18"/>
        <v>46036</v>
      </c>
      <c r="B293" s="86">
        <f>YEAR(Table13[[#This Row],[Date]])+IF(MONTH(Table13[[#This Row],[Date]])&gt;=4,1,0)</f>
        <v>2026</v>
      </c>
      <c r="C293" s="7">
        <f>YEAR(Table13[[#This Row],[Date]])</f>
        <v>2026</v>
      </c>
      <c r="D293" s="92">
        <f>Table13[[#This Row],[Date]]-DAY(Table13[[#This Row],[Date]])+1</f>
        <v>46023</v>
      </c>
      <c r="E293" s="7">
        <f t="shared" si="19"/>
        <v>31</v>
      </c>
      <c r="F293" s="91" t="str">
        <f>IFERROR(_xlfn.XLOOKUP($A293,'Raw Data'!$G:$G,'Raw Data'!$AM:$AM),"")</f>
        <v/>
      </c>
      <c r="G293" s="90" t="str">
        <f>IFERROR(_xlfn.XLOOKUP($A293,'Raw Data'!$G:$G,'Raw Data'!$AB:$AB),"")</f>
        <v/>
      </c>
      <c r="H293" s="90"/>
      <c r="I293" s="90" t="str">
        <f>IFERROR(_xlfn.XLOOKUP($A293,'Raw Data'!$G:$G,'Raw Data'!$AC:$AC),"")</f>
        <v/>
      </c>
      <c r="J293" s="90"/>
      <c r="K293" s="90" t="str">
        <f>IFERROR(_xlfn.XLOOKUP($A293,'Raw Data'!$G:$G,'Raw Data'!AD:AD),"")</f>
        <v/>
      </c>
      <c r="L293" s="90" t="str">
        <f>IFERROR(_xlfn.XLOOKUP($A293,'Raw Data'!$G:$G,'Raw Data'!AE:AE),"")</f>
        <v/>
      </c>
      <c r="M293" s="90" t="str">
        <f>IFERROR(_xlfn.XLOOKUP($A293,'Raw Data'!$G:$G,'Raw Data'!AF:AF),"")</f>
        <v/>
      </c>
      <c r="N293" s="90" t="str">
        <f>IFERROR(_xlfn.XLOOKUP($A293,'Raw Data'!$G:$G,'Raw Data'!AG:AG),"")</f>
        <v/>
      </c>
      <c r="O293" s="85" t="str">
        <f>IFERROR(1-SUMIF('Plant BD'!$B:$B,$A293,'Plant BD'!$AM:$AM)/($AA293+SUMIF('Plant BD'!$B:$B,$A293,'Plant BD'!$AM:$AM)),"")</f>
        <v/>
      </c>
      <c r="P293" s="85"/>
      <c r="Q293" s="89"/>
      <c r="R293" s="85" t="str">
        <f>IFERROR(1-SUMIF('Grid BD'!$B:$B,$A293,'Grid BD'!$AE:$AE)/($AA293+SUMIF('Grid BD'!$B:$B,$A293,'Grid BD'!$AE:$AE)),"")</f>
        <v/>
      </c>
      <c r="T293" s="89"/>
      <c r="U293" s="88" t="str">
        <f t="shared" si="17"/>
        <v/>
      </c>
      <c r="V293" s="88"/>
      <c r="W293" s="84" t="str">
        <f t="shared" si="16"/>
        <v/>
      </c>
      <c r="X293" s="86" t="str">
        <f>IFERROR(_xlfn.XLOOKUP($A293,'Raw Data'!$G:$G,'Raw Data'!AI:AI),"")</f>
        <v/>
      </c>
      <c r="Y293" s="86" t="str">
        <f>IFERROR(_xlfn.XLOOKUP($A293,'Raw Data'!$G:$G,'Raw Data'!AJ:AJ),"")</f>
        <v/>
      </c>
      <c r="Z293" s="86" t="str">
        <f>IFERROR(_xlfn.XLOOKUP($A293,'Raw Data'!$G:$G,'Raw Data'!AK:AK),"")</f>
        <v/>
      </c>
      <c r="AA293" s="86" t="str">
        <f>IFERROR(_xlfn.XLOOKUP($A293,'Raw Data'!$G:$G,'Raw Data'!$AL:$AL)*(1+(_xlfn.XLOOKUP(Table13[[#This Row],[Month Year]],JMR!$A:$A,JMR!$J:$J))),"")</f>
        <v/>
      </c>
      <c r="AB293" s="86" t="str">
        <f>IFERROR(_xlfn.XLOOKUP($A293,'Raw Data'!$G:$G,'Raw Data'!$H:$H),"")</f>
        <v/>
      </c>
      <c r="AC293" s="87">
        <f>IFERROR(_xlfn.XLOOKUP($D293,'Modelling New'!$D:$D,'Modelling New'!$P:$P),"")</f>
        <v>5.9580645161290322</v>
      </c>
      <c r="AD293" s="86">
        <f>IFERROR(_xlfn.XLOOKUP($D293,'Modelling New'!$D:$D,'Modelling New'!$T:$T)*1000,"")</f>
        <v>30513.985528225832</v>
      </c>
      <c r="AE293" s="94">
        <f>IFERROR(_xlfn.XLOOKUP($D293,'Modelling New'!$D:$D,'Modelling New'!$O:$O),"")</f>
        <v>0.72141359604684618</v>
      </c>
      <c r="AF293" s="94">
        <f>IFERROR(_xlfn.XLOOKUP($D293,'Modelling New'!$D:$D,'Modelling New'!$W:$W),"")</f>
        <v>0.1790928645024899</v>
      </c>
      <c r="AG293" s="94">
        <f>IFERROR(_xlfn.XLOOKUP($D293,'Modelling New'!$D:$D,'Modelling New'!$AE:$AE),"")</f>
        <v>0.98040000000000005</v>
      </c>
      <c r="AH293" s="94">
        <f>IFERROR(_xlfn.XLOOKUP($D293,'Modelling New'!$D:$D,'Modelling New'!$AF:$AF),"")</f>
        <v>0.98</v>
      </c>
      <c r="AN293" s="85"/>
      <c r="AO293" s="84"/>
      <c r="AP293" s="84"/>
      <c r="AQ293" s="84"/>
      <c r="AR293" s="86">
        <f>'Basic Data'!$J$2</f>
        <v>7.0991999999999997</v>
      </c>
      <c r="AT293" s="7" t="str">
        <f>IFERROR(_xlfn.XLOOKUP(Table13[[#This Row],[Date]],'Raw Data'!$E:$E,'Raw Data'!$AN:$AN),"")</f>
        <v/>
      </c>
      <c r="AU293" s="7">
        <f>IFERROR(_xlfn.XLOOKUP(Table13[[#This Row],[Month Year]],'Modelling New'!$D:$D,'Modelling New'!$AO:$AO),"")</f>
        <v>7</v>
      </c>
      <c r="AV293" s="7">
        <f>IFERROR(SUMIF('Curtailment Records'!$C:$C,Table13[[#This Row],[Date]],'Curtailment Records'!$R:$R)/1000,"")</f>
        <v>0</v>
      </c>
    </row>
    <row r="294" spans="1:48" x14ac:dyDescent="0.25">
      <c r="A294" s="93">
        <f t="shared" si="18"/>
        <v>46037</v>
      </c>
      <c r="B294" s="86">
        <f>YEAR(Table13[[#This Row],[Date]])+IF(MONTH(Table13[[#This Row],[Date]])&gt;=4,1,0)</f>
        <v>2026</v>
      </c>
      <c r="C294" s="7">
        <f>YEAR(Table13[[#This Row],[Date]])</f>
        <v>2026</v>
      </c>
      <c r="D294" s="92">
        <f>Table13[[#This Row],[Date]]-DAY(Table13[[#This Row],[Date]])+1</f>
        <v>46023</v>
      </c>
      <c r="E294" s="7">
        <f t="shared" si="19"/>
        <v>31</v>
      </c>
      <c r="F294" s="91" t="str">
        <f>IFERROR(_xlfn.XLOOKUP($A294,'Raw Data'!$G:$G,'Raw Data'!$AM:$AM),"")</f>
        <v/>
      </c>
      <c r="G294" s="90" t="str">
        <f>IFERROR(_xlfn.XLOOKUP($A294,'Raw Data'!$G:$G,'Raw Data'!$AB:$AB),"")</f>
        <v/>
      </c>
      <c r="H294" s="90"/>
      <c r="I294" s="90" t="str">
        <f>IFERROR(_xlfn.XLOOKUP($A294,'Raw Data'!$G:$G,'Raw Data'!$AC:$AC),"")</f>
        <v/>
      </c>
      <c r="J294" s="90"/>
      <c r="K294" s="90" t="str">
        <f>IFERROR(_xlfn.XLOOKUP($A294,'Raw Data'!$G:$G,'Raw Data'!AD:AD),"")</f>
        <v/>
      </c>
      <c r="L294" s="90" t="str">
        <f>IFERROR(_xlfn.XLOOKUP($A294,'Raw Data'!$G:$G,'Raw Data'!AE:AE),"")</f>
        <v/>
      </c>
      <c r="M294" s="90" t="str">
        <f>IFERROR(_xlfn.XLOOKUP($A294,'Raw Data'!$G:$G,'Raw Data'!AF:AF),"")</f>
        <v/>
      </c>
      <c r="N294" s="90" t="str">
        <f>IFERROR(_xlfn.XLOOKUP($A294,'Raw Data'!$G:$G,'Raw Data'!AG:AG),"")</f>
        <v/>
      </c>
      <c r="O294" s="85" t="str">
        <f>IFERROR(1-SUMIF('Plant BD'!$B:$B,$A294,'Plant BD'!$AM:$AM)/($AA294+SUMIF('Plant BD'!$B:$B,$A294,'Plant BD'!$AM:$AM)),"")</f>
        <v/>
      </c>
      <c r="P294" s="85"/>
      <c r="Q294" s="89"/>
      <c r="R294" s="85" t="str">
        <f>IFERROR(1-SUMIF('Grid BD'!$B:$B,$A294,'Grid BD'!$AE:$AE)/($AA294+SUMIF('Grid BD'!$B:$B,$A294,'Grid BD'!$AE:$AE)),"")</f>
        <v/>
      </c>
      <c r="T294" s="89"/>
      <c r="U294" s="88" t="str">
        <f t="shared" si="17"/>
        <v/>
      </c>
      <c r="V294" s="88"/>
      <c r="W294" s="84" t="str">
        <f t="shared" si="16"/>
        <v/>
      </c>
      <c r="X294" s="86" t="str">
        <f>IFERROR(_xlfn.XLOOKUP($A294,'Raw Data'!$G:$G,'Raw Data'!AI:AI),"")</f>
        <v/>
      </c>
      <c r="Y294" s="86" t="str">
        <f>IFERROR(_xlfn.XLOOKUP($A294,'Raw Data'!$G:$G,'Raw Data'!AJ:AJ),"")</f>
        <v/>
      </c>
      <c r="Z294" s="86" t="str">
        <f>IFERROR(_xlfn.XLOOKUP($A294,'Raw Data'!$G:$G,'Raw Data'!AK:AK),"")</f>
        <v/>
      </c>
      <c r="AA294" s="86" t="str">
        <f>IFERROR(_xlfn.XLOOKUP($A294,'Raw Data'!$G:$G,'Raw Data'!$AL:$AL)*(1+(_xlfn.XLOOKUP(Table13[[#This Row],[Month Year]],JMR!$A:$A,JMR!$J:$J))),"")</f>
        <v/>
      </c>
      <c r="AB294" s="86" t="str">
        <f>IFERROR(_xlfn.XLOOKUP($A294,'Raw Data'!$G:$G,'Raw Data'!$H:$H),"")</f>
        <v/>
      </c>
      <c r="AC294" s="87">
        <f>IFERROR(_xlfn.XLOOKUP($D294,'Modelling New'!$D:$D,'Modelling New'!$P:$P),"")</f>
        <v>5.9580645161290322</v>
      </c>
      <c r="AD294" s="86">
        <f>IFERROR(_xlfn.XLOOKUP($D294,'Modelling New'!$D:$D,'Modelling New'!$T:$T)*1000,"")</f>
        <v>30513.985528225832</v>
      </c>
      <c r="AE294" s="94">
        <f>IFERROR(_xlfn.XLOOKUP($D294,'Modelling New'!$D:$D,'Modelling New'!$O:$O),"")</f>
        <v>0.72141359604684618</v>
      </c>
      <c r="AF294" s="94">
        <f>IFERROR(_xlfn.XLOOKUP($D294,'Modelling New'!$D:$D,'Modelling New'!$W:$W),"")</f>
        <v>0.1790928645024899</v>
      </c>
      <c r="AG294" s="94">
        <f>IFERROR(_xlfn.XLOOKUP($D294,'Modelling New'!$D:$D,'Modelling New'!$AE:$AE),"")</f>
        <v>0.98040000000000005</v>
      </c>
      <c r="AH294" s="94">
        <f>IFERROR(_xlfn.XLOOKUP($D294,'Modelling New'!$D:$D,'Modelling New'!$AF:$AF),"")</f>
        <v>0.98</v>
      </c>
      <c r="AN294" s="85"/>
      <c r="AO294" s="84"/>
      <c r="AP294" s="84"/>
      <c r="AQ294" s="84"/>
      <c r="AR294" s="86">
        <f>'Basic Data'!$J$2</f>
        <v>7.0991999999999997</v>
      </c>
      <c r="AT294" s="7" t="str">
        <f>IFERROR(_xlfn.XLOOKUP(Table13[[#This Row],[Date]],'Raw Data'!$E:$E,'Raw Data'!$AN:$AN),"")</f>
        <v/>
      </c>
      <c r="AU294" s="7">
        <f>IFERROR(_xlfn.XLOOKUP(Table13[[#This Row],[Month Year]],'Modelling New'!$D:$D,'Modelling New'!$AO:$AO),"")</f>
        <v>7</v>
      </c>
      <c r="AV294" s="7">
        <f>IFERROR(SUMIF('Curtailment Records'!$C:$C,Table13[[#This Row],[Date]],'Curtailment Records'!$R:$R)/1000,"")</f>
        <v>0</v>
      </c>
    </row>
    <row r="295" spans="1:48" x14ac:dyDescent="0.25">
      <c r="A295" s="93">
        <f t="shared" si="18"/>
        <v>46038</v>
      </c>
      <c r="B295" s="86">
        <f>YEAR(Table13[[#This Row],[Date]])+IF(MONTH(Table13[[#This Row],[Date]])&gt;=4,1,0)</f>
        <v>2026</v>
      </c>
      <c r="C295" s="7">
        <f>YEAR(Table13[[#This Row],[Date]])</f>
        <v>2026</v>
      </c>
      <c r="D295" s="92">
        <f>Table13[[#This Row],[Date]]-DAY(Table13[[#This Row],[Date]])+1</f>
        <v>46023</v>
      </c>
      <c r="E295" s="7">
        <f t="shared" si="19"/>
        <v>31</v>
      </c>
      <c r="F295" s="91" t="str">
        <f>IFERROR(_xlfn.XLOOKUP($A295,'Raw Data'!$G:$G,'Raw Data'!$AM:$AM),"")</f>
        <v/>
      </c>
      <c r="G295" s="90" t="str">
        <f>IFERROR(_xlfn.XLOOKUP($A295,'Raw Data'!$G:$G,'Raw Data'!$AB:$AB),"")</f>
        <v/>
      </c>
      <c r="H295" s="90"/>
      <c r="I295" s="90" t="str">
        <f>IFERROR(_xlfn.XLOOKUP($A295,'Raw Data'!$G:$G,'Raw Data'!$AC:$AC),"")</f>
        <v/>
      </c>
      <c r="J295" s="90"/>
      <c r="K295" s="90" t="str">
        <f>IFERROR(_xlfn.XLOOKUP($A295,'Raw Data'!$G:$G,'Raw Data'!AD:AD),"")</f>
        <v/>
      </c>
      <c r="L295" s="90" t="str">
        <f>IFERROR(_xlfn.XLOOKUP($A295,'Raw Data'!$G:$G,'Raw Data'!AE:AE),"")</f>
        <v/>
      </c>
      <c r="M295" s="90" t="str">
        <f>IFERROR(_xlfn.XLOOKUP($A295,'Raw Data'!$G:$G,'Raw Data'!AF:AF),"")</f>
        <v/>
      </c>
      <c r="N295" s="90" t="str">
        <f>IFERROR(_xlfn.XLOOKUP($A295,'Raw Data'!$G:$G,'Raw Data'!AG:AG),"")</f>
        <v/>
      </c>
      <c r="O295" s="85" t="str">
        <f>IFERROR(1-SUMIF('Plant BD'!$B:$B,$A295,'Plant BD'!$AM:$AM)/($AA295+SUMIF('Plant BD'!$B:$B,$A295,'Plant BD'!$AM:$AM)),"")</f>
        <v/>
      </c>
      <c r="P295" s="85"/>
      <c r="Q295" s="89"/>
      <c r="R295" s="85" t="str">
        <f>IFERROR(1-SUMIF('Grid BD'!$B:$B,$A295,'Grid BD'!$AE:$AE)/($AA295+SUMIF('Grid BD'!$B:$B,$A295,'Grid BD'!$AE:$AE)),"")</f>
        <v/>
      </c>
      <c r="T295" s="89"/>
      <c r="U295" s="88" t="str">
        <f t="shared" si="17"/>
        <v/>
      </c>
      <c r="V295" s="88"/>
      <c r="W295" s="84" t="str">
        <f t="shared" si="16"/>
        <v/>
      </c>
      <c r="X295" s="86" t="str">
        <f>IFERROR(_xlfn.XLOOKUP($A295,'Raw Data'!$G:$G,'Raw Data'!AI:AI),"")</f>
        <v/>
      </c>
      <c r="Y295" s="86" t="str">
        <f>IFERROR(_xlfn.XLOOKUP($A295,'Raw Data'!$G:$G,'Raw Data'!AJ:AJ),"")</f>
        <v/>
      </c>
      <c r="Z295" s="86" t="str">
        <f>IFERROR(_xlfn.XLOOKUP($A295,'Raw Data'!$G:$G,'Raw Data'!AK:AK),"")</f>
        <v/>
      </c>
      <c r="AA295" s="86" t="str">
        <f>IFERROR(_xlfn.XLOOKUP($A295,'Raw Data'!$G:$G,'Raw Data'!$AL:$AL)*(1+(_xlfn.XLOOKUP(Table13[[#This Row],[Month Year]],JMR!$A:$A,JMR!$J:$J))),"")</f>
        <v/>
      </c>
      <c r="AB295" s="86" t="str">
        <f>IFERROR(_xlfn.XLOOKUP($A295,'Raw Data'!$G:$G,'Raw Data'!$H:$H),"")</f>
        <v/>
      </c>
      <c r="AC295" s="87">
        <f>IFERROR(_xlfn.XLOOKUP($D295,'Modelling New'!$D:$D,'Modelling New'!$P:$P),"")</f>
        <v>5.9580645161290322</v>
      </c>
      <c r="AD295" s="86">
        <f>IFERROR(_xlfn.XLOOKUP($D295,'Modelling New'!$D:$D,'Modelling New'!$T:$T)*1000,"")</f>
        <v>30513.985528225832</v>
      </c>
      <c r="AE295" s="94">
        <f>IFERROR(_xlfn.XLOOKUP($D295,'Modelling New'!$D:$D,'Modelling New'!$O:$O),"")</f>
        <v>0.72141359604684618</v>
      </c>
      <c r="AF295" s="94">
        <f>IFERROR(_xlfn.XLOOKUP($D295,'Modelling New'!$D:$D,'Modelling New'!$W:$W),"")</f>
        <v>0.1790928645024899</v>
      </c>
      <c r="AG295" s="94">
        <f>IFERROR(_xlfn.XLOOKUP($D295,'Modelling New'!$D:$D,'Modelling New'!$AE:$AE),"")</f>
        <v>0.98040000000000005</v>
      </c>
      <c r="AH295" s="94">
        <f>IFERROR(_xlfn.XLOOKUP($D295,'Modelling New'!$D:$D,'Modelling New'!$AF:$AF),"")</f>
        <v>0.98</v>
      </c>
      <c r="AN295" s="85"/>
      <c r="AO295" s="84"/>
      <c r="AP295" s="84"/>
      <c r="AQ295" s="84"/>
      <c r="AR295" s="86">
        <f>'Basic Data'!$J$2</f>
        <v>7.0991999999999997</v>
      </c>
      <c r="AT295" s="7" t="str">
        <f>IFERROR(_xlfn.XLOOKUP(Table13[[#This Row],[Date]],'Raw Data'!$E:$E,'Raw Data'!$AN:$AN),"")</f>
        <v/>
      </c>
      <c r="AU295" s="7">
        <f>IFERROR(_xlfn.XLOOKUP(Table13[[#This Row],[Month Year]],'Modelling New'!$D:$D,'Modelling New'!$AO:$AO),"")</f>
        <v>7</v>
      </c>
      <c r="AV295" s="7">
        <f>IFERROR(SUMIF('Curtailment Records'!$C:$C,Table13[[#This Row],[Date]],'Curtailment Records'!$R:$R)/1000,"")</f>
        <v>0</v>
      </c>
    </row>
    <row r="296" spans="1:48" x14ac:dyDescent="0.25">
      <c r="A296" s="93">
        <f t="shared" si="18"/>
        <v>46039</v>
      </c>
      <c r="B296" s="86">
        <f>YEAR(Table13[[#This Row],[Date]])+IF(MONTH(Table13[[#This Row],[Date]])&gt;=4,1,0)</f>
        <v>2026</v>
      </c>
      <c r="C296" s="7">
        <f>YEAR(Table13[[#This Row],[Date]])</f>
        <v>2026</v>
      </c>
      <c r="D296" s="92">
        <f>Table13[[#This Row],[Date]]-DAY(Table13[[#This Row],[Date]])+1</f>
        <v>46023</v>
      </c>
      <c r="E296" s="7">
        <f t="shared" si="19"/>
        <v>31</v>
      </c>
      <c r="F296" s="91" t="str">
        <f>IFERROR(_xlfn.XLOOKUP($A296,'Raw Data'!$G:$G,'Raw Data'!$AM:$AM),"")</f>
        <v/>
      </c>
      <c r="G296" s="90" t="str">
        <f>IFERROR(_xlfn.XLOOKUP($A296,'Raw Data'!$G:$G,'Raw Data'!$AB:$AB),"")</f>
        <v/>
      </c>
      <c r="H296" s="90"/>
      <c r="I296" s="90" t="str">
        <f>IFERROR(_xlfn.XLOOKUP($A296,'Raw Data'!$G:$G,'Raw Data'!$AC:$AC),"")</f>
        <v/>
      </c>
      <c r="J296" s="90"/>
      <c r="K296" s="90" t="str">
        <f>IFERROR(_xlfn.XLOOKUP($A296,'Raw Data'!$G:$G,'Raw Data'!AD:AD),"")</f>
        <v/>
      </c>
      <c r="L296" s="90" t="str">
        <f>IFERROR(_xlfn.XLOOKUP($A296,'Raw Data'!$G:$G,'Raw Data'!AE:AE),"")</f>
        <v/>
      </c>
      <c r="M296" s="90" t="str">
        <f>IFERROR(_xlfn.XLOOKUP($A296,'Raw Data'!$G:$G,'Raw Data'!AF:AF),"")</f>
        <v/>
      </c>
      <c r="N296" s="90" t="str">
        <f>IFERROR(_xlfn.XLOOKUP($A296,'Raw Data'!$G:$G,'Raw Data'!AG:AG),"")</f>
        <v/>
      </c>
      <c r="O296" s="85" t="str">
        <f>IFERROR(1-SUMIF('Plant BD'!$B:$B,$A296,'Plant BD'!$AM:$AM)/($AA296+SUMIF('Plant BD'!$B:$B,$A296,'Plant BD'!$AM:$AM)),"")</f>
        <v/>
      </c>
      <c r="P296" s="85"/>
      <c r="Q296" s="89"/>
      <c r="R296" s="85" t="str">
        <f>IFERROR(1-SUMIF('Grid BD'!$B:$B,$A296,'Grid BD'!$AE:$AE)/($AA296+SUMIF('Grid BD'!$B:$B,$A296,'Grid BD'!$AE:$AE)),"")</f>
        <v/>
      </c>
      <c r="T296" s="89"/>
      <c r="U296" s="88" t="str">
        <f t="shared" si="17"/>
        <v/>
      </c>
      <c r="V296" s="88"/>
      <c r="W296" s="84" t="str">
        <f t="shared" si="16"/>
        <v/>
      </c>
      <c r="X296" s="86" t="str">
        <f>IFERROR(_xlfn.XLOOKUP($A296,'Raw Data'!$G:$G,'Raw Data'!AI:AI),"")</f>
        <v/>
      </c>
      <c r="Y296" s="86" t="str">
        <f>IFERROR(_xlfn.XLOOKUP($A296,'Raw Data'!$G:$G,'Raw Data'!AJ:AJ),"")</f>
        <v/>
      </c>
      <c r="Z296" s="86" t="str">
        <f>IFERROR(_xlfn.XLOOKUP($A296,'Raw Data'!$G:$G,'Raw Data'!AK:AK),"")</f>
        <v/>
      </c>
      <c r="AA296" s="86" t="str">
        <f>IFERROR(_xlfn.XLOOKUP($A296,'Raw Data'!$G:$G,'Raw Data'!$AL:$AL)*(1+(_xlfn.XLOOKUP(Table13[[#This Row],[Month Year]],JMR!$A:$A,JMR!$J:$J))),"")</f>
        <v/>
      </c>
      <c r="AB296" s="86" t="str">
        <f>IFERROR(_xlfn.XLOOKUP($A296,'Raw Data'!$G:$G,'Raw Data'!$H:$H),"")</f>
        <v/>
      </c>
      <c r="AC296" s="87">
        <f>IFERROR(_xlfn.XLOOKUP($D296,'Modelling New'!$D:$D,'Modelling New'!$P:$P),"")</f>
        <v>5.9580645161290322</v>
      </c>
      <c r="AD296" s="86">
        <f>IFERROR(_xlfn.XLOOKUP($D296,'Modelling New'!$D:$D,'Modelling New'!$T:$T)*1000,"")</f>
        <v>30513.985528225832</v>
      </c>
      <c r="AE296" s="94">
        <f>IFERROR(_xlfn.XLOOKUP($D296,'Modelling New'!$D:$D,'Modelling New'!$O:$O),"")</f>
        <v>0.72141359604684618</v>
      </c>
      <c r="AF296" s="94">
        <f>IFERROR(_xlfn.XLOOKUP($D296,'Modelling New'!$D:$D,'Modelling New'!$W:$W),"")</f>
        <v>0.1790928645024899</v>
      </c>
      <c r="AG296" s="94">
        <f>IFERROR(_xlfn.XLOOKUP($D296,'Modelling New'!$D:$D,'Modelling New'!$AE:$AE),"")</f>
        <v>0.98040000000000005</v>
      </c>
      <c r="AH296" s="94">
        <f>IFERROR(_xlfn.XLOOKUP($D296,'Modelling New'!$D:$D,'Modelling New'!$AF:$AF),"")</f>
        <v>0.98</v>
      </c>
      <c r="AN296" s="85"/>
      <c r="AO296" s="84"/>
      <c r="AP296" s="84"/>
      <c r="AQ296" s="84"/>
      <c r="AR296" s="86">
        <f>'Basic Data'!$J$2</f>
        <v>7.0991999999999997</v>
      </c>
      <c r="AT296" s="7" t="str">
        <f>IFERROR(_xlfn.XLOOKUP(Table13[[#This Row],[Date]],'Raw Data'!$E:$E,'Raw Data'!$AN:$AN),"")</f>
        <v/>
      </c>
      <c r="AU296" s="7">
        <f>IFERROR(_xlfn.XLOOKUP(Table13[[#This Row],[Month Year]],'Modelling New'!$D:$D,'Modelling New'!$AO:$AO),"")</f>
        <v>7</v>
      </c>
      <c r="AV296" s="7">
        <f>IFERROR(SUMIF('Curtailment Records'!$C:$C,Table13[[#This Row],[Date]],'Curtailment Records'!$R:$R)/1000,"")</f>
        <v>0</v>
      </c>
    </row>
    <row r="297" spans="1:48" x14ac:dyDescent="0.25">
      <c r="A297" s="93">
        <f t="shared" si="18"/>
        <v>46040</v>
      </c>
      <c r="B297" s="86">
        <f>YEAR(Table13[[#This Row],[Date]])+IF(MONTH(Table13[[#This Row],[Date]])&gt;=4,1,0)</f>
        <v>2026</v>
      </c>
      <c r="C297" s="7">
        <f>YEAR(Table13[[#This Row],[Date]])</f>
        <v>2026</v>
      </c>
      <c r="D297" s="92">
        <f>Table13[[#This Row],[Date]]-DAY(Table13[[#This Row],[Date]])+1</f>
        <v>46023</v>
      </c>
      <c r="E297" s="7">
        <f t="shared" si="19"/>
        <v>31</v>
      </c>
      <c r="F297" s="91" t="str">
        <f>IFERROR(_xlfn.XLOOKUP($A297,'Raw Data'!$G:$G,'Raw Data'!$AM:$AM),"")</f>
        <v/>
      </c>
      <c r="G297" s="90" t="str">
        <f>IFERROR(_xlfn.XLOOKUP($A297,'Raw Data'!$G:$G,'Raw Data'!$AB:$AB),"")</f>
        <v/>
      </c>
      <c r="H297" s="90"/>
      <c r="I297" s="90" t="str">
        <f>IFERROR(_xlfn.XLOOKUP($A297,'Raw Data'!$G:$G,'Raw Data'!$AC:$AC),"")</f>
        <v/>
      </c>
      <c r="J297" s="90"/>
      <c r="K297" s="90" t="str">
        <f>IFERROR(_xlfn.XLOOKUP($A297,'Raw Data'!$G:$G,'Raw Data'!AD:AD),"")</f>
        <v/>
      </c>
      <c r="L297" s="90" t="str">
        <f>IFERROR(_xlfn.XLOOKUP($A297,'Raw Data'!$G:$G,'Raw Data'!AE:AE),"")</f>
        <v/>
      </c>
      <c r="M297" s="90" t="str">
        <f>IFERROR(_xlfn.XLOOKUP($A297,'Raw Data'!$G:$G,'Raw Data'!AF:AF),"")</f>
        <v/>
      </c>
      <c r="N297" s="90" t="str">
        <f>IFERROR(_xlfn.XLOOKUP($A297,'Raw Data'!$G:$G,'Raw Data'!AG:AG),"")</f>
        <v/>
      </c>
      <c r="O297" s="85" t="str">
        <f>IFERROR(1-SUMIF('Plant BD'!$B:$B,$A297,'Plant BD'!$AM:$AM)/($AA297+SUMIF('Plant BD'!$B:$B,$A297,'Plant BD'!$AM:$AM)),"")</f>
        <v/>
      </c>
      <c r="P297" s="85"/>
      <c r="Q297" s="89"/>
      <c r="R297" s="85" t="str">
        <f>IFERROR(1-SUMIF('Grid BD'!$B:$B,$A297,'Grid BD'!$AE:$AE)/($AA297+SUMIF('Grid BD'!$B:$B,$A297,'Grid BD'!$AE:$AE)),"")</f>
        <v/>
      </c>
      <c r="T297" s="89"/>
      <c r="U297" s="88" t="str">
        <f t="shared" si="17"/>
        <v/>
      </c>
      <c r="V297" s="88"/>
      <c r="W297" s="84" t="str">
        <f t="shared" si="16"/>
        <v/>
      </c>
      <c r="X297" s="86" t="str">
        <f>IFERROR(_xlfn.XLOOKUP($A297,'Raw Data'!$G:$G,'Raw Data'!AI:AI),"")</f>
        <v/>
      </c>
      <c r="Y297" s="86" t="str">
        <f>IFERROR(_xlfn.XLOOKUP($A297,'Raw Data'!$G:$G,'Raw Data'!AJ:AJ),"")</f>
        <v/>
      </c>
      <c r="Z297" s="86" t="str">
        <f>IFERROR(_xlfn.XLOOKUP($A297,'Raw Data'!$G:$G,'Raw Data'!AK:AK),"")</f>
        <v/>
      </c>
      <c r="AA297" s="86" t="str">
        <f>IFERROR(_xlfn.XLOOKUP($A297,'Raw Data'!$G:$G,'Raw Data'!$AL:$AL)*(1+(_xlfn.XLOOKUP(Table13[[#This Row],[Month Year]],JMR!$A:$A,JMR!$J:$J))),"")</f>
        <v/>
      </c>
      <c r="AB297" s="86" t="str">
        <f>IFERROR(_xlfn.XLOOKUP($A297,'Raw Data'!$G:$G,'Raw Data'!$H:$H),"")</f>
        <v/>
      </c>
      <c r="AC297" s="87">
        <f>IFERROR(_xlfn.XLOOKUP($D297,'Modelling New'!$D:$D,'Modelling New'!$P:$P),"")</f>
        <v>5.9580645161290322</v>
      </c>
      <c r="AD297" s="86">
        <f>IFERROR(_xlfn.XLOOKUP($D297,'Modelling New'!$D:$D,'Modelling New'!$T:$T)*1000,"")</f>
        <v>30513.985528225832</v>
      </c>
      <c r="AE297" s="94">
        <f>IFERROR(_xlfn.XLOOKUP($D297,'Modelling New'!$D:$D,'Modelling New'!$O:$O),"")</f>
        <v>0.72141359604684618</v>
      </c>
      <c r="AF297" s="94">
        <f>IFERROR(_xlfn.XLOOKUP($D297,'Modelling New'!$D:$D,'Modelling New'!$W:$W),"")</f>
        <v>0.1790928645024899</v>
      </c>
      <c r="AG297" s="94">
        <f>IFERROR(_xlfn.XLOOKUP($D297,'Modelling New'!$D:$D,'Modelling New'!$AE:$AE),"")</f>
        <v>0.98040000000000005</v>
      </c>
      <c r="AH297" s="94">
        <f>IFERROR(_xlfn.XLOOKUP($D297,'Modelling New'!$D:$D,'Modelling New'!$AF:$AF),"")</f>
        <v>0.98</v>
      </c>
      <c r="AN297" s="85"/>
      <c r="AO297" s="84"/>
      <c r="AP297" s="84"/>
      <c r="AQ297" s="84"/>
      <c r="AR297" s="86">
        <f>'Basic Data'!$J$2</f>
        <v>7.0991999999999997</v>
      </c>
      <c r="AT297" s="7" t="str">
        <f>IFERROR(_xlfn.XLOOKUP(Table13[[#This Row],[Date]],'Raw Data'!$E:$E,'Raw Data'!$AN:$AN),"")</f>
        <v/>
      </c>
      <c r="AU297" s="7">
        <f>IFERROR(_xlfn.XLOOKUP(Table13[[#This Row],[Month Year]],'Modelling New'!$D:$D,'Modelling New'!$AO:$AO),"")</f>
        <v>7</v>
      </c>
      <c r="AV297" s="7">
        <f>IFERROR(SUMIF('Curtailment Records'!$C:$C,Table13[[#This Row],[Date]],'Curtailment Records'!$R:$R)/1000,"")</f>
        <v>0</v>
      </c>
    </row>
    <row r="298" spans="1:48" x14ac:dyDescent="0.25">
      <c r="A298" s="93">
        <f t="shared" si="18"/>
        <v>46041</v>
      </c>
      <c r="B298" s="86">
        <f>YEAR(Table13[[#This Row],[Date]])+IF(MONTH(Table13[[#This Row],[Date]])&gt;=4,1,0)</f>
        <v>2026</v>
      </c>
      <c r="C298" s="7">
        <f>YEAR(Table13[[#This Row],[Date]])</f>
        <v>2026</v>
      </c>
      <c r="D298" s="92">
        <f>Table13[[#This Row],[Date]]-DAY(Table13[[#This Row],[Date]])+1</f>
        <v>46023</v>
      </c>
      <c r="E298" s="7">
        <f t="shared" si="19"/>
        <v>31</v>
      </c>
      <c r="F298" s="91" t="str">
        <f>IFERROR(_xlfn.XLOOKUP($A298,'Raw Data'!$G:$G,'Raw Data'!$AM:$AM),"")</f>
        <v/>
      </c>
      <c r="G298" s="90" t="str">
        <f>IFERROR(_xlfn.XLOOKUP($A298,'Raw Data'!$G:$G,'Raw Data'!$AB:$AB),"")</f>
        <v/>
      </c>
      <c r="H298" s="90"/>
      <c r="I298" s="90" t="str">
        <f>IFERROR(_xlfn.XLOOKUP($A298,'Raw Data'!$G:$G,'Raw Data'!$AC:$AC),"")</f>
        <v/>
      </c>
      <c r="J298" s="90"/>
      <c r="K298" s="90" t="str">
        <f>IFERROR(_xlfn.XLOOKUP($A298,'Raw Data'!$G:$G,'Raw Data'!AD:AD),"")</f>
        <v/>
      </c>
      <c r="L298" s="90" t="str">
        <f>IFERROR(_xlfn.XLOOKUP($A298,'Raw Data'!$G:$G,'Raw Data'!AE:AE),"")</f>
        <v/>
      </c>
      <c r="M298" s="90" t="str">
        <f>IFERROR(_xlfn.XLOOKUP($A298,'Raw Data'!$G:$G,'Raw Data'!AF:AF),"")</f>
        <v/>
      </c>
      <c r="N298" s="90" t="str">
        <f>IFERROR(_xlfn.XLOOKUP($A298,'Raw Data'!$G:$G,'Raw Data'!AG:AG),"")</f>
        <v/>
      </c>
      <c r="O298" s="85" t="str">
        <f>IFERROR(1-SUMIF('Plant BD'!$B:$B,$A298,'Plant BD'!$AM:$AM)/($AA298+SUMIF('Plant BD'!$B:$B,$A298,'Plant BD'!$AM:$AM)),"")</f>
        <v/>
      </c>
      <c r="P298" s="85"/>
      <c r="Q298" s="89"/>
      <c r="R298" s="85" t="str">
        <f>IFERROR(1-SUMIF('Grid BD'!$B:$B,$A298,'Grid BD'!$AE:$AE)/($AA298+SUMIF('Grid BD'!$B:$B,$A298,'Grid BD'!$AE:$AE)),"")</f>
        <v/>
      </c>
      <c r="T298" s="89"/>
      <c r="U298" s="88" t="str">
        <f t="shared" si="17"/>
        <v/>
      </c>
      <c r="V298" s="88"/>
      <c r="W298" s="84" t="str">
        <f t="shared" si="16"/>
        <v/>
      </c>
      <c r="X298" s="86" t="str">
        <f>IFERROR(_xlfn.XLOOKUP($A298,'Raw Data'!$G:$G,'Raw Data'!AI:AI),"")</f>
        <v/>
      </c>
      <c r="Y298" s="86" t="str">
        <f>IFERROR(_xlfn.XLOOKUP($A298,'Raw Data'!$G:$G,'Raw Data'!AJ:AJ),"")</f>
        <v/>
      </c>
      <c r="Z298" s="86" t="str">
        <f>IFERROR(_xlfn.XLOOKUP($A298,'Raw Data'!$G:$G,'Raw Data'!AK:AK),"")</f>
        <v/>
      </c>
      <c r="AA298" s="86" t="str">
        <f>IFERROR(_xlfn.XLOOKUP($A298,'Raw Data'!$G:$G,'Raw Data'!$AL:$AL)*(1+(_xlfn.XLOOKUP(Table13[[#This Row],[Month Year]],JMR!$A:$A,JMR!$J:$J))),"")</f>
        <v/>
      </c>
      <c r="AB298" s="86" t="str">
        <f>IFERROR(_xlfn.XLOOKUP($A298,'Raw Data'!$G:$G,'Raw Data'!$H:$H),"")</f>
        <v/>
      </c>
      <c r="AC298" s="87">
        <f>IFERROR(_xlfn.XLOOKUP($D298,'Modelling New'!$D:$D,'Modelling New'!$P:$P),"")</f>
        <v>5.9580645161290322</v>
      </c>
      <c r="AD298" s="86">
        <f>IFERROR(_xlfn.XLOOKUP($D298,'Modelling New'!$D:$D,'Modelling New'!$T:$T)*1000,"")</f>
        <v>30513.985528225832</v>
      </c>
      <c r="AE298" s="94">
        <f>IFERROR(_xlfn.XLOOKUP($D298,'Modelling New'!$D:$D,'Modelling New'!$O:$O),"")</f>
        <v>0.72141359604684618</v>
      </c>
      <c r="AF298" s="94">
        <f>IFERROR(_xlfn.XLOOKUP($D298,'Modelling New'!$D:$D,'Modelling New'!$W:$W),"")</f>
        <v>0.1790928645024899</v>
      </c>
      <c r="AG298" s="94">
        <f>IFERROR(_xlfn.XLOOKUP($D298,'Modelling New'!$D:$D,'Modelling New'!$AE:$AE),"")</f>
        <v>0.98040000000000005</v>
      </c>
      <c r="AH298" s="94">
        <f>IFERROR(_xlfn.XLOOKUP($D298,'Modelling New'!$D:$D,'Modelling New'!$AF:$AF),"")</f>
        <v>0.98</v>
      </c>
      <c r="AN298" s="85"/>
      <c r="AO298" s="84"/>
      <c r="AP298" s="84"/>
      <c r="AQ298" s="84"/>
      <c r="AR298" s="86">
        <f>'Basic Data'!$J$2</f>
        <v>7.0991999999999997</v>
      </c>
      <c r="AT298" s="7" t="str">
        <f>IFERROR(_xlfn.XLOOKUP(Table13[[#This Row],[Date]],'Raw Data'!$E:$E,'Raw Data'!$AN:$AN),"")</f>
        <v/>
      </c>
      <c r="AU298" s="7">
        <f>IFERROR(_xlfn.XLOOKUP(Table13[[#This Row],[Month Year]],'Modelling New'!$D:$D,'Modelling New'!$AO:$AO),"")</f>
        <v>7</v>
      </c>
      <c r="AV298" s="7">
        <f>IFERROR(SUMIF('Curtailment Records'!$C:$C,Table13[[#This Row],[Date]],'Curtailment Records'!$R:$R)/1000,"")</f>
        <v>0</v>
      </c>
    </row>
    <row r="299" spans="1:48" x14ac:dyDescent="0.25">
      <c r="A299" s="93">
        <f t="shared" si="18"/>
        <v>46042</v>
      </c>
      <c r="B299" s="86">
        <f>YEAR(Table13[[#This Row],[Date]])+IF(MONTH(Table13[[#This Row],[Date]])&gt;=4,1,0)</f>
        <v>2026</v>
      </c>
      <c r="C299" s="7">
        <f>YEAR(Table13[[#This Row],[Date]])</f>
        <v>2026</v>
      </c>
      <c r="D299" s="92">
        <f>Table13[[#This Row],[Date]]-DAY(Table13[[#This Row],[Date]])+1</f>
        <v>46023</v>
      </c>
      <c r="E299" s="7">
        <f t="shared" si="19"/>
        <v>31</v>
      </c>
      <c r="F299" s="91" t="str">
        <f>IFERROR(_xlfn.XLOOKUP($A299,'Raw Data'!$G:$G,'Raw Data'!$AM:$AM),"")</f>
        <v/>
      </c>
      <c r="G299" s="90" t="str">
        <f>IFERROR(_xlfn.XLOOKUP($A299,'Raw Data'!$G:$G,'Raw Data'!$AB:$AB),"")</f>
        <v/>
      </c>
      <c r="H299" s="90"/>
      <c r="I299" s="90" t="str">
        <f>IFERROR(_xlfn.XLOOKUP($A299,'Raw Data'!$G:$G,'Raw Data'!$AC:$AC),"")</f>
        <v/>
      </c>
      <c r="J299" s="90"/>
      <c r="K299" s="90" t="str">
        <f>IFERROR(_xlfn.XLOOKUP($A299,'Raw Data'!$G:$G,'Raw Data'!AD:AD),"")</f>
        <v/>
      </c>
      <c r="L299" s="90" t="str">
        <f>IFERROR(_xlfn.XLOOKUP($A299,'Raw Data'!$G:$G,'Raw Data'!AE:AE),"")</f>
        <v/>
      </c>
      <c r="M299" s="90" t="str">
        <f>IFERROR(_xlfn.XLOOKUP($A299,'Raw Data'!$G:$G,'Raw Data'!AF:AF),"")</f>
        <v/>
      </c>
      <c r="N299" s="90" t="str">
        <f>IFERROR(_xlfn.XLOOKUP($A299,'Raw Data'!$G:$G,'Raw Data'!AG:AG),"")</f>
        <v/>
      </c>
      <c r="O299" s="85" t="str">
        <f>IFERROR(1-SUMIF('Plant BD'!$B:$B,$A299,'Plant BD'!$AM:$AM)/($AA299+SUMIF('Plant BD'!$B:$B,$A299,'Plant BD'!$AM:$AM)),"")</f>
        <v/>
      </c>
      <c r="P299" s="85"/>
      <c r="Q299" s="89"/>
      <c r="R299" s="85" t="str">
        <f>IFERROR(1-SUMIF('Grid BD'!$B:$B,$A299,'Grid BD'!$AE:$AE)/($AA299+SUMIF('Grid BD'!$B:$B,$A299,'Grid BD'!$AE:$AE)),"")</f>
        <v/>
      </c>
      <c r="T299" s="89"/>
      <c r="U299" s="88" t="str">
        <f t="shared" si="17"/>
        <v/>
      </c>
      <c r="V299" s="88"/>
      <c r="W299" s="84" t="str">
        <f t="shared" si="16"/>
        <v/>
      </c>
      <c r="X299" s="86" t="str">
        <f>IFERROR(_xlfn.XLOOKUP($A299,'Raw Data'!$G:$G,'Raw Data'!AI:AI),"")</f>
        <v/>
      </c>
      <c r="Y299" s="86" t="str">
        <f>IFERROR(_xlfn.XLOOKUP($A299,'Raw Data'!$G:$G,'Raw Data'!AJ:AJ),"")</f>
        <v/>
      </c>
      <c r="Z299" s="86" t="str">
        <f>IFERROR(_xlfn.XLOOKUP($A299,'Raw Data'!$G:$G,'Raw Data'!AK:AK),"")</f>
        <v/>
      </c>
      <c r="AA299" s="86" t="str">
        <f>IFERROR(_xlfn.XLOOKUP($A299,'Raw Data'!$G:$G,'Raw Data'!$AL:$AL)*(1+(_xlfn.XLOOKUP(Table13[[#This Row],[Month Year]],JMR!$A:$A,JMR!$J:$J))),"")</f>
        <v/>
      </c>
      <c r="AB299" s="86" t="str">
        <f>IFERROR(_xlfn.XLOOKUP($A299,'Raw Data'!$G:$G,'Raw Data'!$H:$H),"")</f>
        <v/>
      </c>
      <c r="AC299" s="87">
        <f>IFERROR(_xlfn.XLOOKUP($D299,'Modelling New'!$D:$D,'Modelling New'!$P:$P),"")</f>
        <v>5.9580645161290322</v>
      </c>
      <c r="AD299" s="86">
        <f>IFERROR(_xlfn.XLOOKUP($D299,'Modelling New'!$D:$D,'Modelling New'!$T:$T)*1000,"")</f>
        <v>30513.985528225832</v>
      </c>
      <c r="AE299" s="94">
        <f>IFERROR(_xlfn.XLOOKUP($D299,'Modelling New'!$D:$D,'Modelling New'!$O:$O),"")</f>
        <v>0.72141359604684618</v>
      </c>
      <c r="AF299" s="94">
        <f>IFERROR(_xlfn.XLOOKUP($D299,'Modelling New'!$D:$D,'Modelling New'!$W:$W),"")</f>
        <v>0.1790928645024899</v>
      </c>
      <c r="AG299" s="94">
        <f>IFERROR(_xlfn.XLOOKUP($D299,'Modelling New'!$D:$D,'Modelling New'!$AE:$AE),"")</f>
        <v>0.98040000000000005</v>
      </c>
      <c r="AH299" s="94">
        <f>IFERROR(_xlfn.XLOOKUP($D299,'Modelling New'!$D:$D,'Modelling New'!$AF:$AF),"")</f>
        <v>0.98</v>
      </c>
      <c r="AN299" s="85"/>
      <c r="AO299" s="84"/>
      <c r="AP299" s="84"/>
      <c r="AQ299" s="84"/>
      <c r="AR299" s="86">
        <f>'Basic Data'!$J$2</f>
        <v>7.0991999999999997</v>
      </c>
      <c r="AT299" s="7" t="str">
        <f>IFERROR(_xlfn.XLOOKUP(Table13[[#This Row],[Date]],'Raw Data'!$E:$E,'Raw Data'!$AN:$AN),"")</f>
        <v/>
      </c>
      <c r="AU299" s="7">
        <f>IFERROR(_xlfn.XLOOKUP(Table13[[#This Row],[Month Year]],'Modelling New'!$D:$D,'Modelling New'!$AO:$AO),"")</f>
        <v>7</v>
      </c>
      <c r="AV299" s="7">
        <f>IFERROR(SUMIF('Curtailment Records'!$C:$C,Table13[[#This Row],[Date]],'Curtailment Records'!$R:$R)/1000,"")</f>
        <v>0</v>
      </c>
    </row>
    <row r="300" spans="1:48" x14ac:dyDescent="0.25">
      <c r="A300" s="93">
        <f t="shared" si="18"/>
        <v>46043</v>
      </c>
      <c r="B300" s="86">
        <f>YEAR(Table13[[#This Row],[Date]])+IF(MONTH(Table13[[#This Row],[Date]])&gt;=4,1,0)</f>
        <v>2026</v>
      </c>
      <c r="C300" s="7">
        <f>YEAR(Table13[[#This Row],[Date]])</f>
        <v>2026</v>
      </c>
      <c r="D300" s="92">
        <f>Table13[[#This Row],[Date]]-DAY(Table13[[#This Row],[Date]])+1</f>
        <v>46023</v>
      </c>
      <c r="E300" s="7">
        <f t="shared" si="19"/>
        <v>31</v>
      </c>
      <c r="F300" s="91" t="str">
        <f>IFERROR(_xlfn.XLOOKUP($A300,'Raw Data'!$G:$G,'Raw Data'!$AM:$AM),"")</f>
        <v/>
      </c>
      <c r="G300" s="90" t="str">
        <f>IFERROR(_xlfn.XLOOKUP($A300,'Raw Data'!$G:$G,'Raw Data'!$AB:$AB),"")</f>
        <v/>
      </c>
      <c r="H300" s="90"/>
      <c r="I300" s="90" t="str">
        <f>IFERROR(_xlfn.XLOOKUP($A300,'Raw Data'!$G:$G,'Raw Data'!$AC:$AC),"")</f>
        <v/>
      </c>
      <c r="J300" s="90"/>
      <c r="K300" s="90" t="str">
        <f>IFERROR(_xlfn.XLOOKUP($A300,'Raw Data'!$G:$G,'Raw Data'!AD:AD),"")</f>
        <v/>
      </c>
      <c r="L300" s="90" t="str">
        <f>IFERROR(_xlfn.XLOOKUP($A300,'Raw Data'!$G:$G,'Raw Data'!AE:AE),"")</f>
        <v/>
      </c>
      <c r="M300" s="90" t="str">
        <f>IFERROR(_xlfn.XLOOKUP($A300,'Raw Data'!$G:$G,'Raw Data'!AF:AF),"")</f>
        <v/>
      </c>
      <c r="N300" s="90" t="str">
        <f>IFERROR(_xlfn.XLOOKUP($A300,'Raw Data'!$G:$G,'Raw Data'!AG:AG),"")</f>
        <v/>
      </c>
      <c r="O300" s="85" t="str">
        <f>IFERROR(1-SUMIF('Plant BD'!$B:$B,$A300,'Plant BD'!$AM:$AM)/($AA300+SUMIF('Plant BD'!$B:$B,$A300,'Plant BD'!$AM:$AM)),"")</f>
        <v/>
      </c>
      <c r="P300" s="85"/>
      <c r="Q300" s="89"/>
      <c r="R300" s="85" t="str">
        <f>IFERROR(1-SUMIF('Grid BD'!$B:$B,$A300,'Grid BD'!$AE:$AE)/($AA300+SUMIF('Grid BD'!$B:$B,$A300,'Grid BD'!$AE:$AE)),"")</f>
        <v/>
      </c>
      <c r="T300" s="89"/>
      <c r="U300" s="88" t="str">
        <f t="shared" si="17"/>
        <v/>
      </c>
      <c r="V300" s="88"/>
      <c r="W300" s="84" t="str">
        <f t="shared" si="16"/>
        <v/>
      </c>
      <c r="X300" s="86" t="str">
        <f>IFERROR(_xlfn.XLOOKUP($A300,'Raw Data'!$G:$G,'Raw Data'!AI:AI),"")</f>
        <v/>
      </c>
      <c r="Y300" s="86" t="str">
        <f>IFERROR(_xlfn.XLOOKUP($A300,'Raw Data'!$G:$G,'Raw Data'!AJ:AJ),"")</f>
        <v/>
      </c>
      <c r="Z300" s="86" t="str">
        <f>IFERROR(_xlfn.XLOOKUP($A300,'Raw Data'!$G:$G,'Raw Data'!AK:AK),"")</f>
        <v/>
      </c>
      <c r="AA300" s="86" t="str">
        <f>IFERROR(_xlfn.XLOOKUP($A300,'Raw Data'!$G:$G,'Raw Data'!$AL:$AL)*(1+(_xlfn.XLOOKUP(Table13[[#This Row],[Month Year]],JMR!$A:$A,JMR!$J:$J))),"")</f>
        <v/>
      </c>
      <c r="AB300" s="86" t="str">
        <f>IFERROR(_xlfn.XLOOKUP($A300,'Raw Data'!$G:$G,'Raw Data'!$H:$H),"")</f>
        <v/>
      </c>
      <c r="AC300" s="87">
        <f>IFERROR(_xlfn.XLOOKUP($D300,'Modelling New'!$D:$D,'Modelling New'!$P:$P),"")</f>
        <v>5.9580645161290322</v>
      </c>
      <c r="AD300" s="86">
        <f>IFERROR(_xlfn.XLOOKUP($D300,'Modelling New'!$D:$D,'Modelling New'!$T:$T)*1000,"")</f>
        <v>30513.985528225832</v>
      </c>
      <c r="AE300" s="94">
        <f>IFERROR(_xlfn.XLOOKUP($D300,'Modelling New'!$D:$D,'Modelling New'!$O:$O),"")</f>
        <v>0.72141359604684618</v>
      </c>
      <c r="AF300" s="94">
        <f>IFERROR(_xlfn.XLOOKUP($D300,'Modelling New'!$D:$D,'Modelling New'!$W:$W),"")</f>
        <v>0.1790928645024899</v>
      </c>
      <c r="AG300" s="94">
        <f>IFERROR(_xlfn.XLOOKUP($D300,'Modelling New'!$D:$D,'Modelling New'!$AE:$AE),"")</f>
        <v>0.98040000000000005</v>
      </c>
      <c r="AH300" s="94">
        <f>IFERROR(_xlfn.XLOOKUP($D300,'Modelling New'!$D:$D,'Modelling New'!$AF:$AF),"")</f>
        <v>0.98</v>
      </c>
      <c r="AN300" s="85"/>
      <c r="AO300" s="84"/>
      <c r="AP300" s="84"/>
      <c r="AQ300" s="84"/>
      <c r="AR300" s="86">
        <f>'Basic Data'!$J$2</f>
        <v>7.0991999999999997</v>
      </c>
      <c r="AT300" s="7" t="str">
        <f>IFERROR(_xlfn.XLOOKUP(Table13[[#This Row],[Date]],'Raw Data'!$E:$E,'Raw Data'!$AN:$AN),"")</f>
        <v/>
      </c>
      <c r="AU300" s="7">
        <f>IFERROR(_xlfn.XLOOKUP(Table13[[#This Row],[Month Year]],'Modelling New'!$D:$D,'Modelling New'!$AO:$AO),"")</f>
        <v>7</v>
      </c>
      <c r="AV300" s="7">
        <f>IFERROR(SUMIF('Curtailment Records'!$C:$C,Table13[[#This Row],[Date]],'Curtailment Records'!$R:$R)/1000,"")</f>
        <v>0</v>
      </c>
    </row>
    <row r="301" spans="1:48" x14ac:dyDescent="0.25">
      <c r="A301" s="93">
        <f t="shared" si="18"/>
        <v>46044</v>
      </c>
      <c r="B301" s="86">
        <f>YEAR(Table13[[#This Row],[Date]])+IF(MONTH(Table13[[#This Row],[Date]])&gt;=4,1,0)</f>
        <v>2026</v>
      </c>
      <c r="C301" s="7">
        <f>YEAR(Table13[[#This Row],[Date]])</f>
        <v>2026</v>
      </c>
      <c r="D301" s="92">
        <f>Table13[[#This Row],[Date]]-DAY(Table13[[#This Row],[Date]])+1</f>
        <v>46023</v>
      </c>
      <c r="E301" s="7">
        <f t="shared" si="19"/>
        <v>31</v>
      </c>
      <c r="F301" s="91" t="str">
        <f>IFERROR(_xlfn.XLOOKUP($A301,'Raw Data'!$G:$G,'Raw Data'!$AM:$AM),"")</f>
        <v/>
      </c>
      <c r="G301" s="90" t="str">
        <f>IFERROR(_xlfn.XLOOKUP($A301,'Raw Data'!$G:$G,'Raw Data'!$AB:$AB),"")</f>
        <v/>
      </c>
      <c r="H301" s="90"/>
      <c r="I301" s="90" t="str">
        <f>IFERROR(_xlfn.XLOOKUP($A301,'Raw Data'!$G:$G,'Raw Data'!$AC:$AC),"")</f>
        <v/>
      </c>
      <c r="J301" s="90"/>
      <c r="K301" s="90" t="str">
        <f>IFERROR(_xlfn.XLOOKUP($A301,'Raw Data'!$G:$G,'Raw Data'!AD:AD),"")</f>
        <v/>
      </c>
      <c r="L301" s="90" t="str">
        <f>IFERROR(_xlfn.XLOOKUP($A301,'Raw Data'!$G:$G,'Raw Data'!AE:AE),"")</f>
        <v/>
      </c>
      <c r="M301" s="90" t="str">
        <f>IFERROR(_xlfn.XLOOKUP($A301,'Raw Data'!$G:$G,'Raw Data'!AF:AF),"")</f>
        <v/>
      </c>
      <c r="N301" s="90" t="str">
        <f>IFERROR(_xlfn.XLOOKUP($A301,'Raw Data'!$G:$G,'Raw Data'!AG:AG),"")</f>
        <v/>
      </c>
      <c r="O301" s="85" t="str">
        <f>IFERROR(1-SUMIF('Plant BD'!$B:$B,$A301,'Plant BD'!$AM:$AM)/($AA301+SUMIF('Plant BD'!$B:$B,$A301,'Plant BD'!$AM:$AM)),"")</f>
        <v/>
      </c>
      <c r="P301" s="85"/>
      <c r="Q301" s="89"/>
      <c r="R301" s="85" t="str">
        <f>IFERROR(1-SUMIF('Grid BD'!$B:$B,$A301,'Grid BD'!$AE:$AE)/($AA301+SUMIF('Grid BD'!$B:$B,$A301,'Grid BD'!$AE:$AE)),"")</f>
        <v/>
      </c>
      <c r="T301" s="89"/>
      <c r="U301" s="88" t="str">
        <f t="shared" si="17"/>
        <v/>
      </c>
      <c r="V301" s="88"/>
      <c r="W301" s="84" t="str">
        <f t="shared" si="16"/>
        <v/>
      </c>
      <c r="X301" s="86" t="str">
        <f>IFERROR(_xlfn.XLOOKUP($A301,'Raw Data'!$G:$G,'Raw Data'!AI:AI),"")</f>
        <v/>
      </c>
      <c r="Y301" s="86" t="str">
        <f>IFERROR(_xlfn.XLOOKUP($A301,'Raw Data'!$G:$G,'Raw Data'!AJ:AJ),"")</f>
        <v/>
      </c>
      <c r="Z301" s="86" t="str">
        <f>IFERROR(_xlfn.XLOOKUP($A301,'Raw Data'!$G:$G,'Raw Data'!AK:AK),"")</f>
        <v/>
      </c>
      <c r="AA301" s="86" t="str">
        <f>IFERROR(_xlfn.XLOOKUP($A301,'Raw Data'!$G:$G,'Raw Data'!$AL:$AL)*(1+(_xlfn.XLOOKUP(Table13[[#This Row],[Month Year]],JMR!$A:$A,JMR!$J:$J))),"")</f>
        <v/>
      </c>
      <c r="AB301" s="86" t="str">
        <f>IFERROR(_xlfn.XLOOKUP($A301,'Raw Data'!$G:$G,'Raw Data'!$H:$H),"")</f>
        <v/>
      </c>
      <c r="AC301" s="87">
        <f>IFERROR(_xlfn.XLOOKUP($D301,'Modelling New'!$D:$D,'Modelling New'!$P:$P),"")</f>
        <v>5.9580645161290322</v>
      </c>
      <c r="AD301" s="86">
        <f>IFERROR(_xlfn.XLOOKUP($D301,'Modelling New'!$D:$D,'Modelling New'!$T:$T)*1000,"")</f>
        <v>30513.985528225832</v>
      </c>
      <c r="AE301" s="94">
        <f>IFERROR(_xlfn.XLOOKUP($D301,'Modelling New'!$D:$D,'Modelling New'!$O:$O),"")</f>
        <v>0.72141359604684618</v>
      </c>
      <c r="AF301" s="94">
        <f>IFERROR(_xlfn.XLOOKUP($D301,'Modelling New'!$D:$D,'Modelling New'!$W:$W),"")</f>
        <v>0.1790928645024899</v>
      </c>
      <c r="AG301" s="94">
        <f>IFERROR(_xlfn.XLOOKUP($D301,'Modelling New'!$D:$D,'Modelling New'!$AE:$AE),"")</f>
        <v>0.98040000000000005</v>
      </c>
      <c r="AH301" s="94">
        <f>IFERROR(_xlfn.XLOOKUP($D301,'Modelling New'!$D:$D,'Modelling New'!$AF:$AF),"")</f>
        <v>0.98</v>
      </c>
      <c r="AN301" s="85"/>
      <c r="AO301" s="84"/>
      <c r="AP301" s="84"/>
      <c r="AQ301" s="84"/>
      <c r="AR301" s="86">
        <f>'Basic Data'!$J$2</f>
        <v>7.0991999999999997</v>
      </c>
      <c r="AT301" s="7" t="str">
        <f>IFERROR(_xlfn.XLOOKUP(Table13[[#This Row],[Date]],'Raw Data'!$E:$E,'Raw Data'!$AN:$AN),"")</f>
        <v/>
      </c>
      <c r="AU301" s="7">
        <f>IFERROR(_xlfn.XLOOKUP(Table13[[#This Row],[Month Year]],'Modelling New'!$D:$D,'Modelling New'!$AO:$AO),"")</f>
        <v>7</v>
      </c>
      <c r="AV301" s="7">
        <f>IFERROR(SUMIF('Curtailment Records'!$C:$C,Table13[[#This Row],[Date]],'Curtailment Records'!$R:$R)/1000,"")</f>
        <v>0</v>
      </c>
    </row>
    <row r="302" spans="1:48" x14ac:dyDescent="0.25">
      <c r="A302" s="93">
        <f t="shared" si="18"/>
        <v>46045</v>
      </c>
      <c r="B302" s="86">
        <f>YEAR(Table13[[#This Row],[Date]])+IF(MONTH(Table13[[#This Row],[Date]])&gt;=4,1,0)</f>
        <v>2026</v>
      </c>
      <c r="C302" s="7">
        <f>YEAR(Table13[[#This Row],[Date]])</f>
        <v>2026</v>
      </c>
      <c r="D302" s="92">
        <f>Table13[[#This Row],[Date]]-DAY(Table13[[#This Row],[Date]])+1</f>
        <v>46023</v>
      </c>
      <c r="E302" s="7">
        <f t="shared" si="19"/>
        <v>31</v>
      </c>
      <c r="F302" s="91" t="str">
        <f>IFERROR(_xlfn.XLOOKUP($A302,'Raw Data'!$G:$G,'Raw Data'!$AM:$AM),"")</f>
        <v/>
      </c>
      <c r="G302" s="90" t="str">
        <f>IFERROR(_xlfn.XLOOKUP($A302,'Raw Data'!$G:$G,'Raw Data'!$AB:$AB),"")</f>
        <v/>
      </c>
      <c r="H302" s="90"/>
      <c r="I302" s="90" t="str">
        <f>IFERROR(_xlfn.XLOOKUP($A302,'Raw Data'!$G:$G,'Raw Data'!$AC:$AC),"")</f>
        <v/>
      </c>
      <c r="J302" s="90"/>
      <c r="K302" s="90" t="str">
        <f>IFERROR(_xlfn.XLOOKUP($A302,'Raw Data'!$G:$G,'Raw Data'!AD:AD),"")</f>
        <v/>
      </c>
      <c r="L302" s="90" t="str">
        <f>IFERROR(_xlfn.XLOOKUP($A302,'Raw Data'!$G:$G,'Raw Data'!AE:AE),"")</f>
        <v/>
      </c>
      <c r="M302" s="90" t="str">
        <f>IFERROR(_xlfn.XLOOKUP($A302,'Raw Data'!$G:$G,'Raw Data'!AF:AF),"")</f>
        <v/>
      </c>
      <c r="N302" s="90" t="str">
        <f>IFERROR(_xlfn.XLOOKUP($A302,'Raw Data'!$G:$G,'Raw Data'!AG:AG),"")</f>
        <v/>
      </c>
      <c r="O302" s="85" t="str">
        <f>IFERROR(1-SUMIF('Plant BD'!$B:$B,$A302,'Plant BD'!$AM:$AM)/($AA302+SUMIF('Plant BD'!$B:$B,$A302,'Plant BD'!$AM:$AM)),"")</f>
        <v/>
      </c>
      <c r="P302" s="85"/>
      <c r="Q302" s="89"/>
      <c r="R302" s="85" t="str">
        <f>IFERROR(1-SUMIF('Grid BD'!$B:$B,$A302,'Grid BD'!$AE:$AE)/($AA302+SUMIF('Grid BD'!$B:$B,$A302,'Grid BD'!$AE:$AE)),"")</f>
        <v/>
      </c>
      <c r="T302" s="89"/>
      <c r="U302" s="88" t="str">
        <f t="shared" si="17"/>
        <v/>
      </c>
      <c r="V302" s="88"/>
      <c r="W302" s="84" t="str">
        <f t="shared" si="16"/>
        <v/>
      </c>
      <c r="X302" s="86" t="str">
        <f>IFERROR(_xlfn.XLOOKUP($A302,'Raw Data'!$G:$G,'Raw Data'!AI:AI),"")</f>
        <v/>
      </c>
      <c r="Y302" s="86" t="str">
        <f>IFERROR(_xlfn.XLOOKUP($A302,'Raw Data'!$G:$G,'Raw Data'!AJ:AJ),"")</f>
        <v/>
      </c>
      <c r="Z302" s="86" t="str">
        <f>IFERROR(_xlfn.XLOOKUP($A302,'Raw Data'!$G:$G,'Raw Data'!AK:AK),"")</f>
        <v/>
      </c>
      <c r="AA302" s="86" t="str">
        <f>IFERROR(_xlfn.XLOOKUP($A302,'Raw Data'!$G:$G,'Raw Data'!$AL:$AL)*(1+(_xlfn.XLOOKUP(Table13[[#This Row],[Month Year]],JMR!$A:$A,JMR!$J:$J))),"")</f>
        <v/>
      </c>
      <c r="AB302" s="86" t="str">
        <f>IFERROR(_xlfn.XLOOKUP($A302,'Raw Data'!$G:$G,'Raw Data'!$H:$H),"")</f>
        <v/>
      </c>
      <c r="AC302" s="87">
        <f>IFERROR(_xlfn.XLOOKUP($D302,'Modelling New'!$D:$D,'Modelling New'!$P:$P),"")</f>
        <v>5.9580645161290322</v>
      </c>
      <c r="AD302" s="86">
        <f>IFERROR(_xlfn.XLOOKUP($D302,'Modelling New'!$D:$D,'Modelling New'!$T:$T)*1000,"")</f>
        <v>30513.985528225832</v>
      </c>
      <c r="AE302" s="94">
        <f>IFERROR(_xlfn.XLOOKUP($D302,'Modelling New'!$D:$D,'Modelling New'!$O:$O),"")</f>
        <v>0.72141359604684618</v>
      </c>
      <c r="AF302" s="94">
        <f>IFERROR(_xlfn.XLOOKUP($D302,'Modelling New'!$D:$D,'Modelling New'!$W:$W),"")</f>
        <v>0.1790928645024899</v>
      </c>
      <c r="AG302" s="94">
        <f>IFERROR(_xlfn.XLOOKUP($D302,'Modelling New'!$D:$D,'Modelling New'!$AE:$AE),"")</f>
        <v>0.98040000000000005</v>
      </c>
      <c r="AH302" s="94">
        <f>IFERROR(_xlfn.XLOOKUP($D302,'Modelling New'!$D:$D,'Modelling New'!$AF:$AF),"")</f>
        <v>0.98</v>
      </c>
      <c r="AN302" s="85"/>
      <c r="AO302" s="84"/>
      <c r="AP302" s="84"/>
      <c r="AQ302" s="84"/>
      <c r="AR302" s="86">
        <f>'Basic Data'!$J$2</f>
        <v>7.0991999999999997</v>
      </c>
      <c r="AT302" s="7" t="str">
        <f>IFERROR(_xlfn.XLOOKUP(Table13[[#This Row],[Date]],'Raw Data'!$E:$E,'Raw Data'!$AN:$AN),"")</f>
        <v/>
      </c>
      <c r="AU302" s="7">
        <f>IFERROR(_xlfn.XLOOKUP(Table13[[#This Row],[Month Year]],'Modelling New'!$D:$D,'Modelling New'!$AO:$AO),"")</f>
        <v>7</v>
      </c>
      <c r="AV302" s="7">
        <f>IFERROR(SUMIF('Curtailment Records'!$C:$C,Table13[[#This Row],[Date]],'Curtailment Records'!$R:$R)/1000,"")</f>
        <v>0</v>
      </c>
    </row>
    <row r="303" spans="1:48" x14ac:dyDescent="0.25">
      <c r="A303" s="93">
        <f t="shared" si="18"/>
        <v>46046</v>
      </c>
      <c r="B303" s="86">
        <f>YEAR(Table13[[#This Row],[Date]])+IF(MONTH(Table13[[#This Row],[Date]])&gt;=4,1,0)</f>
        <v>2026</v>
      </c>
      <c r="C303" s="7">
        <f>YEAR(Table13[[#This Row],[Date]])</f>
        <v>2026</v>
      </c>
      <c r="D303" s="92">
        <f>Table13[[#This Row],[Date]]-DAY(Table13[[#This Row],[Date]])+1</f>
        <v>46023</v>
      </c>
      <c r="E303" s="7">
        <f t="shared" si="19"/>
        <v>31</v>
      </c>
      <c r="F303" s="91" t="str">
        <f>IFERROR(_xlfn.XLOOKUP($A303,'Raw Data'!$G:$G,'Raw Data'!$AM:$AM),"")</f>
        <v/>
      </c>
      <c r="G303" s="90" t="str">
        <f>IFERROR(_xlfn.XLOOKUP($A303,'Raw Data'!$G:$G,'Raw Data'!$AB:$AB),"")</f>
        <v/>
      </c>
      <c r="H303" s="90"/>
      <c r="I303" s="90" t="str">
        <f>IFERROR(_xlfn.XLOOKUP($A303,'Raw Data'!$G:$G,'Raw Data'!$AC:$AC),"")</f>
        <v/>
      </c>
      <c r="J303" s="90"/>
      <c r="K303" s="90" t="str">
        <f>IFERROR(_xlfn.XLOOKUP($A303,'Raw Data'!$G:$G,'Raw Data'!AD:AD),"")</f>
        <v/>
      </c>
      <c r="L303" s="90" t="str">
        <f>IFERROR(_xlfn.XLOOKUP($A303,'Raw Data'!$G:$G,'Raw Data'!AE:AE),"")</f>
        <v/>
      </c>
      <c r="M303" s="90" t="str">
        <f>IFERROR(_xlfn.XLOOKUP($A303,'Raw Data'!$G:$G,'Raw Data'!AF:AF),"")</f>
        <v/>
      </c>
      <c r="N303" s="90" t="str">
        <f>IFERROR(_xlfn.XLOOKUP($A303,'Raw Data'!$G:$G,'Raw Data'!AG:AG),"")</f>
        <v/>
      </c>
      <c r="O303" s="85" t="str">
        <f>IFERROR(1-SUMIF('Plant BD'!$B:$B,$A303,'Plant BD'!$AM:$AM)/($AA303+SUMIF('Plant BD'!$B:$B,$A303,'Plant BD'!$AM:$AM)),"")</f>
        <v/>
      </c>
      <c r="P303" s="85"/>
      <c r="Q303" s="89"/>
      <c r="R303" s="85" t="str">
        <f>IFERROR(1-SUMIF('Grid BD'!$B:$B,$A303,'Grid BD'!$AE:$AE)/($AA303+SUMIF('Grid BD'!$B:$B,$A303,'Grid BD'!$AE:$AE)),"")</f>
        <v/>
      </c>
      <c r="T303" s="89"/>
      <c r="U303" s="88" t="str">
        <f t="shared" si="17"/>
        <v/>
      </c>
      <c r="V303" s="88"/>
      <c r="W303" s="84" t="str">
        <f t="shared" ref="W303:W366" si="20">IFERROR(AA303/(24*AB303*1000),"")</f>
        <v/>
      </c>
      <c r="X303" s="86" t="str">
        <f>IFERROR(_xlfn.XLOOKUP($A303,'Raw Data'!$G:$G,'Raw Data'!AI:AI),"")</f>
        <v/>
      </c>
      <c r="Y303" s="86" t="str">
        <f>IFERROR(_xlfn.XLOOKUP($A303,'Raw Data'!$G:$G,'Raw Data'!AJ:AJ),"")</f>
        <v/>
      </c>
      <c r="Z303" s="86" t="str">
        <f>IFERROR(_xlfn.XLOOKUP($A303,'Raw Data'!$G:$G,'Raw Data'!AK:AK),"")</f>
        <v/>
      </c>
      <c r="AA303" s="86" t="str">
        <f>IFERROR(_xlfn.XLOOKUP($A303,'Raw Data'!$G:$G,'Raw Data'!$AL:$AL)*(1+(_xlfn.XLOOKUP(Table13[[#This Row],[Month Year]],JMR!$A:$A,JMR!$J:$J))),"")</f>
        <v/>
      </c>
      <c r="AB303" s="86" t="str">
        <f>IFERROR(_xlfn.XLOOKUP($A303,'Raw Data'!$G:$G,'Raw Data'!$H:$H),"")</f>
        <v/>
      </c>
      <c r="AC303" s="87">
        <f>IFERROR(_xlfn.XLOOKUP($D303,'Modelling New'!$D:$D,'Modelling New'!$P:$P),"")</f>
        <v>5.9580645161290322</v>
      </c>
      <c r="AD303" s="86">
        <f>IFERROR(_xlfn.XLOOKUP($D303,'Modelling New'!$D:$D,'Modelling New'!$T:$T)*1000,"")</f>
        <v>30513.985528225832</v>
      </c>
      <c r="AE303" s="94">
        <f>IFERROR(_xlfn.XLOOKUP($D303,'Modelling New'!$D:$D,'Modelling New'!$O:$O),"")</f>
        <v>0.72141359604684618</v>
      </c>
      <c r="AF303" s="94">
        <f>IFERROR(_xlfn.XLOOKUP($D303,'Modelling New'!$D:$D,'Modelling New'!$W:$W),"")</f>
        <v>0.1790928645024899</v>
      </c>
      <c r="AG303" s="94">
        <f>IFERROR(_xlfn.XLOOKUP($D303,'Modelling New'!$D:$D,'Modelling New'!$AE:$AE),"")</f>
        <v>0.98040000000000005</v>
      </c>
      <c r="AH303" s="94">
        <f>IFERROR(_xlfn.XLOOKUP($D303,'Modelling New'!$D:$D,'Modelling New'!$AF:$AF),"")</f>
        <v>0.98</v>
      </c>
      <c r="AN303" s="85"/>
      <c r="AO303" s="84"/>
      <c r="AP303" s="84"/>
      <c r="AQ303" s="84"/>
      <c r="AR303" s="86">
        <f>'Basic Data'!$J$2</f>
        <v>7.0991999999999997</v>
      </c>
      <c r="AT303" s="7" t="str">
        <f>IFERROR(_xlfn.XLOOKUP(Table13[[#This Row],[Date]],'Raw Data'!$E:$E,'Raw Data'!$AN:$AN),"")</f>
        <v/>
      </c>
      <c r="AU303" s="7">
        <f>IFERROR(_xlfn.XLOOKUP(Table13[[#This Row],[Month Year]],'Modelling New'!$D:$D,'Modelling New'!$AO:$AO),"")</f>
        <v>7</v>
      </c>
      <c r="AV303" s="7">
        <f>IFERROR(SUMIF('Curtailment Records'!$C:$C,Table13[[#This Row],[Date]],'Curtailment Records'!$R:$R)/1000,"")</f>
        <v>0</v>
      </c>
    </row>
    <row r="304" spans="1:48" x14ac:dyDescent="0.25">
      <c r="A304" s="93">
        <f t="shared" si="18"/>
        <v>46047</v>
      </c>
      <c r="B304" s="86">
        <f>YEAR(Table13[[#This Row],[Date]])+IF(MONTH(Table13[[#This Row],[Date]])&gt;=4,1,0)</f>
        <v>2026</v>
      </c>
      <c r="C304" s="7">
        <f>YEAR(Table13[[#This Row],[Date]])</f>
        <v>2026</v>
      </c>
      <c r="D304" s="92">
        <f>Table13[[#This Row],[Date]]-DAY(Table13[[#This Row],[Date]])+1</f>
        <v>46023</v>
      </c>
      <c r="E304" s="7">
        <f t="shared" si="19"/>
        <v>31</v>
      </c>
      <c r="F304" s="91" t="str">
        <f>IFERROR(_xlfn.XLOOKUP($A304,'Raw Data'!$G:$G,'Raw Data'!$AM:$AM),"")</f>
        <v/>
      </c>
      <c r="G304" s="90" t="str">
        <f>IFERROR(_xlfn.XLOOKUP($A304,'Raw Data'!$G:$G,'Raw Data'!$AB:$AB),"")</f>
        <v/>
      </c>
      <c r="H304" s="90"/>
      <c r="I304" s="90" t="str">
        <f>IFERROR(_xlfn.XLOOKUP($A304,'Raw Data'!$G:$G,'Raw Data'!$AC:$AC),"")</f>
        <v/>
      </c>
      <c r="J304" s="90"/>
      <c r="K304" s="90" t="str">
        <f>IFERROR(_xlfn.XLOOKUP($A304,'Raw Data'!$G:$G,'Raw Data'!AD:AD),"")</f>
        <v/>
      </c>
      <c r="L304" s="90" t="str">
        <f>IFERROR(_xlfn.XLOOKUP($A304,'Raw Data'!$G:$G,'Raw Data'!AE:AE),"")</f>
        <v/>
      </c>
      <c r="M304" s="90" t="str">
        <f>IFERROR(_xlfn.XLOOKUP($A304,'Raw Data'!$G:$G,'Raw Data'!AF:AF),"")</f>
        <v/>
      </c>
      <c r="N304" s="90" t="str">
        <f>IFERROR(_xlfn.XLOOKUP($A304,'Raw Data'!$G:$G,'Raw Data'!AG:AG),"")</f>
        <v/>
      </c>
      <c r="O304" s="85" t="str">
        <f>IFERROR(1-SUMIF('Plant BD'!$B:$B,$A304,'Plant BD'!$AM:$AM)/($AA304+SUMIF('Plant BD'!$B:$B,$A304,'Plant BD'!$AM:$AM)),"")</f>
        <v/>
      </c>
      <c r="P304" s="85"/>
      <c r="Q304" s="89"/>
      <c r="R304" s="85" t="str">
        <f>IFERROR(1-SUMIF('Grid BD'!$B:$B,$A304,'Grid BD'!$AE:$AE)/($AA304+SUMIF('Grid BD'!$B:$B,$A304,'Grid BD'!$AE:$AE)),"")</f>
        <v/>
      </c>
      <c r="T304" s="89"/>
      <c r="U304" s="88" t="str">
        <f t="shared" si="17"/>
        <v/>
      </c>
      <c r="V304" s="88"/>
      <c r="W304" s="84" t="str">
        <f t="shared" si="20"/>
        <v/>
      </c>
      <c r="X304" s="86" t="str">
        <f>IFERROR(_xlfn.XLOOKUP($A304,'Raw Data'!$G:$G,'Raw Data'!AI:AI),"")</f>
        <v/>
      </c>
      <c r="Y304" s="86" t="str">
        <f>IFERROR(_xlfn.XLOOKUP($A304,'Raw Data'!$G:$G,'Raw Data'!AJ:AJ),"")</f>
        <v/>
      </c>
      <c r="Z304" s="86" t="str">
        <f>IFERROR(_xlfn.XLOOKUP($A304,'Raw Data'!$G:$G,'Raw Data'!AK:AK),"")</f>
        <v/>
      </c>
      <c r="AA304" s="86" t="str">
        <f>IFERROR(_xlfn.XLOOKUP($A304,'Raw Data'!$G:$G,'Raw Data'!$AL:$AL)*(1+(_xlfn.XLOOKUP(Table13[[#This Row],[Month Year]],JMR!$A:$A,JMR!$J:$J))),"")</f>
        <v/>
      </c>
      <c r="AB304" s="86" t="str">
        <f>IFERROR(_xlfn.XLOOKUP($A304,'Raw Data'!$G:$G,'Raw Data'!$H:$H),"")</f>
        <v/>
      </c>
      <c r="AC304" s="87">
        <f>IFERROR(_xlfn.XLOOKUP($D304,'Modelling New'!$D:$D,'Modelling New'!$P:$P),"")</f>
        <v>5.9580645161290322</v>
      </c>
      <c r="AD304" s="86">
        <f>IFERROR(_xlfn.XLOOKUP($D304,'Modelling New'!$D:$D,'Modelling New'!$T:$T)*1000,"")</f>
        <v>30513.985528225832</v>
      </c>
      <c r="AE304" s="94">
        <f>IFERROR(_xlfn.XLOOKUP($D304,'Modelling New'!$D:$D,'Modelling New'!$O:$O),"")</f>
        <v>0.72141359604684618</v>
      </c>
      <c r="AF304" s="94">
        <f>IFERROR(_xlfn.XLOOKUP($D304,'Modelling New'!$D:$D,'Modelling New'!$W:$W),"")</f>
        <v>0.1790928645024899</v>
      </c>
      <c r="AG304" s="94">
        <f>IFERROR(_xlfn.XLOOKUP($D304,'Modelling New'!$D:$D,'Modelling New'!$AE:$AE),"")</f>
        <v>0.98040000000000005</v>
      </c>
      <c r="AH304" s="94">
        <f>IFERROR(_xlfn.XLOOKUP($D304,'Modelling New'!$D:$D,'Modelling New'!$AF:$AF),"")</f>
        <v>0.98</v>
      </c>
      <c r="AN304" s="85"/>
      <c r="AO304" s="84"/>
      <c r="AP304" s="84"/>
      <c r="AQ304" s="84"/>
      <c r="AR304" s="86">
        <f>'Basic Data'!$J$2</f>
        <v>7.0991999999999997</v>
      </c>
      <c r="AT304" s="7" t="str">
        <f>IFERROR(_xlfn.XLOOKUP(Table13[[#This Row],[Date]],'Raw Data'!$E:$E,'Raw Data'!$AN:$AN),"")</f>
        <v/>
      </c>
      <c r="AU304" s="7">
        <f>IFERROR(_xlfn.XLOOKUP(Table13[[#This Row],[Month Year]],'Modelling New'!$D:$D,'Modelling New'!$AO:$AO),"")</f>
        <v>7</v>
      </c>
      <c r="AV304" s="7">
        <f>IFERROR(SUMIF('Curtailment Records'!$C:$C,Table13[[#This Row],[Date]],'Curtailment Records'!$R:$R)/1000,"")</f>
        <v>0</v>
      </c>
    </row>
    <row r="305" spans="1:48" x14ac:dyDescent="0.25">
      <c r="A305" s="93">
        <f t="shared" si="18"/>
        <v>46048</v>
      </c>
      <c r="B305" s="86">
        <f>YEAR(Table13[[#This Row],[Date]])+IF(MONTH(Table13[[#This Row],[Date]])&gt;=4,1,0)</f>
        <v>2026</v>
      </c>
      <c r="C305" s="7">
        <f>YEAR(Table13[[#This Row],[Date]])</f>
        <v>2026</v>
      </c>
      <c r="D305" s="92">
        <f>Table13[[#This Row],[Date]]-DAY(Table13[[#This Row],[Date]])+1</f>
        <v>46023</v>
      </c>
      <c r="E305" s="7">
        <f t="shared" si="19"/>
        <v>31</v>
      </c>
      <c r="F305" s="91" t="str">
        <f>IFERROR(_xlfn.XLOOKUP($A305,'Raw Data'!$G:$G,'Raw Data'!$AM:$AM),"")</f>
        <v/>
      </c>
      <c r="G305" s="90" t="str">
        <f>IFERROR(_xlfn.XLOOKUP($A305,'Raw Data'!$G:$G,'Raw Data'!$AB:$AB),"")</f>
        <v/>
      </c>
      <c r="H305" s="90"/>
      <c r="I305" s="90" t="str">
        <f>IFERROR(_xlfn.XLOOKUP($A305,'Raw Data'!$G:$G,'Raw Data'!$AC:$AC),"")</f>
        <v/>
      </c>
      <c r="J305" s="90"/>
      <c r="K305" s="90" t="str">
        <f>IFERROR(_xlfn.XLOOKUP($A305,'Raw Data'!$G:$G,'Raw Data'!AD:AD),"")</f>
        <v/>
      </c>
      <c r="L305" s="90" t="str">
        <f>IFERROR(_xlfn.XLOOKUP($A305,'Raw Data'!$G:$G,'Raw Data'!AE:AE),"")</f>
        <v/>
      </c>
      <c r="M305" s="90" t="str">
        <f>IFERROR(_xlfn.XLOOKUP($A305,'Raw Data'!$G:$G,'Raw Data'!AF:AF),"")</f>
        <v/>
      </c>
      <c r="N305" s="90" t="str">
        <f>IFERROR(_xlfn.XLOOKUP($A305,'Raw Data'!$G:$G,'Raw Data'!AG:AG),"")</f>
        <v/>
      </c>
      <c r="O305" s="85" t="str">
        <f>IFERROR(1-SUMIF('Plant BD'!$B:$B,$A305,'Plant BD'!$AM:$AM)/($AA305+SUMIF('Plant BD'!$B:$B,$A305,'Plant BD'!$AM:$AM)),"")</f>
        <v/>
      </c>
      <c r="P305" s="85"/>
      <c r="Q305" s="89"/>
      <c r="R305" s="85" t="str">
        <f>IFERROR(1-SUMIF('Grid BD'!$B:$B,$A305,'Grid BD'!$AE:$AE)/($AA305+SUMIF('Grid BD'!$B:$B,$A305,'Grid BD'!$AE:$AE)),"")</f>
        <v/>
      </c>
      <c r="T305" s="89"/>
      <c r="U305" s="88" t="str">
        <f t="shared" si="17"/>
        <v/>
      </c>
      <c r="V305" s="88"/>
      <c r="W305" s="84" t="str">
        <f t="shared" si="20"/>
        <v/>
      </c>
      <c r="X305" s="86" t="str">
        <f>IFERROR(_xlfn.XLOOKUP($A305,'Raw Data'!$G:$G,'Raw Data'!AI:AI),"")</f>
        <v/>
      </c>
      <c r="Y305" s="86" t="str">
        <f>IFERROR(_xlfn.XLOOKUP($A305,'Raw Data'!$G:$G,'Raw Data'!AJ:AJ),"")</f>
        <v/>
      </c>
      <c r="Z305" s="86" t="str">
        <f>IFERROR(_xlfn.XLOOKUP($A305,'Raw Data'!$G:$G,'Raw Data'!AK:AK),"")</f>
        <v/>
      </c>
      <c r="AA305" s="86" t="str">
        <f>IFERROR(_xlfn.XLOOKUP($A305,'Raw Data'!$G:$G,'Raw Data'!$AL:$AL)*(1+(_xlfn.XLOOKUP(Table13[[#This Row],[Month Year]],JMR!$A:$A,JMR!$J:$J))),"")</f>
        <v/>
      </c>
      <c r="AB305" s="86" t="str">
        <f>IFERROR(_xlfn.XLOOKUP($A305,'Raw Data'!$G:$G,'Raw Data'!$H:$H),"")</f>
        <v/>
      </c>
      <c r="AC305" s="87">
        <f>IFERROR(_xlfn.XLOOKUP($D305,'Modelling New'!$D:$D,'Modelling New'!$P:$P),"")</f>
        <v>5.9580645161290322</v>
      </c>
      <c r="AD305" s="86">
        <f>IFERROR(_xlfn.XLOOKUP($D305,'Modelling New'!$D:$D,'Modelling New'!$T:$T)*1000,"")</f>
        <v>30513.985528225832</v>
      </c>
      <c r="AE305" s="94">
        <f>IFERROR(_xlfn.XLOOKUP($D305,'Modelling New'!$D:$D,'Modelling New'!$O:$O),"")</f>
        <v>0.72141359604684618</v>
      </c>
      <c r="AF305" s="94">
        <f>IFERROR(_xlfn.XLOOKUP($D305,'Modelling New'!$D:$D,'Modelling New'!$W:$W),"")</f>
        <v>0.1790928645024899</v>
      </c>
      <c r="AG305" s="94">
        <f>IFERROR(_xlfn.XLOOKUP($D305,'Modelling New'!$D:$D,'Modelling New'!$AE:$AE),"")</f>
        <v>0.98040000000000005</v>
      </c>
      <c r="AH305" s="94">
        <f>IFERROR(_xlfn.XLOOKUP($D305,'Modelling New'!$D:$D,'Modelling New'!$AF:$AF),"")</f>
        <v>0.98</v>
      </c>
      <c r="AN305" s="85"/>
      <c r="AO305" s="84"/>
      <c r="AP305" s="84"/>
      <c r="AQ305" s="84"/>
      <c r="AR305" s="86">
        <f>'Basic Data'!$J$2</f>
        <v>7.0991999999999997</v>
      </c>
      <c r="AT305" s="7" t="str">
        <f>IFERROR(_xlfn.XLOOKUP(Table13[[#This Row],[Date]],'Raw Data'!$E:$E,'Raw Data'!$AN:$AN),"")</f>
        <v/>
      </c>
      <c r="AU305" s="7">
        <f>IFERROR(_xlfn.XLOOKUP(Table13[[#This Row],[Month Year]],'Modelling New'!$D:$D,'Modelling New'!$AO:$AO),"")</f>
        <v>7</v>
      </c>
      <c r="AV305" s="7">
        <f>IFERROR(SUMIF('Curtailment Records'!$C:$C,Table13[[#This Row],[Date]],'Curtailment Records'!$R:$R)/1000,"")</f>
        <v>0</v>
      </c>
    </row>
    <row r="306" spans="1:48" x14ac:dyDescent="0.25">
      <c r="A306" s="93">
        <f t="shared" si="18"/>
        <v>46049</v>
      </c>
      <c r="B306" s="86">
        <f>YEAR(Table13[[#This Row],[Date]])+IF(MONTH(Table13[[#This Row],[Date]])&gt;=4,1,0)</f>
        <v>2026</v>
      </c>
      <c r="C306" s="7">
        <f>YEAR(Table13[[#This Row],[Date]])</f>
        <v>2026</v>
      </c>
      <c r="D306" s="92">
        <f>Table13[[#This Row],[Date]]-DAY(Table13[[#This Row],[Date]])+1</f>
        <v>46023</v>
      </c>
      <c r="E306" s="7">
        <f t="shared" si="19"/>
        <v>31</v>
      </c>
      <c r="F306" s="91" t="str">
        <f>IFERROR(_xlfn.XLOOKUP($A306,'Raw Data'!$G:$G,'Raw Data'!$AM:$AM),"")</f>
        <v/>
      </c>
      <c r="G306" s="90" t="str">
        <f>IFERROR(_xlfn.XLOOKUP($A306,'Raw Data'!$G:$G,'Raw Data'!$AB:$AB),"")</f>
        <v/>
      </c>
      <c r="H306" s="90"/>
      <c r="I306" s="90" t="str">
        <f>IFERROR(_xlfn.XLOOKUP($A306,'Raw Data'!$G:$G,'Raw Data'!$AC:$AC),"")</f>
        <v/>
      </c>
      <c r="J306" s="90"/>
      <c r="K306" s="90" t="str">
        <f>IFERROR(_xlfn.XLOOKUP($A306,'Raw Data'!$G:$G,'Raw Data'!AD:AD),"")</f>
        <v/>
      </c>
      <c r="L306" s="90" t="str">
        <f>IFERROR(_xlfn.XLOOKUP($A306,'Raw Data'!$G:$G,'Raw Data'!AE:AE),"")</f>
        <v/>
      </c>
      <c r="M306" s="90" t="str">
        <f>IFERROR(_xlfn.XLOOKUP($A306,'Raw Data'!$G:$G,'Raw Data'!AF:AF),"")</f>
        <v/>
      </c>
      <c r="N306" s="90" t="str">
        <f>IFERROR(_xlfn.XLOOKUP($A306,'Raw Data'!$G:$G,'Raw Data'!AG:AG),"")</f>
        <v/>
      </c>
      <c r="O306" s="85" t="str">
        <f>IFERROR(1-SUMIF('Plant BD'!$B:$B,$A306,'Plant BD'!$AM:$AM)/($AA306+SUMIF('Plant BD'!$B:$B,$A306,'Plant BD'!$AM:$AM)),"")</f>
        <v/>
      </c>
      <c r="P306" s="85"/>
      <c r="Q306" s="89"/>
      <c r="R306" s="85" t="str">
        <f>IFERROR(1-SUMIF('Grid BD'!$B:$B,$A306,'Grid BD'!$AE:$AE)/($AA306+SUMIF('Grid BD'!$B:$B,$A306,'Grid BD'!$AE:$AE)),"")</f>
        <v/>
      </c>
      <c r="T306" s="89"/>
      <c r="U306" s="88" t="str">
        <f t="shared" si="17"/>
        <v/>
      </c>
      <c r="V306" s="88"/>
      <c r="W306" s="84" t="str">
        <f t="shared" si="20"/>
        <v/>
      </c>
      <c r="X306" s="86" t="str">
        <f>IFERROR(_xlfn.XLOOKUP($A306,'Raw Data'!$G:$G,'Raw Data'!AI:AI),"")</f>
        <v/>
      </c>
      <c r="Y306" s="86" t="str">
        <f>IFERROR(_xlfn.XLOOKUP($A306,'Raw Data'!$G:$G,'Raw Data'!AJ:AJ),"")</f>
        <v/>
      </c>
      <c r="Z306" s="86" t="str">
        <f>IFERROR(_xlfn.XLOOKUP($A306,'Raw Data'!$G:$G,'Raw Data'!AK:AK),"")</f>
        <v/>
      </c>
      <c r="AA306" s="86" t="str">
        <f>IFERROR(_xlfn.XLOOKUP($A306,'Raw Data'!$G:$G,'Raw Data'!$AL:$AL)*(1+(_xlfn.XLOOKUP(Table13[[#This Row],[Month Year]],JMR!$A:$A,JMR!$J:$J))),"")</f>
        <v/>
      </c>
      <c r="AB306" s="86" t="str">
        <f>IFERROR(_xlfn.XLOOKUP($A306,'Raw Data'!$G:$G,'Raw Data'!$H:$H),"")</f>
        <v/>
      </c>
      <c r="AC306" s="87">
        <f>IFERROR(_xlfn.XLOOKUP($D306,'Modelling New'!$D:$D,'Modelling New'!$P:$P),"")</f>
        <v>5.9580645161290322</v>
      </c>
      <c r="AD306" s="86">
        <f>IFERROR(_xlfn.XLOOKUP($D306,'Modelling New'!$D:$D,'Modelling New'!$T:$T)*1000,"")</f>
        <v>30513.985528225832</v>
      </c>
      <c r="AE306" s="94">
        <f>IFERROR(_xlfn.XLOOKUP($D306,'Modelling New'!$D:$D,'Modelling New'!$O:$O),"")</f>
        <v>0.72141359604684618</v>
      </c>
      <c r="AF306" s="94">
        <f>IFERROR(_xlfn.XLOOKUP($D306,'Modelling New'!$D:$D,'Modelling New'!$W:$W),"")</f>
        <v>0.1790928645024899</v>
      </c>
      <c r="AG306" s="94">
        <f>IFERROR(_xlfn.XLOOKUP($D306,'Modelling New'!$D:$D,'Modelling New'!$AE:$AE),"")</f>
        <v>0.98040000000000005</v>
      </c>
      <c r="AH306" s="94">
        <f>IFERROR(_xlfn.XLOOKUP($D306,'Modelling New'!$D:$D,'Modelling New'!$AF:$AF),"")</f>
        <v>0.98</v>
      </c>
      <c r="AN306" s="85"/>
      <c r="AO306" s="84"/>
      <c r="AP306" s="84"/>
      <c r="AQ306" s="84"/>
      <c r="AR306" s="86">
        <f>'Basic Data'!$J$2</f>
        <v>7.0991999999999997</v>
      </c>
      <c r="AT306" s="7" t="str">
        <f>IFERROR(_xlfn.XLOOKUP(Table13[[#This Row],[Date]],'Raw Data'!$E:$E,'Raw Data'!$AN:$AN),"")</f>
        <v/>
      </c>
      <c r="AU306" s="7">
        <f>IFERROR(_xlfn.XLOOKUP(Table13[[#This Row],[Month Year]],'Modelling New'!$D:$D,'Modelling New'!$AO:$AO),"")</f>
        <v>7</v>
      </c>
      <c r="AV306" s="7">
        <f>IFERROR(SUMIF('Curtailment Records'!$C:$C,Table13[[#This Row],[Date]],'Curtailment Records'!$R:$R)/1000,"")</f>
        <v>0</v>
      </c>
    </row>
    <row r="307" spans="1:48" x14ac:dyDescent="0.25">
      <c r="A307" s="93">
        <f t="shared" si="18"/>
        <v>46050</v>
      </c>
      <c r="B307" s="86">
        <f>YEAR(Table13[[#This Row],[Date]])+IF(MONTH(Table13[[#This Row],[Date]])&gt;=4,1,0)</f>
        <v>2026</v>
      </c>
      <c r="C307" s="7">
        <f>YEAR(Table13[[#This Row],[Date]])</f>
        <v>2026</v>
      </c>
      <c r="D307" s="92">
        <f>Table13[[#This Row],[Date]]-DAY(Table13[[#This Row],[Date]])+1</f>
        <v>46023</v>
      </c>
      <c r="E307" s="7">
        <f t="shared" si="19"/>
        <v>31</v>
      </c>
      <c r="F307" s="91" t="str">
        <f>IFERROR(_xlfn.XLOOKUP($A307,'Raw Data'!$G:$G,'Raw Data'!$AM:$AM),"")</f>
        <v/>
      </c>
      <c r="G307" s="90" t="str">
        <f>IFERROR(_xlfn.XLOOKUP($A307,'Raw Data'!$G:$G,'Raw Data'!$AB:$AB),"")</f>
        <v/>
      </c>
      <c r="H307" s="90"/>
      <c r="I307" s="90" t="str">
        <f>IFERROR(_xlfn.XLOOKUP($A307,'Raw Data'!$G:$G,'Raw Data'!$AC:$AC),"")</f>
        <v/>
      </c>
      <c r="J307" s="90"/>
      <c r="K307" s="90" t="str">
        <f>IFERROR(_xlfn.XLOOKUP($A307,'Raw Data'!$G:$G,'Raw Data'!AD:AD),"")</f>
        <v/>
      </c>
      <c r="L307" s="90" t="str">
        <f>IFERROR(_xlfn.XLOOKUP($A307,'Raw Data'!$G:$G,'Raw Data'!AE:AE),"")</f>
        <v/>
      </c>
      <c r="M307" s="90" t="str">
        <f>IFERROR(_xlfn.XLOOKUP($A307,'Raw Data'!$G:$G,'Raw Data'!AF:AF),"")</f>
        <v/>
      </c>
      <c r="N307" s="90" t="str">
        <f>IFERROR(_xlfn.XLOOKUP($A307,'Raw Data'!$G:$G,'Raw Data'!AG:AG),"")</f>
        <v/>
      </c>
      <c r="O307" s="85" t="str">
        <f>IFERROR(1-SUMIF('Plant BD'!$B:$B,$A307,'Plant BD'!$AM:$AM)/($AA307+SUMIF('Plant BD'!$B:$B,$A307,'Plant BD'!$AM:$AM)),"")</f>
        <v/>
      </c>
      <c r="P307" s="85"/>
      <c r="Q307" s="89"/>
      <c r="R307" s="85" t="str">
        <f>IFERROR(1-SUMIF('Grid BD'!$B:$B,$A307,'Grid BD'!$AE:$AE)/($AA307+SUMIF('Grid BD'!$B:$B,$A307,'Grid BD'!$AE:$AE)),"")</f>
        <v/>
      </c>
      <c r="T307" s="89"/>
      <c r="U307" s="88" t="str">
        <f t="shared" si="17"/>
        <v/>
      </c>
      <c r="V307" s="88"/>
      <c r="W307" s="84" t="str">
        <f t="shared" si="20"/>
        <v/>
      </c>
      <c r="X307" s="86" t="str">
        <f>IFERROR(_xlfn.XLOOKUP($A307,'Raw Data'!$G:$G,'Raw Data'!AI:AI),"")</f>
        <v/>
      </c>
      <c r="Y307" s="86" t="str">
        <f>IFERROR(_xlfn.XLOOKUP($A307,'Raw Data'!$G:$G,'Raw Data'!AJ:AJ),"")</f>
        <v/>
      </c>
      <c r="Z307" s="86" t="str">
        <f>IFERROR(_xlfn.XLOOKUP($A307,'Raw Data'!$G:$G,'Raw Data'!AK:AK),"")</f>
        <v/>
      </c>
      <c r="AA307" s="86" t="str">
        <f>IFERROR(_xlfn.XLOOKUP($A307,'Raw Data'!$G:$G,'Raw Data'!$AL:$AL)*(1+(_xlfn.XLOOKUP(Table13[[#This Row],[Month Year]],JMR!$A:$A,JMR!$J:$J))),"")</f>
        <v/>
      </c>
      <c r="AB307" s="86" t="str">
        <f>IFERROR(_xlfn.XLOOKUP($A307,'Raw Data'!$G:$G,'Raw Data'!$H:$H),"")</f>
        <v/>
      </c>
      <c r="AC307" s="87">
        <f>IFERROR(_xlfn.XLOOKUP($D307,'Modelling New'!$D:$D,'Modelling New'!$P:$P),"")</f>
        <v>5.9580645161290322</v>
      </c>
      <c r="AD307" s="86">
        <f>IFERROR(_xlfn.XLOOKUP($D307,'Modelling New'!$D:$D,'Modelling New'!$T:$T)*1000,"")</f>
        <v>30513.985528225832</v>
      </c>
      <c r="AE307" s="94">
        <f>IFERROR(_xlfn.XLOOKUP($D307,'Modelling New'!$D:$D,'Modelling New'!$O:$O),"")</f>
        <v>0.72141359604684618</v>
      </c>
      <c r="AF307" s="94">
        <f>IFERROR(_xlfn.XLOOKUP($D307,'Modelling New'!$D:$D,'Modelling New'!$W:$W),"")</f>
        <v>0.1790928645024899</v>
      </c>
      <c r="AG307" s="94">
        <f>IFERROR(_xlfn.XLOOKUP($D307,'Modelling New'!$D:$D,'Modelling New'!$AE:$AE),"")</f>
        <v>0.98040000000000005</v>
      </c>
      <c r="AH307" s="94">
        <f>IFERROR(_xlfn.XLOOKUP($D307,'Modelling New'!$D:$D,'Modelling New'!$AF:$AF),"")</f>
        <v>0.98</v>
      </c>
      <c r="AN307" s="85"/>
      <c r="AO307" s="84"/>
      <c r="AP307" s="84"/>
      <c r="AQ307" s="84"/>
      <c r="AR307" s="86">
        <f>'Basic Data'!$J$2</f>
        <v>7.0991999999999997</v>
      </c>
      <c r="AT307" s="7" t="str">
        <f>IFERROR(_xlfn.XLOOKUP(Table13[[#This Row],[Date]],'Raw Data'!$E:$E,'Raw Data'!$AN:$AN),"")</f>
        <v/>
      </c>
      <c r="AU307" s="7">
        <f>IFERROR(_xlfn.XLOOKUP(Table13[[#This Row],[Month Year]],'Modelling New'!$D:$D,'Modelling New'!$AO:$AO),"")</f>
        <v>7</v>
      </c>
      <c r="AV307" s="7">
        <f>IFERROR(SUMIF('Curtailment Records'!$C:$C,Table13[[#This Row],[Date]],'Curtailment Records'!$R:$R)/1000,"")</f>
        <v>0</v>
      </c>
    </row>
    <row r="308" spans="1:48" x14ac:dyDescent="0.25">
      <c r="A308" s="93">
        <f t="shared" si="18"/>
        <v>46051</v>
      </c>
      <c r="B308" s="86">
        <f>YEAR(Table13[[#This Row],[Date]])+IF(MONTH(Table13[[#This Row],[Date]])&gt;=4,1,0)</f>
        <v>2026</v>
      </c>
      <c r="C308" s="7">
        <f>YEAR(Table13[[#This Row],[Date]])</f>
        <v>2026</v>
      </c>
      <c r="D308" s="92">
        <f>Table13[[#This Row],[Date]]-DAY(Table13[[#This Row],[Date]])+1</f>
        <v>46023</v>
      </c>
      <c r="E308" s="7">
        <f t="shared" si="19"/>
        <v>31</v>
      </c>
      <c r="F308" s="91" t="str">
        <f>IFERROR(_xlfn.XLOOKUP($A308,'Raw Data'!$G:$G,'Raw Data'!$AM:$AM),"")</f>
        <v/>
      </c>
      <c r="G308" s="90" t="str">
        <f>IFERROR(_xlfn.XLOOKUP($A308,'Raw Data'!$G:$G,'Raw Data'!$AB:$AB),"")</f>
        <v/>
      </c>
      <c r="H308" s="90"/>
      <c r="I308" s="90" t="str">
        <f>IFERROR(_xlfn.XLOOKUP($A308,'Raw Data'!$G:$G,'Raw Data'!$AC:$AC),"")</f>
        <v/>
      </c>
      <c r="J308" s="90"/>
      <c r="K308" s="90" t="str">
        <f>IFERROR(_xlfn.XLOOKUP($A308,'Raw Data'!$G:$G,'Raw Data'!AD:AD),"")</f>
        <v/>
      </c>
      <c r="L308" s="90" t="str">
        <f>IFERROR(_xlfn.XLOOKUP($A308,'Raw Data'!$G:$G,'Raw Data'!AE:AE),"")</f>
        <v/>
      </c>
      <c r="M308" s="90" t="str">
        <f>IFERROR(_xlfn.XLOOKUP($A308,'Raw Data'!$G:$G,'Raw Data'!AF:AF),"")</f>
        <v/>
      </c>
      <c r="N308" s="90" t="str">
        <f>IFERROR(_xlfn.XLOOKUP($A308,'Raw Data'!$G:$G,'Raw Data'!AG:AG),"")</f>
        <v/>
      </c>
      <c r="O308" s="85" t="str">
        <f>IFERROR(1-SUMIF('Plant BD'!$B:$B,$A308,'Plant BD'!$AM:$AM)/($AA308+SUMIF('Plant BD'!$B:$B,$A308,'Plant BD'!$AM:$AM)),"")</f>
        <v/>
      </c>
      <c r="P308" s="85"/>
      <c r="Q308" s="89"/>
      <c r="R308" s="85" t="str">
        <f>IFERROR(1-SUMIF('Grid BD'!$B:$B,$A308,'Grid BD'!$AE:$AE)/($AA308+SUMIF('Grid BD'!$B:$B,$A308,'Grid BD'!$AE:$AE)),"")</f>
        <v/>
      </c>
      <c r="T308" s="89"/>
      <c r="U308" s="88" t="str">
        <f t="shared" si="17"/>
        <v/>
      </c>
      <c r="V308" s="88"/>
      <c r="W308" s="84" t="str">
        <f t="shared" si="20"/>
        <v/>
      </c>
      <c r="X308" s="86" t="str">
        <f>IFERROR(_xlfn.XLOOKUP($A308,'Raw Data'!$G:$G,'Raw Data'!AI:AI),"")</f>
        <v/>
      </c>
      <c r="Y308" s="86" t="str">
        <f>IFERROR(_xlfn.XLOOKUP($A308,'Raw Data'!$G:$G,'Raw Data'!AJ:AJ),"")</f>
        <v/>
      </c>
      <c r="Z308" s="86" t="str">
        <f>IFERROR(_xlfn.XLOOKUP($A308,'Raw Data'!$G:$G,'Raw Data'!AK:AK),"")</f>
        <v/>
      </c>
      <c r="AA308" s="86" t="str">
        <f>IFERROR(_xlfn.XLOOKUP($A308,'Raw Data'!$G:$G,'Raw Data'!$AL:$AL)*(1+(_xlfn.XLOOKUP(Table13[[#This Row],[Month Year]],JMR!$A:$A,JMR!$J:$J))),"")</f>
        <v/>
      </c>
      <c r="AB308" s="86" t="str">
        <f>IFERROR(_xlfn.XLOOKUP($A308,'Raw Data'!$G:$G,'Raw Data'!$H:$H),"")</f>
        <v/>
      </c>
      <c r="AC308" s="87">
        <f>IFERROR(_xlfn.XLOOKUP($D308,'Modelling New'!$D:$D,'Modelling New'!$P:$P),"")</f>
        <v>5.9580645161290322</v>
      </c>
      <c r="AD308" s="86">
        <f>IFERROR(_xlfn.XLOOKUP($D308,'Modelling New'!$D:$D,'Modelling New'!$T:$T)*1000,"")</f>
        <v>30513.985528225832</v>
      </c>
      <c r="AE308" s="94">
        <f>IFERROR(_xlfn.XLOOKUP($D308,'Modelling New'!$D:$D,'Modelling New'!$O:$O),"")</f>
        <v>0.72141359604684618</v>
      </c>
      <c r="AF308" s="94">
        <f>IFERROR(_xlfn.XLOOKUP($D308,'Modelling New'!$D:$D,'Modelling New'!$W:$W),"")</f>
        <v>0.1790928645024899</v>
      </c>
      <c r="AG308" s="94">
        <f>IFERROR(_xlfn.XLOOKUP($D308,'Modelling New'!$D:$D,'Modelling New'!$AE:$AE),"")</f>
        <v>0.98040000000000005</v>
      </c>
      <c r="AH308" s="94">
        <f>IFERROR(_xlfn.XLOOKUP($D308,'Modelling New'!$D:$D,'Modelling New'!$AF:$AF),"")</f>
        <v>0.98</v>
      </c>
      <c r="AN308" s="85"/>
      <c r="AO308" s="84"/>
      <c r="AP308" s="84"/>
      <c r="AQ308" s="84"/>
      <c r="AR308" s="86">
        <f>'Basic Data'!$J$2</f>
        <v>7.0991999999999997</v>
      </c>
      <c r="AT308" s="7" t="str">
        <f>IFERROR(_xlfn.XLOOKUP(Table13[[#This Row],[Date]],'Raw Data'!$E:$E,'Raw Data'!$AN:$AN),"")</f>
        <v/>
      </c>
      <c r="AU308" s="7">
        <f>IFERROR(_xlfn.XLOOKUP(Table13[[#This Row],[Month Year]],'Modelling New'!$D:$D,'Modelling New'!$AO:$AO),"")</f>
        <v>7</v>
      </c>
      <c r="AV308" s="7">
        <f>IFERROR(SUMIF('Curtailment Records'!$C:$C,Table13[[#This Row],[Date]],'Curtailment Records'!$R:$R)/1000,"")</f>
        <v>0</v>
      </c>
    </row>
    <row r="309" spans="1:48" x14ac:dyDescent="0.25">
      <c r="A309" s="93">
        <f t="shared" si="18"/>
        <v>46052</v>
      </c>
      <c r="B309" s="86">
        <f>YEAR(Table13[[#This Row],[Date]])+IF(MONTH(Table13[[#This Row],[Date]])&gt;=4,1,0)</f>
        <v>2026</v>
      </c>
      <c r="C309" s="7">
        <f>YEAR(Table13[[#This Row],[Date]])</f>
        <v>2026</v>
      </c>
      <c r="D309" s="92">
        <f>Table13[[#This Row],[Date]]-DAY(Table13[[#This Row],[Date]])+1</f>
        <v>46023</v>
      </c>
      <c r="E309" s="7">
        <f t="shared" si="19"/>
        <v>31</v>
      </c>
      <c r="F309" s="91" t="str">
        <f>IFERROR(_xlfn.XLOOKUP($A309,'Raw Data'!$G:$G,'Raw Data'!$AM:$AM),"")</f>
        <v/>
      </c>
      <c r="G309" s="90" t="str">
        <f>IFERROR(_xlfn.XLOOKUP($A309,'Raw Data'!$G:$G,'Raw Data'!$AB:$AB),"")</f>
        <v/>
      </c>
      <c r="H309" s="90"/>
      <c r="I309" s="90" t="str">
        <f>IFERROR(_xlfn.XLOOKUP($A309,'Raw Data'!$G:$G,'Raw Data'!$AC:$AC),"")</f>
        <v/>
      </c>
      <c r="J309" s="90"/>
      <c r="K309" s="90" t="str">
        <f>IFERROR(_xlfn.XLOOKUP($A309,'Raw Data'!$G:$G,'Raw Data'!AD:AD),"")</f>
        <v/>
      </c>
      <c r="L309" s="90" t="str">
        <f>IFERROR(_xlfn.XLOOKUP($A309,'Raw Data'!$G:$G,'Raw Data'!AE:AE),"")</f>
        <v/>
      </c>
      <c r="M309" s="90" t="str">
        <f>IFERROR(_xlfn.XLOOKUP($A309,'Raw Data'!$G:$G,'Raw Data'!AF:AF),"")</f>
        <v/>
      </c>
      <c r="N309" s="90" t="str">
        <f>IFERROR(_xlfn.XLOOKUP($A309,'Raw Data'!$G:$G,'Raw Data'!AG:AG),"")</f>
        <v/>
      </c>
      <c r="O309" s="85" t="str">
        <f>IFERROR(1-SUMIF('Plant BD'!$B:$B,$A309,'Plant BD'!$AM:$AM)/($AA309+SUMIF('Plant BD'!$B:$B,$A309,'Plant BD'!$AM:$AM)),"")</f>
        <v/>
      </c>
      <c r="P309" s="85"/>
      <c r="Q309" s="89"/>
      <c r="R309" s="85" t="str">
        <f>IFERROR(1-SUMIF('Grid BD'!$B:$B,$A309,'Grid BD'!$AE:$AE)/($AA309+SUMIF('Grid BD'!$B:$B,$A309,'Grid BD'!$AE:$AE)),"")</f>
        <v/>
      </c>
      <c r="T309" s="89"/>
      <c r="U309" s="88" t="str">
        <f t="shared" ref="U309:U369" si="21">IFERROR(AA309/I309/AB309/1000,"")</f>
        <v/>
      </c>
      <c r="V309" s="88"/>
      <c r="W309" s="84" t="str">
        <f t="shared" si="20"/>
        <v/>
      </c>
      <c r="X309" s="86" t="str">
        <f>IFERROR(_xlfn.XLOOKUP($A309,'Raw Data'!$G:$G,'Raw Data'!AI:AI),"")</f>
        <v/>
      </c>
      <c r="Y309" s="86" t="str">
        <f>IFERROR(_xlfn.XLOOKUP($A309,'Raw Data'!$G:$G,'Raw Data'!AJ:AJ),"")</f>
        <v/>
      </c>
      <c r="Z309" s="86" t="str">
        <f>IFERROR(_xlfn.XLOOKUP($A309,'Raw Data'!$G:$G,'Raw Data'!AK:AK),"")</f>
        <v/>
      </c>
      <c r="AA309" s="86" t="str">
        <f>IFERROR(_xlfn.XLOOKUP($A309,'Raw Data'!$G:$G,'Raw Data'!$AL:$AL)*(1+(_xlfn.XLOOKUP(Table13[[#This Row],[Month Year]],JMR!$A:$A,JMR!$J:$J))),"")</f>
        <v/>
      </c>
      <c r="AB309" s="86" t="str">
        <f>IFERROR(_xlfn.XLOOKUP($A309,'Raw Data'!$G:$G,'Raw Data'!$H:$H),"")</f>
        <v/>
      </c>
      <c r="AC309" s="87">
        <f>IFERROR(_xlfn.XLOOKUP($D309,'Modelling New'!$D:$D,'Modelling New'!$P:$P),"")</f>
        <v>5.9580645161290322</v>
      </c>
      <c r="AD309" s="86">
        <f>IFERROR(_xlfn.XLOOKUP($D309,'Modelling New'!$D:$D,'Modelling New'!$T:$T)*1000,"")</f>
        <v>30513.985528225832</v>
      </c>
      <c r="AE309" s="94">
        <f>IFERROR(_xlfn.XLOOKUP($D309,'Modelling New'!$D:$D,'Modelling New'!$O:$O),"")</f>
        <v>0.72141359604684618</v>
      </c>
      <c r="AF309" s="94">
        <f>IFERROR(_xlfn.XLOOKUP($D309,'Modelling New'!$D:$D,'Modelling New'!$W:$W),"")</f>
        <v>0.1790928645024899</v>
      </c>
      <c r="AG309" s="94">
        <f>IFERROR(_xlfn.XLOOKUP($D309,'Modelling New'!$D:$D,'Modelling New'!$AE:$AE),"")</f>
        <v>0.98040000000000005</v>
      </c>
      <c r="AH309" s="94">
        <f>IFERROR(_xlfn.XLOOKUP($D309,'Modelling New'!$D:$D,'Modelling New'!$AF:$AF),"")</f>
        <v>0.98</v>
      </c>
      <c r="AN309" s="85"/>
      <c r="AO309" s="84"/>
      <c r="AP309" s="84"/>
      <c r="AQ309" s="84"/>
      <c r="AR309" s="86">
        <f>'Basic Data'!$J$2</f>
        <v>7.0991999999999997</v>
      </c>
      <c r="AT309" s="7" t="str">
        <f>IFERROR(_xlfn.XLOOKUP(Table13[[#This Row],[Date]],'Raw Data'!$E:$E,'Raw Data'!$AN:$AN),"")</f>
        <v/>
      </c>
      <c r="AU309" s="7">
        <f>IFERROR(_xlfn.XLOOKUP(Table13[[#This Row],[Month Year]],'Modelling New'!$D:$D,'Modelling New'!$AO:$AO),"")</f>
        <v>7</v>
      </c>
      <c r="AV309" s="7">
        <f>IFERROR(SUMIF('Curtailment Records'!$C:$C,Table13[[#This Row],[Date]],'Curtailment Records'!$R:$R)/1000,"")</f>
        <v>0</v>
      </c>
    </row>
    <row r="310" spans="1:48" x14ac:dyDescent="0.25">
      <c r="A310" s="93">
        <f t="shared" ref="A310:A369" si="22">A309+1</f>
        <v>46053</v>
      </c>
      <c r="B310" s="86">
        <f>YEAR(Table13[[#This Row],[Date]])+IF(MONTH(Table13[[#This Row],[Date]])&gt;=4,1,0)</f>
        <v>2026</v>
      </c>
      <c r="C310" s="7">
        <f>YEAR(Table13[[#This Row],[Date]])</f>
        <v>2026</v>
      </c>
      <c r="D310" s="92">
        <f>Table13[[#This Row],[Date]]-DAY(Table13[[#This Row],[Date]])+1</f>
        <v>46023</v>
      </c>
      <c r="E310" s="7">
        <f t="shared" si="19"/>
        <v>31</v>
      </c>
      <c r="F310" s="91" t="str">
        <f>IFERROR(_xlfn.XLOOKUP($A310,'Raw Data'!$G:$G,'Raw Data'!$AM:$AM),"")</f>
        <v/>
      </c>
      <c r="G310" s="90" t="str">
        <f>IFERROR(_xlfn.XLOOKUP($A310,'Raw Data'!$G:$G,'Raw Data'!$AB:$AB),"")</f>
        <v/>
      </c>
      <c r="H310" s="90"/>
      <c r="I310" s="90" t="str">
        <f>IFERROR(_xlfn.XLOOKUP($A310,'Raw Data'!$G:$G,'Raw Data'!$AC:$AC),"")</f>
        <v/>
      </c>
      <c r="J310" s="90"/>
      <c r="K310" s="90" t="str">
        <f>IFERROR(_xlfn.XLOOKUP($A310,'Raw Data'!$G:$G,'Raw Data'!AD:AD),"")</f>
        <v/>
      </c>
      <c r="L310" s="90" t="str">
        <f>IFERROR(_xlfn.XLOOKUP($A310,'Raw Data'!$G:$G,'Raw Data'!AE:AE),"")</f>
        <v/>
      </c>
      <c r="M310" s="90" t="str">
        <f>IFERROR(_xlfn.XLOOKUP($A310,'Raw Data'!$G:$G,'Raw Data'!AF:AF),"")</f>
        <v/>
      </c>
      <c r="N310" s="90" t="str">
        <f>IFERROR(_xlfn.XLOOKUP($A310,'Raw Data'!$G:$G,'Raw Data'!AG:AG),"")</f>
        <v/>
      </c>
      <c r="O310" s="85" t="str">
        <f>IFERROR(1-SUMIF('Plant BD'!$B:$B,$A310,'Plant BD'!$AM:$AM)/($AA310+SUMIF('Plant BD'!$B:$B,$A310,'Plant BD'!$AM:$AM)),"")</f>
        <v/>
      </c>
      <c r="P310" s="85"/>
      <c r="Q310" s="89"/>
      <c r="R310" s="85" t="str">
        <f>IFERROR(1-SUMIF('Grid BD'!$B:$B,$A310,'Grid BD'!$AE:$AE)/($AA310+SUMIF('Grid BD'!$B:$B,$A310,'Grid BD'!$AE:$AE)),"")</f>
        <v/>
      </c>
      <c r="T310" s="89"/>
      <c r="U310" s="88" t="str">
        <f t="shared" si="21"/>
        <v/>
      </c>
      <c r="V310" s="88"/>
      <c r="W310" s="84" t="str">
        <f t="shared" si="20"/>
        <v/>
      </c>
      <c r="X310" s="86" t="str">
        <f>IFERROR(_xlfn.XLOOKUP($A310,'Raw Data'!$G:$G,'Raw Data'!AI:AI),"")</f>
        <v/>
      </c>
      <c r="Y310" s="86" t="str">
        <f>IFERROR(_xlfn.XLOOKUP($A310,'Raw Data'!$G:$G,'Raw Data'!AJ:AJ),"")</f>
        <v/>
      </c>
      <c r="Z310" s="86" t="str">
        <f>IFERROR(_xlfn.XLOOKUP($A310,'Raw Data'!$G:$G,'Raw Data'!AK:AK),"")</f>
        <v/>
      </c>
      <c r="AA310" s="86" t="str">
        <f>IFERROR(_xlfn.XLOOKUP($A310,'Raw Data'!$G:$G,'Raw Data'!$AL:$AL)*(1+(_xlfn.XLOOKUP(Table13[[#This Row],[Month Year]],JMR!$A:$A,JMR!$J:$J))),"")</f>
        <v/>
      </c>
      <c r="AB310" s="86" t="str">
        <f>IFERROR(_xlfn.XLOOKUP($A310,'Raw Data'!$G:$G,'Raw Data'!$H:$H),"")</f>
        <v/>
      </c>
      <c r="AC310" s="87">
        <f>IFERROR(_xlfn.XLOOKUP($D310,'Modelling New'!$D:$D,'Modelling New'!$P:$P),"")</f>
        <v>5.9580645161290322</v>
      </c>
      <c r="AD310" s="86">
        <f>IFERROR(_xlfn.XLOOKUP($D310,'Modelling New'!$D:$D,'Modelling New'!$T:$T)*1000,"")</f>
        <v>30513.985528225832</v>
      </c>
      <c r="AE310" s="94">
        <f>IFERROR(_xlfn.XLOOKUP($D310,'Modelling New'!$D:$D,'Modelling New'!$O:$O),"")</f>
        <v>0.72141359604684618</v>
      </c>
      <c r="AF310" s="94">
        <f>IFERROR(_xlfn.XLOOKUP($D310,'Modelling New'!$D:$D,'Modelling New'!$W:$W),"")</f>
        <v>0.1790928645024899</v>
      </c>
      <c r="AG310" s="94">
        <f>IFERROR(_xlfn.XLOOKUP($D310,'Modelling New'!$D:$D,'Modelling New'!$AE:$AE),"")</f>
        <v>0.98040000000000005</v>
      </c>
      <c r="AH310" s="94">
        <f>IFERROR(_xlfn.XLOOKUP($D310,'Modelling New'!$D:$D,'Modelling New'!$AF:$AF),"")</f>
        <v>0.98</v>
      </c>
      <c r="AN310" s="85"/>
      <c r="AO310" s="84"/>
      <c r="AP310" s="84"/>
      <c r="AQ310" s="84"/>
      <c r="AR310" s="86">
        <f>'Basic Data'!$J$2</f>
        <v>7.0991999999999997</v>
      </c>
      <c r="AT310" s="7" t="str">
        <f>IFERROR(_xlfn.XLOOKUP(Table13[[#This Row],[Date]],'Raw Data'!$E:$E,'Raw Data'!$AN:$AN),"")</f>
        <v/>
      </c>
      <c r="AU310" s="7">
        <f>IFERROR(_xlfn.XLOOKUP(Table13[[#This Row],[Month Year]],'Modelling New'!$D:$D,'Modelling New'!$AO:$AO),"")</f>
        <v>7</v>
      </c>
      <c r="AV310" s="7">
        <f>IFERROR(SUMIF('Curtailment Records'!$C:$C,Table13[[#This Row],[Date]],'Curtailment Records'!$R:$R)/1000,"")</f>
        <v>0</v>
      </c>
    </row>
    <row r="311" spans="1:48" x14ac:dyDescent="0.25">
      <c r="A311" s="93">
        <f t="shared" si="22"/>
        <v>46054</v>
      </c>
      <c r="B311" s="86">
        <f>YEAR(Table13[[#This Row],[Date]])+IF(MONTH(Table13[[#This Row],[Date]])&gt;=4,1,0)</f>
        <v>2026</v>
      </c>
      <c r="C311" s="7">
        <f>YEAR(Table13[[#This Row],[Date]])</f>
        <v>2026</v>
      </c>
      <c r="D311" s="92">
        <f>Table13[[#This Row],[Date]]-DAY(Table13[[#This Row],[Date]])+1</f>
        <v>46054</v>
      </c>
      <c r="E311" s="7">
        <f t="shared" si="19"/>
        <v>28</v>
      </c>
      <c r="F311" s="91" t="str">
        <f>IFERROR(_xlfn.XLOOKUP($A311,'Raw Data'!$G:$G,'Raw Data'!$AM:$AM),"")</f>
        <v/>
      </c>
      <c r="G311" s="90" t="str">
        <f>IFERROR(_xlfn.XLOOKUP($A311,'Raw Data'!$G:$G,'Raw Data'!$AB:$AB),"")</f>
        <v/>
      </c>
      <c r="H311" s="90"/>
      <c r="I311" s="90" t="str">
        <f>IFERROR(_xlfn.XLOOKUP($A311,'Raw Data'!$G:$G,'Raw Data'!$AC:$AC),"")</f>
        <v/>
      </c>
      <c r="J311" s="90"/>
      <c r="K311" s="90" t="str">
        <f>IFERROR(_xlfn.XLOOKUP($A311,'Raw Data'!$G:$G,'Raw Data'!AD:AD),"")</f>
        <v/>
      </c>
      <c r="L311" s="90" t="str">
        <f>IFERROR(_xlfn.XLOOKUP($A311,'Raw Data'!$G:$G,'Raw Data'!AE:AE),"")</f>
        <v/>
      </c>
      <c r="M311" s="90" t="str">
        <f>IFERROR(_xlfn.XLOOKUP($A311,'Raw Data'!$G:$G,'Raw Data'!AF:AF),"")</f>
        <v/>
      </c>
      <c r="N311" s="90" t="str">
        <f>IFERROR(_xlfn.XLOOKUP($A311,'Raw Data'!$G:$G,'Raw Data'!AG:AG),"")</f>
        <v/>
      </c>
      <c r="O311" s="85" t="str">
        <f>IFERROR(1-SUMIF('Plant BD'!$B:$B,$A311,'Plant BD'!$AM:$AM)/($AA311+SUMIF('Plant BD'!$B:$B,$A311,'Plant BD'!$AM:$AM)),"")</f>
        <v/>
      </c>
      <c r="P311" s="85"/>
      <c r="Q311" s="89"/>
      <c r="R311" s="85" t="str">
        <f>IFERROR(1-SUMIF('Grid BD'!$B:$B,$A311,'Grid BD'!$AE:$AE)/($AA311+SUMIF('Grid BD'!$B:$B,$A311,'Grid BD'!$AE:$AE)),"")</f>
        <v/>
      </c>
      <c r="T311" s="89"/>
      <c r="U311" s="88" t="str">
        <f t="shared" si="21"/>
        <v/>
      </c>
      <c r="V311" s="88"/>
      <c r="W311" s="84" t="str">
        <f t="shared" si="20"/>
        <v/>
      </c>
      <c r="X311" s="86" t="str">
        <f>IFERROR(_xlfn.XLOOKUP($A311,'Raw Data'!$G:$G,'Raw Data'!AI:AI),"")</f>
        <v/>
      </c>
      <c r="Y311" s="86" t="str">
        <f>IFERROR(_xlfn.XLOOKUP($A311,'Raw Data'!$G:$G,'Raw Data'!AJ:AJ),"")</f>
        <v/>
      </c>
      <c r="Z311" s="86" t="str">
        <f>IFERROR(_xlfn.XLOOKUP($A311,'Raw Data'!$G:$G,'Raw Data'!AK:AK),"")</f>
        <v/>
      </c>
      <c r="AA311" s="86" t="str">
        <f>IFERROR(_xlfn.XLOOKUP($A311,'Raw Data'!$G:$G,'Raw Data'!$AL:$AL)*(1+(_xlfn.XLOOKUP(Table13[[#This Row],[Month Year]],JMR!$A:$A,JMR!$J:$J))),"")</f>
        <v/>
      </c>
      <c r="AB311" s="86" t="str">
        <f>IFERROR(_xlfn.XLOOKUP($A311,'Raw Data'!$G:$G,'Raw Data'!$H:$H),"")</f>
        <v/>
      </c>
      <c r="AC311" s="87">
        <f>IFERROR(_xlfn.XLOOKUP($D311,'Modelling New'!$D:$D,'Modelling New'!$P:$P),"")</f>
        <v>6.5464285714285717</v>
      </c>
      <c r="AD311" s="86">
        <f>IFERROR(_xlfn.XLOOKUP($D311,'Modelling New'!$D:$D,'Modelling New'!$T:$T)*1000,"")</f>
        <v>30077.880504196255</v>
      </c>
      <c r="AE311" s="94">
        <f>IFERROR(_xlfn.XLOOKUP($D311,'Modelling New'!$D:$D,'Modelling New'!$O:$O),"")</f>
        <v>0.64719236409623726</v>
      </c>
      <c r="AF311" s="94">
        <f>IFERROR(_xlfn.XLOOKUP($D311,'Modelling New'!$D:$D,'Modelling New'!$W:$W),"")</f>
        <v>0.17653327431375046</v>
      </c>
      <c r="AG311" s="94">
        <f>IFERROR(_xlfn.XLOOKUP($D311,'Modelling New'!$D:$D,'Modelling New'!$AE:$AE),"")</f>
        <v>0.98040000000000005</v>
      </c>
      <c r="AH311" s="94">
        <f>IFERROR(_xlfn.XLOOKUP($D311,'Modelling New'!$D:$D,'Modelling New'!$AF:$AF),"")</f>
        <v>0.98</v>
      </c>
      <c r="AN311" s="85"/>
      <c r="AO311" s="84"/>
      <c r="AP311" s="84"/>
      <c r="AQ311" s="84"/>
      <c r="AR311" s="86">
        <f>'Basic Data'!$J$2</f>
        <v>7.0991999999999997</v>
      </c>
      <c r="AT311" s="7" t="str">
        <f>IFERROR(_xlfn.XLOOKUP(Table13[[#This Row],[Date]],'Raw Data'!$E:$E,'Raw Data'!$AN:$AN),"")</f>
        <v/>
      </c>
      <c r="AU311" s="7">
        <f>IFERROR(_xlfn.XLOOKUP(Table13[[#This Row],[Month Year]],'Modelling New'!$D:$D,'Modelling New'!$AO:$AO),"")</f>
        <v>7</v>
      </c>
      <c r="AV311" s="7">
        <f>IFERROR(SUMIF('Curtailment Records'!$C:$C,Table13[[#This Row],[Date]],'Curtailment Records'!$R:$R)/1000,"")</f>
        <v>0</v>
      </c>
    </row>
    <row r="312" spans="1:48" x14ac:dyDescent="0.25">
      <c r="A312" s="93">
        <f t="shared" si="22"/>
        <v>46055</v>
      </c>
      <c r="B312" s="86">
        <f>YEAR(Table13[[#This Row],[Date]])+IF(MONTH(Table13[[#This Row],[Date]])&gt;=4,1,0)</f>
        <v>2026</v>
      </c>
      <c r="C312" s="7">
        <f>YEAR(Table13[[#This Row],[Date]])</f>
        <v>2026</v>
      </c>
      <c r="D312" s="92">
        <f>Table13[[#This Row],[Date]]-DAY(Table13[[#This Row],[Date]])+1</f>
        <v>46054</v>
      </c>
      <c r="E312" s="7">
        <f t="shared" ref="E312:E369" si="23">DAY(EOMONTH(A312,0))</f>
        <v>28</v>
      </c>
      <c r="F312" s="91" t="str">
        <f>IFERROR(_xlfn.XLOOKUP($A312,'Raw Data'!$G:$G,'Raw Data'!$AM:$AM),"")</f>
        <v/>
      </c>
      <c r="G312" s="90" t="str">
        <f>IFERROR(_xlfn.XLOOKUP($A312,'Raw Data'!$G:$G,'Raw Data'!$AB:$AB),"")</f>
        <v/>
      </c>
      <c r="H312" s="90"/>
      <c r="I312" s="90" t="str">
        <f>IFERROR(_xlfn.XLOOKUP($A312,'Raw Data'!$G:$G,'Raw Data'!$AC:$AC),"")</f>
        <v/>
      </c>
      <c r="J312" s="90"/>
      <c r="K312" s="90" t="str">
        <f>IFERROR(_xlfn.XLOOKUP($A312,'Raw Data'!$G:$G,'Raw Data'!AD:AD),"")</f>
        <v/>
      </c>
      <c r="L312" s="90" t="str">
        <f>IFERROR(_xlfn.XLOOKUP($A312,'Raw Data'!$G:$G,'Raw Data'!AE:AE),"")</f>
        <v/>
      </c>
      <c r="M312" s="90" t="str">
        <f>IFERROR(_xlfn.XLOOKUP($A312,'Raw Data'!$G:$G,'Raw Data'!AF:AF),"")</f>
        <v/>
      </c>
      <c r="N312" s="90" t="str">
        <f>IFERROR(_xlfn.XLOOKUP($A312,'Raw Data'!$G:$G,'Raw Data'!AG:AG),"")</f>
        <v/>
      </c>
      <c r="O312" s="85" t="str">
        <f>IFERROR(1-SUMIF('Plant BD'!$B:$B,$A312,'Plant BD'!$AM:$AM)/($AA312+SUMIF('Plant BD'!$B:$B,$A312,'Plant BD'!$AM:$AM)),"")</f>
        <v/>
      </c>
      <c r="P312" s="85"/>
      <c r="Q312" s="89"/>
      <c r="R312" s="85" t="str">
        <f>IFERROR(1-SUMIF('Grid BD'!$B:$B,$A312,'Grid BD'!$AE:$AE)/($AA312+SUMIF('Grid BD'!$B:$B,$A312,'Grid BD'!$AE:$AE)),"")</f>
        <v/>
      </c>
      <c r="T312" s="89"/>
      <c r="U312" s="88" t="str">
        <f t="shared" si="21"/>
        <v/>
      </c>
      <c r="V312" s="88"/>
      <c r="W312" s="84" t="str">
        <f t="shared" si="20"/>
        <v/>
      </c>
      <c r="X312" s="86" t="str">
        <f>IFERROR(_xlfn.XLOOKUP($A312,'Raw Data'!$G:$G,'Raw Data'!AI:AI),"")</f>
        <v/>
      </c>
      <c r="Y312" s="86" t="str">
        <f>IFERROR(_xlfn.XLOOKUP($A312,'Raw Data'!$G:$G,'Raw Data'!AJ:AJ),"")</f>
        <v/>
      </c>
      <c r="Z312" s="86" t="str">
        <f>IFERROR(_xlfn.XLOOKUP($A312,'Raw Data'!$G:$G,'Raw Data'!AK:AK),"")</f>
        <v/>
      </c>
      <c r="AA312" s="86" t="str">
        <f>IFERROR(_xlfn.XLOOKUP($A312,'Raw Data'!$G:$G,'Raw Data'!$AL:$AL)*(1+(_xlfn.XLOOKUP(Table13[[#This Row],[Month Year]],JMR!$A:$A,JMR!$J:$J))),"")</f>
        <v/>
      </c>
      <c r="AB312" s="86" t="str">
        <f>IFERROR(_xlfn.XLOOKUP($A312,'Raw Data'!$G:$G,'Raw Data'!$H:$H),"")</f>
        <v/>
      </c>
      <c r="AC312" s="87">
        <f>IFERROR(_xlfn.XLOOKUP($D312,'Modelling New'!$D:$D,'Modelling New'!$P:$P),"")</f>
        <v>6.5464285714285717</v>
      </c>
      <c r="AD312" s="86">
        <f>IFERROR(_xlfn.XLOOKUP($D312,'Modelling New'!$D:$D,'Modelling New'!$T:$T)*1000,"")</f>
        <v>30077.880504196255</v>
      </c>
      <c r="AE312" s="94">
        <f>IFERROR(_xlfn.XLOOKUP($D312,'Modelling New'!$D:$D,'Modelling New'!$O:$O),"")</f>
        <v>0.64719236409623726</v>
      </c>
      <c r="AF312" s="94">
        <f>IFERROR(_xlfn.XLOOKUP($D312,'Modelling New'!$D:$D,'Modelling New'!$W:$W),"")</f>
        <v>0.17653327431375046</v>
      </c>
      <c r="AG312" s="94">
        <f>IFERROR(_xlfn.XLOOKUP($D312,'Modelling New'!$D:$D,'Modelling New'!$AE:$AE),"")</f>
        <v>0.98040000000000005</v>
      </c>
      <c r="AH312" s="94">
        <f>IFERROR(_xlfn.XLOOKUP($D312,'Modelling New'!$D:$D,'Modelling New'!$AF:$AF),"")</f>
        <v>0.98</v>
      </c>
      <c r="AN312" s="85"/>
      <c r="AO312" s="84"/>
      <c r="AP312" s="84"/>
      <c r="AQ312" s="84"/>
      <c r="AR312" s="86">
        <f>'Basic Data'!$J$2</f>
        <v>7.0991999999999997</v>
      </c>
      <c r="AT312" s="7" t="str">
        <f>IFERROR(_xlfn.XLOOKUP(Table13[[#This Row],[Date]],'Raw Data'!$E:$E,'Raw Data'!$AN:$AN),"")</f>
        <v/>
      </c>
      <c r="AU312" s="7">
        <f>IFERROR(_xlfn.XLOOKUP(Table13[[#This Row],[Month Year]],'Modelling New'!$D:$D,'Modelling New'!$AO:$AO),"")</f>
        <v>7</v>
      </c>
      <c r="AV312" s="7">
        <f>IFERROR(SUMIF('Curtailment Records'!$C:$C,Table13[[#This Row],[Date]],'Curtailment Records'!$R:$R)/1000,"")</f>
        <v>0</v>
      </c>
    </row>
    <row r="313" spans="1:48" x14ac:dyDescent="0.25">
      <c r="A313" s="93">
        <f t="shared" si="22"/>
        <v>46056</v>
      </c>
      <c r="B313" s="86">
        <f>YEAR(Table13[[#This Row],[Date]])+IF(MONTH(Table13[[#This Row],[Date]])&gt;=4,1,0)</f>
        <v>2026</v>
      </c>
      <c r="C313" s="7">
        <f>YEAR(Table13[[#This Row],[Date]])</f>
        <v>2026</v>
      </c>
      <c r="D313" s="92">
        <f>Table13[[#This Row],[Date]]-DAY(Table13[[#This Row],[Date]])+1</f>
        <v>46054</v>
      </c>
      <c r="E313" s="7">
        <f t="shared" si="23"/>
        <v>28</v>
      </c>
      <c r="F313" s="91" t="str">
        <f>IFERROR(_xlfn.XLOOKUP($A313,'Raw Data'!$G:$G,'Raw Data'!$AM:$AM),"")</f>
        <v/>
      </c>
      <c r="G313" s="90" t="str">
        <f>IFERROR(_xlfn.XLOOKUP($A313,'Raw Data'!$G:$G,'Raw Data'!$AB:$AB),"")</f>
        <v/>
      </c>
      <c r="H313" s="90"/>
      <c r="I313" s="90" t="str">
        <f>IFERROR(_xlfn.XLOOKUP($A313,'Raw Data'!$G:$G,'Raw Data'!$AC:$AC),"")</f>
        <v/>
      </c>
      <c r="J313" s="90"/>
      <c r="K313" s="90" t="str">
        <f>IFERROR(_xlfn.XLOOKUP($A313,'Raw Data'!$G:$G,'Raw Data'!AD:AD),"")</f>
        <v/>
      </c>
      <c r="L313" s="90" t="str">
        <f>IFERROR(_xlfn.XLOOKUP($A313,'Raw Data'!$G:$G,'Raw Data'!AE:AE),"")</f>
        <v/>
      </c>
      <c r="M313" s="90" t="str">
        <f>IFERROR(_xlfn.XLOOKUP($A313,'Raw Data'!$G:$G,'Raw Data'!AF:AF),"")</f>
        <v/>
      </c>
      <c r="N313" s="90" t="str">
        <f>IFERROR(_xlfn.XLOOKUP($A313,'Raw Data'!$G:$G,'Raw Data'!AG:AG),"")</f>
        <v/>
      </c>
      <c r="O313" s="85" t="str">
        <f>IFERROR(1-SUMIF('Plant BD'!$B:$B,$A313,'Plant BD'!$AM:$AM)/($AA313+SUMIF('Plant BD'!$B:$B,$A313,'Plant BD'!$AM:$AM)),"")</f>
        <v/>
      </c>
      <c r="P313" s="85"/>
      <c r="Q313" s="89"/>
      <c r="R313" s="85" t="str">
        <f>IFERROR(1-SUMIF('Grid BD'!$B:$B,$A313,'Grid BD'!$AE:$AE)/($AA313+SUMIF('Grid BD'!$B:$B,$A313,'Grid BD'!$AE:$AE)),"")</f>
        <v/>
      </c>
      <c r="T313" s="89"/>
      <c r="U313" s="88" t="str">
        <f t="shared" si="21"/>
        <v/>
      </c>
      <c r="V313" s="88"/>
      <c r="W313" s="84" t="str">
        <f t="shared" si="20"/>
        <v/>
      </c>
      <c r="X313" s="86" t="str">
        <f>IFERROR(_xlfn.XLOOKUP($A313,'Raw Data'!$G:$G,'Raw Data'!AI:AI),"")</f>
        <v/>
      </c>
      <c r="Y313" s="86" t="str">
        <f>IFERROR(_xlfn.XLOOKUP($A313,'Raw Data'!$G:$G,'Raw Data'!AJ:AJ),"")</f>
        <v/>
      </c>
      <c r="Z313" s="86" t="str">
        <f>IFERROR(_xlfn.XLOOKUP($A313,'Raw Data'!$G:$G,'Raw Data'!AK:AK),"")</f>
        <v/>
      </c>
      <c r="AA313" s="86" t="str">
        <f>IFERROR(_xlfn.XLOOKUP($A313,'Raw Data'!$G:$G,'Raw Data'!$AL:$AL)*(1+(_xlfn.XLOOKUP(Table13[[#This Row],[Month Year]],JMR!$A:$A,JMR!$J:$J))),"")</f>
        <v/>
      </c>
      <c r="AB313" s="86" t="str">
        <f>IFERROR(_xlfn.XLOOKUP($A313,'Raw Data'!$G:$G,'Raw Data'!$H:$H),"")</f>
        <v/>
      </c>
      <c r="AC313" s="87">
        <f>IFERROR(_xlfn.XLOOKUP($D313,'Modelling New'!$D:$D,'Modelling New'!$P:$P),"")</f>
        <v>6.5464285714285717</v>
      </c>
      <c r="AD313" s="86">
        <f>IFERROR(_xlfn.XLOOKUP($D313,'Modelling New'!$D:$D,'Modelling New'!$T:$T)*1000,"")</f>
        <v>30077.880504196255</v>
      </c>
      <c r="AE313" s="94">
        <f>IFERROR(_xlfn.XLOOKUP($D313,'Modelling New'!$D:$D,'Modelling New'!$O:$O),"")</f>
        <v>0.64719236409623726</v>
      </c>
      <c r="AF313" s="94">
        <f>IFERROR(_xlfn.XLOOKUP($D313,'Modelling New'!$D:$D,'Modelling New'!$W:$W),"")</f>
        <v>0.17653327431375046</v>
      </c>
      <c r="AG313" s="94">
        <f>IFERROR(_xlfn.XLOOKUP($D313,'Modelling New'!$D:$D,'Modelling New'!$AE:$AE),"")</f>
        <v>0.98040000000000005</v>
      </c>
      <c r="AH313" s="94">
        <f>IFERROR(_xlfn.XLOOKUP($D313,'Modelling New'!$D:$D,'Modelling New'!$AF:$AF),"")</f>
        <v>0.98</v>
      </c>
      <c r="AN313" s="85"/>
      <c r="AO313" s="84"/>
      <c r="AP313" s="84"/>
      <c r="AQ313" s="84"/>
      <c r="AR313" s="86">
        <f>'Basic Data'!$J$2</f>
        <v>7.0991999999999997</v>
      </c>
      <c r="AT313" s="7" t="str">
        <f>IFERROR(_xlfn.XLOOKUP(Table13[[#This Row],[Date]],'Raw Data'!$E:$E,'Raw Data'!$AN:$AN),"")</f>
        <v/>
      </c>
      <c r="AU313" s="7">
        <f>IFERROR(_xlfn.XLOOKUP(Table13[[#This Row],[Month Year]],'Modelling New'!$D:$D,'Modelling New'!$AO:$AO),"")</f>
        <v>7</v>
      </c>
      <c r="AV313" s="7">
        <f>IFERROR(SUMIF('Curtailment Records'!$C:$C,Table13[[#This Row],[Date]],'Curtailment Records'!$R:$R)/1000,"")</f>
        <v>0</v>
      </c>
    </row>
    <row r="314" spans="1:48" x14ac:dyDescent="0.25">
      <c r="A314" s="93">
        <f t="shared" si="22"/>
        <v>46057</v>
      </c>
      <c r="B314" s="86">
        <f>YEAR(Table13[[#This Row],[Date]])+IF(MONTH(Table13[[#This Row],[Date]])&gt;=4,1,0)</f>
        <v>2026</v>
      </c>
      <c r="C314" s="7">
        <f>YEAR(Table13[[#This Row],[Date]])</f>
        <v>2026</v>
      </c>
      <c r="D314" s="92">
        <f>Table13[[#This Row],[Date]]-DAY(Table13[[#This Row],[Date]])+1</f>
        <v>46054</v>
      </c>
      <c r="E314" s="7">
        <f t="shared" si="23"/>
        <v>28</v>
      </c>
      <c r="F314" s="91" t="str">
        <f>IFERROR(_xlfn.XLOOKUP($A314,'Raw Data'!$G:$G,'Raw Data'!$AM:$AM),"")</f>
        <v/>
      </c>
      <c r="G314" s="90" t="str">
        <f>IFERROR(_xlfn.XLOOKUP($A314,'Raw Data'!$G:$G,'Raw Data'!$AB:$AB),"")</f>
        <v/>
      </c>
      <c r="H314" s="90"/>
      <c r="I314" s="90" t="str">
        <f>IFERROR(_xlfn.XLOOKUP($A314,'Raw Data'!$G:$G,'Raw Data'!$AC:$AC),"")</f>
        <v/>
      </c>
      <c r="J314" s="90"/>
      <c r="K314" s="90" t="str">
        <f>IFERROR(_xlfn.XLOOKUP($A314,'Raw Data'!$G:$G,'Raw Data'!AD:AD),"")</f>
        <v/>
      </c>
      <c r="L314" s="90" t="str">
        <f>IFERROR(_xlfn.XLOOKUP($A314,'Raw Data'!$G:$G,'Raw Data'!AE:AE),"")</f>
        <v/>
      </c>
      <c r="M314" s="90" t="str">
        <f>IFERROR(_xlfn.XLOOKUP($A314,'Raw Data'!$G:$G,'Raw Data'!AF:AF),"")</f>
        <v/>
      </c>
      <c r="N314" s="90" t="str">
        <f>IFERROR(_xlfn.XLOOKUP($A314,'Raw Data'!$G:$G,'Raw Data'!AG:AG),"")</f>
        <v/>
      </c>
      <c r="O314" s="85" t="str">
        <f>IFERROR(1-SUMIF('Plant BD'!$B:$B,$A314,'Plant BD'!$AM:$AM)/($AA314+SUMIF('Plant BD'!$B:$B,$A314,'Plant BD'!$AM:$AM)),"")</f>
        <v/>
      </c>
      <c r="P314" s="85"/>
      <c r="Q314" s="89"/>
      <c r="R314" s="85" t="str">
        <f>IFERROR(1-SUMIF('Grid BD'!$B:$B,$A314,'Grid BD'!$AE:$AE)/($AA314+SUMIF('Grid BD'!$B:$B,$A314,'Grid BD'!$AE:$AE)),"")</f>
        <v/>
      </c>
      <c r="T314" s="89"/>
      <c r="U314" s="88" t="str">
        <f t="shared" si="21"/>
        <v/>
      </c>
      <c r="V314" s="88"/>
      <c r="W314" s="84" t="str">
        <f t="shared" si="20"/>
        <v/>
      </c>
      <c r="X314" s="86" t="str">
        <f>IFERROR(_xlfn.XLOOKUP($A314,'Raw Data'!$G:$G,'Raw Data'!AI:AI),"")</f>
        <v/>
      </c>
      <c r="Y314" s="86" t="str">
        <f>IFERROR(_xlfn.XLOOKUP($A314,'Raw Data'!$G:$G,'Raw Data'!AJ:AJ),"")</f>
        <v/>
      </c>
      <c r="Z314" s="86" t="str">
        <f>IFERROR(_xlfn.XLOOKUP($A314,'Raw Data'!$G:$G,'Raw Data'!AK:AK),"")</f>
        <v/>
      </c>
      <c r="AA314" s="86" t="str">
        <f>IFERROR(_xlfn.XLOOKUP($A314,'Raw Data'!$G:$G,'Raw Data'!$AL:$AL)*(1+(_xlfn.XLOOKUP(Table13[[#This Row],[Month Year]],JMR!$A:$A,JMR!$J:$J))),"")</f>
        <v/>
      </c>
      <c r="AB314" s="86" t="str">
        <f>IFERROR(_xlfn.XLOOKUP($A314,'Raw Data'!$G:$G,'Raw Data'!$H:$H),"")</f>
        <v/>
      </c>
      <c r="AC314" s="87">
        <f>IFERROR(_xlfn.XLOOKUP($D314,'Modelling New'!$D:$D,'Modelling New'!$P:$P),"")</f>
        <v>6.5464285714285717</v>
      </c>
      <c r="AD314" s="86">
        <f>IFERROR(_xlfn.XLOOKUP($D314,'Modelling New'!$D:$D,'Modelling New'!$T:$T)*1000,"")</f>
        <v>30077.880504196255</v>
      </c>
      <c r="AE314" s="94">
        <f>IFERROR(_xlfn.XLOOKUP($D314,'Modelling New'!$D:$D,'Modelling New'!$O:$O),"")</f>
        <v>0.64719236409623726</v>
      </c>
      <c r="AF314" s="94">
        <f>IFERROR(_xlfn.XLOOKUP($D314,'Modelling New'!$D:$D,'Modelling New'!$W:$W),"")</f>
        <v>0.17653327431375046</v>
      </c>
      <c r="AG314" s="94">
        <f>IFERROR(_xlfn.XLOOKUP($D314,'Modelling New'!$D:$D,'Modelling New'!$AE:$AE),"")</f>
        <v>0.98040000000000005</v>
      </c>
      <c r="AH314" s="94">
        <f>IFERROR(_xlfn.XLOOKUP($D314,'Modelling New'!$D:$D,'Modelling New'!$AF:$AF),"")</f>
        <v>0.98</v>
      </c>
      <c r="AN314" s="85"/>
      <c r="AO314" s="84"/>
      <c r="AP314" s="84"/>
      <c r="AQ314" s="84"/>
      <c r="AR314" s="86">
        <f>'Basic Data'!$J$2</f>
        <v>7.0991999999999997</v>
      </c>
      <c r="AT314" s="7" t="str">
        <f>IFERROR(_xlfn.XLOOKUP(Table13[[#This Row],[Date]],'Raw Data'!$E:$E,'Raw Data'!$AN:$AN),"")</f>
        <v/>
      </c>
      <c r="AU314" s="7">
        <f>IFERROR(_xlfn.XLOOKUP(Table13[[#This Row],[Month Year]],'Modelling New'!$D:$D,'Modelling New'!$AO:$AO),"")</f>
        <v>7</v>
      </c>
      <c r="AV314" s="7">
        <f>IFERROR(SUMIF('Curtailment Records'!$C:$C,Table13[[#This Row],[Date]],'Curtailment Records'!$R:$R)/1000,"")</f>
        <v>0</v>
      </c>
    </row>
    <row r="315" spans="1:48" x14ac:dyDescent="0.25">
      <c r="A315" s="93">
        <f t="shared" si="22"/>
        <v>46058</v>
      </c>
      <c r="B315" s="86">
        <f>YEAR(Table13[[#This Row],[Date]])+IF(MONTH(Table13[[#This Row],[Date]])&gt;=4,1,0)</f>
        <v>2026</v>
      </c>
      <c r="C315" s="7">
        <f>YEAR(Table13[[#This Row],[Date]])</f>
        <v>2026</v>
      </c>
      <c r="D315" s="92">
        <f>Table13[[#This Row],[Date]]-DAY(Table13[[#This Row],[Date]])+1</f>
        <v>46054</v>
      </c>
      <c r="E315" s="7">
        <f t="shared" si="23"/>
        <v>28</v>
      </c>
      <c r="F315" s="91" t="str">
        <f>IFERROR(_xlfn.XLOOKUP($A315,'Raw Data'!$G:$G,'Raw Data'!$AM:$AM),"")</f>
        <v/>
      </c>
      <c r="G315" s="90" t="str">
        <f>IFERROR(_xlfn.XLOOKUP($A315,'Raw Data'!$G:$G,'Raw Data'!$AB:$AB),"")</f>
        <v/>
      </c>
      <c r="H315" s="90"/>
      <c r="I315" s="90" t="str">
        <f>IFERROR(_xlfn.XLOOKUP($A315,'Raw Data'!$G:$G,'Raw Data'!$AC:$AC),"")</f>
        <v/>
      </c>
      <c r="J315" s="90"/>
      <c r="K315" s="90" t="str">
        <f>IFERROR(_xlfn.XLOOKUP($A315,'Raw Data'!$G:$G,'Raw Data'!AD:AD),"")</f>
        <v/>
      </c>
      <c r="L315" s="90" t="str">
        <f>IFERROR(_xlfn.XLOOKUP($A315,'Raw Data'!$G:$G,'Raw Data'!AE:AE),"")</f>
        <v/>
      </c>
      <c r="M315" s="90" t="str">
        <f>IFERROR(_xlfn.XLOOKUP($A315,'Raw Data'!$G:$G,'Raw Data'!AF:AF),"")</f>
        <v/>
      </c>
      <c r="N315" s="90" t="str">
        <f>IFERROR(_xlfn.XLOOKUP($A315,'Raw Data'!$G:$G,'Raw Data'!AG:AG),"")</f>
        <v/>
      </c>
      <c r="O315" s="85" t="str">
        <f>IFERROR(1-SUMIF('Plant BD'!$B:$B,$A315,'Plant BD'!$AM:$AM)/($AA315+SUMIF('Plant BD'!$B:$B,$A315,'Plant BD'!$AM:$AM)),"")</f>
        <v/>
      </c>
      <c r="P315" s="85"/>
      <c r="Q315" s="89"/>
      <c r="R315" s="85" t="str">
        <f>IFERROR(1-SUMIF('Grid BD'!$B:$B,$A315,'Grid BD'!$AE:$AE)/($AA315+SUMIF('Grid BD'!$B:$B,$A315,'Grid BD'!$AE:$AE)),"")</f>
        <v/>
      </c>
      <c r="T315" s="89"/>
      <c r="U315" s="88" t="str">
        <f t="shared" si="21"/>
        <v/>
      </c>
      <c r="V315" s="88"/>
      <c r="W315" s="84" t="str">
        <f t="shared" si="20"/>
        <v/>
      </c>
      <c r="X315" s="86" t="str">
        <f>IFERROR(_xlfn.XLOOKUP($A315,'Raw Data'!$G:$G,'Raw Data'!AI:AI),"")</f>
        <v/>
      </c>
      <c r="Y315" s="86" t="str">
        <f>IFERROR(_xlfn.XLOOKUP($A315,'Raw Data'!$G:$G,'Raw Data'!AJ:AJ),"")</f>
        <v/>
      </c>
      <c r="Z315" s="86" t="str">
        <f>IFERROR(_xlfn.XLOOKUP($A315,'Raw Data'!$G:$G,'Raw Data'!AK:AK),"")</f>
        <v/>
      </c>
      <c r="AA315" s="86" t="str">
        <f>IFERROR(_xlfn.XLOOKUP($A315,'Raw Data'!$G:$G,'Raw Data'!$AL:$AL)*(1+(_xlfn.XLOOKUP(Table13[[#This Row],[Month Year]],JMR!$A:$A,JMR!$J:$J))),"")</f>
        <v/>
      </c>
      <c r="AB315" s="86" t="str">
        <f>IFERROR(_xlfn.XLOOKUP($A315,'Raw Data'!$G:$G,'Raw Data'!$H:$H),"")</f>
        <v/>
      </c>
      <c r="AC315" s="87">
        <f>IFERROR(_xlfn.XLOOKUP($D315,'Modelling New'!$D:$D,'Modelling New'!$P:$P),"")</f>
        <v>6.5464285714285717</v>
      </c>
      <c r="AD315" s="86">
        <f>IFERROR(_xlfn.XLOOKUP($D315,'Modelling New'!$D:$D,'Modelling New'!$T:$T)*1000,"")</f>
        <v>30077.880504196255</v>
      </c>
      <c r="AE315" s="94">
        <f>IFERROR(_xlfn.XLOOKUP($D315,'Modelling New'!$D:$D,'Modelling New'!$O:$O),"")</f>
        <v>0.64719236409623726</v>
      </c>
      <c r="AF315" s="94">
        <f>IFERROR(_xlfn.XLOOKUP($D315,'Modelling New'!$D:$D,'Modelling New'!$W:$W),"")</f>
        <v>0.17653327431375046</v>
      </c>
      <c r="AG315" s="94">
        <f>IFERROR(_xlfn.XLOOKUP($D315,'Modelling New'!$D:$D,'Modelling New'!$AE:$AE),"")</f>
        <v>0.98040000000000005</v>
      </c>
      <c r="AH315" s="94">
        <f>IFERROR(_xlfn.XLOOKUP($D315,'Modelling New'!$D:$D,'Modelling New'!$AF:$AF),"")</f>
        <v>0.98</v>
      </c>
      <c r="AN315" s="85"/>
      <c r="AO315" s="84"/>
      <c r="AP315" s="84"/>
      <c r="AQ315" s="84"/>
      <c r="AR315" s="86">
        <f>'Basic Data'!$J$2</f>
        <v>7.0991999999999997</v>
      </c>
      <c r="AT315" s="7" t="str">
        <f>IFERROR(_xlfn.XLOOKUP(Table13[[#This Row],[Date]],'Raw Data'!$E:$E,'Raw Data'!$AN:$AN),"")</f>
        <v/>
      </c>
      <c r="AU315" s="7">
        <f>IFERROR(_xlfn.XLOOKUP(Table13[[#This Row],[Month Year]],'Modelling New'!$D:$D,'Modelling New'!$AO:$AO),"")</f>
        <v>7</v>
      </c>
      <c r="AV315" s="7">
        <f>IFERROR(SUMIF('Curtailment Records'!$C:$C,Table13[[#This Row],[Date]],'Curtailment Records'!$R:$R)/1000,"")</f>
        <v>0</v>
      </c>
    </row>
    <row r="316" spans="1:48" x14ac:dyDescent="0.25">
      <c r="A316" s="93">
        <f t="shared" si="22"/>
        <v>46059</v>
      </c>
      <c r="B316" s="86">
        <f>YEAR(Table13[[#This Row],[Date]])+IF(MONTH(Table13[[#This Row],[Date]])&gt;=4,1,0)</f>
        <v>2026</v>
      </c>
      <c r="C316" s="7">
        <f>YEAR(Table13[[#This Row],[Date]])</f>
        <v>2026</v>
      </c>
      <c r="D316" s="92">
        <f>Table13[[#This Row],[Date]]-DAY(Table13[[#This Row],[Date]])+1</f>
        <v>46054</v>
      </c>
      <c r="E316" s="7">
        <f t="shared" si="23"/>
        <v>28</v>
      </c>
      <c r="F316" s="91" t="str">
        <f>IFERROR(_xlfn.XLOOKUP($A316,'Raw Data'!$G:$G,'Raw Data'!$AM:$AM),"")</f>
        <v/>
      </c>
      <c r="G316" s="90" t="str">
        <f>IFERROR(_xlfn.XLOOKUP($A316,'Raw Data'!$G:$G,'Raw Data'!$AB:$AB),"")</f>
        <v/>
      </c>
      <c r="H316" s="90"/>
      <c r="I316" s="90" t="str">
        <f>IFERROR(_xlfn.XLOOKUP($A316,'Raw Data'!$G:$G,'Raw Data'!$AC:$AC),"")</f>
        <v/>
      </c>
      <c r="J316" s="90"/>
      <c r="K316" s="90" t="str">
        <f>IFERROR(_xlfn.XLOOKUP($A316,'Raw Data'!$G:$G,'Raw Data'!AD:AD),"")</f>
        <v/>
      </c>
      <c r="L316" s="90" t="str">
        <f>IFERROR(_xlfn.XLOOKUP($A316,'Raw Data'!$G:$G,'Raw Data'!AE:AE),"")</f>
        <v/>
      </c>
      <c r="M316" s="90" t="str">
        <f>IFERROR(_xlfn.XLOOKUP($A316,'Raw Data'!$G:$G,'Raw Data'!AF:AF),"")</f>
        <v/>
      </c>
      <c r="N316" s="90" t="str">
        <f>IFERROR(_xlfn.XLOOKUP($A316,'Raw Data'!$G:$G,'Raw Data'!AG:AG),"")</f>
        <v/>
      </c>
      <c r="O316" s="85" t="str">
        <f>IFERROR(1-SUMIF('Plant BD'!$B:$B,$A316,'Plant BD'!$AM:$AM)/($AA316+SUMIF('Plant BD'!$B:$B,$A316,'Plant BD'!$AM:$AM)),"")</f>
        <v/>
      </c>
      <c r="P316" s="85"/>
      <c r="Q316" s="89"/>
      <c r="R316" s="85" t="str">
        <f>IFERROR(1-SUMIF('Grid BD'!$B:$B,$A316,'Grid BD'!$AE:$AE)/($AA316+SUMIF('Grid BD'!$B:$B,$A316,'Grid BD'!$AE:$AE)),"")</f>
        <v/>
      </c>
      <c r="T316" s="89"/>
      <c r="U316" s="88" t="str">
        <f t="shared" si="21"/>
        <v/>
      </c>
      <c r="V316" s="88"/>
      <c r="W316" s="84" t="str">
        <f t="shared" si="20"/>
        <v/>
      </c>
      <c r="X316" s="86" t="str">
        <f>IFERROR(_xlfn.XLOOKUP($A316,'Raw Data'!$G:$G,'Raw Data'!AI:AI),"")</f>
        <v/>
      </c>
      <c r="Y316" s="86" t="str">
        <f>IFERROR(_xlfn.XLOOKUP($A316,'Raw Data'!$G:$G,'Raw Data'!AJ:AJ),"")</f>
        <v/>
      </c>
      <c r="Z316" s="86" t="str">
        <f>IFERROR(_xlfn.XLOOKUP($A316,'Raw Data'!$G:$G,'Raw Data'!AK:AK),"")</f>
        <v/>
      </c>
      <c r="AA316" s="86" t="str">
        <f>IFERROR(_xlfn.XLOOKUP($A316,'Raw Data'!$G:$G,'Raw Data'!$AL:$AL)*(1+(_xlfn.XLOOKUP(Table13[[#This Row],[Month Year]],JMR!$A:$A,JMR!$J:$J))),"")</f>
        <v/>
      </c>
      <c r="AB316" s="86" t="str">
        <f>IFERROR(_xlfn.XLOOKUP($A316,'Raw Data'!$G:$G,'Raw Data'!$H:$H),"")</f>
        <v/>
      </c>
      <c r="AC316" s="87">
        <f>IFERROR(_xlfn.XLOOKUP($D316,'Modelling New'!$D:$D,'Modelling New'!$P:$P),"")</f>
        <v>6.5464285714285717</v>
      </c>
      <c r="AD316" s="86">
        <f>IFERROR(_xlfn.XLOOKUP($D316,'Modelling New'!$D:$D,'Modelling New'!$T:$T)*1000,"")</f>
        <v>30077.880504196255</v>
      </c>
      <c r="AE316" s="94">
        <f>IFERROR(_xlfn.XLOOKUP($D316,'Modelling New'!$D:$D,'Modelling New'!$O:$O),"")</f>
        <v>0.64719236409623726</v>
      </c>
      <c r="AF316" s="94">
        <f>IFERROR(_xlfn.XLOOKUP($D316,'Modelling New'!$D:$D,'Modelling New'!$W:$W),"")</f>
        <v>0.17653327431375046</v>
      </c>
      <c r="AG316" s="94">
        <f>IFERROR(_xlfn.XLOOKUP($D316,'Modelling New'!$D:$D,'Modelling New'!$AE:$AE),"")</f>
        <v>0.98040000000000005</v>
      </c>
      <c r="AH316" s="94">
        <f>IFERROR(_xlfn.XLOOKUP($D316,'Modelling New'!$D:$D,'Modelling New'!$AF:$AF),"")</f>
        <v>0.98</v>
      </c>
      <c r="AN316" s="85"/>
      <c r="AO316" s="84"/>
      <c r="AP316" s="84"/>
      <c r="AQ316" s="84"/>
      <c r="AR316" s="86">
        <f>'Basic Data'!$J$2</f>
        <v>7.0991999999999997</v>
      </c>
      <c r="AT316" s="7" t="str">
        <f>IFERROR(_xlfn.XLOOKUP(Table13[[#This Row],[Date]],'Raw Data'!$E:$E,'Raw Data'!$AN:$AN),"")</f>
        <v/>
      </c>
      <c r="AU316" s="7">
        <f>IFERROR(_xlfn.XLOOKUP(Table13[[#This Row],[Month Year]],'Modelling New'!$D:$D,'Modelling New'!$AO:$AO),"")</f>
        <v>7</v>
      </c>
      <c r="AV316" s="7">
        <f>IFERROR(SUMIF('Curtailment Records'!$C:$C,Table13[[#This Row],[Date]],'Curtailment Records'!$R:$R)/1000,"")</f>
        <v>0</v>
      </c>
    </row>
    <row r="317" spans="1:48" x14ac:dyDescent="0.25">
      <c r="A317" s="93">
        <f t="shared" si="22"/>
        <v>46060</v>
      </c>
      <c r="B317" s="86">
        <f>YEAR(Table13[[#This Row],[Date]])+IF(MONTH(Table13[[#This Row],[Date]])&gt;=4,1,0)</f>
        <v>2026</v>
      </c>
      <c r="C317" s="7">
        <f>YEAR(Table13[[#This Row],[Date]])</f>
        <v>2026</v>
      </c>
      <c r="D317" s="92">
        <f>Table13[[#This Row],[Date]]-DAY(Table13[[#This Row],[Date]])+1</f>
        <v>46054</v>
      </c>
      <c r="E317" s="7">
        <f t="shared" si="23"/>
        <v>28</v>
      </c>
      <c r="F317" s="91" t="str">
        <f>IFERROR(_xlfn.XLOOKUP($A317,'Raw Data'!$G:$G,'Raw Data'!$AM:$AM),"")</f>
        <v/>
      </c>
      <c r="G317" s="90" t="str">
        <f>IFERROR(_xlfn.XLOOKUP($A317,'Raw Data'!$G:$G,'Raw Data'!$AB:$AB),"")</f>
        <v/>
      </c>
      <c r="H317" s="90"/>
      <c r="I317" s="90" t="str">
        <f>IFERROR(_xlfn.XLOOKUP($A317,'Raw Data'!$G:$G,'Raw Data'!$AC:$AC),"")</f>
        <v/>
      </c>
      <c r="J317" s="90"/>
      <c r="K317" s="90" t="str">
        <f>IFERROR(_xlfn.XLOOKUP($A317,'Raw Data'!$G:$G,'Raw Data'!AD:AD),"")</f>
        <v/>
      </c>
      <c r="L317" s="90" t="str">
        <f>IFERROR(_xlfn.XLOOKUP($A317,'Raw Data'!$G:$G,'Raw Data'!AE:AE),"")</f>
        <v/>
      </c>
      <c r="M317" s="90" t="str">
        <f>IFERROR(_xlfn.XLOOKUP($A317,'Raw Data'!$G:$G,'Raw Data'!AF:AF),"")</f>
        <v/>
      </c>
      <c r="N317" s="90" t="str">
        <f>IFERROR(_xlfn.XLOOKUP($A317,'Raw Data'!$G:$G,'Raw Data'!AG:AG),"")</f>
        <v/>
      </c>
      <c r="O317" s="85" t="str">
        <f>IFERROR(1-SUMIF('Plant BD'!$B:$B,$A317,'Plant BD'!$AM:$AM)/($AA317+SUMIF('Plant BD'!$B:$B,$A317,'Plant BD'!$AM:$AM)),"")</f>
        <v/>
      </c>
      <c r="P317" s="85"/>
      <c r="Q317" s="89"/>
      <c r="R317" s="85" t="str">
        <f>IFERROR(1-SUMIF('Grid BD'!$B:$B,$A317,'Grid BD'!$AE:$AE)/($AA317+SUMIF('Grid BD'!$B:$B,$A317,'Grid BD'!$AE:$AE)),"")</f>
        <v/>
      </c>
      <c r="T317" s="89"/>
      <c r="U317" s="88" t="str">
        <f t="shared" si="21"/>
        <v/>
      </c>
      <c r="V317" s="88"/>
      <c r="W317" s="84" t="str">
        <f t="shared" si="20"/>
        <v/>
      </c>
      <c r="X317" s="86" t="str">
        <f>IFERROR(_xlfn.XLOOKUP($A317,'Raw Data'!$G:$G,'Raw Data'!AI:AI),"")</f>
        <v/>
      </c>
      <c r="Y317" s="86" t="str">
        <f>IFERROR(_xlfn.XLOOKUP($A317,'Raw Data'!$G:$G,'Raw Data'!AJ:AJ),"")</f>
        <v/>
      </c>
      <c r="Z317" s="86" t="str">
        <f>IFERROR(_xlfn.XLOOKUP($A317,'Raw Data'!$G:$G,'Raw Data'!AK:AK),"")</f>
        <v/>
      </c>
      <c r="AA317" s="86" t="str">
        <f>IFERROR(_xlfn.XLOOKUP($A317,'Raw Data'!$G:$G,'Raw Data'!$AL:$AL)*(1+(_xlfn.XLOOKUP(Table13[[#This Row],[Month Year]],JMR!$A:$A,JMR!$J:$J))),"")</f>
        <v/>
      </c>
      <c r="AB317" s="86" t="str">
        <f>IFERROR(_xlfn.XLOOKUP($A317,'Raw Data'!$G:$G,'Raw Data'!$H:$H),"")</f>
        <v/>
      </c>
      <c r="AC317" s="87">
        <f>IFERROR(_xlfn.XLOOKUP($D317,'Modelling New'!$D:$D,'Modelling New'!$P:$P),"")</f>
        <v>6.5464285714285717</v>
      </c>
      <c r="AD317" s="86">
        <f>IFERROR(_xlfn.XLOOKUP($D317,'Modelling New'!$D:$D,'Modelling New'!$T:$T)*1000,"")</f>
        <v>30077.880504196255</v>
      </c>
      <c r="AE317" s="94">
        <f>IFERROR(_xlfn.XLOOKUP($D317,'Modelling New'!$D:$D,'Modelling New'!$O:$O),"")</f>
        <v>0.64719236409623726</v>
      </c>
      <c r="AF317" s="94">
        <f>IFERROR(_xlfn.XLOOKUP($D317,'Modelling New'!$D:$D,'Modelling New'!$W:$W),"")</f>
        <v>0.17653327431375046</v>
      </c>
      <c r="AG317" s="94">
        <f>IFERROR(_xlfn.XLOOKUP($D317,'Modelling New'!$D:$D,'Modelling New'!$AE:$AE),"")</f>
        <v>0.98040000000000005</v>
      </c>
      <c r="AH317" s="94">
        <f>IFERROR(_xlfn.XLOOKUP($D317,'Modelling New'!$D:$D,'Modelling New'!$AF:$AF),"")</f>
        <v>0.98</v>
      </c>
      <c r="AN317" s="85"/>
      <c r="AO317" s="84"/>
      <c r="AP317" s="84"/>
      <c r="AQ317" s="84"/>
      <c r="AR317" s="86">
        <f>'Basic Data'!$J$2</f>
        <v>7.0991999999999997</v>
      </c>
      <c r="AT317" s="7" t="str">
        <f>IFERROR(_xlfn.XLOOKUP(Table13[[#This Row],[Date]],'Raw Data'!$E:$E,'Raw Data'!$AN:$AN),"")</f>
        <v/>
      </c>
      <c r="AU317" s="7">
        <f>IFERROR(_xlfn.XLOOKUP(Table13[[#This Row],[Month Year]],'Modelling New'!$D:$D,'Modelling New'!$AO:$AO),"")</f>
        <v>7</v>
      </c>
      <c r="AV317" s="7">
        <f>IFERROR(SUMIF('Curtailment Records'!$C:$C,Table13[[#This Row],[Date]],'Curtailment Records'!$R:$R)/1000,"")</f>
        <v>0</v>
      </c>
    </row>
    <row r="318" spans="1:48" x14ac:dyDescent="0.25">
      <c r="A318" s="93">
        <f t="shared" si="22"/>
        <v>46061</v>
      </c>
      <c r="B318" s="86">
        <f>YEAR(Table13[[#This Row],[Date]])+IF(MONTH(Table13[[#This Row],[Date]])&gt;=4,1,0)</f>
        <v>2026</v>
      </c>
      <c r="C318" s="7">
        <f>YEAR(Table13[[#This Row],[Date]])</f>
        <v>2026</v>
      </c>
      <c r="D318" s="92">
        <f>Table13[[#This Row],[Date]]-DAY(Table13[[#This Row],[Date]])+1</f>
        <v>46054</v>
      </c>
      <c r="E318" s="7">
        <f t="shared" si="23"/>
        <v>28</v>
      </c>
      <c r="F318" s="91" t="str">
        <f>IFERROR(_xlfn.XLOOKUP($A318,'Raw Data'!$G:$G,'Raw Data'!$AM:$AM),"")</f>
        <v/>
      </c>
      <c r="G318" s="90" t="str">
        <f>IFERROR(_xlfn.XLOOKUP($A318,'Raw Data'!$G:$G,'Raw Data'!$AB:$AB),"")</f>
        <v/>
      </c>
      <c r="H318" s="90"/>
      <c r="I318" s="90" t="str">
        <f>IFERROR(_xlfn.XLOOKUP($A318,'Raw Data'!$G:$G,'Raw Data'!$AC:$AC),"")</f>
        <v/>
      </c>
      <c r="J318" s="90"/>
      <c r="K318" s="90" t="str">
        <f>IFERROR(_xlfn.XLOOKUP($A318,'Raw Data'!$G:$G,'Raw Data'!AD:AD),"")</f>
        <v/>
      </c>
      <c r="L318" s="90" t="str">
        <f>IFERROR(_xlfn.XLOOKUP($A318,'Raw Data'!$G:$G,'Raw Data'!AE:AE),"")</f>
        <v/>
      </c>
      <c r="M318" s="90" t="str">
        <f>IFERROR(_xlfn.XLOOKUP($A318,'Raw Data'!$G:$G,'Raw Data'!AF:AF),"")</f>
        <v/>
      </c>
      <c r="N318" s="90" t="str">
        <f>IFERROR(_xlfn.XLOOKUP($A318,'Raw Data'!$G:$G,'Raw Data'!AG:AG),"")</f>
        <v/>
      </c>
      <c r="O318" s="85" t="str">
        <f>IFERROR(1-SUMIF('Plant BD'!$B:$B,$A318,'Plant BD'!$AM:$AM)/($AA318+SUMIF('Plant BD'!$B:$B,$A318,'Plant BD'!$AM:$AM)),"")</f>
        <v/>
      </c>
      <c r="P318" s="85"/>
      <c r="Q318" s="89"/>
      <c r="R318" s="85" t="str">
        <f>IFERROR(1-SUMIF('Grid BD'!$B:$B,$A318,'Grid BD'!$AE:$AE)/($AA318+SUMIF('Grid BD'!$B:$B,$A318,'Grid BD'!$AE:$AE)),"")</f>
        <v/>
      </c>
      <c r="T318" s="89"/>
      <c r="U318" s="88" t="str">
        <f t="shared" si="21"/>
        <v/>
      </c>
      <c r="V318" s="88"/>
      <c r="W318" s="84" t="str">
        <f t="shared" si="20"/>
        <v/>
      </c>
      <c r="X318" s="86" t="str">
        <f>IFERROR(_xlfn.XLOOKUP($A318,'Raw Data'!$G:$G,'Raw Data'!AI:AI),"")</f>
        <v/>
      </c>
      <c r="Y318" s="86" t="str">
        <f>IFERROR(_xlfn.XLOOKUP($A318,'Raw Data'!$G:$G,'Raw Data'!AJ:AJ),"")</f>
        <v/>
      </c>
      <c r="Z318" s="86" t="str">
        <f>IFERROR(_xlfn.XLOOKUP($A318,'Raw Data'!$G:$G,'Raw Data'!AK:AK),"")</f>
        <v/>
      </c>
      <c r="AA318" s="86" t="str">
        <f>IFERROR(_xlfn.XLOOKUP($A318,'Raw Data'!$G:$G,'Raw Data'!$AL:$AL)*(1+(_xlfn.XLOOKUP(Table13[[#This Row],[Month Year]],JMR!$A:$A,JMR!$J:$J))),"")</f>
        <v/>
      </c>
      <c r="AB318" s="86" t="str">
        <f>IFERROR(_xlfn.XLOOKUP($A318,'Raw Data'!$G:$G,'Raw Data'!$H:$H),"")</f>
        <v/>
      </c>
      <c r="AC318" s="87">
        <f>IFERROR(_xlfn.XLOOKUP($D318,'Modelling New'!$D:$D,'Modelling New'!$P:$P),"")</f>
        <v>6.5464285714285717</v>
      </c>
      <c r="AD318" s="86">
        <f>IFERROR(_xlfn.XLOOKUP($D318,'Modelling New'!$D:$D,'Modelling New'!$T:$T)*1000,"")</f>
        <v>30077.880504196255</v>
      </c>
      <c r="AE318" s="94">
        <f>IFERROR(_xlfn.XLOOKUP($D318,'Modelling New'!$D:$D,'Modelling New'!$O:$O),"")</f>
        <v>0.64719236409623726</v>
      </c>
      <c r="AF318" s="94">
        <f>IFERROR(_xlfn.XLOOKUP($D318,'Modelling New'!$D:$D,'Modelling New'!$W:$W),"")</f>
        <v>0.17653327431375046</v>
      </c>
      <c r="AG318" s="94">
        <f>IFERROR(_xlfn.XLOOKUP($D318,'Modelling New'!$D:$D,'Modelling New'!$AE:$AE),"")</f>
        <v>0.98040000000000005</v>
      </c>
      <c r="AH318" s="94">
        <f>IFERROR(_xlfn.XLOOKUP($D318,'Modelling New'!$D:$D,'Modelling New'!$AF:$AF),"")</f>
        <v>0.98</v>
      </c>
      <c r="AN318" s="85"/>
      <c r="AO318" s="84"/>
      <c r="AP318" s="84"/>
      <c r="AQ318" s="84"/>
      <c r="AR318" s="86">
        <f>'Basic Data'!$J$2</f>
        <v>7.0991999999999997</v>
      </c>
      <c r="AT318" s="7" t="str">
        <f>IFERROR(_xlfn.XLOOKUP(Table13[[#This Row],[Date]],'Raw Data'!$E:$E,'Raw Data'!$AN:$AN),"")</f>
        <v/>
      </c>
      <c r="AU318" s="7">
        <f>IFERROR(_xlfn.XLOOKUP(Table13[[#This Row],[Month Year]],'Modelling New'!$D:$D,'Modelling New'!$AO:$AO),"")</f>
        <v>7</v>
      </c>
      <c r="AV318" s="7">
        <f>IFERROR(SUMIF('Curtailment Records'!$C:$C,Table13[[#This Row],[Date]],'Curtailment Records'!$R:$R)/1000,"")</f>
        <v>0</v>
      </c>
    </row>
    <row r="319" spans="1:48" x14ac:dyDescent="0.25">
      <c r="A319" s="93">
        <f t="shared" si="22"/>
        <v>46062</v>
      </c>
      <c r="B319" s="86">
        <f>YEAR(Table13[[#This Row],[Date]])+IF(MONTH(Table13[[#This Row],[Date]])&gt;=4,1,0)</f>
        <v>2026</v>
      </c>
      <c r="C319" s="7">
        <f>YEAR(Table13[[#This Row],[Date]])</f>
        <v>2026</v>
      </c>
      <c r="D319" s="92">
        <f>Table13[[#This Row],[Date]]-DAY(Table13[[#This Row],[Date]])+1</f>
        <v>46054</v>
      </c>
      <c r="E319" s="7">
        <f t="shared" si="23"/>
        <v>28</v>
      </c>
      <c r="F319" s="91" t="str">
        <f>IFERROR(_xlfn.XLOOKUP($A319,'Raw Data'!$G:$G,'Raw Data'!$AM:$AM),"")</f>
        <v/>
      </c>
      <c r="G319" s="90" t="str">
        <f>IFERROR(_xlfn.XLOOKUP($A319,'Raw Data'!$G:$G,'Raw Data'!$AB:$AB),"")</f>
        <v/>
      </c>
      <c r="H319" s="90"/>
      <c r="I319" s="90" t="str">
        <f>IFERROR(_xlfn.XLOOKUP($A319,'Raw Data'!$G:$G,'Raw Data'!$AC:$AC),"")</f>
        <v/>
      </c>
      <c r="J319" s="90"/>
      <c r="K319" s="90" t="str">
        <f>IFERROR(_xlfn.XLOOKUP($A319,'Raw Data'!$G:$G,'Raw Data'!AD:AD),"")</f>
        <v/>
      </c>
      <c r="L319" s="90" t="str">
        <f>IFERROR(_xlfn.XLOOKUP($A319,'Raw Data'!$G:$G,'Raw Data'!AE:AE),"")</f>
        <v/>
      </c>
      <c r="M319" s="90" t="str">
        <f>IFERROR(_xlfn.XLOOKUP($A319,'Raw Data'!$G:$G,'Raw Data'!AF:AF),"")</f>
        <v/>
      </c>
      <c r="N319" s="90" t="str">
        <f>IFERROR(_xlfn.XLOOKUP($A319,'Raw Data'!$G:$G,'Raw Data'!AG:AG),"")</f>
        <v/>
      </c>
      <c r="O319" s="85" t="str">
        <f>IFERROR(1-SUMIF('Plant BD'!$B:$B,$A319,'Plant BD'!$AM:$AM)/($AA319+SUMIF('Plant BD'!$B:$B,$A319,'Plant BD'!$AM:$AM)),"")</f>
        <v/>
      </c>
      <c r="P319" s="85"/>
      <c r="Q319" s="89"/>
      <c r="R319" s="85" t="str">
        <f>IFERROR(1-SUMIF('Grid BD'!$B:$B,$A319,'Grid BD'!$AE:$AE)/($AA319+SUMIF('Grid BD'!$B:$B,$A319,'Grid BD'!$AE:$AE)),"")</f>
        <v/>
      </c>
      <c r="T319" s="89"/>
      <c r="U319" s="88" t="str">
        <f t="shared" si="21"/>
        <v/>
      </c>
      <c r="V319" s="88"/>
      <c r="W319" s="84" t="str">
        <f t="shared" si="20"/>
        <v/>
      </c>
      <c r="X319" s="86" t="str">
        <f>IFERROR(_xlfn.XLOOKUP($A319,'Raw Data'!$G:$G,'Raw Data'!AI:AI),"")</f>
        <v/>
      </c>
      <c r="Y319" s="86" t="str">
        <f>IFERROR(_xlfn.XLOOKUP($A319,'Raw Data'!$G:$G,'Raw Data'!AJ:AJ),"")</f>
        <v/>
      </c>
      <c r="Z319" s="86" t="str">
        <f>IFERROR(_xlfn.XLOOKUP($A319,'Raw Data'!$G:$G,'Raw Data'!AK:AK),"")</f>
        <v/>
      </c>
      <c r="AA319" s="86" t="str">
        <f>IFERROR(_xlfn.XLOOKUP($A319,'Raw Data'!$G:$G,'Raw Data'!$AL:$AL)*(1+(_xlfn.XLOOKUP(Table13[[#This Row],[Month Year]],JMR!$A:$A,JMR!$J:$J))),"")</f>
        <v/>
      </c>
      <c r="AB319" s="86" t="str">
        <f>IFERROR(_xlfn.XLOOKUP($A319,'Raw Data'!$G:$G,'Raw Data'!$H:$H),"")</f>
        <v/>
      </c>
      <c r="AC319" s="87">
        <f>IFERROR(_xlfn.XLOOKUP($D319,'Modelling New'!$D:$D,'Modelling New'!$P:$P),"")</f>
        <v>6.5464285714285717</v>
      </c>
      <c r="AD319" s="86">
        <f>IFERROR(_xlfn.XLOOKUP($D319,'Modelling New'!$D:$D,'Modelling New'!$T:$T)*1000,"")</f>
        <v>30077.880504196255</v>
      </c>
      <c r="AE319" s="94">
        <f>IFERROR(_xlfn.XLOOKUP($D319,'Modelling New'!$D:$D,'Modelling New'!$O:$O),"")</f>
        <v>0.64719236409623726</v>
      </c>
      <c r="AF319" s="94">
        <f>IFERROR(_xlfn.XLOOKUP($D319,'Modelling New'!$D:$D,'Modelling New'!$W:$W),"")</f>
        <v>0.17653327431375046</v>
      </c>
      <c r="AG319" s="94">
        <f>IFERROR(_xlfn.XLOOKUP($D319,'Modelling New'!$D:$D,'Modelling New'!$AE:$AE),"")</f>
        <v>0.98040000000000005</v>
      </c>
      <c r="AH319" s="94">
        <f>IFERROR(_xlfn.XLOOKUP($D319,'Modelling New'!$D:$D,'Modelling New'!$AF:$AF),"")</f>
        <v>0.98</v>
      </c>
      <c r="AN319" s="85"/>
      <c r="AO319" s="84"/>
      <c r="AP319" s="84"/>
      <c r="AQ319" s="84"/>
      <c r="AR319" s="86">
        <f>'Basic Data'!$J$2</f>
        <v>7.0991999999999997</v>
      </c>
      <c r="AT319" s="7" t="str">
        <f>IFERROR(_xlfn.XLOOKUP(Table13[[#This Row],[Date]],'Raw Data'!$E:$E,'Raw Data'!$AN:$AN),"")</f>
        <v/>
      </c>
      <c r="AU319" s="7">
        <f>IFERROR(_xlfn.XLOOKUP(Table13[[#This Row],[Month Year]],'Modelling New'!$D:$D,'Modelling New'!$AO:$AO),"")</f>
        <v>7</v>
      </c>
      <c r="AV319" s="7">
        <f>IFERROR(SUMIF('Curtailment Records'!$C:$C,Table13[[#This Row],[Date]],'Curtailment Records'!$R:$R)/1000,"")</f>
        <v>0</v>
      </c>
    </row>
    <row r="320" spans="1:48" x14ac:dyDescent="0.25">
      <c r="A320" s="93">
        <f t="shared" si="22"/>
        <v>46063</v>
      </c>
      <c r="B320" s="86">
        <f>YEAR(Table13[[#This Row],[Date]])+IF(MONTH(Table13[[#This Row],[Date]])&gt;=4,1,0)</f>
        <v>2026</v>
      </c>
      <c r="C320" s="7">
        <f>YEAR(Table13[[#This Row],[Date]])</f>
        <v>2026</v>
      </c>
      <c r="D320" s="92">
        <f>Table13[[#This Row],[Date]]-DAY(Table13[[#This Row],[Date]])+1</f>
        <v>46054</v>
      </c>
      <c r="E320" s="7">
        <f t="shared" si="23"/>
        <v>28</v>
      </c>
      <c r="F320" s="91" t="str">
        <f>IFERROR(_xlfn.XLOOKUP($A320,'Raw Data'!$G:$G,'Raw Data'!$AM:$AM),"")</f>
        <v/>
      </c>
      <c r="G320" s="90" t="str">
        <f>IFERROR(_xlfn.XLOOKUP($A320,'Raw Data'!$G:$G,'Raw Data'!$AB:$AB),"")</f>
        <v/>
      </c>
      <c r="H320" s="90"/>
      <c r="I320" s="90" t="str">
        <f>IFERROR(_xlfn.XLOOKUP($A320,'Raw Data'!$G:$G,'Raw Data'!$AC:$AC),"")</f>
        <v/>
      </c>
      <c r="J320" s="90"/>
      <c r="K320" s="90" t="str">
        <f>IFERROR(_xlfn.XLOOKUP($A320,'Raw Data'!$G:$G,'Raw Data'!AD:AD),"")</f>
        <v/>
      </c>
      <c r="L320" s="90" t="str">
        <f>IFERROR(_xlfn.XLOOKUP($A320,'Raw Data'!$G:$G,'Raw Data'!AE:AE),"")</f>
        <v/>
      </c>
      <c r="M320" s="90" t="str">
        <f>IFERROR(_xlfn.XLOOKUP($A320,'Raw Data'!$G:$G,'Raw Data'!AF:AF),"")</f>
        <v/>
      </c>
      <c r="N320" s="90" t="str">
        <f>IFERROR(_xlfn.XLOOKUP($A320,'Raw Data'!$G:$G,'Raw Data'!AG:AG),"")</f>
        <v/>
      </c>
      <c r="O320" s="85" t="str">
        <f>IFERROR(1-SUMIF('Plant BD'!$B:$B,$A320,'Plant BD'!$AM:$AM)/($AA320+SUMIF('Plant BD'!$B:$B,$A320,'Plant BD'!$AM:$AM)),"")</f>
        <v/>
      </c>
      <c r="P320" s="85"/>
      <c r="Q320" s="89"/>
      <c r="R320" s="85" t="str">
        <f>IFERROR(1-SUMIF('Grid BD'!$B:$B,$A320,'Grid BD'!$AE:$AE)/($AA320+SUMIF('Grid BD'!$B:$B,$A320,'Grid BD'!$AE:$AE)),"")</f>
        <v/>
      </c>
      <c r="T320" s="89"/>
      <c r="U320" s="88" t="str">
        <f t="shared" si="21"/>
        <v/>
      </c>
      <c r="V320" s="88"/>
      <c r="W320" s="84" t="str">
        <f t="shared" si="20"/>
        <v/>
      </c>
      <c r="X320" s="86" t="str">
        <f>IFERROR(_xlfn.XLOOKUP($A320,'Raw Data'!$G:$G,'Raw Data'!AI:AI),"")</f>
        <v/>
      </c>
      <c r="Y320" s="86" t="str">
        <f>IFERROR(_xlfn.XLOOKUP($A320,'Raw Data'!$G:$G,'Raw Data'!AJ:AJ),"")</f>
        <v/>
      </c>
      <c r="Z320" s="86" t="str">
        <f>IFERROR(_xlfn.XLOOKUP($A320,'Raw Data'!$G:$G,'Raw Data'!AK:AK),"")</f>
        <v/>
      </c>
      <c r="AA320" s="86" t="str">
        <f>IFERROR(_xlfn.XLOOKUP($A320,'Raw Data'!$G:$G,'Raw Data'!$AL:$AL)*(1+(_xlfn.XLOOKUP(Table13[[#This Row],[Month Year]],JMR!$A:$A,JMR!$J:$J))),"")</f>
        <v/>
      </c>
      <c r="AB320" s="86" t="str">
        <f>IFERROR(_xlfn.XLOOKUP($A320,'Raw Data'!$G:$G,'Raw Data'!$H:$H),"")</f>
        <v/>
      </c>
      <c r="AC320" s="87">
        <f>IFERROR(_xlfn.XLOOKUP($D320,'Modelling New'!$D:$D,'Modelling New'!$P:$P),"")</f>
        <v>6.5464285714285717</v>
      </c>
      <c r="AD320" s="86">
        <f>IFERROR(_xlfn.XLOOKUP($D320,'Modelling New'!$D:$D,'Modelling New'!$T:$T)*1000,"")</f>
        <v>30077.880504196255</v>
      </c>
      <c r="AE320" s="94">
        <f>IFERROR(_xlfn.XLOOKUP($D320,'Modelling New'!$D:$D,'Modelling New'!$O:$O),"")</f>
        <v>0.64719236409623726</v>
      </c>
      <c r="AF320" s="94">
        <f>IFERROR(_xlfn.XLOOKUP($D320,'Modelling New'!$D:$D,'Modelling New'!$W:$W),"")</f>
        <v>0.17653327431375046</v>
      </c>
      <c r="AG320" s="94">
        <f>IFERROR(_xlfn.XLOOKUP($D320,'Modelling New'!$D:$D,'Modelling New'!$AE:$AE),"")</f>
        <v>0.98040000000000005</v>
      </c>
      <c r="AH320" s="94">
        <f>IFERROR(_xlfn.XLOOKUP($D320,'Modelling New'!$D:$D,'Modelling New'!$AF:$AF),"")</f>
        <v>0.98</v>
      </c>
      <c r="AN320" s="85"/>
      <c r="AO320" s="84"/>
      <c r="AP320" s="84"/>
      <c r="AQ320" s="84"/>
      <c r="AR320" s="86">
        <f>'Basic Data'!$J$2</f>
        <v>7.0991999999999997</v>
      </c>
      <c r="AT320" s="7" t="str">
        <f>IFERROR(_xlfn.XLOOKUP(Table13[[#This Row],[Date]],'Raw Data'!$E:$E,'Raw Data'!$AN:$AN),"")</f>
        <v/>
      </c>
      <c r="AU320" s="7">
        <f>IFERROR(_xlfn.XLOOKUP(Table13[[#This Row],[Month Year]],'Modelling New'!$D:$D,'Modelling New'!$AO:$AO),"")</f>
        <v>7</v>
      </c>
      <c r="AV320" s="7">
        <f>IFERROR(SUMIF('Curtailment Records'!$C:$C,Table13[[#This Row],[Date]],'Curtailment Records'!$R:$R)/1000,"")</f>
        <v>0</v>
      </c>
    </row>
    <row r="321" spans="1:48" x14ac:dyDescent="0.25">
      <c r="A321" s="93">
        <f t="shared" si="22"/>
        <v>46064</v>
      </c>
      <c r="B321" s="86">
        <f>YEAR(Table13[[#This Row],[Date]])+IF(MONTH(Table13[[#This Row],[Date]])&gt;=4,1,0)</f>
        <v>2026</v>
      </c>
      <c r="C321" s="7">
        <f>YEAR(Table13[[#This Row],[Date]])</f>
        <v>2026</v>
      </c>
      <c r="D321" s="92">
        <f>Table13[[#This Row],[Date]]-DAY(Table13[[#This Row],[Date]])+1</f>
        <v>46054</v>
      </c>
      <c r="E321" s="7">
        <f t="shared" si="23"/>
        <v>28</v>
      </c>
      <c r="F321" s="91" t="str">
        <f>IFERROR(_xlfn.XLOOKUP($A321,'Raw Data'!$G:$G,'Raw Data'!$AM:$AM),"")</f>
        <v/>
      </c>
      <c r="G321" s="90" t="str">
        <f>IFERROR(_xlfn.XLOOKUP($A321,'Raw Data'!$G:$G,'Raw Data'!$AB:$AB),"")</f>
        <v/>
      </c>
      <c r="H321" s="90"/>
      <c r="I321" s="90" t="str">
        <f>IFERROR(_xlfn.XLOOKUP($A321,'Raw Data'!$G:$G,'Raw Data'!$AC:$AC),"")</f>
        <v/>
      </c>
      <c r="J321" s="90"/>
      <c r="K321" s="90" t="str">
        <f>IFERROR(_xlfn.XLOOKUP($A321,'Raw Data'!$G:$G,'Raw Data'!AD:AD),"")</f>
        <v/>
      </c>
      <c r="L321" s="90" t="str">
        <f>IFERROR(_xlfn.XLOOKUP($A321,'Raw Data'!$G:$G,'Raw Data'!AE:AE),"")</f>
        <v/>
      </c>
      <c r="M321" s="90" t="str">
        <f>IFERROR(_xlfn.XLOOKUP($A321,'Raw Data'!$G:$G,'Raw Data'!AF:AF),"")</f>
        <v/>
      </c>
      <c r="N321" s="90" t="str">
        <f>IFERROR(_xlfn.XLOOKUP($A321,'Raw Data'!$G:$G,'Raw Data'!AG:AG),"")</f>
        <v/>
      </c>
      <c r="O321" s="85" t="str">
        <f>IFERROR(1-SUMIF('Plant BD'!$B:$B,$A321,'Plant BD'!$AM:$AM)/($AA321+SUMIF('Plant BD'!$B:$B,$A321,'Plant BD'!$AM:$AM)),"")</f>
        <v/>
      </c>
      <c r="P321" s="85"/>
      <c r="Q321" s="89"/>
      <c r="R321" s="85" t="str">
        <f>IFERROR(1-SUMIF('Grid BD'!$B:$B,$A321,'Grid BD'!$AE:$AE)/($AA321+SUMIF('Grid BD'!$B:$B,$A321,'Grid BD'!$AE:$AE)),"")</f>
        <v/>
      </c>
      <c r="T321" s="89"/>
      <c r="U321" s="88" t="str">
        <f t="shared" si="21"/>
        <v/>
      </c>
      <c r="V321" s="88"/>
      <c r="W321" s="84" t="str">
        <f t="shared" si="20"/>
        <v/>
      </c>
      <c r="X321" s="86" t="str">
        <f>IFERROR(_xlfn.XLOOKUP($A321,'Raw Data'!$G:$G,'Raw Data'!AI:AI),"")</f>
        <v/>
      </c>
      <c r="Y321" s="86" t="str">
        <f>IFERROR(_xlfn.XLOOKUP($A321,'Raw Data'!$G:$G,'Raw Data'!AJ:AJ),"")</f>
        <v/>
      </c>
      <c r="Z321" s="86" t="str">
        <f>IFERROR(_xlfn.XLOOKUP($A321,'Raw Data'!$G:$G,'Raw Data'!AK:AK),"")</f>
        <v/>
      </c>
      <c r="AA321" s="86" t="str">
        <f>IFERROR(_xlfn.XLOOKUP($A321,'Raw Data'!$G:$G,'Raw Data'!$AL:$AL)*(1+(_xlfn.XLOOKUP(Table13[[#This Row],[Month Year]],JMR!$A:$A,JMR!$J:$J))),"")</f>
        <v/>
      </c>
      <c r="AB321" s="86" t="str">
        <f>IFERROR(_xlfn.XLOOKUP($A321,'Raw Data'!$G:$G,'Raw Data'!$H:$H),"")</f>
        <v/>
      </c>
      <c r="AC321" s="87">
        <f>IFERROR(_xlfn.XLOOKUP($D321,'Modelling New'!$D:$D,'Modelling New'!$P:$P),"")</f>
        <v>6.5464285714285717</v>
      </c>
      <c r="AD321" s="86">
        <f>IFERROR(_xlfn.XLOOKUP($D321,'Modelling New'!$D:$D,'Modelling New'!$T:$T)*1000,"")</f>
        <v>30077.880504196255</v>
      </c>
      <c r="AE321" s="94">
        <f>IFERROR(_xlfn.XLOOKUP($D321,'Modelling New'!$D:$D,'Modelling New'!$O:$O),"")</f>
        <v>0.64719236409623726</v>
      </c>
      <c r="AF321" s="94">
        <f>IFERROR(_xlfn.XLOOKUP($D321,'Modelling New'!$D:$D,'Modelling New'!$W:$W),"")</f>
        <v>0.17653327431375046</v>
      </c>
      <c r="AG321" s="94">
        <f>IFERROR(_xlfn.XLOOKUP($D321,'Modelling New'!$D:$D,'Modelling New'!$AE:$AE),"")</f>
        <v>0.98040000000000005</v>
      </c>
      <c r="AH321" s="94">
        <f>IFERROR(_xlfn.XLOOKUP($D321,'Modelling New'!$D:$D,'Modelling New'!$AF:$AF),"")</f>
        <v>0.98</v>
      </c>
      <c r="AN321" s="85"/>
      <c r="AO321" s="84"/>
      <c r="AP321" s="84"/>
      <c r="AQ321" s="84"/>
      <c r="AR321" s="86">
        <f>'Basic Data'!$J$2</f>
        <v>7.0991999999999997</v>
      </c>
      <c r="AT321" s="7" t="str">
        <f>IFERROR(_xlfn.XLOOKUP(Table13[[#This Row],[Date]],'Raw Data'!$E:$E,'Raw Data'!$AN:$AN),"")</f>
        <v/>
      </c>
      <c r="AU321" s="7">
        <f>IFERROR(_xlfn.XLOOKUP(Table13[[#This Row],[Month Year]],'Modelling New'!$D:$D,'Modelling New'!$AO:$AO),"")</f>
        <v>7</v>
      </c>
      <c r="AV321" s="7">
        <f>IFERROR(SUMIF('Curtailment Records'!$C:$C,Table13[[#This Row],[Date]],'Curtailment Records'!$R:$R)/1000,"")</f>
        <v>0</v>
      </c>
    </row>
    <row r="322" spans="1:48" x14ac:dyDescent="0.25">
      <c r="A322" s="93">
        <f t="shared" si="22"/>
        <v>46065</v>
      </c>
      <c r="B322" s="86">
        <f>YEAR(Table13[[#This Row],[Date]])+IF(MONTH(Table13[[#This Row],[Date]])&gt;=4,1,0)</f>
        <v>2026</v>
      </c>
      <c r="C322" s="7">
        <f>YEAR(Table13[[#This Row],[Date]])</f>
        <v>2026</v>
      </c>
      <c r="D322" s="92">
        <f>Table13[[#This Row],[Date]]-DAY(Table13[[#This Row],[Date]])+1</f>
        <v>46054</v>
      </c>
      <c r="E322" s="7">
        <f t="shared" si="23"/>
        <v>28</v>
      </c>
      <c r="F322" s="91" t="str">
        <f>IFERROR(_xlfn.XLOOKUP($A322,'Raw Data'!$G:$G,'Raw Data'!$AM:$AM),"")</f>
        <v/>
      </c>
      <c r="G322" s="90" t="str">
        <f>IFERROR(_xlfn.XLOOKUP($A322,'Raw Data'!$G:$G,'Raw Data'!$AB:$AB),"")</f>
        <v/>
      </c>
      <c r="H322" s="90"/>
      <c r="I322" s="90" t="str">
        <f>IFERROR(_xlfn.XLOOKUP($A322,'Raw Data'!$G:$G,'Raw Data'!$AC:$AC),"")</f>
        <v/>
      </c>
      <c r="J322" s="90"/>
      <c r="K322" s="90" t="str">
        <f>IFERROR(_xlfn.XLOOKUP($A322,'Raw Data'!$G:$G,'Raw Data'!AD:AD),"")</f>
        <v/>
      </c>
      <c r="L322" s="90" t="str">
        <f>IFERROR(_xlfn.XLOOKUP($A322,'Raw Data'!$G:$G,'Raw Data'!AE:AE),"")</f>
        <v/>
      </c>
      <c r="M322" s="90" t="str">
        <f>IFERROR(_xlfn.XLOOKUP($A322,'Raw Data'!$G:$G,'Raw Data'!AF:AF),"")</f>
        <v/>
      </c>
      <c r="N322" s="90" t="str">
        <f>IFERROR(_xlfn.XLOOKUP($A322,'Raw Data'!$G:$G,'Raw Data'!AG:AG),"")</f>
        <v/>
      </c>
      <c r="O322" s="85" t="str">
        <f>IFERROR(1-SUMIF('Plant BD'!$B:$B,$A322,'Plant BD'!$AM:$AM)/($AA322+SUMIF('Plant BD'!$B:$B,$A322,'Plant BD'!$AM:$AM)),"")</f>
        <v/>
      </c>
      <c r="P322" s="85"/>
      <c r="Q322" s="89"/>
      <c r="R322" s="85" t="str">
        <f>IFERROR(1-SUMIF('Grid BD'!$B:$B,$A322,'Grid BD'!$AE:$AE)/($AA322+SUMIF('Grid BD'!$B:$B,$A322,'Grid BD'!$AE:$AE)),"")</f>
        <v/>
      </c>
      <c r="T322" s="89"/>
      <c r="U322" s="88" t="str">
        <f t="shared" si="21"/>
        <v/>
      </c>
      <c r="V322" s="88"/>
      <c r="W322" s="84" t="str">
        <f t="shared" si="20"/>
        <v/>
      </c>
      <c r="X322" s="86" t="str">
        <f>IFERROR(_xlfn.XLOOKUP($A322,'Raw Data'!$G:$G,'Raw Data'!AI:AI),"")</f>
        <v/>
      </c>
      <c r="Y322" s="86" t="str">
        <f>IFERROR(_xlfn.XLOOKUP($A322,'Raw Data'!$G:$G,'Raw Data'!AJ:AJ),"")</f>
        <v/>
      </c>
      <c r="Z322" s="86" t="str">
        <f>IFERROR(_xlfn.XLOOKUP($A322,'Raw Data'!$G:$G,'Raw Data'!AK:AK),"")</f>
        <v/>
      </c>
      <c r="AA322" s="86" t="str">
        <f>IFERROR(_xlfn.XLOOKUP($A322,'Raw Data'!$G:$G,'Raw Data'!$AL:$AL)*(1+(_xlfn.XLOOKUP(Table13[[#This Row],[Month Year]],JMR!$A:$A,JMR!$J:$J))),"")</f>
        <v/>
      </c>
      <c r="AB322" s="86" t="str">
        <f>IFERROR(_xlfn.XLOOKUP($A322,'Raw Data'!$G:$G,'Raw Data'!$H:$H),"")</f>
        <v/>
      </c>
      <c r="AC322" s="87">
        <f>IFERROR(_xlfn.XLOOKUP($D322,'Modelling New'!$D:$D,'Modelling New'!$P:$P),"")</f>
        <v>6.5464285714285717</v>
      </c>
      <c r="AD322" s="86">
        <f>IFERROR(_xlfn.XLOOKUP($D322,'Modelling New'!$D:$D,'Modelling New'!$T:$T)*1000,"")</f>
        <v>30077.880504196255</v>
      </c>
      <c r="AE322" s="94">
        <f>IFERROR(_xlfn.XLOOKUP($D322,'Modelling New'!$D:$D,'Modelling New'!$O:$O),"")</f>
        <v>0.64719236409623726</v>
      </c>
      <c r="AF322" s="94">
        <f>IFERROR(_xlfn.XLOOKUP($D322,'Modelling New'!$D:$D,'Modelling New'!$W:$W),"")</f>
        <v>0.17653327431375046</v>
      </c>
      <c r="AG322" s="94">
        <f>IFERROR(_xlfn.XLOOKUP($D322,'Modelling New'!$D:$D,'Modelling New'!$AE:$AE),"")</f>
        <v>0.98040000000000005</v>
      </c>
      <c r="AH322" s="94">
        <f>IFERROR(_xlfn.XLOOKUP($D322,'Modelling New'!$D:$D,'Modelling New'!$AF:$AF),"")</f>
        <v>0.98</v>
      </c>
      <c r="AN322" s="85"/>
      <c r="AO322" s="84"/>
      <c r="AP322" s="84"/>
      <c r="AQ322" s="84"/>
      <c r="AR322" s="86">
        <f>'Basic Data'!$J$2</f>
        <v>7.0991999999999997</v>
      </c>
      <c r="AT322" s="7" t="str">
        <f>IFERROR(_xlfn.XLOOKUP(Table13[[#This Row],[Date]],'Raw Data'!$E:$E,'Raw Data'!$AN:$AN),"")</f>
        <v/>
      </c>
      <c r="AU322" s="7">
        <f>IFERROR(_xlfn.XLOOKUP(Table13[[#This Row],[Month Year]],'Modelling New'!$D:$D,'Modelling New'!$AO:$AO),"")</f>
        <v>7</v>
      </c>
      <c r="AV322" s="7">
        <f>IFERROR(SUMIF('Curtailment Records'!$C:$C,Table13[[#This Row],[Date]],'Curtailment Records'!$R:$R)/1000,"")</f>
        <v>0</v>
      </c>
    </row>
    <row r="323" spans="1:48" x14ac:dyDescent="0.25">
      <c r="A323" s="93">
        <f t="shared" si="22"/>
        <v>46066</v>
      </c>
      <c r="B323" s="86">
        <f>YEAR(Table13[[#This Row],[Date]])+IF(MONTH(Table13[[#This Row],[Date]])&gt;=4,1,0)</f>
        <v>2026</v>
      </c>
      <c r="C323" s="7">
        <f>YEAR(Table13[[#This Row],[Date]])</f>
        <v>2026</v>
      </c>
      <c r="D323" s="92">
        <f>Table13[[#This Row],[Date]]-DAY(Table13[[#This Row],[Date]])+1</f>
        <v>46054</v>
      </c>
      <c r="E323" s="7">
        <f t="shared" si="23"/>
        <v>28</v>
      </c>
      <c r="F323" s="91" t="str">
        <f>IFERROR(_xlfn.XLOOKUP($A323,'Raw Data'!$G:$G,'Raw Data'!$AM:$AM),"")</f>
        <v/>
      </c>
      <c r="G323" s="90" t="str">
        <f>IFERROR(_xlfn.XLOOKUP($A323,'Raw Data'!$G:$G,'Raw Data'!$AB:$AB),"")</f>
        <v/>
      </c>
      <c r="H323" s="90"/>
      <c r="I323" s="90" t="str">
        <f>IFERROR(_xlfn.XLOOKUP($A323,'Raw Data'!$G:$G,'Raw Data'!$AC:$AC),"")</f>
        <v/>
      </c>
      <c r="J323" s="90"/>
      <c r="K323" s="90" t="str">
        <f>IFERROR(_xlfn.XLOOKUP($A323,'Raw Data'!$G:$G,'Raw Data'!AD:AD),"")</f>
        <v/>
      </c>
      <c r="L323" s="90" t="str">
        <f>IFERROR(_xlfn.XLOOKUP($A323,'Raw Data'!$G:$G,'Raw Data'!AE:AE),"")</f>
        <v/>
      </c>
      <c r="M323" s="90" t="str">
        <f>IFERROR(_xlfn.XLOOKUP($A323,'Raw Data'!$G:$G,'Raw Data'!AF:AF),"")</f>
        <v/>
      </c>
      <c r="N323" s="90" t="str">
        <f>IFERROR(_xlfn.XLOOKUP($A323,'Raw Data'!$G:$G,'Raw Data'!AG:AG),"")</f>
        <v/>
      </c>
      <c r="O323" s="85" t="str">
        <f>IFERROR(1-SUMIF('Plant BD'!$B:$B,$A323,'Plant BD'!$AM:$AM)/($AA323+SUMIF('Plant BD'!$B:$B,$A323,'Plant BD'!$AM:$AM)),"")</f>
        <v/>
      </c>
      <c r="P323" s="85"/>
      <c r="Q323" s="89"/>
      <c r="R323" s="85" t="str">
        <f>IFERROR(1-SUMIF('Grid BD'!$B:$B,$A323,'Grid BD'!$AE:$AE)/($AA323+SUMIF('Grid BD'!$B:$B,$A323,'Grid BD'!$AE:$AE)),"")</f>
        <v/>
      </c>
      <c r="T323" s="89"/>
      <c r="U323" s="88" t="str">
        <f t="shared" si="21"/>
        <v/>
      </c>
      <c r="V323" s="88"/>
      <c r="W323" s="84" t="str">
        <f t="shared" si="20"/>
        <v/>
      </c>
      <c r="X323" s="86" t="str">
        <f>IFERROR(_xlfn.XLOOKUP($A323,'Raw Data'!$G:$G,'Raw Data'!AI:AI),"")</f>
        <v/>
      </c>
      <c r="Y323" s="86" t="str">
        <f>IFERROR(_xlfn.XLOOKUP($A323,'Raw Data'!$G:$G,'Raw Data'!AJ:AJ),"")</f>
        <v/>
      </c>
      <c r="Z323" s="86" t="str">
        <f>IFERROR(_xlfn.XLOOKUP($A323,'Raw Data'!$G:$G,'Raw Data'!AK:AK),"")</f>
        <v/>
      </c>
      <c r="AA323" s="86" t="str">
        <f>IFERROR(_xlfn.XLOOKUP($A323,'Raw Data'!$G:$G,'Raw Data'!$AL:$AL)*(1+(_xlfn.XLOOKUP(Table13[[#This Row],[Month Year]],JMR!$A:$A,JMR!$J:$J))),"")</f>
        <v/>
      </c>
      <c r="AB323" s="86" t="str">
        <f>IFERROR(_xlfn.XLOOKUP($A323,'Raw Data'!$G:$G,'Raw Data'!$H:$H),"")</f>
        <v/>
      </c>
      <c r="AC323" s="87">
        <f>IFERROR(_xlfn.XLOOKUP($D323,'Modelling New'!$D:$D,'Modelling New'!$P:$P),"")</f>
        <v>6.5464285714285717</v>
      </c>
      <c r="AD323" s="86">
        <f>IFERROR(_xlfn.XLOOKUP($D323,'Modelling New'!$D:$D,'Modelling New'!$T:$T)*1000,"")</f>
        <v>30077.880504196255</v>
      </c>
      <c r="AE323" s="94">
        <f>IFERROR(_xlfn.XLOOKUP($D323,'Modelling New'!$D:$D,'Modelling New'!$O:$O),"")</f>
        <v>0.64719236409623726</v>
      </c>
      <c r="AF323" s="94">
        <f>IFERROR(_xlfn.XLOOKUP($D323,'Modelling New'!$D:$D,'Modelling New'!$W:$W),"")</f>
        <v>0.17653327431375046</v>
      </c>
      <c r="AG323" s="94">
        <f>IFERROR(_xlfn.XLOOKUP($D323,'Modelling New'!$D:$D,'Modelling New'!$AE:$AE),"")</f>
        <v>0.98040000000000005</v>
      </c>
      <c r="AH323" s="94">
        <f>IFERROR(_xlfn.XLOOKUP($D323,'Modelling New'!$D:$D,'Modelling New'!$AF:$AF),"")</f>
        <v>0.98</v>
      </c>
      <c r="AN323" s="85"/>
      <c r="AO323" s="84"/>
      <c r="AP323" s="84"/>
      <c r="AQ323" s="84"/>
      <c r="AR323" s="86">
        <f>'Basic Data'!$J$2</f>
        <v>7.0991999999999997</v>
      </c>
      <c r="AT323" s="7" t="str">
        <f>IFERROR(_xlfn.XLOOKUP(Table13[[#This Row],[Date]],'Raw Data'!$E:$E,'Raw Data'!$AN:$AN),"")</f>
        <v/>
      </c>
      <c r="AU323" s="7">
        <f>IFERROR(_xlfn.XLOOKUP(Table13[[#This Row],[Month Year]],'Modelling New'!$D:$D,'Modelling New'!$AO:$AO),"")</f>
        <v>7</v>
      </c>
      <c r="AV323" s="7">
        <f>IFERROR(SUMIF('Curtailment Records'!$C:$C,Table13[[#This Row],[Date]],'Curtailment Records'!$R:$R)/1000,"")</f>
        <v>0</v>
      </c>
    </row>
    <row r="324" spans="1:48" x14ac:dyDescent="0.25">
      <c r="A324" s="93">
        <f t="shared" si="22"/>
        <v>46067</v>
      </c>
      <c r="B324" s="86">
        <f>YEAR(Table13[[#This Row],[Date]])+IF(MONTH(Table13[[#This Row],[Date]])&gt;=4,1,0)</f>
        <v>2026</v>
      </c>
      <c r="C324" s="7">
        <f>YEAR(Table13[[#This Row],[Date]])</f>
        <v>2026</v>
      </c>
      <c r="D324" s="92">
        <f>Table13[[#This Row],[Date]]-DAY(Table13[[#This Row],[Date]])+1</f>
        <v>46054</v>
      </c>
      <c r="E324" s="7">
        <f t="shared" si="23"/>
        <v>28</v>
      </c>
      <c r="F324" s="91" t="str">
        <f>IFERROR(_xlfn.XLOOKUP($A324,'Raw Data'!$G:$G,'Raw Data'!$AM:$AM),"")</f>
        <v/>
      </c>
      <c r="G324" s="90" t="str">
        <f>IFERROR(_xlfn.XLOOKUP($A324,'Raw Data'!$G:$G,'Raw Data'!$AB:$AB),"")</f>
        <v/>
      </c>
      <c r="H324" s="90"/>
      <c r="I324" s="90" t="str">
        <f>IFERROR(_xlfn.XLOOKUP($A324,'Raw Data'!$G:$G,'Raw Data'!$AC:$AC),"")</f>
        <v/>
      </c>
      <c r="J324" s="90"/>
      <c r="K324" s="90" t="str">
        <f>IFERROR(_xlfn.XLOOKUP($A324,'Raw Data'!$G:$G,'Raw Data'!AD:AD),"")</f>
        <v/>
      </c>
      <c r="L324" s="90" t="str">
        <f>IFERROR(_xlfn.XLOOKUP($A324,'Raw Data'!$G:$G,'Raw Data'!AE:AE),"")</f>
        <v/>
      </c>
      <c r="M324" s="90" t="str">
        <f>IFERROR(_xlfn.XLOOKUP($A324,'Raw Data'!$G:$G,'Raw Data'!AF:AF),"")</f>
        <v/>
      </c>
      <c r="N324" s="90" t="str">
        <f>IFERROR(_xlfn.XLOOKUP($A324,'Raw Data'!$G:$G,'Raw Data'!AG:AG),"")</f>
        <v/>
      </c>
      <c r="O324" s="85" t="str">
        <f>IFERROR(1-SUMIF('Plant BD'!$B:$B,$A324,'Plant BD'!$AM:$AM)/($AA324+SUMIF('Plant BD'!$B:$B,$A324,'Plant BD'!$AM:$AM)),"")</f>
        <v/>
      </c>
      <c r="P324" s="85"/>
      <c r="Q324" s="89"/>
      <c r="R324" s="85" t="str">
        <f>IFERROR(1-SUMIF('Grid BD'!$B:$B,$A324,'Grid BD'!$AE:$AE)/($AA324+SUMIF('Grid BD'!$B:$B,$A324,'Grid BD'!$AE:$AE)),"")</f>
        <v/>
      </c>
      <c r="T324" s="89"/>
      <c r="U324" s="88" t="str">
        <f t="shared" si="21"/>
        <v/>
      </c>
      <c r="V324" s="88"/>
      <c r="W324" s="84" t="str">
        <f t="shared" si="20"/>
        <v/>
      </c>
      <c r="X324" s="86" t="str">
        <f>IFERROR(_xlfn.XLOOKUP($A324,'Raw Data'!$G:$G,'Raw Data'!AI:AI),"")</f>
        <v/>
      </c>
      <c r="Y324" s="86" t="str">
        <f>IFERROR(_xlfn.XLOOKUP($A324,'Raw Data'!$G:$G,'Raw Data'!AJ:AJ),"")</f>
        <v/>
      </c>
      <c r="Z324" s="86" t="str">
        <f>IFERROR(_xlfn.XLOOKUP($A324,'Raw Data'!$G:$G,'Raw Data'!AK:AK),"")</f>
        <v/>
      </c>
      <c r="AA324" s="86" t="str">
        <f>IFERROR(_xlfn.XLOOKUP($A324,'Raw Data'!$G:$G,'Raw Data'!$AL:$AL)*(1+(_xlfn.XLOOKUP(Table13[[#This Row],[Month Year]],JMR!$A:$A,JMR!$J:$J))),"")</f>
        <v/>
      </c>
      <c r="AB324" s="86" t="str">
        <f>IFERROR(_xlfn.XLOOKUP($A324,'Raw Data'!$G:$G,'Raw Data'!$H:$H),"")</f>
        <v/>
      </c>
      <c r="AC324" s="87">
        <f>IFERROR(_xlfn.XLOOKUP($D324,'Modelling New'!$D:$D,'Modelling New'!$P:$P),"")</f>
        <v>6.5464285714285717</v>
      </c>
      <c r="AD324" s="86">
        <f>IFERROR(_xlfn.XLOOKUP($D324,'Modelling New'!$D:$D,'Modelling New'!$T:$T)*1000,"")</f>
        <v>30077.880504196255</v>
      </c>
      <c r="AE324" s="94">
        <f>IFERROR(_xlfn.XLOOKUP($D324,'Modelling New'!$D:$D,'Modelling New'!$O:$O),"")</f>
        <v>0.64719236409623726</v>
      </c>
      <c r="AF324" s="94">
        <f>IFERROR(_xlfn.XLOOKUP($D324,'Modelling New'!$D:$D,'Modelling New'!$W:$W),"")</f>
        <v>0.17653327431375046</v>
      </c>
      <c r="AG324" s="94">
        <f>IFERROR(_xlfn.XLOOKUP($D324,'Modelling New'!$D:$D,'Modelling New'!$AE:$AE),"")</f>
        <v>0.98040000000000005</v>
      </c>
      <c r="AH324" s="94">
        <f>IFERROR(_xlfn.XLOOKUP($D324,'Modelling New'!$D:$D,'Modelling New'!$AF:$AF),"")</f>
        <v>0.98</v>
      </c>
      <c r="AN324" s="85"/>
      <c r="AO324" s="84"/>
      <c r="AP324" s="84"/>
      <c r="AQ324" s="84"/>
      <c r="AR324" s="86">
        <f>'Basic Data'!$J$2</f>
        <v>7.0991999999999997</v>
      </c>
      <c r="AT324" s="7" t="str">
        <f>IFERROR(_xlfn.XLOOKUP(Table13[[#This Row],[Date]],'Raw Data'!$E:$E,'Raw Data'!$AN:$AN),"")</f>
        <v/>
      </c>
      <c r="AU324" s="7">
        <f>IFERROR(_xlfn.XLOOKUP(Table13[[#This Row],[Month Year]],'Modelling New'!$D:$D,'Modelling New'!$AO:$AO),"")</f>
        <v>7</v>
      </c>
      <c r="AV324" s="7">
        <f>IFERROR(SUMIF('Curtailment Records'!$C:$C,Table13[[#This Row],[Date]],'Curtailment Records'!$R:$R)/1000,"")</f>
        <v>0</v>
      </c>
    </row>
    <row r="325" spans="1:48" x14ac:dyDescent="0.25">
      <c r="A325" s="93">
        <f t="shared" si="22"/>
        <v>46068</v>
      </c>
      <c r="B325" s="86">
        <f>YEAR(Table13[[#This Row],[Date]])+IF(MONTH(Table13[[#This Row],[Date]])&gt;=4,1,0)</f>
        <v>2026</v>
      </c>
      <c r="C325" s="7">
        <f>YEAR(Table13[[#This Row],[Date]])</f>
        <v>2026</v>
      </c>
      <c r="D325" s="92">
        <f>Table13[[#This Row],[Date]]-DAY(Table13[[#This Row],[Date]])+1</f>
        <v>46054</v>
      </c>
      <c r="E325" s="7">
        <f t="shared" si="23"/>
        <v>28</v>
      </c>
      <c r="F325" s="91" t="str">
        <f>IFERROR(_xlfn.XLOOKUP($A325,'Raw Data'!$G:$G,'Raw Data'!$AM:$AM),"")</f>
        <v/>
      </c>
      <c r="G325" s="90" t="str">
        <f>IFERROR(_xlfn.XLOOKUP($A325,'Raw Data'!$G:$G,'Raw Data'!$AB:$AB),"")</f>
        <v/>
      </c>
      <c r="H325" s="90"/>
      <c r="I325" s="90" t="str">
        <f>IFERROR(_xlfn.XLOOKUP($A325,'Raw Data'!$G:$G,'Raw Data'!$AC:$AC),"")</f>
        <v/>
      </c>
      <c r="J325" s="90"/>
      <c r="K325" s="90" t="str">
        <f>IFERROR(_xlfn.XLOOKUP($A325,'Raw Data'!$G:$G,'Raw Data'!AD:AD),"")</f>
        <v/>
      </c>
      <c r="L325" s="90" t="str">
        <f>IFERROR(_xlfn.XLOOKUP($A325,'Raw Data'!$G:$G,'Raw Data'!AE:AE),"")</f>
        <v/>
      </c>
      <c r="M325" s="90" t="str">
        <f>IFERROR(_xlfn.XLOOKUP($A325,'Raw Data'!$G:$G,'Raw Data'!AF:AF),"")</f>
        <v/>
      </c>
      <c r="N325" s="90" t="str">
        <f>IFERROR(_xlfn.XLOOKUP($A325,'Raw Data'!$G:$G,'Raw Data'!AG:AG),"")</f>
        <v/>
      </c>
      <c r="O325" s="85" t="str">
        <f>IFERROR(1-SUMIF('Plant BD'!$B:$B,$A325,'Plant BD'!$AM:$AM)/($AA325+SUMIF('Plant BD'!$B:$B,$A325,'Plant BD'!$AM:$AM)),"")</f>
        <v/>
      </c>
      <c r="P325" s="85"/>
      <c r="Q325" s="89"/>
      <c r="R325" s="85" t="str">
        <f>IFERROR(1-SUMIF('Grid BD'!$B:$B,$A325,'Grid BD'!$AE:$AE)/($AA325+SUMIF('Grid BD'!$B:$B,$A325,'Grid BD'!$AE:$AE)),"")</f>
        <v/>
      </c>
      <c r="T325" s="89"/>
      <c r="U325" s="88" t="str">
        <f t="shared" si="21"/>
        <v/>
      </c>
      <c r="V325" s="88"/>
      <c r="W325" s="84" t="str">
        <f t="shared" si="20"/>
        <v/>
      </c>
      <c r="X325" s="86" t="str">
        <f>IFERROR(_xlfn.XLOOKUP($A325,'Raw Data'!$G:$G,'Raw Data'!AI:AI),"")</f>
        <v/>
      </c>
      <c r="Y325" s="86" t="str">
        <f>IFERROR(_xlfn.XLOOKUP($A325,'Raw Data'!$G:$G,'Raw Data'!AJ:AJ),"")</f>
        <v/>
      </c>
      <c r="Z325" s="86" t="str">
        <f>IFERROR(_xlfn.XLOOKUP($A325,'Raw Data'!$G:$G,'Raw Data'!AK:AK),"")</f>
        <v/>
      </c>
      <c r="AA325" s="86" t="str">
        <f>IFERROR(_xlfn.XLOOKUP($A325,'Raw Data'!$G:$G,'Raw Data'!$AL:$AL)*(1+(_xlfn.XLOOKUP(Table13[[#This Row],[Month Year]],JMR!$A:$A,JMR!$J:$J))),"")</f>
        <v/>
      </c>
      <c r="AB325" s="86" t="str">
        <f>IFERROR(_xlfn.XLOOKUP($A325,'Raw Data'!$G:$G,'Raw Data'!$H:$H),"")</f>
        <v/>
      </c>
      <c r="AC325" s="87">
        <f>IFERROR(_xlfn.XLOOKUP($D325,'Modelling New'!$D:$D,'Modelling New'!$P:$P),"")</f>
        <v>6.5464285714285717</v>
      </c>
      <c r="AD325" s="86">
        <f>IFERROR(_xlfn.XLOOKUP($D325,'Modelling New'!$D:$D,'Modelling New'!$T:$T)*1000,"")</f>
        <v>30077.880504196255</v>
      </c>
      <c r="AE325" s="94">
        <f>IFERROR(_xlfn.XLOOKUP($D325,'Modelling New'!$D:$D,'Modelling New'!$O:$O),"")</f>
        <v>0.64719236409623726</v>
      </c>
      <c r="AF325" s="94">
        <f>IFERROR(_xlfn.XLOOKUP($D325,'Modelling New'!$D:$D,'Modelling New'!$W:$W),"")</f>
        <v>0.17653327431375046</v>
      </c>
      <c r="AG325" s="94">
        <f>IFERROR(_xlfn.XLOOKUP($D325,'Modelling New'!$D:$D,'Modelling New'!$AE:$AE),"")</f>
        <v>0.98040000000000005</v>
      </c>
      <c r="AH325" s="94">
        <f>IFERROR(_xlfn.XLOOKUP($D325,'Modelling New'!$D:$D,'Modelling New'!$AF:$AF),"")</f>
        <v>0.98</v>
      </c>
      <c r="AN325" s="85"/>
      <c r="AO325" s="84"/>
      <c r="AP325" s="84"/>
      <c r="AQ325" s="84"/>
      <c r="AR325" s="86">
        <f>'Basic Data'!$J$2</f>
        <v>7.0991999999999997</v>
      </c>
      <c r="AT325" s="7" t="str">
        <f>IFERROR(_xlfn.XLOOKUP(Table13[[#This Row],[Date]],'Raw Data'!$E:$E,'Raw Data'!$AN:$AN),"")</f>
        <v/>
      </c>
      <c r="AU325" s="7">
        <f>IFERROR(_xlfn.XLOOKUP(Table13[[#This Row],[Month Year]],'Modelling New'!$D:$D,'Modelling New'!$AO:$AO),"")</f>
        <v>7</v>
      </c>
      <c r="AV325" s="7">
        <f>IFERROR(SUMIF('Curtailment Records'!$C:$C,Table13[[#This Row],[Date]],'Curtailment Records'!$R:$R)/1000,"")</f>
        <v>0</v>
      </c>
    </row>
    <row r="326" spans="1:48" x14ac:dyDescent="0.25">
      <c r="A326" s="93">
        <f t="shared" si="22"/>
        <v>46069</v>
      </c>
      <c r="B326" s="86">
        <f>YEAR(Table13[[#This Row],[Date]])+IF(MONTH(Table13[[#This Row],[Date]])&gt;=4,1,0)</f>
        <v>2026</v>
      </c>
      <c r="C326" s="7">
        <f>YEAR(Table13[[#This Row],[Date]])</f>
        <v>2026</v>
      </c>
      <c r="D326" s="92">
        <f>Table13[[#This Row],[Date]]-DAY(Table13[[#This Row],[Date]])+1</f>
        <v>46054</v>
      </c>
      <c r="E326" s="7">
        <f t="shared" si="23"/>
        <v>28</v>
      </c>
      <c r="F326" s="91" t="str">
        <f>IFERROR(_xlfn.XLOOKUP($A326,'Raw Data'!$G:$G,'Raw Data'!$AM:$AM),"")</f>
        <v/>
      </c>
      <c r="G326" s="90" t="str">
        <f>IFERROR(_xlfn.XLOOKUP($A326,'Raw Data'!$G:$G,'Raw Data'!$AB:$AB),"")</f>
        <v/>
      </c>
      <c r="H326" s="90"/>
      <c r="I326" s="90" t="str">
        <f>IFERROR(_xlfn.XLOOKUP($A326,'Raw Data'!$G:$G,'Raw Data'!$AC:$AC),"")</f>
        <v/>
      </c>
      <c r="J326" s="90"/>
      <c r="K326" s="90" t="str">
        <f>IFERROR(_xlfn.XLOOKUP($A326,'Raw Data'!$G:$G,'Raw Data'!AD:AD),"")</f>
        <v/>
      </c>
      <c r="L326" s="90" t="str">
        <f>IFERROR(_xlfn.XLOOKUP($A326,'Raw Data'!$G:$G,'Raw Data'!AE:AE),"")</f>
        <v/>
      </c>
      <c r="M326" s="90" t="str">
        <f>IFERROR(_xlfn.XLOOKUP($A326,'Raw Data'!$G:$G,'Raw Data'!AF:AF),"")</f>
        <v/>
      </c>
      <c r="N326" s="90" t="str">
        <f>IFERROR(_xlfn.XLOOKUP($A326,'Raw Data'!$G:$G,'Raw Data'!AG:AG),"")</f>
        <v/>
      </c>
      <c r="O326" s="85" t="str">
        <f>IFERROR(1-SUMIF('Plant BD'!$B:$B,$A326,'Plant BD'!$AM:$AM)/($AA326+SUMIF('Plant BD'!$B:$B,$A326,'Plant BD'!$AM:$AM)),"")</f>
        <v/>
      </c>
      <c r="P326" s="85"/>
      <c r="Q326" s="89"/>
      <c r="R326" s="85" t="str">
        <f>IFERROR(1-SUMIF('Grid BD'!$B:$B,$A326,'Grid BD'!$AE:$AE)/($AA326+SUMIF('Grid BD'!$B:$B,$A326,'Grid BD'!$AE:$AE)),"")</f>
        <v/>
      </c>
      <c r="T326" s="89"/>
      <c r="U326" s="88" t="str">
        <f t="shared" si="21"/>
        <v/>
      </c>
      <c r="V326" s="88"/>
      <c r="W326" s="84" t="str">
        <f t="shared" si="20"/>
        <v/>
      </c>
      <c r="X326" s="86" t="str">
        <f>IFERROR(_xlfn.XLOOKUP($A326,'Raw Data'!$G:$G,'Raw Data'!AI:AI),"")</f>
        <v/>
      </c>
      <c r="Y326" s="86" t="str">
        <f>IFERROR(_xlfn.XLOOKUP($A326,'Raw Data'!$G:$G,'Raw Data'!AJ:AJ),"")</f>
        <v/>
      </c>
      <c r="Z326" s="86" t="str">
        <f>IFERROR(_xlfn.XLOOKUP($A326,'Raw Data'!$G:$G,'Raw Data'!AK:AK),"")</f>
        <v/>
      </c>
      <c r="AA326" s="86" t="str">
        <f>IFERROR(_xlfn.XLOOKUP($A326,'Raw Data'!$G:$G,'Raw Data'!$AL:$AL)*(1+(_xlfn.XLOOKUP(Table13[[#This Row],[Month Year]],JMR!$A:$A,JMR!$J:$J))),"")</f>
        <v/>
      </c>
      <c r="AB326" s="86" t="str">
        <f>IFERROR(_xlfn.XLOOKUP($A326,'Raw Data'!$G:$G,'Raw Data'!$H:$H),"")</f>
        <v/>
      </c>
      <c r="AC326" s="87">
        <f>IFERROR(_xlfn.XLOOKUP($D326,'Modelling New'!$D:$D,'Modelling New'!$P:$P),"")</f>
        <v>6.5464285714285717</v>
      </c>
      <c r="AD326" s="86">
        <f>IFERROR(_xlfn.XLOOKUP($D326,'Modelling New'!$D:$D,'Modelling New'!$T:$T)*1000,"")</f>
        <v>30077.880504196255</v>
      </c>
      <c r="AE326" s="94">
        <f>IFERROR(_xlfn.XLOOKUP($D326,'Modelling New'!$D:$D,'Modelling New'!$O:$O),"")</f>
        <v>0.64719236409623726</v>
      </c>
      <c r="AF326" s="94">
        <f>IFERROR(_xlfn.XLOOKUP($D326,'Modelling New'!$D:$D,'Modelling New'!$W:$W),"")</f>
        <v>0.17653327431375046</v>
      </c>
      <c r="AG326" s="94">
        <f>IFERROR(_xlfn.XLOOKUP($D326,'Modelling New'!$D:$D,'Modelling New'!$AE:$AE),"")</f>
        <v>0.98040000000000005</v>
      </c>
      <c r="AH326" s="94">
        <f>IFERROR(_xlfn.XLOOKUP($D326,'Modelling New'!$D:$D,'Modelling New'!$AF:$AF),"")</f>
        <v>0.98</v>
      </c>
      <c r="AN326" s="85"/>
      <c r="AO326" s="84"/>
      <c r="AP326" s="84"/>
      <c r="AQ326" s="84"/>
      <c r="AR326" s="86">
        <f>'Basic Data'!$J$2</f>
        <v>7.0991999999999997</v>
      </c>
      <c r="AT326" s="7" t="str">
        <f>IFERROR(_xlfn.XLOOKUP(Table13[[#This Row],[Date]],'Raw Data'!$E:$E,'Raw Data'!$AN:$AN),"")</f>
        <v/>
      </c>
      <c r="AU326" s="7">
        <f>IFERROR(_xlfn.XLOOKUP(Table13[[#This Row],[Month Year]],'Modelling New'!$D:$D,'Modelling New'!$AO:$AO),"")</f>
        <v>7</v>
      </c>
      <c r="AV326" s="7">
        <f>IFERROR(SUMIF('Curtailment Records'!$C:$C,Table13[[#This Row],[Date]],'Curtailment Records'!$R:$R)/1000,"")</f>
        <v>0</v>
      </c>
    </row>
    <row r="327" spans="1:48" x14ac:dyDescent="0.25">
      <c r="A327" s="93">
        <f t="shared" si="22"/>
        <v>46070</v>
      </c>
      <c r="B327" s="86">
        <f>YEAR(Table13[[#This Row],[Date]])+IF(MONTH(Table13[[#This Row],[Date]])&gt;=4,1,0)</f>
        <v>2026</v>
      </c>
      <c r="C327" s="7">
        <f>YEAR(Table13[[#This Row],[Date]])</f>
        <v>2026</v>
      </c>
      <c r="D327" s="92">
        <f>Table13[[#This Row],[Date]]-DAY(Table13[[#This Row],[Date]])+1</f>
        <v>46054</v>
      </c>
      <c r="E327" s="7">
        <f t="shared" si="23"/>
        <v>28</v>
      </c>
      <c r="F327" s="91" t="str">
        <f>IFERROR(_xlfn.XLOOKUP($A327,'Raw Data'!$G:$G,'Raw Data'!$AM:$AM),"")</f>
        <v/>
      </c>
      <c r="G327" s="90" t="str">
        <f>IFERROR(_xlfn.XLOOKUP($A327,'Raw Data'!$G:$G,'Raw Data'!$AB:$AB),"")</f>
        <v/>
      </c>
      <c r="H327" s="90"/>
      <c r="I327" s="90" t="str">
        <f>IFERROR(_xlfn.XLOOKUP($A327,'Raw Data'!$G:$G,'Raw Data'!$AC:$AC),"")</f>
        <v/>
      </c>
      <c r="J327" s="90"/>
      <c r="K327" s="90" t="str">
        <f>IFERROR(_xlfn.XLOOKUP($A327,'Raw Data'!$G:$G,'Raw Data'!AD:AD),"")</f>
        <v/>
      </c>
      <c r="L327" s="90" t="str">
        <f>IFERROR(_xlfn.XLOOKUP($A327,'Raw Data'!$G:$G,'Raw Data'!AE:AE),"")</f>
        <v/>
      </c>
      <c r="M327" s="90" t="str">
        <f>IFERROR(_xlfn.XLOOKUP($A327,'Raw Data'!$G:$G,'Raw Data'!AF:AF),"")</f>
        <v/>
      </c>
      <c r="N327" s="90" t="str">
        <f>IFERROR(_xlfn.XLOOKUP($A327,'Raw Data'!$G:$G,'Raw Data'!AG:AG),"")</f>
        <v/>
      </c>
      <c r="O327" s="85" t="str">
        <f>IFERROR(1-SUMIF('Plant BD'!$B:$B,$A327,'Plant BD'!$AM:$AM)/($AA327+SUMIF('Plant BD'!$B:$B,$A327,'Plant BD'!$AM:$AM)),"")</f>
        <v/>
      </c>
      <c r="P327" s="85"/>
      <c r="Q327" s="89"/>
      <c r="R327" s="85" t="str">
        <f>IFERROR(1-SUMIF('Grid BD'!$B:$B,$A327,'Grid BD'!$AE:$AE)/($AA327+SUMIF('Grid BD'!$B:$B,$A327,'Grid BD'!$AE:$AE)),"")</f>
        <v/>
      </c>
      <c r="T327" s="89"/>
      <c r="U327" s="88" t="str">
        <f t="shared" si="21"/>
        <v/>
      </c>
      <c r="V327" s="88"/>
      <c r="W327" s="84" t="str">
        <f t="shared" si="20"/>
        <v/>
      </c>
      <c r="X327" s="86" t="str">
        <f>IFERROR(_xlfn.XLOOKUP($A327,'Raw Data'!$G:$G,'Raw Data'!AI:AI),"")</f>
        <v/>
      </c>
      <c r="Y327" s="86" t="str">
        <f>IFERROR(_xlfn.XLOOKUP($A327,'Raw Data'!$G:$G,'Raw Data'!AJ:AJ),"")</f>
        <v/>
      </c>
      <c r="Z327" s="86" t="str">
        <f>IFERROR(_xlfn.XLOOKUP($A327,'Raw Data'!$G:$G,'Raw Data'!AK:AK),"")</f>
        <v/>
      </c>
      <c r="AA327" s="86" t="str">
        <f>IFERROR(_xlfn.XLOOKUP($A327,'Raw Data'!$G:$G,'Raw Data'!$AL:$AL)*(1+(_xlfn.XLOOKUP(Table13[[#This Row],[Month Year]],JMR!$A:$A,JMR!$J:$J))),"")</f>
        <v/>
      </c>
      <c r="AB327" s="86" t="str">
        <f>IFERROR(_xlfn.XLOOKUP($A327,'Raw Data'!$G:$G,'Raw Data'!$H:$H),"")</f>
        <v/>
      </c>
      <c r="AC327" s="87">
        <f>IFERROR(_xlfn.XLOOKUP($D327,'Modelling New'!$D:$D,'Modelling New'!$P:$P),"")</f>
        <v>6.5464285714285717</v>
      </c>
      <c r="AD327" s="86">
        <f>IFERROR(_xlfn.XLOOKUP($D327,'Modelling New'!$D:$D,'Modelling New'!$T:$T)*1000,"")</f>
        <v>30077.880504196255</v>
      </c>
      <c r="AE327" s="94">
        <f>IFERROR(_xlfn.XLOOKUP($D327,'Modelling New'!$D:$D,'Modelling New'!$O:$O),"")</f>
        <v>0.64719236409623726</v>
      </c>
      <c r="AF327" s="94">
        <f>IFERROR(_xlfn.XLOOKUP($D327,'Modelling New'!$D:$D,'Modelling New'!$W:$W),"")</f>
        <v>0.17653327431375046</v>
      </c>
      <c r="AG327" s="94">
        <f>IFERROR(_xlfn.XLOOKUP($D327,'Modelling New'!$D:$D,'Modelling New'!$AE:$AE),"")</f>
        <v>0.98040000000000005</v>
      </c>
      <c r="AH327" s="94">
        <f>IFERROR(_xlfn.XLOOKUP($D327,'Modelling New'!$D:$D,'Modelling New'!$AF:$AF),"")</f>
        <v>0.98</v>
      </c>
      <c r="AN327" s="85"/>
      <c r="AO327" s="84"/>
      <c r="AP327" s="84"/>
      <c r="AQ327" s="84"/>
      <c r="AR327" s="86">
        <f>'Basic Data'!$J$2</f>
        <v>7.0991999999999997</v>
      </c>
      <c r="AT327" s="7" t="str">
        <f>IFERROR(_xlfn.XLOOKUP(Table13[[#This Row],[Date]],'Raw Data'!$E:$E,'Raw Data'!$AN:$AN),"")</f>
        <v/>
      </c>
      <c r="AU327" s="7">
        <f>IFERROR(_xlfn.XLOOKUP(Table13[[#This Row],[Month Year]],'Modelling New'!$D:$D,'Modelling New'!$AO:$AO),"")</f>
        <v>7</v>
      </c>
      <c r="AV327" s="7">
        <f>IFERROR(SUMIF('Curtailment Records'!$C:$C,Table13[[#This Row],[Date]],'Curtailment Records'!$R:$R)/1000,"")</f>
        <v>0</v>
      </c>
    </row>
    <row r="328" spans="1:48" x14ac:dyDescent="0.25">
      <c r="A328" s="93">
        <f t="shared" si="22"/>
        <v>46071</v>
      </c>
      <c r="B328" s="86">
        <f>YEAR(Table13[[#This Row],[Date]])+IF(MONTH(Table13[[#This Row],[Date]])&gt;=4,1,0)</f>
        <v>2026</v>
      </c>
      <c r="C328" s="7">
        <f>YEAR(Table13[[#This Row],[Date]])</f>
        <v>2026</v>
      </c>
      <c r="D328" s="92">
        <f>Table13[[#This Row],[Date]]-DAY(Table13[[#This Row],[Date]])+1</f>
        <v>46054</v>
      </c>
      <c r="E328" s="7">
        <f t="shared" si="23"/>
        <v>28</v>
      </c>
      <c r="F328" s="91" t="str">
        <f>IFERROR(_xlfn.XLOOKUP($A328,'Raw Data'!$G:$G,'Raw Data'!$AM:$AM),"")</f>
        <v/>
      </c>
      <c r="G328" s="90" t="str">
        <f>IFERROR(_xlfn.XLOOKUP($A328,'Raw Data'!$G:$G,'Raw Data'!$AB:$AB),"")</f>
        <v/>
      </c>
      <c r="H328" s="90"/>
      <c r="I328" s="90" t="str">
        <f>IFERROR(_xlfn.XLOOKUP($A328,'Raw Data'!$G:$G,'Raw Data'!$AC:$AC),"")</f>
        <v/>
      </c>
      <c r="J328" s="90"/>
      <c r="K328" s="90" t="str">
        <f>IFERROR(_xlfn.XLOOKUP($A328,'Raw Data'!$G:$G,'Raw Data'!AD:AD),"")</f>
        <v/>
      </c>
      <c r="L328" s="90" t="str">
        <f>IFERROR(_xlfn.XLOOKUP($A328,'Raw Data'!$G:$G,'Raw Data'!AE:AE),"")</f>
        <v/>
      </c>
      <c r="M328" s="90" t="str">
        <f>IFERROR(_xlfn.XLOOKUP($A328,'Raw Data'!$G:$G,'Raw Data'!AF:AF),"")</f>
        <v/>
      </c>
      <c r="N328" s="90" t="str">
        <f>IFERROR(_xlfn.XLOOKUP($A328,'Raw Data'!$G:$G,'Raw Data'!AG:AG),"")</f>
        <v/>
      </c>
      <c r="O328" s="85" t="str">
        <f>IFERROR(1-SUMIF('Plant BD'!$B:$B,$A328,'Plant BD'!$AM:$AM)/($AA328+SUMIF('Plant BD'!$B:$B,$A328,'Plant BD'!$AM:$AM)),"")</f>
        <v/>
      </c>
      <c r="P328" s="85"/>
      <c r="Q328" s="89"/>
      <c r="R328" s="85" t="str">
        <f>IFERROR(1-SUMIF('Grid BD'!$B:$B,$A328,'Grid BD'!$AE:$AE)/($AA328+SUMIF('Grid BD'!$B:$B,$A328,'Grid BD'!$AE:$AE)),"")</f>
        <v/>
      </c>
      <c r="T328" s="89"/>
      <c r="U328" s="88" t="str">
        <f t="shared" si="21"/>
        <v/>
      </c>
      <c r="V328" s="88"/>
      <c r="W328" s="84" t="str">
        <f t="shared" si="20"/>
        <v/>
      </c>
      <c r="X328" s="86" t="str">
        <f>IFERROR(_xlfn.XLOOKUP($A328,'Raw Data'!$G:$G,'Raw Data'!AI:AI),"")</f>
        <v/>
      </c>
      <c r="Y328" s="86" t="str">
        <f>IFERROR(_xlfn.XLOOKUP($A328,'Raw Data'!$G:$G,'Raw Data'!AJ:AJ),"")</f>
        <v/>
      </c>
      <c r="Z328" s="86" t="str">
        <f>IFERROR(_xlfn.XLOOKUP($A328,'Raw Data'!$G:$G,'Raw Data'!AK:AK),"")</f>
        <v/>
      </c>
      <c r="AA328" s="86" t="str">
        <f>IFERROR(_xlfn.XLOOKUP($A328,'Raw Data'!$G:$G,'Raw Data'!$AL:$AL)*(1+(_xlfn.XLOOKUP(Table13[[#This Row],[Month Year]],JMR!$A:$A,JMR!$J:$J))),"")</f>
        <v/>
      </c>
      <c r="AB328" s="86" t="str">
        <f>IFERROR(_xlfn.XLOOKUP($A328,'Raw Data'!$G:$G,'Raw Data'!$H:$H),"")</f>
        <v/>
      </c>
      <c r="AC328" s="87">
        <f>IFERROR(_xlfn.XLOOKUP($D328,'Modelling New'!$D:$D,'Modelling New'!$P:$P),"")</f>
        <v>6.5464285714285717</v>
      </c>
      <c r="AD328" s="86">
        <f>IFERROR(_xlfn.XLOOKUP($D328,'Modelling New'!$D:$D,'Modelling New'!$T:$T)*1000,"")</f>
        <v>30077.880504196255</v>
      </c>
      <c r="AE328" s="94">
        <f>IFERROR(_xlfn.XLOOKUP($D328,'Modelling New'!$D:$D,'Modelling New'!$O:$O),"")</f>
        <v>0.64719236409623726</v>
      </c>
      <c r="AF328" s="94">
        <f>IFERROR(_xlfn.XLOOKUP($D328,'Modelling New'!$D:$D,'Modelling New'!$W:$W),"")</f>
        <v>0.17653327431375046</v>
      </c>
      <c r="AG328" s="94">
        <f>IFERROR(_xlfn.XLOOKUP($D328,'Modelling New'!$D:$D,'Modelling New'!$AE:$AE),"")</f>
        <v>0.98040000000000005</v>
      </c>
      <c r="AH328" s="94">
        <f>IFERROR(_xlfn.XLOOKUP($D328,'Modelling New'!$D:$D,'Modelling New'!$AF:$AF),"")</f>
        <v>0.98</v>
      </c>
      <c r="AN328" s="85"/>
      <c r="AO328" s="84"/>
      <c r="AP328" s="84"/>
      <c r="AQ328" s="84"/>
      <c r="AR328" s="86">
        <f>'Basic Data'!$J$2</f>
        <v>7.0991999999999997</v>
      </c>
      <c r="AT328" s="7" t="str">
        <f>IFERROR(_xlfn.XLOOKUP(Table13[[#This Row],[Date]],'Raw Data'!$E:$E,'Raw Data'!$AN:$AN),"")</f>
        <v/>
      </c>
      <c r="AU328" s="7">
        <f>IFERROR(_xlfn.XLOOKUP(Table13[[#This Row],[Month Year]],'Modelling New'!$D:$D,'Modelling New'!$AO:$AO),"")</f>
        <v>7</v>
      </c>
      <c r="AV328" s="7">
        <f>IFERROR(SUMIF('Curtailment Records'!$C:$C,Table13[[#This Row],[Date]],'Curtailment Records'!$R:$R)/1000,"")</f>
        <v>0</v>
      </c>
    </row>
    <row r="329" spans="1:48" x14ac:dyDescent="0.25">
      <c r="A329" s="93">
        <f t="shared" si="22"/>
        <v>46072</v>
      </c>
      <c r="B329" s="86">
        <f>YEAR(Table13[[#This Row],[Date]])+IF(MONTH(Table13[[#This Row],[Date]])&gt;=4,1,0)</f>
        <v>2026</v>
      </c>
      <c r="C329" s="7">
        <f>YEAR(Table13[[#This Row],[Date]])</f>
        <v>2026</v>
      </c>
      <c r="D329" s="92">
        <f>Table13[[#This Row],[Date]]-DAY(Table13[[#This Row],[Date]])+1</f>
        <v>46054</v>
      </c>
      <c r="E329" s="7">
        <f t="shared" si="23"/>
        <v>28</v>
      </c>
      <c r="F329" s="91" t="str">
        <f>IFERROR(_xlfn.XLOOKUP($A329,'Raw Data'!$G:$G,'Raw Data'!$AM:$AM),"")</f>
        <v/>
      </c>
      <c r="G329" s="90" t="str">
        <f>IFERROR(_xlfn.XLOOKUP($A329,'Raw Data'!$G:$G,'Raw Data'!$AB:$AB),"")</f>
        <v/>
      </c>
      <c r="H329" s="90"/>
      <c r="I329" s="90" t="str">
        <f>IFERROR(_xlfn.XLOOKUP($A329,'Raw Data'!$G:$G,'Raw Data'!$AC:$AC),"")</f>
        <v/>
      </c>
      <c r="J329" s="90"/>
      <c r="K329" s="90" t="str">
        <f>IFERROR(_xlfn.XLOOKUP($A329,'Raw Data'!$G:$G,'Raw Data'!AD:AD),"")</f>
        <v/>
      </c>
      <c r="L329" s="90" t="str">
        <f>IFERROR(_xlfn.XLOOKUP($A329,'Raw Data'!$G:$G,'Raw Data'!AE:AE),"")</f>
        <v/>
      </c>
      <c r="M329" s="90" t="str">
        <f>IFERROR(_xlfn.XLOOKUP($A329,'Raw Data'!$G:$G,'Raw Data'!AF:AF),"")</f>
        <v/>
      </c>
      <c r="N329" s="90" t="str">
        <f>IFERROR(_xlfn.XLOOKUP($A329,'Raw Data'!$G:$G,'Raw Data'!AG:AG),"")</f>
        <v/>
      </c>
      <c r="O329" s="85" t="str">
        <f>IFERROR(1-SUMIF('Plant BD'!$B:$B,$A329,'Plant BD'!$AM:$AM)/($AA329+SUMIF('Plant BD'!$B:$B,$A329,'Plant BD'!$AM:$AM)),"")</f>
        <v/>
      </c>
      <c r="P329" s="85"/>
      <c r="Q329" s="89"/>
      <c r="R329" s="85" t="str">
        <f>IFERROR(1-SUMIF('Grid BD'!$B:$B,$A329,'Grid BD'!$AE:$AE)/($AA329+SUMIF('Grid BD'!$B:$B,$A329,'Grid BD'!$AE:$AE)),"")</f>
        <v/>
      </c>
      <c r="T329" s="89"/>
      <c r="U329" s="88" t="str">
        <f t="shared" si="21"/>
        <v/>
      </c>
      <c r="V329" s="88"/>
      <c r="W329" s="84" t="str">
        <f t="shared" si="20"/>
        <v/>
      </c>
      <c r="X329" s="86" t="str">
        <f>IFERROR(_xlfn.XLOOKUP($A329,'Raw Data'!$G:$G,'Raw Data'!AI:AI),"")</f>
        <v/>
      </c>
      <c r="Y329" s="86" t="str">
        <f>IFERROR(_xlfn.XLOOKUP($A329,'Raw Data'!$G:$G,'Raw Data'!AJ:AJ),"")</f>
        <v/>
      </c>
      <c r="Z329" s="86" t="str">
        <f>IFERROR(_xlfn.XLOOKUP($A329,'Raw Data'!$G:$G,'Raw Data'!AK:AK),"")</f>
        <v/>
      </c>
      <c r="AA329" s="86" t="str">
        <f>IFERROR(_xlfn.XLOOKUP($A329,'Raw Data'!$G:$G,'Raw Data'!$AL:$AL)*(1+(_xlfn.XLOOKUP(Table13[[#This Row],[Month Year]],JMR!$A:$A,JMR!$J:$J))),"")</f>
        <v/>
      </c>
      <c r="AB329" s="86" t="str">
        <f>IFERROR(_xlfn.XLOOKUP($A329,'Raw Data'!$G:$G,'Raw Data'!$H:$H),"")</f>
        <v/>
      </c>
      <c r="AC329" s="87">
        <f>IFERROR(_xlfn.XLOOKUP($D329,'Modelling New'!$D:$D,'Modelling New'!$P:$P),"")</f>
        <v>6.5464285714285717</v>
      </c>
      <c r="AD329" s="86">
        <f>IFERROR(_xlfn.XLOOKUP($D329,'Modelling New'!$D:$D,'Modelling New'!$T:$T)*1000,"")</f>
        <v>30077.880504196255</v>
      </c>
      <c r="AE329" s="94">
        <f>IFERROR(_xlfn.XLOOKUP($D329,'Modelling New'!$D:$D,'Modelling New'!$O:$O),"")</f>
        <v>0.64719236409623726</v>
      </c>
      <c r="AF329" s="94">
        <f>IFERROR(_xlfn.XLOOKUP($D329,'Modelling New'!$D:$D,'Modelling New'!$W:$W),"")</f>
        <v>0.17653327431375046</v>
      </c>
      <c r="AG329" s="94">
        <f>IFERROR(_xlfn.XLOOKUP($D329,'Modelling New'!$D:$D,'Modelling New'!$AE:$AE),"")</f>
        <v>0.98040000000000005</v>
      </c>
      <c r="AH329" s="94">
        <f>IFERROR(_xlfn.XLOOKUP($D329,'Modelling New'!$D:$D,'Modelling New'!$AF:$AF),"")</f>
        <v>0.98</v>
      </c>
      <c r="AN329" s="85"/>
      <c r="AO329" s="84"/>
      <c r="AP329" s="84"/>
      <c r="AQ329" s="84"/>
      <c r="AR329" s="86">
        <f>'Basic Data'!$J$2</f>
        <v>7.0991999999999997</v>
      </c>
      <c r="AT329" s="7" t="str">
        <f>IFERROR(_xlfn.XLOOKUP(Table13[[#This Row],[Date]],'Raw Data'!$E:$E,'Raw Data'!$AN:$AN),"")</f>
        <v/>
      </c>
      <c r="AU329" s="7">
        <f>IFERROR(_xlfn.XLOOKUP(Table13[[#This Row],[Month Year]],'Modelling New'!$D:$D,'Modelling New'!$AO:$AO),"")</f>
        <v>7</v>
      </c>
      <c r="AV329" s="7">
        <f>IFERROR(SUMIF('Curtailment Records'!$C:$C,Table13[[#This Row],[Date]],'Curtailment Records'!$R:$R)/1000,"")</f>
        <v>0</v>
      </c>
    </row>
    <row r="330" spans="1:48" x14ac:dyDescent="0.25">
      <c r="A330" s="93">
        <f t="shared" si="22"/>
        <v>46073</v>
      </c>
      <c r="B330" s="86">
        <f>YEAR(Table13[[#This Row],[Date]])+IF(MONTH(Table13[[#This Row],[Date]])&gt;=4,1,0)</f>
        <v>2026</v>
      </c>
      <c r="C330" s="7">
        <f>YEAR(Table13[[#This Row],[Date]])</f>
        <v>2026</v>
      </c>
      <c r="D330" s="92">
        <f>Table13[[#This Row],[Date]]-DAY(Table13[[#This Row],[Date]])+1</f>
        <v>46054</v>
      </c>
      <c r="E330" s="7">
        <f t="shared" si="23"/>
        <v>28</v>
      </c>
      <c r="F330" s="91" t="str">
        <f>IFERROR(_xlfn.XLOOKUP($A330,'Raw Data'!$G:$G,'Raw Data'!$AM:$AM),"")</f>
        <v/>
      </c>
      <c r="G330" s="90" t="str">
        <f>IFERROR(_xlfn.XLOOKUP($A330,'Raw Data'!$G:$G,'Raw Data'!$AB:$AB),"")</f>
        <v/>
      </c>
      <c r="H330" s="90"/>
      <c r="I330" s="90" t="str">
        <f>IFERROR(_xlfn.XLOOKUP($A330,'Raw Data'!$G:$G,'Raw Data'!$AC:$AC),"")</f>
        <v/>
      </c>
      <c r="J330" s="90"/>
      <c r="K330" s="90" t="str">
        <f>IFERROR(_xlfn.XLOOKUP($A330,'Raw Data'!$G:$G,'Raw Data'!AD:AD),"")</f>
        <v/>
      </c>
      <c r="L330" s="90" t="str">
        <f>IFERROR(_xlfn.XLOOKUP($A330,'Raw Data'!$G:$G,'Raw Data'!AE:AE),"")</f>
        <v/>
      </c>
      <c r="M330" s="90" t="str">
        <f>IFERROR(_xlfn.XLOOKUP($A330,'Raw Data'!$G:$G,'Raw Data'!AF:AF),"")</f>
        <v/>
      </c>
      <c r="N330" s="90" t="str">
        <f>IFERROR(_xlfn.XLOOKUP($A330,'Raw Data'!$G:$G,'Raw Data'!AG:AG),"")</f>
        <v/>
      </c>
      <c r="O330" s="85" t="str">
        <f>IFERROR(1-SUMIF('Plant BD'!$B:$B,$A330,'Plant BD'!$AM:$AM)/($AA330+SUMIF('Plant BD'!$B:$B,$A330,'Plant BD'!$AM:$AM)),"")</f>
        <v/>
      </c>
      <c r="P330" s="85"/>
      <c r="Q330" s="89"/>
      <c r="R330" s="85" t="str">
        <f>IFERROR(1-SUMIF('Grid BD'!$B:$B,$A330,'Grid BD'!$AE:$AE)/($AA330+SUMIF('Grid BD'!$B:$B,$A330,'Grid BD'!$AE:$AE)),"")</f>
        <v/>
      </c>
      <c r="T330" s="89"/>
      <c r="U330" s="88" t="str">
        <f t="shared" si="21"/>
        <v/>
      </c>
      <c r="V330" s="88"/>
      <c r="W330" s="84" t="str">
        <f t="shared" si="20"/>
        <v/>
      </c>
      <c r="X330" s="86" t="str">
        <f>IFERROR(_xlfn.XLOOKUP($A330,'Raw Data'!$G:$G,'Raw Data'!AI:AI),"")</f>
        <v/>
      </c>
      <c r="Y330" s="86" t="str">
        <f>IFERROR(_xlfn.XLOOKUP($A330,'Raw Data'!$G:$G,'Raw Data'!AJ:AJ),"")</f>
        <v/>
      </c>
      <c r="Z330" s="86" t="str">
        <f>IFERROR(_xlfn.XLOOKUP($A330,'Raw Data'!$G:$G,'Raw Data'!AK:AK),"")</f>
        <v/>
      </c>
      <c r="AA330" s="86" t="str">
        <f>IFERROR(_xlfn.XLOOKUP($A330,'Raw Data'!$G:$G,'Raw Data'!$AL:$AL)*(1+(_xlfn.XLOOKUP(Table13[[#This Row],[Month Year]],JMR!$A:$A,JMR!$J:$J))),"")</f>
        <v/>
      </c>
      <c r="AB330" s="86" t="str">
        <f>IFERROR(_xlfn.XLOOKUP($A330,'Raw Data'!$G:$G,'Raw Data'!$H:$H),"")</f>
        <v/>
      </c>
      <c r="AC330" s="87">
        <f>IFERROR(_xlfn.XLOOKUP($D330,'Modelling New'!$D:$D,'Modelling New'!$P:$P),"")</f>
        <v>6.5464285714285717</v>
      </c>
      <c r="AD330" s="86">
        <f>IFERROR(_xlfn.XLOOKUP($D330,'Modelling New'!$D:$D,'Modelling New'!$T:$T)*1000,"")</f>
        <v>30077.880504196255</v>
      </c>
      <c r="AE330" s="94">
        <f>IFERROR(_xlfn.XLOOKUP($D330,'Modelling New'!$D:$D,'Modelling New'!$O:$O),"")</f>
        <v>0.64719236409623726</v>
      </c>
      <c r="AF330" s="94">
        <f>IFERROR(_xlfn.XLOOKUP($D330,'Modelling New'!$D:$D,'Modelling New'!$W:$W),"")</f>
        <v>0.17653327431375046</v>
      </c>
      <c r="AG330" s="94">
        <f>IFERROR(_xlfn.XLOOKUP($D330,'Modelling New'!$D:$D,'Modelling New'!$AE:$AE),"")</f>
        <v>0.98040000000000005</v>
      </c>
      <c r="AH330" s="94">
        <f>IFERROR(_xlfn.XLOOKUP($D330,'Modelling New'!$D:$D,'Modelling New'!$AF:$AF),"")</f>
        <v>0.98</v>
      </c>
      <c r="AN330" s="85"/>
      <c r="AO330" s="84"/>
      <c r="AP330" s="84"/>
      <c r="AQ330" s="84"/>
      <c r="AR330" s="86">
        <f>'Basic Data'!$J$2</f>
        <v>7.0991999999999997</v>
      </c>
      <c r="AT330" s="7" t="str">
        <f>IFERROR(_xlfn.XLOOKUP(Table13[[#This Row],[Date]],'Raw Data'!$E:$E,'Raw Data'!$AN:$AN),"")</f>
        <v/>
      </c>
      <c r="AU330" s="7">
        <f>IFERROR(_xlfn.XLOOKUP(Table13[[#This Row],[Month Year]],'Modelling New'!$D:$D,'Modelling New'!$AO:$AO),"")</f>
        <v>7</v>
      </c>
      <c r="AV330" s="7">
        <f>IFERROR(SUMIF('Curtailment Records'!$C:$C,Table13[[#This Row],[Date]],'Curtailment Records'!$R:$R)/1000,"")</f>
        <v>0</v>
      </c>
    </row>
    <row r="331" spans="1:48" x14ac:dyDescent="0.25">
      <c r="A331" s="93">
        <f t="shared" si="22"/>
        <v>46074</v>
      </c>
      <c r="B331" s="86">
        <f>YEAR(Table13[[#This Row],[Date]])+IF(MONTH(Table13[[#This Row],[Date]])&gt;=4,1,0)</f>
        <v>2026</v>
      </c>
      <c r="C331" s="7">
        <f>YEAR(Table13[[#This Row],[Date]])</f>
        <v>2026</v>
      </c>
      <c r="D331" s="92">
        <f>Table13[[#This Row],[Date]]-DAY(Table13[[#This Row],[Date]])+1</f>
        <v>46054</v>
      </c>
      <c r="E331" s="7">
        <f t="shared" si="23"/>
        <v>28</v>
      </c>
      <c r="F331" s="91" t="str">
        <f>IFERROR(_xlfn.XLOOKUP($A331,'Raw Data'!$G:$G,'Raw Data'!$AM:$AM),"")</f>
        <v/>
      </c>
      <c r="G331" s="90" t="str">
        <f>IFERROR(_xlfn.XLOOKUP($A331,'Raw Data'!$G:$G,'Raw Data'!$AB:$AB),"")</f>
        <v/>
      </c>
      <c r="H331" s="90"/>
      <c r="I331" s="90" t="str">
        <f>IFERROR(_xlfn.XLOOKUP($A331,'Raw Data'!$G:$G,'Raw Data'!$AC:$AC),"")</f>
        <v/>
      </c>
      <c r="J331" s="90"/>
      <c r="K331" s="90" t="str">
        <f>IFERROR(_xlfn.XLOOKUP($A331,'Raw Data'!$G:$G,'Raw Data'!AD:AD),"")</f>
        <v/>
      </c>
      <c r="L331" s="90" t="str">
        <f>IFERROR(_xlfn.XLOOKUP($A331,'Raw Data'!$G:$G,'Raw Data'!AE:AE),"")</f>
        <v/>
      </c>
      <c r="M331" s="90" t="str">
        <f>IFERROR(_xlfn.XLOOKUP($A331,'Raw Data'!$G:$G,'Raw Data'!AF:AF),"")</f>
        <v/>
      </c>
      <c r="N331" s="90" t="str">
        <f>IFERROR(_xlfn.XLOOKUP($A331,'Raw Data'!$G:$G,'Raw Data'!AG:AG),"")</f>
        <v/>
      </c>
      <c r="O331" s="85" t="str">
        <f>IFERROR(1-SUMIF('Plant BD'!$B:$B,$A331,'Plant BD'!$AM:$AM)/($AA331+SUMIF('Plant BD'!$B:$B,$A331,'Plant BD'!$AM:$AM)),"")</f>
        <v/>
      </c>
      <c r="P331" s="85"/>
      <c r="Q331" s="89"/>
      <c r="R331" s="85" t="str">
        <f>IFERROR(1-SUMIF('Grid BD'!$B:$B,$A331,'Grid BD'!$AE:$AE)/($AA331+SUMIF('Grid BD'!$B:$B,$A331,'Grid BD'!$AE:$AE)),"")</f>
        <v/>
      </c>
      <c r="T331" s="89"/>
      <c r="U331" s="88" t="str">
        <f t="shared" si="21"/>
        <v/>
      </c>
      <c r="V331" s="88"/>
      <c r="W331" s="84" t="str">
        <f t="shared" si="20"/>
        <v/>
      </c>
      <c r="X331" s="86" t="str">
        <f>IFERROR(_xlfn.XLOOKUP($A331,'Raw Data'!$G:$G,'Raw Data'!AI:AI),"")</f>
        <v/>
      </c>
      <c r="Y331" s="86" t="str">
        <f>IFERROR(_xlfn.XLOOKUP($A331,'Raw Data'!$G:$G,'Raw Data'!AJ:AJ),"")</f>
        <v/>
      </c>
      <c r="Z331" s="86" t="str">
        <f>IFERROR(_xlfn.XLOOKUP($A331,'Raw Data'!$G:$G,'Raw Data'!AK:AK),"")</f>
        <v/>
      </c>
      <c r="AA331" s="86" t="str">
        <f>IFERROR(_xlfn.XLOOKUP($A331,'Raw Data'!$G:$G,'Raw Data'!$AL:$AL)*(1+(_xlfn.XLOOKUP(Table13[[#This Row],[Month Year]],JMR!$A:$A,JMR!$J:$J))),"")</f>
        <v/>
      </c>
      <c r="AB331" s="86" t="str">
        <f>IFERROR(_xlfn.XLOOKUP($A331,'Raw Data'!$G:$G,'Raw Data'!$H:$H),"")</f>
        <v/>
      </c>
      <c r="AC331" s="87">
        <f>IFERROR(_xlfn.XLOOKUP($D331,'Modelling New'!$D:$D,'Modelling New'!$P:$P),"")</f>
        <v>6.5464285714285717</v>
      </c>
      <c r="AD331" s="86">
        <f>IFERROR(_xlfn.XLOOKUP($D331,'Modelling New'!$D:$D,'Modelling New'!$T:$T)*1000,"")</f>
        <v>30077.880504196255</v>
      </c>
      <c r="AE331" s="94">
        <f>IFERROR(_xlfn.XLOOKUP($D331,'Modelling New'!$D:$D,'Modelling New'!$O:$O),"")</f>
        <v>0.64719236409623726</v>
      </c>
      <c r="AF331" s="94">
        <f>IFERROR(_xlfn.XLOOKUP($D331,'Modelling New'!$D:$D,'Modelling New'!$W:$W),"")</f>
        <v>0.17653327431375046</v>
      </c>
      <c r="AG331" s="94">
        <f>IFERROR(_xlfn.XLOOKUP($D331,'Modelling New'!$D:$D,'Modelling New'!$AE:$AE),"")</f>
        <v>0.98040000000000005</v>
      </c>
      <c r="AH331" s="94">
        <f>IFERROR(_xlfn.XLOOKUP($D331,'Modelling New'!$D:$D,'Modelling New'!$AF:$AF),"")</f>
        <v>0.98</v>
      </c>
      <c r="AN331" s="85"/>
      <c r="AO331" s="84"/>
      <c r="AP331" s="84"/>
      <c r="AQ331" s="84"/>
      <c r="AR331" s="86">
        <f>'Basic Data'!$J$2</f>
        <v>7.0991999999999997</v>
      </c>
      <c r="AT331" s="7" t="str">
        <f>IFERROR(_xlfn.XLOOKUP(Table13[[#This Row],[Date]],'Raw Data'!$E:$E,'Raw Data'!$AN:$AN),"")</f>
        <v/>
      </c>
      <c r="AU331" s="7">
        <f>IFERROR(_xlfn.XLOOKUP(Table13[[#This Row],[Month Year]],'Modelling New'!$D:$D,'Modelling New'!$AO:$AO),"")</f>
        <v>7</v>
      </c>
      <c r="AV331" s="7">
        <f>IFERROR(SUMIF('Curtailment Records'!$C:$C,Table13[[#This Row],[Date]],'Curtailment Records'!$R:$R)/1000,"")</f>
        <v>0</v>
      </c>
    </row>
    <row r="332" spans="1:48" x14ac:dyDescent="0.25">
      <c r="A332" s="93">
        <f t="shared" si="22"/>
        <v>46075</v>
      </c>
      <c r="B332" s="86">
        <f>YEAR(Table13[[#This Row],[Date]])+IF(MONTH(Table13[[#This Row],[Date]])&gt;=4,1,0)</f>
        <v>2026</v>
      </c>
      <c r="C332" s="7">
        <f>YEAR(Table13[[#This Row],[Date]])</f>
        <v>2026</v>
      </c>
      <c r="D332" s="92">
        <f>Table13[[#This Row],[Date]]-DAY(Table13[[#This Row],[Date]])+1</f>
        <v>46054</v>
      </c>
      <c r="E332" s="7">
        <f t="shared" si="23"/>
        <v>28</v>
      </c>
      <c r="F332" s="91" t="str">
        <f>IFERROR(_xlfn.XLOOKUP($A332,'Raw Data'!$G:$G,'Raw Data'!$AM:$AM),"")</f>
        <v/>
      </c>
      <c r="G332" s="90" t="str">
        <f>IFERROR(_xlfn.XLOOKUP($A332,'Raw Data'!$G:$G,'Raw Data'!$AB:$AB),"")</f>
        <v/>
      </c>
      <c r="H332" s="90"/>
      <c r="I332" s="90" t="str">
        <f>IFERROR(_xlfn.XLOOKUP($A332,'Raw Data'!$G:$G,'Raw Data'!$AC:$AC),"")</f>
        <v/>
      </c>
      <c r="J332" s="90"/>
      <c r="K332" s="90" t="str">
        <f>IFERROR(_xlfn.XLOOKUP($A332,'Raw Data'!$G:$G,'Raw Data'!AD:AD),"")</f>
        <v/>
      </c>
      <c r="L332" s="90" t="str">
        <f>IFERROR(_xlfn.XLOOKUP($A332,'Raw Data'!$G:$G,'Raw Data'!AE:AE),"")</f>
        <v/>
      </c>
      <c r="M332" s="90" t="str">
        <f>IFERROR(_xlfn.XLOOKUP($A332,'Raw Data'!$G:$G,'Raw Data'!AF:AF),"")</f>
        <v/>
      </c>
      <c r="N332" s="90" t="str">
        <f>IFERROR(_xlfn.XLOOKUP($A332,'Raw Data'!$G:$G,'Raw Data'!AG:AG),"")</f>
        <v/>
      </c>
      <c r="O332" s="85" t="str">
        <f>IFERROR(1-SUMIF('Plant BD'!$B:$B,$A332,'Plant BD'!$AM:$AM)/($AA332+SUMIF('Plant BD'!$B:$B,$A332,'Plant BD'!$AM:$AM)),"")</f>
        <v/>
      </c>
      <c r="P332" s="85"/>
      <c r="Q332" s="89"/>
      <c r="R332" s="85" t="str">
        <f>IFERROR(1-SUMIF('Grid BD'!$B:$B,$A332,'Grid BD'!$AE:$AE)/($AA332+SUMIF('Grid BD'!$B:$B,$A332,'Grid BD'!$AE:$AE)),"")</f>
        <v/>
      </c>
      <c r="T332" s="89"/>
      <c r="U332" s="88" t="str">
        <f t="shared" si="21"/>
        <v/>
      </c>
      <c r="V332" s="88"/>
      <c r="W332" s="84" t="str">
        <f t="shared" si="20"/>
        <v/>
      </c>
      <c r="X332" s="86" t="str">
        <f>IFERROR(_xlfn.XLOOKUP($A332,'Raw Data'!$G:$G,'Raw Data'!AI:AI),"")</f>
        <v/>
      </c>
      <c r="Y332" s="86" t="str">
        <f>IFERROR(_xlfn.XLOOKUP($A332,'Raw Data'!$G:$G,'Raw Data'!AJ:AJ),"")</f>
        <v/>
      </c>
      <c r="Z332" s="86" t="str">
        <f>IFERROR(_xlfn.XLOOKUP($A332,'Raw Data'!$G:$G,'Raw Data'!AK:AK),"")</f>
        <v/>
      </c>
      <c r="AA332" s="86" t="str">
        <f>IFERROR(_xlfn.XLOOKUP($A332,'Raw Data'!$G:$G,'Raw Data'!$AL:$AL)*(1+(_xlfn.XLOOKUP(Table13[[#This Row],[Month Year]],JMR!$A:$A,JMR!$J:$J))),"")</f>
        <v/>
      </c>
      <c r="AB332" s="86" t="str">
        <f>IFERROR(_xlfn.XLOOKUP($A332,'Raw Data'!$G:$G,'Raw Data'!$H:$H),"")</f>
        <v/>
      </c>
      <c r="AC332" s="87">
        <f>IFERROR(_xlfn.XLOOKUP($D332,'Modelling New'!$D:$D,'Modelling New'!$P:$P),"")</f>
        <v>6.5464285714285717</v>
      </c>
      <c r="AD332" s="86">
        <f>IFERROR(_xlfn.XLOOKUP($D332,'Modelling New'!$D:$D,'Modelling New'!$T:$T)*1000,"")</f>
        <v>30077.880504196255</v>
      </c>
      <c r="AE332" s="94">
        <f>IFERROR(_xlfn.XLOOKUP($D332,'Modelling New'!$D:$D,'Modelling New'!$O:$O),"")</f>
        <v>0.64719236409623726</v>
      </c>
      <c r="AF332" s="94">
        <f>IFERROR(_xlfn.XLOOKUP($D332,'Modelling New'!$D:$D,'Modelling New'!$W:$W),"")</f>
        <v>0.17653327431375046</v>
      </c>
      <c r="AG332" s="94">
        <f>IFERROR(_xlfn.XLOOKUP($D332,'Modelling New'!$D:$D,'Modelling New'!$AE:$AE),"")</f>
        <v>0.98040000000000005</v>
      </c>
      <c r="AH332" s="94">
        <f>IFERROR(_xlfn.XLOOKUP($D332,'Modelling New'!$D:$D,'Modelling New'!$AF:$AF),"")</f>
        <v>0.98</v>
      </c>
      <c r="AN332" s="85"/>
      <c r="AO332" s="84"/>
      <c r="AP332" s="84"/>
      <c r="AQ332" s="84"/>
      <c r="AR332" s="86">
        <f>'Basic Data'!$J$2</f>
        <v>7.0991999999999997</v>
      </c>
      <c r="AT332" s="7" t="str">
        <f>IFERROR(_xlfn.XLOOKUP(Table13[[#This Row],[Date]],'Raw Data'!$E:$E,'Raw Data'!$AN:$AN),"")</f>
        <v/>
      </c>
      <c r="AU332" s="7">
        <f>IFERROR(_xlfn.XLOOKUP(Table13[[#This Row],[Month Year]],'Modelling New'!$D:$D,'Modelling New'!$AO:$AO),"")</f>
        <v>7</v>
      </c>
      <c r="AV332" s="7">
        <f>IFERROR(SUMIF('Curtailment Records'!$C:$C,Table13[[#This Row],[Date]],'Curtailment Records'!$R:$R)/1000,"")</f>
        <v>0</v>
      </c>
    </row>
    <row r="333" spans="1:48" x14ac:dyDescent="0.25">
      <c r="A333" s="93">
        <f t="shared" si="22"/>
        <v>46076</v>
      </c>
      <c r="B333" s="86">
        <f>YEAR(Table13[[#This Row],[Date]])+IF(MONTH(Table13[[#This Row],[Date]])&gt;=4,1,0)</f>
        <v>2026</v>
      </c>
      <c r="C333" s="7">
        <f>YEAR(Table13[[#This Row],[Date]])</f>
        <v>2026</v>
      </c>
      <c r="D333" s="92">
        <f>Table13[[#This Row],[Date]]-DAY(Table13[[#This Row],[Date]])+1</f>
        <v>46054</v>
      </c>
      <c r="E333" s="7">
        <f t="shared" si="23"/>
        <v>28</v>
      </c>
      <c r="F333" s="91" t="str">
        <f>IFERROR(_xlfn.XLOOKUP($A333,'Raw Data'!$G:$G,'Raw Data'!$AM:$AM),"")</f>
        <v/>
      </c>
      <c r="G333" s="90" t="str">
        <f>IFERROR(_xlfn.XLOOKUP($A333,'Raw Data'!$G:$G,'Raw Data'!$AB:$AB),"")</f>
        <v/>
      </c>
      <c r="H333" s="90"/>
      <c r="I333" s="90" t="str">
        <f>IFERROR(_xlfn.XLOOKUP($A333,'Raw Data'!$G:$G,'Raw Data'!$AC:$AC),"")</f>
        <v/>
      </c>
      <c r="J333" s="90"/>
      <c r="K333" s="90" t="str">
        <f>IFERROR(_xlfn.XLOOKUP($A333,'Raw Data'!$G:$G,'Raw Data'!AD:AD),"")</f>
        <v/>
      </c>
      <c r="L333" s="90" t="str">
        <f>IFERROR(_xlfn.XLOOKUP($A333,'Raw Data'!$G:$G,'Raw Data'!AE:AE),"")</f>
        <v/>
      </c>
      <c r="M333" s="90" t="str">
        <f>IFERROR(_xlfn.XLOOKUP($A333,'Raw Data'!$G:$G,'Raw Data'!AF:AF),"")</f>
        <v/>
      </c>
      <c r="N333" s="90" t="str">
        <f>IFERROR(_xlfn.XLOOKUP($A333,'Raw Data'!$G:$G,'Raw Data'!AG:AG),"")</f>
        <v/>
      </c>
      <c r="O333" s="85" t="str">
        <f>IFERROR(1-SUMIF('Plant BD'!$B:$B,$A333,'Plant BD'!$AM:$AM)/($AA333+SUMIF('Plant BD'!$B:$B,$A333,'Plant BD'!$AM:$AM)),"")</f>
        <v/>
      </c>
      <c r="P333" s="85"/>
      <c r="Q333" s="89"/>
      <c r="R333" s="85" t="str">
        <f>IFERROR(1-SUMIF('Grid BD'!$B:$B,$A333,'Grid BD'!$AE:$AE)/($AA333+SUMIF('Grid BD'!$B:$B,$A333,'Grid BD'!$AE:$AE)),"")</f>
        <v/>
      </c>
      <c r="T333" s="89"/>
      <c r="U333" s="88" t="str">
        <f t="shared" si="21"/>
        <v/>
      </c>
      <c r="V333" s="88"/>
      <c r="W333" s="84" t="str">
        <f t="shared" si="20"/>
        <v/>
      </c>
      <c r="X333" s="86" t="str">
        <f>IFERROR(_xlfn.XLOOKUP($A333,'Raw Data'!$G:$G,'Raw Data'!AI:AI),"")</f>
        <v/>
      </c>
      <c r="Y333" s="86" t="str">
        <f>IFERROR(_xlfn.XLOOKUP($A333,'Raw Data'!$G:$G,'Raw Data'!AJ:AJ),"")</f>
        <v/>
      </c>
      <c r="Z333" s="86" t="str">
        <f>IFERROR(_xlfn.XLOOKUP($A333,'Raw Data'!$G:$G,'Raw Data'!AK:AK),"")</f>
        <v/>
      </c>
      <c r="AA333" s="86" t="str">
        <f>IFERROR(_xlfn.XLOOKUP($A333,'Raw Data'!$G:$G,'Raw Data'!$AL:$AL)*(1+(_xlfn.XLOOKUP(Table13[[#This Row],[Month Year]],JMR!$A:$A,JMR!$J:$J))),"")</f>
        <v/>
      </c>
      <c r="AB333" s="86" t="str">
        <f>IFERROR(_xlfn.XLOOKUP($A333,'Raw Data'!$G:$G,'Raw Data'!$H:$H),"")</f>
        <v/>
      </c>
      <c r="AC333" s="87">
        <f>IFERROR(_xlfn.XLOOKUP($D333,'Modelling New'!$D:$D,'Modelling New'!$P:$P),"")</f>
        <v>6.5464285714285717</v>
      </c>
      <c r="AD333" s="86">
        <f>IFERROR(_xlfn.XLOOKUP($D333,'Modelling New'!$D:$D,'Modelling New'!$T:$T)*1000,"")</f>
        <v>30077.880504196255</v>
      </c>
      <c r="AE333" s="94">
        <f>IFERROR(_xlfn.XLOOKUP($D333,'Modelling New'!$D:$D,'Modelling New'!$O:$O),"")</f>
        <v>0.64719236409623726</v>
      </c>
      <c r="AF333" s="94">
        <f>IFERROR(_xlfn.XLOOKUP($D333,'Modelling New'!$D:$D,'Modelling New'!$W:$W),"")</f>
        <v>0.17653327431375046</v>
      </c>
      <c r="AG333" s="94">
        <f>IFERROR(_xlfn.XLOOKUP($D333,'Modelling New'!$D:$D,'Modelling New'!$AE:$AE),"")</f>
        <v>0.98040000000000005</v>
      </c>
      <c r="AH333" s="94">
        <f>IFERROR(_xlfn.XLOOKUP($D333,'Modelling New'!$D:$D,'Modelling New'!$AF:$AF),"")</f>
        <v>0.98</v>
      </c>
      <c r="AN333" s="85"/>
      <c r="AO333" s="84"/>
      <c r="AP333" s="84"/>
      <c r="AQ333" s="84"/>
      <c r="AR333" s="86">
        <f>'Basic Data'!$J$2</f>
        <v>7.0991999999999997</v>
      </c>
      <c r="AT333" s="7" t="str">
        <f>IFERROR(_xlfn.XLOOKUP(Table13[[#This Row],[Date]],'Raw Data'!$E:$E,'Raw Data'!$AN:$AN),"")</f>
        <v/>
      </c>
      <c r="AU333" s="7">
        <f>IFERROR(_xlfn.XLOOKUP(Table13[[#This Row],[Month Year]],'Modelling New'!$D:$D,'Modelling New'!$AO:$AO),"")</f>
        <v>7</v>
      </c>
      <c r="AV333" s="7">
        <f>IFERROR(SUMIF('Curtailment Records'!$C:$C,Table13[[#This Row],[Date]],'Curtailment Records'!$R:$R)/1000,"")</f>
        <v>0</v>
      </c>
    </row>
    <row r="334" spans="1:48" x14ac:dyDescent="0.25">
      <c r="A334" s="93">
        <f t="shared" si="22"/>
        <v>46077</v>
      </c>
      <c r="B334" s="86">
        <f>YEAR(Table13[[#This Row],[Date]])+IF(MONTH(Table13[[#This Row],[Date]])&gt;=4,1,0)</f>
        <v>2026</v>
      </c>
      <c r="C334" s="7">
        <f>YEAR(Table13[[#This Row],[Date]])</f>
        <v>2026</v>
      </c>
      <c r="D334" s="92">
        <f>Table13[[#This Row],[Date]]-DAY(Table13[[#This Row],[Date]])+1</f>
        <v>46054</v>
      </c>
      <c r="E334" s="7">
        <f t="shared" si="23"/>
        <v>28</v>
      </c>
      <c r="F334" s="91" t="str">
        <f>IFERROR(_xlfn.XLOOKUP($A334,'Raw Data'!$G:$G,'Raw Data'!$AM:$AM),"")</f>
        <v/>
      </c>
      <c r="G334" s="90" t="str">
        <f>IFERROR(_xlfn.XLOOKUP($A334,'Raw Data'!$G:$G,'Raw Data'!$AB:$AB),"")</f>
        <v/>
      </c>
      <c r="H334" s="90"/>
      <c r="I334" s="90" t="str">
        <f>IFERROR(_xlfn.XLOOKUP($A334,'Raw Data'!$G:$G,'Raw Data'!$AC:$AC),"")</f>
        <v/>
      </c>
      <c r="J334" s="90"/>
      <c r="K334" s="90" t="str">
        <f>IFERROR(_xlfn.XLOOKUP($A334,'Raw Data'!$G:$G,'Raw Data'!AD:AD),"")</f>
        <v/>
      </c>
      <c r="L334" s="90" t="str">
        <f>IFERROR(_xlfn.XLOOKUP($A334,'Raw Data'!$G:$G,'Raw Data'!AE:AE),"")</f>
        <v/>
      </c>
      <c r="M334" s="90" t="str">
        <f>IFERROR(_xlfn.XLOOKUP($A334,'Raw Data'!$G:$G,'Raw Data'!AF:AF),"")</f>
        <v/>
      </c>
      <c r="N334" s="90" t="str">
        <f>IFERROR(_xlfn.XLOOKUP($A334,'Raw Data'!$G:$G,'Raw Data'!AG:AG),"")</f>
        <v/>
      </c>
      <c r="O334" s="85" t="str">
        <f>IFERROR(1-SUMIF('Plant BD'!$B:$B,$A334,'Plant BD'!$AM:$AM)/($AA334+SUMIF('Plant BD'!$B:$B,$A334,'Plant BD'!$AM:$AM)),"")</f>
        <v/>
      </c>
      <c r="P334" s="85"/>
      <c r="Q334" s="89"/>
      <c r="R334" s="85" t="str">
        <f>IFERROR(1-SUMIF('Grid BD'!$B:$B,$A334,'Grid BD'!$AE:$AE)/($AA334+SUMIF('Grid BD'!$B:$B,$A334,'Grid BD'!$AE:$AE)),"")</f>
        <v/>
      </c>
      <c r="T334" s="89"/>
      <c r="U334" s="88" t="str">
        <f t="shared" si="21"/>
        <v/>
      </c>
      <c r="V334" s="88"/>
      <c r="W334" s="84" t="str">
        <f t="shared" si="20"/>
        <v/>
      </c>
      <c r="X334" s="86" t="str">
        <f>IFERROR(_xlfn.XLOOKUP($A334,'Raw Data'!$G:$G,'Raw Data'!AI:AI),"")</f>
        <v/>
      </c>
      <c r="Y334" s="86" t="str">
        <f>IFERROR(_xlfn.XLOOKUP($A334,'Raw Data'!$G:$G,'Raw Data'!AJ:AJ),"")</f>
        <v/>
      </c>
      <c r="Z334" s="86" t="str">
        <f>IFERROR(_xlfn.XLOOKUP($A334,'Raw Data'!$G:$G,'Raw Data'!AK:AK),"")</f>
        <v/>
      </c>
      <c r="AA334" s="86" t="str">
        <f>IFERROR(_xlfn.XLOOKUP($A334,'Raw Data'!$G:$G,'Raw Data'!$AL:$AL)*(1+(_xlfn.XLOOKUP(Table13[[#This Row],[Month Year]],JMR!$A:$A,JMR!$J:$J))),"")</f>
        <v/>
      </c>
      <c r="AB334" s="86" t="str">
        <f>IFERROR(_xlfn.XLOOKUP($A334,'Raw Data'!$G:$G,'Raw Data'!$H:$H),"")</f>
        <v/>
      </c>
      <c r="AC334" s="87">
        <f>IFERROR(_xlfn.XLOOKUP($D334,'Modelling New'!$D:$D,'Modelling New'!$P:$P),"")</f>
        <v>6.5464285714285717</v>
      </c>
      <c r="AD334" s="86">
        <f>IFERROR(_xlfn.XLOOKUP($D334,'Modelling New'!$D:$D,'Modelling New'!$T:$T)*1000,"")</f>
        <v>30077.880504196255</v>
      </c>
      <c r="AE334" s="94">
        <f>IFERROR(_xlfn.XLOOKUP($D334,'Modelling New'!$D:$D,'Modelling New'!$O:$O),"")</f>
        <v>0.64719236409623726</v>
      </c>
      <c r="AF334" s="94">
        <f>IFERROR(_xlfn.XLOOKUP($D334,'Modelling New'!$D:$D,'Modelling New'!$W:$W),"")</f>
        <v>0.17653327431375046</v>
      </c>
      <c r="AG334" s="94">
        <f>IFERROR(_xlfn.XLOOKUP($D334,'Modelling New'!$D:$D,'Modelling New'!$AE:$AE),"")</f>
        <v>0.98040000000000005</v>
      </c>
      <c r="AH334" s="94">
        <f>IFERROR(_xlfn.XLOOKUP($D334,'Modelling New'!$D:$D,'Modelling New'!$AF:$AF),"")</f>
        <v>0.98</v>
      </c>
      <c r="AN334" s="85"/>
      <c r="AO334" s="84"/>
      <c r="AP334" s="84"/>
      <c r="AQ334" s="84"/>
      <c r="AR334" s="86">
        <f>'Basic Data'!$J$2</f>
        <v>7.0991999999999997</v>
      </c>
      <c r="AT334" s="7" t="str">
        <f>IFERROR(_xlfn.XLOOKUP(Table13[[#This Row],[Date]],'Raw Data'!$E:$E,'Raw Data'!$AN:$AN),"")</f>
        <v/>
      </c>
      <c r="AU334" s="7">
        <f>IFERROR(_xlfn.XLOOKUP(Table13[[#This Row],[Month Year]],'Modelling New'!$D:$D,'Modelling New'!$AO:$AO),"")</f>
        <v>7</v>
      </c>
      <c r="AV334" s="7">
        <f>IFERROR(SUMIF('Curtailment Records'!$C:$C,Table13[[#This Row],[Date]],'Curtailment Records'!$R:$R)/1000,"")</f>
        <v>0</v>
      </c>
    </row>
    <row r="335" spans="1:48" x14ac:dyDescent="0.25">
      <c r="A335" s="93">
        <f t="shared" si="22"/>
        <v>46078</v>
      </c>
      <c r="B335" s="86">
        <f>YEAR(Table13[[#This Row],[Date]])+IF(MONTH(Table13[[#This Row],[Date]])&gt;=4,1,0)</f>
        <v>2026</v>
      </c>
      <c r="C335" s="7">
        <f>YEAR(Table13[[#This Row],[Date]])</f>
        <v>2026</v>
      </c>
      <c r="D335" s="92">
        <f>Table13[[#This Row],[Date]]-DAY(Table13[[#This Row],[Date]])+1</f>
        <v>46054</v>
      </c>
      <c r="E335" s="7">
        <f t="shared" si="23"/>
        <v>28</v>
      </c>
      <c r="F335" s="91" t="str">
        <f>IFERROR(_xlfn.XLOOKUP($A335,'Raw Data'!$G:$G,'Raw Data'!$AM:$AM),"")</f>
        <v/>
      </c>
      <c r="G335" s="90" t="str">
        <f>IFERROR(_xlfn.XLOOKUP($A335,'Raw Data'!$G:$G,'Raw Data'!$AB:$AB),"")</f>
        <v/>
      </c>
      <c r="H335" s="90"/>
      <c r="I335" s="90" t="str">
        <f>IFERROR(_xlfn.XLOOKUP($A335,'Raw Data'!$G:$G,'Raw Data'!$AC:$AC),"")</f>
        <v/>
      </c>
      <c r="J335" s="90"/>
      <c r="K335" s="90" t="str">
        <f>IFERROR(_xlfn.XLOOKUP($A335,'Raw Data'!$G:$G,'Raw Data'!AD:AD),"")</f>
        <v/>
      </c>
      <c r="L335" s="90" t="str">
        <f>IFERROR(_xlfn.XLOOKUP($A335,'Raw Data'!$G:$G,'Raw Data'!AE:AE),"")</f>
        <v/>
      </c>
      <c r="M335" s="90" t="str">
        <f>IFERROR(_xlfn.XLOOKUP($A335,'Raw Data'!$G:$G,'Raw Data'!AF:AF),"")</f>
        <v/>
      </c>
      <c r="N335" s="90" t="str">
        <f>IFERROR(_xlfn.XLOOKUP($A335,'Raw Data'!$G:$G,'Raw Data'!AG:AG),"")</f>
        <v/>
      </c>
      <c r="O335" s="85" t="str">
        <f>IFERROR(1-SUMIF('Plant BD'!$B:$B,$A335,'Plant BD'!$AM:$AM)/($AA335+SUMIF('Plant BD'!$B:$B,$A335,'Plant BD'!$AM:$AM)),"")</f>
        <v/>
      </c>
      <c r="P335" s="85"/>
      <c r="Q335" s="89"/>
      <c r="R335" s="85" t="str">
        <f>IFERROR(1-SUMIF('Grid BD'!$B:$B,$A335,'Grid BD'!$AE:$AE)/($AA335+SUMIF('Grid BD'!$B:$B,$A335,'Grid BD'!$AE:$AE)),"")</f>
        <v/>
      </c>
      <c r="T335" s="89"/>
      <c r="U335" s="88" t="str">
        <f t="shared" si="21"/>
        <v/>
      </c>
      <c r="V335" s="88"/>
      <c r="W335" s="84" t="str">
        <f t="shared" si="20"/>
        <v/>
      </c>
      <c r="X335" s="86" t="str">
        <f>IFERROR(_xlfn.XLOOKUP($A335,'Raw Data'!$G:$G,'Raw Data'!AI:AI),"")</f>
        <v/>
      </c>
      <c r="Y335" s="86" t="str">
        <f>IFERROR(_xlfn.XLOOKUP($A335,'Raw Data'!$G:$G,'Raw Data'!AJ:AJ),"")</f>
        <v/>
      </c>
      <c r="Z335" s="86" t="str">
        <f>IFERROR(_xlfn.XLOOKUP($A335,'Raw Data'!$G:$G,'Raw Data'!AK:AK),"")</f>
        <v/>
      </c>
      <c r="AA335" s="86" t="str">
        <f>IFERROR(_xlfn.XLOOKUP($A335,'Raw Data'!$G:$G,'Raw Data'!$AL:$AL)*(1+(_xlfn.XLOOKUP(Table13[[#This Row],[Month Year]],JMR!$A:$A,JMR!$J:$J))),"")</f>
        <v/>
      </c>
      <c r="AB335" s="86" t="str">
        <f>IFERROR(_xlfn.XLOOKUP($A335,'Raw Data'!$G:$G,'Raw Data'!$H:$H),"")</f>
        <v/>
      </c>
      <c r="AC335" s="87">
        <f>IFERROR(_xlfn.XLOOKUP($D335,'Modelling New'!$D:$D,'Modelling New'!$P:$P),"")</f>
        <v>6.5464285714285717</v>
      </c>
      <c r="AD335" s="86">
        <f>IFERROR(_xlfn.XLOOKUP($D335,'Modelling New'!$D:$D,'Modelling New'!$T:$T)*1000,"")</f>
        <v>30077.880504196255</v>
      </c>
      <c r="AE335" s="94">
        <f>IFERROR(_xlfn.XLOOKUP($D335,'Modelling New'!$D:$D,'Modelling New'!$O:$O),"")</f>
        <v>0.64719236409623726</v>
      </c>
      <c r="AF335" s="94">
        <f>IFERROR(_xlfn.XLOOKUP($D335,'Modelling New'!$D:$D,'Modelling New'!$W:$W),"")</f>
        <v>0.17653327431375046</v>
      </c>
      <c r="AG335" s="94">
        <f>IFERROR(_xlfn.XLOOKUP($D335,'Modelling New'!$D:$D,'Modelling New'!$AE:$AE),"")</f>
        <v>0.98040000000000005</v>
      </c>
      <c r="AH335" s="94">
        <f>IFERROR(_xlfn.XLOOKUP($D335,'Modelling New'!$D:$D,'Modelling New'!$AF:$AF),"")</f>
        <v>0.98</v>
      </c>
      <c r="AN335" s="85"/>
      <c r="AO335" s="84"/>
      <c r="AP335" s="84"/>
      <c r="AQ335" s="84"/>
      <c r="AR335" s="86">
        <f>'Basic Data'!$J$2</f>
        <v>7.0991999999999997</v>
      </c>
      <c r="AT335" s="7" t="str">
        <f>IFERROR(_xlfn.XLOOKUP(Table13[[#This Row],[Date]],'Raw Data'!$E:$E,'Raw Data'!$AN:$AN),"")</f>
        <v/>
      </c>
      <c r="AU335" s="7">
        <f>IFERROR(_xlfn.XLOOKUP(Table13[[#This Row],[Month Year]],'Modelling New'!$D:$D,'Modelling New'!$AO:$AO),"")</f>
        <v>7</v>
      </c>
      <c r="AV335" s="7">
        <f>IFERROR(SUMIF('Curtailment Records'!$C:$C,Table13[[#This Row],[Date]],'Curtailment Records'!$R:$R)/1000,"")</f>
        <v>0</v>
      </c>
    </row>
    <row r="336" spans="1:48" x14ac:dyDescent="0.25">
      <c r="A336" s="93">
        <f t="shared" si="22"/>
        <v>46079</v>
      </c>
      <c r="B336" s="86">
        <f>YEAR(Table13[[#This Row],[Date]])+IF(MONTH(Table13[[#This Row],[Date]])&gt;=4,1,0)</f>
        <v>2026</v>
      </c>
      <c r="C336" s="7">
        <f>YEAR(Table13[[#This Row],[Date]])</f>
        <v>2026</v>
      </c>
      <c r="D336" s="92">
        <f>Table13[[#This Row],[Date]]-DAY(Table13[[#This Row],[Date]])+1</f>
        <v>46054</v>
      </c>
      <c r="E336" s="7">
        <f t="shared" si="23"/>
        <v>28</v>
      </c>
      <c r="F336" s="91" t="str">
        <f>IFERROR(_xlfn.XLOOKUP($A336,'Raw Data'!$G:$G,'Raw Data'!$AM:$AM),"")</f>
        <v/>
      </c>
      <c r="G336" s="90" t="str">
        <f>IFERROR(_xlfn.XLOOKUP($A336,'Raw Data'!$G:$G,'Raw Data'!$AB:$AB),"")</f>
        <v/>
      </c>
      <c r="H336" s="90"/>
      <c r="I336" s="90" t="str">
        <f>IFERROR(_xlfn.XLOOKUP($A336,'Raw Data'!$G:$G,'Raw Data'!$AC:$AC),"")</f>
        <v/>
      </c>
      <c r="J336" s="90"/>
      <c r="K336" s="90" t="str">
        <f>IFERROR(_xlfn.XLOOKUP($A336,'Raw Data'!$G:$G,'Raw Data'!AD:AD),"")</f>
        <v/>
      </c>
      <c r="L336" s="90" t="str">
        <f>IFERROR(_xlfn.XLOOKUP($A336,'Raw Data'!$G:$G,'Raw Data'!AE:AE),"")</f>
        <v/>
      </c>
      <c r="M336" s="90" t="str">
        <f>IFERROR(_xlfn.XLOOKUP($A336,'Raw Data'!$G:$G,'Raw Data'!AF:AF),"")</f>
        <v/>
      </c>
      <c r="N336" s="90" t="str">
        <f>IFERROR(_xlfn.XLOOKUP($A336,'Raw Data'!$G:$G,'Raw Data'!AG:AG),"")</f>
        <v/>
      </c>
      <c r="O336" s="85" t="str">
        <f>IFERROR(1-SUMIF('Plant BD'!$B:$B,$A336,'Plant BD'!$AM:$AM)/($AA336+SUMIF('Plant BD'!$B:$B,$A336,'Plant BD'!$AM:$AM)),"")</f>
        <v/>
      </c>
      <c r="P336" s="85"/>
      <c r="Q336" s="89"/>
      <c r="R336" s="85" t="str">
        <f>IFERROR(1-SUMIF('Grid BD'!$B:$B,$A336,'Grid BD'!$AE:$AE)/($AA336+SUMIF('Grid BD'!$B:$B,$A336,'Grid BD'!$AE:$AE)),"")</f>
        <v/>
      </c>
      <c r="T336" s="89"/>
      <c r="U336" s="88" t="str">
        <f t="shared" si="21"/>
        <v/>
      </c>
      <c r="V336" s="88"/>
      <c r="W336" s="84" t="str">
        <f t="shared" si="20"/>
        <v/>
      </c>
      <c r="X336" s="86" t="str">
        <f>IFERROR(_xlfn.XLOOKUP($A336,'Raw Data'!$G:$G,'Raw Data'!AI:AI),"")</f>
        <v/>
      </c>
      <c r="Y336" s="86" t="str">
        <f>IFERROR(_xlfn.XLOOKUP($A336,'Raw Data'!$G:$G,'Raw Data'!AJ:AJ),"")</f>
        <v/>
      </c>
      <c r="Z336" s="86" t="str">
        <f>IFERROR(_xlfn.XLOOKUP($A336,'Raw Data'!$G:$G,'Raw Data'!AK:AK),"")</f>
        <v/>
      </c>
      <c r="AA336" s="86" t="str">
        <f>IFERROR(_xlfn.XLOOKUP($A336,'Raw Data'!$G:$G,'Raw Data'!$AL:$AL)*(1+(_xlfn.XLOOKUP(Table13[[#This Row],[Month Year]],JMR!$A:$A,JMR!$J:$J))),"")</f>
        <v/>
      </c>
      <c r="AB336" s="86" t="str">
        <f>IFERROR(_xlfn.XLOOKUP($A336,'Raw Data'!$G:$G,'Raw Data'!$H:$H),"")</f>
        <v/>
      </c>
      <c r="AC336" s="87">
        <f>IFERROR(_xlfn.XLOOKUP($D336,'Modelling New'!$D:$D,'Modelling New'!$P:$P),"")</f>
        <v>6.5464285714285717</v>
      </c>
      <c r="AD336" s="86">
        <f>IFERROR(_xlfn.XLOOKUP($D336,'Modelling New'!$D:$D,'Modelling New'!$T:$T)*1000,"")</f>
        <v>30077.880504196255</v>
      </c>
      <c r="AE336" s="94">
        <f>IFERROR(_xlfn.XLOOKUP($D336,'Modelling New'!$D:$D,'Modelling New'!$O:$O),"")</f>
        <v>0.64719236409623726</v>
      </c>
      <c r="AF336" s="94">
        <f>IFERROR(_xlfn.XLOOKUP($D336,'Modelling New'!$D:$D,'Modelling New'!$W:$W),"")</f>
        <v>0.17653327431375046</v>
      </c>
      <c r="AG336" s="94">
        <f>IFERROR(_xlfn.XLOOKUP($D336,'Modelling New'!$D:$D,'Modelling New'!$AE:$AE),"")</f>
        <v>0.98040000000000005</v>
      </c>
      <c r="AH336" s="94">
        <f>IFERROR(_xlfn.XLOOKUP($D336,'Modelling New'!$D:$D,'Modelling New'!$AF:$AF),"")</f>
        <v>0.98</v>
      </c>
      <c r="AN336" s="85"/>
      <c r="AO336" s="84"/>
      <c r="AP336" s="84"/>
      <c r="AQ336" s="84"/>
      <c r="AR336" s="86">
        <f>'Basic Data'!$J$2</f>
        <v>7.0991999999999997</v>
      </c>
      <c r="AT336" s="7" t="str">
        <f>IFERROR(_xlfn.XLOOKUP(Table13[[#This Row],[Date]],'Raw Data'!$E:$E,'Raw Data'!$AN:$AN),"")</f>
        <v/>
      </c>
      <c r="AU336" s="7">
        <f>IFERROR(_xlfn.XLOOKUP(Table13[[#This Row],[Month Year]],'Modelling New'!$D:$D,'Modelling New'!$AO:$AO),"")</f>
        <v>7</v>
      </c>
      <c r="AV336" s="7">
        <f>IFERROR(SUMIF('Curtailment Records'!$C:$C,Table13[[#This Row],[Date]],'Curtailment Records'!$R:$R)/1000,"")</f>
        <v>0</v>
      </c>
    </row>
    <row r="337" spans="1:48" x14ac:dyDescent="0.25">
      <c r="A337" s="93">
        <f t="shared" si="22"/>
        <v>46080</v>
      </c>
      <c r="B337" s="86">
        <f>YEAR(Table13[[#This Row],[Date]])+IF(MONTH(Table13[[#This Row],[Date]])&gt;=4,1,0)</f>
        <v>2026</v>
      </c>
      <c r="C337" s="7">
        <f>YEAR(Table13[[#This Row],[Date]])</f>
        <v>2026</v>
      </c>
      <c r="D337" s="92">
        <f>Table13[[#This Row],[Date]]-DAY(Table13[[#This Row],[Date]])+1</f>
        <v>46054</v>
      </c>
      <c r="E337" s="7">
        <f t="shared" si="23"/>
        <v>28</v>
      </c>
      <c r="F337" s="91" t="str">
        <f>IFERROR(_xlfn.XLOOKUP($A337,'Raw Data'!$G:$G,'Raw Data'!$AM:$AM),"")</f>
        <v/>
      </c>
      <c r="G337" s="90" t="str">
        <f>IFERROR(_xlfn.XLOOKUP($A337,'Raw Data'!$G:$G,'Raw Data'!$AB:$AB),"")</f>
        <v/>
      </c>
      <c r="H337" s="90"/>
      <c r="I337" s="90" t="str">
        <f>IFERROR(_xlfn.XLOOKUP($A337,'Raw Data'!$G:$G,'Raw Data'!$AC:$AC),"")</f>
        <v/>
      </c>
      <c r="J337" s="90"/>
      <c r="K337" s="90" t="str">
        <f>IFERROR(_xlfn.XLOOKUP($A337,'Raw Data'!$G:$G,'Raw Data'!AD:AD),"")</f>
        <v/>
      </c>
      <c r="L337" s="90" t="str">
        <f>IFERROR(_xlfn.XLOOKUP($A337,'Raw Data'!$G:$G,'Raw Data'!AE:AE),"")</f>
        <v/>
      </c>
      <c r="M337" s="90" t="str">
        <f>IFERROR(_xlfn.XLOOKUP($A337,'Raw Data'!$G:$G,'Raw Data'!AF:AF),"")</f>
        <v/>
      </c>
      <c r="N337" s="90" t="str">
        <f>IFERROR(_xlfn.XLOOKUP($A337,'Raw Data'!$G:$G,'Raw Data'!AG:AG),"")</f>
        <v/>
      </c>
      <c r="O337" s="85" t="str">
        <f>IFERROR(1-SUMIF('Plant BD'!$B:$B,$A337,'Plant BD'!$AM:$AM)/($AA337+SUMIF('Plant BD'!$B:$B,$A337,'Plant BD'!$AM:$AM)),"")</f>
        <v/>
      </c>
      <c r="P337" s="85"/>
      <c r="Q337" s="89"/>
      <c r="R337" s="85" t="str">
        <f>IFERROR(1-SUMIF('Grid BD'!$B:$B,$A337,'Grid BD'!$AE:$AE)/($AA337+SUMIF('Grid BD'!$B:$B,$A337,'Grid BD'!$AE:$AE)),"")</f>
        <v/>
      </c>
      <c r="T337" s="89"/>
      <c r="U337" s="88" t="str">
        <f t="shared" si="21"/>
        <v/>
      </c>
      <c r="V337" s="88"/>
      <c r="W337" s="84" t="str">
        <f t="shared" si="20"/>
        <v/>
      </c>
      <c r="X337" s="86" t="str">
        <f>IFERROR(_xlfn.XLOOKUP($A337,'Raw Data'!$G:$G,'Raw Data'!AI:AI),"")</f>
        <v/>
      </c>
      <c r="Y337" s="86" t="str">
        <f>IFERROR(_xlfn.XLOOKUP($A337,'Raw Data'!$G:$G,'Raw Data'!AJ:AJ),"")</f>
        <v/>
      </c>
      <c r="Z337" s="86" t="str">
        <f>IFERROR(_xlfn.XLOOKUP($A337,'Raw Data'!$G:$G,'Raw Data'!AK:AK),"")</f>
        <v/>
      </c>
      <c r="AA337" s="86" t="str">
        <f>IFERROR(_xlfn.XLOOKUP($A337,'Raw Data'!$G:$G,'Raw Data'!$AL:$AL)*(1+(_xlfn.XLOOKUP(Table13[[#This Row],[Month Year]],JMR!$A:$A,JMR!$J:$J))),"")</f>
        <v/>
      </c>
      <c r="AB337" s="86" t="str">
        <f>IFERROR(_xlfn.XLOOKUP($A337,'Raw Data'!$G:$G,'Raw Data'!$H:$H),"")</f>
        <v/>
      </c>
      <c r="AC337" s="87">
        <f>IFERROR(_xlfn.XLOOKUP($D337,'Modelling New'!$D:$D,'Modelling New'!$P:$P),"")</f>
        <v>6.5464285714285717</v>
      </c>
      <c r="AD337" s="86">
        <f>IFERROR(_xlfn.XLOOKUP($D337,'Modelling New'!$D:$D,'Modelling New'!$T:$T)*1000,"")</f>
        <v>30077.880504196255</v>
      </c>
      <c r="AE337" s="94">
        <f>IFERROR(_xlfn.XLOOKUP($D337,'Modelling New'!$D:$D,'Modelling New'!$O:$O),"")</f>
        <v>0.64719236409623726</v>
      </c>
      <c r="AF337" s="94">
        <f>IFERROR(_xlfn.XLOOKUP($D337,'Modelling New'!$D:$D,'Modelling New'!$W:$W),"")</f>
        <v>0.17653327431375046</v>
      </c>
      <c r="AG337" s="94">
        <f>IFERROR(_xlfn.XLOOKUP($D337,'Modelling New'!$D:$D,'Modelling New'!$AE:$AE),"")</f>
        <v>0.98040000000000005</v>
      </c>
      <c r="AH337" s="94">
        <f>IFERROR(_xlfn.XLOOKUP($D337,'Modelling New'!$D:$D,'Modelling New'!$AF:$AF),"")</f>
        <v>0.98</v>
      </c>
      <c r="AN337" s="85"/>
      <c r="AO337" s="84"/>
      <c r="AP337" s="84"/>
      <c r="AQ337" s="84"/>
      <c r="AR337" s="86">
        <f>'Basic Data'!$J$2</f>
        <v>7.0991999999999997</v>
      </c>
      <c r="AT337" s="7" t="str">
        <f>IFERROR(_xlfn.XLOOKUP(Table13[[#This Row],[Date]],'Raw Data'!$E:$E,'Raw Data'!$AN:$AN),"")</f>
        <v/>
      </c>
      <c r="AU337" s="7">
        <f>IFERROR(_xlfn.XLOOKUP(Table13[[#This Row],[Month Year]],'Modelling New'!$D:$D,'Modelling New'!$AO:$AO),"")</f>
        <v>7</v>
      </c>
      <c r="AV337" s="7">
        <f>IFERROR(SUMIF('Curtailment Records'!$C:$C,Table13[[#This Row],[Date]],'Curtailment Records'!$R:$R)/1000,"")</f>
        <v>0</v>
      </c>
    </row>
    <row r="338" spans="1:48" x14ac:dyDescent="0.25">
      <c r="A338" s="93">
        <f t="shared" si="22"/>
        <v>46081</v>
      </c>
      <c r="B338" s="86">
        <f>YEAR(Table13[[#This Row],[Date]])+IF(MONTH(Table13[[#This Row],[Date]])&gt;=4,1,0)</f>
        <v>2026</v>
      </c>
      <c r="C338" s="7">
        <f>YEAR(Table13[[#This Row],[Date]])</f>
        <v>2026</v>
      </c>
      <c r="D338" s="92">
        <f>Table13[[#This Row],[Date]]-DAY(Table13[[#This Row],[Date]])+1</f>
        <v>46054</v>
      </c>
      <c r="E338" s="7">
        <f t="shared" si="23"/>
        <v>28</v>
      </c>
      <c r="F338" s="91" t="str">
        <f>IFERROR(_xlfn.XLOOKUP($A338,'Raw Data'!$G:$G,'Raw Data'!$AM:$AM),"")</f>
        <v/>
      </c>
      <c r="G338" s="90" t="str">
        <f>IFERROR(_xlfn.XLOOKUP($A338,'Raw Data'!$G:$G,'Raw Data'!$AB:$AB),"")</f>
        <v/>
      </c>
      <c r="H338" s="90"/>
      <c r="I338" s="90" t="str">
        <f>IFERROR(_xlfn.XLOOKUP($A338,'Raw Data'!$G:$G,'Raw Data'!$AC:$AC),"")</f>
        <v/>
      </c>
      <c r="J338" s="90"/>
      <c r="K338" s="90" t="str">
        <f>IFERROR(_xlfn.XLOOKUP($A338,'Raw Data'!$G:$G,'Raw Data'!AD:AD),"")</f>
        <v/>
      </c>
      <c r="L338" s="90" t="str">
        <f>IFERROR(_xlfn.XLOOKUP($A338,'Raw Data'!$G:$G,'Raw Data'!AE:AE),"")</f>
        <v/>
      </c>
      <c r="M338" s="90" t="str">
        <f>IFERROR(_xlfn.XLOOKUP($A338,'Raw Data'!$G:$G,'Raw Data'!AF:AF),"")</f>
        <v/>
      </c>
      <c r="N338" s="90" t="str">
        <f>IFERROR(_xlfn.XLOOKUP($A338,'Raw Data'!$G:$G,'Raw Data'!AG:AG),"")</f>
        <v/>
      </c>
      <c r="O338" s="85" t="str">
        <f>IFERROR(1-SUMIF('Plant BD'!$B:$B,$A338,'Plant BD'!$AM:$AM)/($AA338+SUMIF('Plant BD'!$B:$B,$A338,'Plant BD'!$AM:$AM)),"")</f>
        <v/>
      </c>
      <c r="P338" s="85"/>
      <c r="Q338" s="89"/>
      <c r="R338" s="85" t="str">
        <f>IFERROR(1-SUMIF('Grid BD'!$B:$B,$A338,'Grid BD'!$AE:$AE)/($AA338+SUMIF('Grid BD'!$B:$B,$A338,'Grid BD'!$AE:$AE)),"")</f>
        <v/>
      </c>
      <c r="T338" s="89"/>
      <c r="U338" s="88" t="str">
        <f t="shared" si="21"/>
        <v/>
      </c>
      <c r="V338" s="88"/>
      <c r="W338" s="84" t="str">
        <f t="shared" si="20"/>
        <v/>
      </c>
      <c r="X338" s="86" t="str">
        <f>IFERROR(_xlfn.XLOOKUP($A338,'Raw Data'!$G:$G,'Raw Data'!AI:AI),"")</f>
        <v/>
      </c>
      <c r="Y338" s="86" t="str">
        <f>IFERROR(_xlfn.XLOOKUP($A338,'Raw Data'!$G:$G,'Raw Data'!AJ:AJ),"")</f>
        <v/>
      </c>
      <c r="Z338" s="86" t="str">
        <f>IFERROR(_xlfn.XLOOKUP($A338,'Raw Data'!$G:$G,'Raw Data'!AK:AK),"")</f>
        <v/>
      </c>
      <c r="AA338" s="86" t="str">
        <f>IFERROR(_xlfn.XLOOKUP($A338,'Raw Data'!$G:$G,'Raw Data'!$AL:$AL)*(1+(_xlfn.XLOOKUP(Table13[[#This Row],[Month Year]],JMR!$A:$A,JMR!$J:$J))),"")</f>
        <v/>
      </c>
      <c r="AB338" s="86" t="str">
        <f>IFERROR(_xlfn.XLOOKUP($A338,'Raw Data'!$G:$G,'Raw Data'!$H:$H),"")</f>
        <v/>
      </c>
      <c r="AC338" s="87">
        <f>IFERROR(_xlfn.XLOOKUP($D338,'Modelling New'!$D:$D,'Modelling New'!$P:$P),"")</f>
        <v>6.5464285714285717</v>
      </c>
      <c r="AD338" s="86">
        <f>IFERROR(_xlfn.XLOOKUP($D338,'Modelling New'!$D:$D,'Modelling New'!$T:$T)*1000,"")</f>
        <v>30077.880504196255</v>
      </c>
      <c r="AE338" s="94">
        <f>IFERROR(_xlfn.XLOOKUP($D338,'Modelling New'!$D:$D,'Modelling New'!$O:$O),"")</f>
        <v>0.64719236409623726</v>
      </c>
      <c r="AF338" s="94">
        <f>IFERROR(_xlfn.XLOOKUP($D338,'Modelling New'!$D:$D,'Modelling New'!$W:$W),"")</f>
        <v>0.17653327431375046</v>
      </c>
      <c r="AG338" s="94">
        <f>IFERROR(_xlfn.XLOOKUP($D338,'Modelling New'!$D:$D,'Modelling New'!$AE:$AE),"")</f>
        <v>0.98040000000000005</v>
      </c>
      <c r="AH338" s="94">
        <f>IFERROR(_xlfn.XLOOKUP($D338,'Modelling New'!$D:$D,'Modelling New'!$AF:$AF),"")</f>
        <v>0.98</v>
      </c>
      <c r="AN338" s="85"/>
      <c r="AO338" s="84"/>
      <c r="AP338" s="84"/>
      <c r="AQ338" s="84"/>
      <c r="AR338" s="86">
        <f>'Basic Data'!$J$2</f>
        <v>7.0991999999999997</v>
      </c>
      <c r="AT338" s="7" t="str">
        <f>IFERROR(_xlfn.XLOOKUP(Table13[[#This Row],[Date]],'Raw Data'!$E:$E,'Raw Data'!$AN:$AN),"")</f>
        <v/>
      </c>
      <c r="AU338" s="7">
        <f>IFERROR(_xlfn.XLOOKUP(Table13[[#This Row],[Month Year]],'Modelling New'!$D:$D,'Modelling New'!$AO:$AO),"")</f>
        <v>7</v>
      </c>
      <c r="AV338" s="7">
        <f>IFERROR(SUMIF('Curtailment Records'!$C:$C,Table13[[#This Row],[Date]],'Curtailment Records'!$R:$R)/1000,"")</f>
        <v>0</v>
      </c>
    </row>
    <row r="339" spans="1:48" x14ac:dyDescent="0.25">
      <c r="A339" s="93">
        <f t="shared" si="22"/>
        <v>46082</v>
      </c>
      <c r="B339" s="86">
        <f>YEAR(Table13[[#This Row],[Date]])+IF(MONTH(Table13[[#This Row],[Date]])&gt;=4,1,0)</f>
        <v>2026</v>
      </c>
      <c r="C339" s="7">
        <f>YEAR(Table13[[#This Row],[Date]])</f>
        <v>2026</v>
      </c>
      <c r="D339" s="92">
        <f>Table13[[#This Row],[Date]]-DAY(Table13[[#This Row],[Date]])+1</f>
        <v>46082</v>
      </c>
      <c r="E339" s="7">
        <f t="shared" si="23"/>
        <v>31</v>
      </c>
      <c r="F339" s="91" t="str">
        <f>IFERROR(_xlfn.XLOOKUP($A339,'Raw Data'!$G:$G,'Raw Data'!$AM:$AM),"")</f>
        <v/>
      </c>
      <c r="G339" s="90" t="str">
        <f>IFERROR(_xlfn.XLOOKUP($A339,'Raw Data'!$G:$G,'Raw Data'!$AB:$AB),"")</f>
        <v/>
      </c>
      <c r="H339" s="90"/>
      <c r="I339" s="90" t="str">
        <f>IFERROR(_xlfn.XLOOKUP($A339,'Raw Data'!$G:$G,'Raw Data'!$AC:$AC),"")</f>
        <v/>
      </c>
      <c r="J339" s="90"/>
      <c r="K339" s="90" t="str">
        <f>IFERROR(_xlfn.XLOOKUP($A339,'Raw Data'!$G:$G,'Raw Data'!AD:AD),"")</f>
        <v/>
      </c>
      <c r="L339" s="90" t="str">
        <f>IFERROR(_xlfn.XLOOKUP($A339,'Raw Data'!$G:$G,'Raw Data'!AE:AE),"")</f>
        <v/>
      </c>
      <c r="M339" s="90" t="str">
        <f>IFERROR(_xlfn.XLOOKUP($A339,'Raw Data'!$G:$G,'Raw Data'!AF:AF),"")</f>
        <v/>
      </c>
      <c r="N339" s="90" t="str">
        <f>IFERROR(_xlfn.XLOOKUP($A339,'Raw Data'!$G:$G,'Raw Data'!AG:AG),"")</f>
        <v/>
      </c>
      <c r="O339" s="85" t="str">
        <f>IFERROR(1-SUMIF('Plant BD'!$B:$B,$A339,'Plant BD'!$AM:$AM)/($AA339+SUMIF('Plant BD'!$B:$B,$A339,'Plant BD'!$AM:$AM)),"")</f>
        <v/>
      </c>
      <c r="P339" s="85"/>
      <c r="Q339" s="89"/>
      <c r="R339" s="85" t="str">
        <f>IFERROR(1-SUMIF('Grid BD'!$B:$B,$A339,'Grid BD'!$AE:$AE)/($AA339+SUMIF('Grid BD'!$B:$B,$A339,'Grid BD'!$AE:$AE)),"")</f>
        <v/>
      </c>
      <c r="T339" s="89"/>
      <c r="U339" s="88" t="str">
        <f t="shared" si="21"/>
        <v/>
      </c>
      <c r="V339" s="88"/>
      <c r="W339" s="84" t="str">
        <f t="shared" si="20"/>
        <v/>
      </c>
      <c r="X339" s="86" t="str">
        <f>IFERROR(_xlfn.XLOOKUP($A339,'Raw Data'!$G:$G,'Raw Data'!AI:AI),"")</f>
        <v/>
      </c>
      <c r="Y339" s="86" t="str">
        <f>IFERROR(_xlfn.XLOOKUP($A339,'Raw Data'!$G:$G,'Raw Data'!AJ:AJ),"")</f>
        <v/>
      </c>
      <c r="Z339" s="86" t="str">
        <f>IFERROR(_xlfn.XLOOKUP($A339,'Raw Data'!$G:$G,'Raw Data'!AK:AK),"")</f>
        <v/>
      </c>
      <c r="AA339" s="86" t="str">
        <f>IFERROR(_xlfn.XLOOKUP($A339,'Raw Data'!$G:$G,'Raw Data'!$AL:$AL)*(1+(_xlfn.XLOOKUP(Table13[[#This Row],[Month Year]],JMR!$A:$A,JMR!$J:$J))),"")</f>
        <v/>
      </c>
      <c r="AB339" s="86" t="str">
        <f>IFERROR(_xlfn.XLOOKUP($A339,'Raw Data'!$G:$G,'Raw Data'!$H:$H),"")</f>
        <v/>
      </c>
      <c r="AC339" s="87">
        <f>IFERROR(_xlfn.XLOOKUP($D339,'Modelling New'!$D:$D,'Modelling New'!$P:$P),"")</f>
        <v>6.7870967741935484</v>
      </c>
      <c r="AD339" s="86">
        <f>IFERROR(_xlfn.XLOOKUP($D339,'Modelling New'!$D:$D,'Modelling New'!$T:$T)*1000,"")</f>
        <v>33827.192387794741</v>
      </c>
      <c r="AE339" s="94">
        <f>IFERROR(_xlfn.XLOOKUP($D339,'Modelling New'!$D:$D,'Modelling New'!$O:$O),"")</f>
        <v>0.70205720444645303</v>
      </c>
      <c r="AF339" s="94">
        <f>IFERROR(_xlfn.XLOOKUP($D339,'Modelling New'!$D:$D,'Modelling New'!$W:$W),"")</f>
        <v>0.19853875781657757</v>
      </c>
      <c r="AG339" s="94">
        <f>IFERROR(_xlfn.XLOOKUP($D339,'Modelling New'!$D:$D,'Modelling New'!$AE:$AE),"")</f>
        <v>0.98040000000000005</v>
      </c>
      <c r="AH339" s="94">
        <f>IFERROR(_xlfn.XLOOKUP($D339,'Modelling New'!$D:$D,'Modelling New'!$AF:$AF),"")</f>
        <v>0.98</v>
      </c>
      <c r="AN339" s="85"/>
      <c r="AO339" s="84"/>
      <c r="AP339" s="84"/>
      <c r="AQ339" s="84"/>
      <c r="AR339" s="86">
        <f>'Basic Data'!$J$2</f>
        <v>7.0991999999999997</v>
      </c>
      <c r="AT339" s="7" t="str">
        <f>IFERROR(_xlfn.XLOOKUP(Table13[[#This Row],[Date]],'Raw Data'!$E:$E,'Raw Data'!$AN:$AN),"")</f>
        <v/>
      </c>
      <c r="AU339" s="7">
        <f>IFERROR(_xlfn.XLOOKUP(Table13[[#This Row],[Month Year]],'Modelling New'!$D:$D,'Modelling New'!$AO:$AO),"")</f>
        <v>7</v>
      </c>
      <c r="AV339" s="7">
        <f>IFERROR(SUMIF('Curtailment Records'!$C:$C,Table13[[#This Row],[Date]],'Curtailment Records'!$R:$R)/1000,"")</f>
        <v>0</v>
      </c>
    </row>
    <row r="340" spans="1:48" x14ac:dyDescent="0.25">
      <c r="A340" s="93">
        <f t="shared" si="22"/>
        <v>46083</v>
      </c>
      <c r="B340" s="86">
        <f>YEAR(Table13[[#This Row],[Date]])+IF(MONTH(Table13[[#This Row],[Date]])&gt;=4,1,0)</f>
        <v>2026</v>
      </c>
      <c r="C340" s="7">
        <f>YEAR(Table13[[#This Row],[Date]])</f>
        <v>2026</v>
      </c>
      <c r="D340" s="92">
        <f>Table13[[#This Row],[Date]]-DAY(Table13[[#This Row],[Date]])+1</f>
        <v>46082</v>
      </c>
      <c r="E340" s="7">
        <f t="shared" si="23"/>
        <v>31</v>
      </c>
      <c r="F340" s="91" t="str">
        <f>IFERROR(_xlfn.XLOOKUP($A340,'Raw Data'!$G:$G,'Raw Data'!$AM:$AM),"")</f>
        <v/>
      </c>
      <c r="G340" s="90" t="str">
        <f>IFERROR(_xlfn.XLOOKUP($A340,'Raw Data'!$G:$G,'Raw Data'!$AB:$AB),"")</f>
        <v/>
      </c>
      <c r="H340" s="90"/>
      <c r="I340" s="90" t="str">
        <f>IFERROR(_xlfn.XLOOKUP($A340,'Raw Data'!$G:$G,'Raw Data'!$AC:$AC),"")</f>
        <v/>
      </c>
      <c r="J340" s="90"/>
      <c r="K340" s="90" t="str">
        <f>IFERROR(_xlfn.XLOOKUP($A340,'Raw Data'!$G:$G,'Raw Data'!AD:AD),"")</f>
        <v/>
      </c>
      <c r="L340" s="90" t="str">
        <f>IFERROR(_xlfn.XLOOKUP($A340,'Raw Data'!$G:$G,'Raw Data'!AE:AE),"")</f>
        <v/>
      </c>
      <c r="M340" s="90" t="str">
        <f>IFERROR(_xlfn.XLOOKUP($A340,'Raw Data'!$G:$G,'Raw Data'!AF:AF),"")</f>
        <v/>
      </c>
      <c r="N340" s="90" t="str">
        <f>IFERROR(_xlfn.XLOOKUP($A340,'Raw Data'!$G:$G,'Raw Data'!AG:AG),"")</f>
        <v/>
      </c>
      <c r="O340" s="85" t="str">
        <f>IFERROR(1-SUMIF('Plant BD'!$B:$B,$A340,'Plant BD'!$AM:$AM)/($AA340+SUMIF('Plant BD'!$B:$B,$A340,'Plant BD'!$AM:$AM)),"")</f>
        <v/>
      </c>
      <c r="P340" s="85"/>
      <c r="Q340" s="89"/>
      <c r="R340" s="85" t="str">
        <f>IFERROR(1-SUMIF('Grid BD'!$B:$B,$A340,'Grid BD'!$AE:$AE)/($AA340+SUMIF('Grid BD'!$B:$B,$A340,'Grid BD'!$AE:$AE)),"")</f>
        <v/>
      </c>
      <c r="T340" s="89"/>
      <c r="U340" s="88" t="str">
        <f t="shared" si="21"/>
        <v/>
      </c>
      <c r="V340" s="88"/>
      <c r="W340" s="84" t="str">
        <f t="shared" si="20"/>
        <v/>
      </c>
      <c r="X340" s="86" t="str">
        <f>IFERROR(_xlfn.XLOOKUP($A340,'Raw Data'!$G:$G,'Raw Data'!AI:AI),"")</f>
        <v/>
      </c>
      <c r="Y340" s="86" t="str">
        <f>IFERROR(_xlfn.XLOOKUP($A340,'Raw Data'!$G:$G,'Raw Data'!AJ:AJ),"")</f>
        <v/>
      </c>
      <c r="Z340" s="86" t="str">
        <f>IFERROR(_xlfn.XLOOKUP($A340,'Raw Data'!$G:$G,'Raw Data'!AK:AK),"")</f>
        <v/>
      </c>
      <c r="AA340" s="86" t="str">
        <f>IFERROR(_xlfn.XLOOKUP($A340,'Raw Data'!$G:$G,'Raw Data'!$AL:$AL)*(1+(_xlfn.XLOOKUP(Table13[[#This Row],[Month Year]],JMR!$A:$A,JMR!$J:$J))),"")</f>
        <v/>
      </c>
      <c r="AB340" s="86" t="str">
        <f>IFERROR(_xlfn.XLOOKUP($A340,'Raw Data'!$G:$G,'Raw Data'!$H:$H),"")</f>
        <v/>
      </c>
      <c r="AC340" s="87">
        <f>IFERROR(_xlfn.XLOOKUP($D340,'Modelling New'!$D:$D,'Modelling New'!$P:$P),"")</f>
        <v>6.7870967741935484</v>
      </c>
      <c r="AD340" s="86">
        <f>IFERROR(_xlfn.XLOOKUP($D340,'Modelling New'!$D:$D,'Modelling New'!$T:$T)*1000,"")</f>
        <v>33827.192387794741</v>
      </c>
      <c r="AE340" s="94">
        <f>IFERROR(_xlfn.XLOOKUP($D340,'Modelling New'!$D:$D,'Modelling New'!$O:$O),"")</f>
        <v>0.70205720444645303</v>
      </c>
      <c r="AF340" s="94">
        <f>IFERROR(_xlfn.XLOOKUP($D340,'Modelling New'!$D:$D,'Modelling New'!$W:$W),"")</f>
        <v>0.19853875781657757</v>
      </c>
      <c r="AG340" s="94">
        <f>IFERROR(_xlfn.XLOOKUP($D340,'Modelling New'!$D:$D,'Modelling New'!$AE:$AE),"")</f>
        <v>0.98040000000000005</v>
      </c>
      <c r="AH340" s="94">
        <f>IFERROR(_xlfn.XLOOKUP($D340,'Modelling New'!$D:$D,'Modelling New'!$AF:$AF),"")</f>
        <v>0.98</v>
      </c>
      <c r="AN340" s="85"/>
      <c r="AO340" s="84"/>
      <c r="AP340" s="84"/>
      <c r="AQ340" s="84"/>
      <c r="AR340" s="86">
        <f>'Basic Data'!$J$2</f>
        <v>7.0991999999999997</v>
      </c>
      <c r="AT340" s="7" t="str">
        <f>IFERROR(_xlfn.XLOOKUP(Table13[[#This Row],[Date]],'Raw Data'!$E:$E,'Raw Data'!$AN:$AN),"")</f>
        <v/>
      </c>
      <c r="AU340" s="7">
        <f>IFERROR(_xlfn.XLOOKUP(Table13[[#This Row],[Month Year]],'Modelling New'!$D:$D,'Modelling New'!$AO:$AO),"")</f>
        <v>7</v>
      </c>
      <c r="AV340" s="7">
        <f>IFERROR(SUMIF('Curtailment Records'!$C:$C,Table13[[#This Row],[Date]],'Curtailment Records'!$R:$R)/1000,"")</f>
        <v>0</v>
      </c>
    </row>
    <row r="341" spans="1:48" x14ac:dyDescent="0.25">
      <c r="A341" s="93">
        <f t="shared" si="22"/>
        <v>46084</v>
      </c>
      <c r="B341" s="86">
        <f>YEAR(Table13[[#This Row],[Date]])+IF(MONTH(Table13[[#This Row],[Date]])&gt;=4,1,0)</f>
        <v>2026</v>
      </c>
      <c r="C341" s="7">
        <f>YEAR(Table13[[#This Row],[Date]])</f>
        <v>2026</v>
      </c>
      <c r="D341" s="92">
        <f>Table13[[#This Row],[Date]]-DAY(Table13[[#This Row],[Date]])+1</f>
        <v>46082</v>
      </c>
      <c r="E341" s="7">
        <f t="shared" si="23"/>
        <v>31</v>
      </c>
      <c r="F341" s="91" t="str">
        <f>IFERROR(_xlfn.XLOOKUP($A341,'Raw Data'!$G:$G,'Raw Data'!$AM:$AM),"")</f>
        <v/>
      </c>
      <c r="G341" s="90" t="str">
        <f>IFERROR(_xlfn.XLOOKUP($A341,'Raw Data'!$G:$G,'Raw Data'!$AB:$AB),"")</f>
        <v/>
      </c>
      <c r="H341" s="90"/>
      <c r="I341" s="90" t="str">
        <f>IFERROR(_xlfn.XLOOKUP($A341,'Raw Data'!$G:$G,'Raw Data'!$AC:$AC),"")</f>
        <v/>
      </c>
      <c r="J341" s="90"/>
      <c r="K341" s="90" t="str">
        <f>IFERROR(_xlfn.XLOOKUP($A341,'Raw Data'!$G:$G,'Raw Data'!AD:AD),"")</f>
        <v/>
      </c>
      <c r="L341" s="90" t="str">
        <f>IFERROR(_xlfn.XLOOKUP($A341,'Raw Data'!$G:$G,'Raw Data'!AE:AE),"")</f>
        <v/>
      </c>
      <c r="M341" s="90" t="str">
        <f>IFERROR(_xlfn.XLOOKUP($A341,'Raw Data'!$G:$G,'Raw Data'!AF:AF),"")</f>
        <v/>
      </c>
      <c r="N341" s="90" t="str">
        <f>IFERROR(_xlfn.XLOOKUP($A341,'Raw Data'!$G:$G,'Raw Data'!AG:AG),"")</f>
        <v/>
      </c>
      <c r="O341" s="85" t="str">
        <f>IFERROR(1-SUMIF('Plant BD'!$B:$B,$A341,'Plant BD'!$AM:$AM)/($AA341+SUMIF('Plant BD'!$B:$B,$A341,'Plant BD'!$AM:$AM)),"")</f>
        <v/>
      </c>
      <c r="P341" s="85"/>
      <c r="Q341" s="89"/>
      <c r="R341" s="85" t="str">
        <f>IFERROR(1-SUMIF('Grid BD'!$B:$B,$A341,'Grid BD'!$AE:$AE)/($AA341+SUMIF('Grid BD'!$B:$B,$A341,'Grid BD'!$AE:$AE)),"")</f>
        <v/>
      </c>
      <c r="T341" s="89"/>
      <c r="U341" s="88" t="str">
        <f t="shared" si="21"/>
        <v/>
      </c>
      <c r="V341" s="88"/>
      <c r="W341" s="84" t="str">
        <f t="shared" si="20"/>
        <v/>
      </c>
      <c r="X341" s="86" t="str">
        <f>IFERROR(_xlfn.XLOOKUP($A341,'Raw Data'!$G:$G,'Raw Data'!AI:AI),"")</f>
        <v/>
      </c>
      <c r="Y341" s="86" t="str">
        <f>IFERROR(_xlfn.XLOOKUP($A341,'Raw Data'!$G:$G,'Raw Data'!AJ:AJ),"")</f>
        <v/>
      </c>
      <c r="Z341" s="86" t="str">
        <f>IFERROR(_xlfn.XLOOKUP($A341,'Raw Data'!$G:$G,'Raw Data'!AK:AK),"")</f>
        <v/>
      </c>
      <c r="AA341" s="86" t="str">
        <f>IFERROR(_xlfn.XLOOKUP($A341,'Raw Data'!$G:$G,'Raw Data'!$AL:$AL)*(1+(_xlfn.XLOOKUP(Table13[[#This Row],[Month Year]],JMR!$A:$A,JMR!$J:$J))),"")</f>
        <v/>
      </c>
      <c r="AB341" s="86" t="str">
        <f>IFERROR(_xlfn.XLOOKUP($A341,'Raw Data'!$G:$G,'Raw Data'!$H:$H),"")</f>
        <v/>
      </c>
      <c r="AC341" s="87">
        <f>IFERROR(_xlfn.XLOOKUP($D341,'Modelling New'!$D:$D,'Modelling New'!$P:$P),"")</f>
        <v>6.7870967741935484</v>
      </c>
      <c r="AD341" s="86">
        <f>IFERROR(_xlfn.XLOOKUP($D341,'Modelling New'!$D:$D,'Modelling New'!$T:$T)*1000,"")</f>
        <v>33827.192387794741</v>
      </c>
      <c r="AE341" s="94">
        <f>IFERROR(_xlfn.XLOOKUP($D341,'Modelling New'!$D:$D,'Modelling New'!$O:$O),"")</f>
        <v>0.70205720444645303</v>
      </c>
      <c r="AF341" s="94">
        <f>IFERROR(_xlfn.XLOOKUP($D341,'Modelling New'!$D:$D,'Modelling New'!$W:$W),"")</f>
        <v>0.19853875781657757</v>
      </c>
      <c r="AG341" s="94">
        <f>IFERROR(_xlfn.XLOOKUP($D341,'Modelling New'!$D:$D,'Modelling New'!$AE:$AE),"")</f>
        <v>0.98040000000000005</v>
      </c>
      <c r="AH341" s="94">
        <f>IFERROR(_xlfn.XLOOKUP($D341,'Modelling New'!$D:$D,'Modelling New'!$AF:$AF),"")</f>
        <v>0.98</v>
      </c>
      <c r="AN341" s="85"/>
      <c r="AO341" s="84"/>
      <c r="AP341" s="84"/>
      <c r="AQ341" s="84"/>
      <c r="AR341" s="86">
        <f>'Basic Data'!$J$2</f>
        <v>7.0991999999999997</v>
      </c>
      <c r="AT341" s="7" t="str">
        <f>IFERROR(_xlfn.XLOOKUP(Table13[[#This Row],[Date]],'Raw Data'!$E:$E,'Raw Data'!$AN:$AN),"")</f>
        <v/>
      </c>
      <c r="AU341" s="7">
        <f>IFERROR(_xlfn.XLOOKUP(Table13[[#This Row],[Month Year]],'Modelling New'!$D:$D,'Modelling New'!$AO:$AO),"")</f>
        <v>7</v>
      </c>
      <c r="AV341" s="7">
        <f>IFERROR(SUMIF('Curtailment Records'!$C:$C,Table13[[#This Row],[Date]],'Curtailment Records'!$R:$R)/1000,"")</f>
        <v>0</v>
      </c>
    </row>
    <row r="342" spans="1:48" x14ac:dyDescent="0.25">
      <c r="A342" s="93">
        <f t="shared" si="22"/>
        <v>46085</v>
      </c>
      <c r="B342" s="86">
        <f>YEAR(Table13[[#This Row],[Date]])+IF(MONTH(Table13[[#This Row],[Date]])&gt;=4,1,0)</f>
        <v>2026</v>
      </c>
      <c r="C342" s="7">
        <f>YEAR(Table13[[#This Row],[Date]])</f>
        <v>2026</v>
      </c>
      <c r="D342" s="92">
        <f>Table13[[#This Row],[Date]]-DAY(Table13[[#This Row],[Date]])+1</f>
        <v>46082</v>
      </c>
      <c r="E342" s="7">
        <f t="shared" si="23"/>
        <v>31</v>
      </c>
      <c r="F342" s="91" t="str">
        <f>IFERROR(_xlfn.XLOOKUP($A342,'Raw Data'!$G:$G,'Raw Data'!$AM:$AM),"")</f>
        <v/>
      </c>
      <c r="G342" s="90" t="str">
        <f>IFERROR(_xlfn.XLOOKUP($A342,'Raw Data'!$G:$G,'Raw Data'!$AB:$AB),"")</f>
        <v/>
      </c>
      <c r="H342" s="90"/>
      <c r="I342" s="90" t="str">
        <f>IFERROR(_xlfn.XLOOKUP($A342,'Raw Data'!$G:$G,'Raw Data'!$AC:$AC),"")</f>
        <v/>
      </c>
      <c r="J342" s="90"/>
      <c r="K342" s="90" t="str">
        <f>IFERROR(_xlfn.XLOOKUP($A342,'Raw Data'!$G:$G,'Raw Data'!AD:AD),"")</f>
        <v/>
      </c>
      <c r="L342" s="90" t="str">
        <f>IFERROR(_xlfn.XLOOKUP($A342,'Raw Data'!$G:$G,'Raw Data'!AE:AE),"")</f>
        <v/>
      </c>
      <c r="M342" s="90" t="str">
        <f>IFERROR(_xlfn.XLOOKUP($A342,'Raw Data'!$G:$G,'Raw Data'!AF:AF),"")</f>
        <v/>
      </c>
      <c r="N342" s="90" t="str">
        <f>IFERROR(_xlfn.XLOOKUP($A342,'Raw Data'!$G:$G,'Raw Data'!AG:AG),"")</f>
        <v/>
      </c>
      <c r="O342" s="85" t="str">
        <f>IFERROR(1-SUMIF('Plant BD'!$B:$B,$A342,'Plant BD'!$AM:$AM)/($AA342+SUMIF('Plant BD'!$B:$B,$A342,'Plant BD'!$AM:$AM)),"")</f>
        <v/>
      </c>
      <c r="P342" s="85"/>
      <c r="Q342" s="89"/>
      <c r="R342" s="85" t="str">
        <f>IFERROR(1-SUMIF('Grid BD'!$B:$B,$A342,'Grid BD'!$AE:$AE)/($AA342+SUMIF('Grid BD'!$B:$B,$A342,'Grid BD'!$AE:$AE)),"")</f>
        <v/>
      </c>
      <c r="T342" s="89"/>
      <c r="U342" s="88" t="str">
        <f t="shared" si="21"/>
        <v/>
      </c>
      <c r="V342" s="88"/>
      <c r="W342" s="84" t="str">
        <f t="shared" si="20"/>
        <v/>
      </c>
      <c r="X342" s="86" t="str">
        <f>IFERROR(_xlfn.XLOOKUP($A342,'Raw Data'!$G:$G,'Raw Data'!AI:AI),"")</f>
        <v/>
      </c>
      <c r="Y342" s="86" t="str">
        <f>IFERROR(_xlfn.XLOOKUP($A342,'Raw Data'!$G:$G,'Raw Data'!AJ:AJ),"")</f>
        <v/>
      </c>
      <c r="Z342" s="86" t="str">
        <f>IFERROR(_xlfn.XLOOKUP($A342,'Raw Data'!$G:$G,'Raw Data'!AK:AK),"")</f>
        <v/>
      </c>
      <c r="AA342" s="86" t="str">
        <f>IFERROR(_xlfn.XLOOKUP($A342,'Raw Data'!$G:$G,'Raw Data'!$AL:$AL)*(1+(_xlfn.XLOOKUP(Table13[[#This Row],[Month Year]],JMR!$A:$A,JMR!$J:$J))),"")</f>
        <v/>
      </c>
      <c r="AB342" s="86" t="str">
        <f>IFERROR(_xlfn.XLOOKUP($A342,'Raw Data'!$G:$G,'Raw Data'!$H:$H),"")</f>
        <v/>
      </c>
      <c r="AC342" s="87">
        <f>IFERROR(_xlfn.XLOOKUP($D342,'Modelling New'!$D:$D,'Modelling New'!$P:$P),"")</f>
        <v>6.7870967741935484</v>
      </c>
      <c r="AD342" s="86">
        <f>IFERROR(_xlfn.XLOOKUP($D342,'Modelling New'!$D:$D,'Modelling New'!$T:$T)*1000,"")</f>
        <v>33827.192387794741</v>
      </c>
      <c r="AE342" s="94">
        <f>IFERROR(_xlfn.XLOOKUP($D342,'Modelling New'!$D:$D,'Modelling New'!$O:$O),"")</f>
        <v>0.70205720444645303</v>
      </c>
      <c r="AF342" s="94">
        <f>IFERROR(_xlfn.XLOOKUP($D342,'Modelling New'!$D:$D,'Modelling New'!$W:$W),"")</f>
        <v>0.19853875781657757</v>
      </c>
      <c r="AG342" s="94">
        <f>IFERROR(_xlfn.XLOOKUP($D342,'Modelling New'!$D:$D,'Modelling New'!$AE:$AE),"")</f>
        <v>0.98040000000000005</v>
      </c>
      <c r="AH342" s="94">
        <f>IFERROR(_xlfn.XLOOKUP($D342,'Modelling New'!$D:$D,'Modelling New'!$AF:$AF),"")</f>
        <v>0.98</v>
      </c>
      <c r="AN342" s="85"/>
      <c r="AO342" s="84"/>
      <c r="AP342" s="84"/>
      <c r="AQ342" s="84"/>
      <c r="AR342" s="86">
        <f>'Basic Data'!$J$2</f>
        <v>7.0991999999999997</v>
      </c>
      <c r="AT342" s="7" t="str">
        <f>IFERROR(_xlfn.XLOOKUP(Table13[[#This Row],[Date]],'Raw Data'!$E:$E,'Raw Data'!$AN:$AN),"")</f>
        <v/>
      </c>
      <c r="AU342" s="7">
        <f>IFERROR(_xlfn.XLOOKUP(Table13[[#This Row],[Month Year]],'Modelling New'!$D:$D,'Modelling New'!$AO:$AO),"")</f>
        <v>7</v>
      </c>
      <c r="AV342" s="7">
        <f>IFERROR(SUMIF('Curtailment Records'!$C:$C,Table13[[#This Row],[Date]],'Curtailment Records'!$R:$R)/1000,"")</f>
        <v>0</v>
      </c>
    </row>
    <row r="343" spans="1:48" x14ac:dyDescent="0.25">
      <c r="A343" s="93">
        <f t="shared" si="22"/>
        <v>46086</v>
      </c>
      <c r="B343" s="86">
        <f>YEAR(Table13[[#This Row],[Date]])+IF(MONTH(Table13[[#This Row],[Date]])&gt;=4,1,0)</f>
        <v>2026</v>
      </c>
      <c r="C343" s="7">
        <f>YEAR(Table13[[#This Row],[Date]])</f>
        <v>2026</v>
      </c>
      <c r="D343" s="92">
        <f>Table13[[#This Row],[Date]]-DAY(Table13[[#This Row],[Date]])+1</f>
        <v>46082</v>
      </c>
      <c r="E343" s="7">
        <f t="shared" si="23"/>
        <v>31</v>
      </c>
      <c r="F343" s="91" t="str">
        <f>IFERROR(_xlfn.XLOOKUP($A343,'Raw Data'!$G:$G,'Raw Data'!$AM:$AM),"")</f>
        <v/>
      </c>
      <c r="G343" s="90" t="str">
        <f>IFERROR(_xlfn.XLOOKUP($A343,'Raw Data'!$G:$G,'Raw Data'!$AB:$AB),"")</f>
        <v/>
      </c>
      <c r="H343" s="90"/>
      <c r="I343" s="90" t="str">
        <f>IFERROR(_xlfn.XLOOKUP($A343,'Raw Data'!$G:$G,'Raw Data'!$AC:$AC),"")</f>
        <v/>
      </c>
      <c r="J343" s="90"/>
      <c r="K343" s="90" t="str">
        <f>IFERROR(_xlfn.XLOOKUP($A343,'Raw Data'!$G:$G,'Raw Data'!AD:AD),"")</f>
        <v/>
      </c>
      <c r="L343" s="90" t="str">
        <f>IFERROR(_xlfn.XLOOKUP($A343,'Raw Data'!$G:$G,'Raw Data'!AE:AE),"")</f>
        <v/>
      </c>
      <c r="M343" s="90" t="str">
        <f>IFERROR(_xlfn.XLOOKUP($A343,'Raw Data'!$G:$G,'Raw Data'!AF:AF),"")</f>
        <v/>
      </c>
      <c r="N343" s="90" t="str">
        <f>IFERROR(_xlfn.XLOOKUP($A343,'Raw Data'!$G:$G,'Raw Data'!AG:AG),"")</f>
        <v/>
      </c>
      <c r="O343" s="85" t="str">
        <f>IFERROR(1-SUMIF('Plant BD'!$B:$B,$A343,'Plant BD'!$AM:$AM)/($AA343+SUMIF('Plant BD'!$B:$B,$A343,'Plant BD'!$AM:$AM)),"")</f>
        <v/>
      </c>
      <c r="P343" s="85"/>
      <c r="Q343" s="89"/>
      <c r="R343" s="85" t="str">
        <f>IFERROR(1-SUMIF('Grid BD'!$B:$B,$A343,'Grid BD'!$AE:$AE)/($AA343+SUMIF('Grid BD'!$B:$B,$A343,'Grid BD'!$AE:$AE)),"")</f>
        <v/>
      </c>
      <c r="T343" s="89"/>
      <c r="U343" s="88" t="str">
        <f t="shared" si="21"/>
        <v/>
      </c>
      <c r="V343" s="88"/>
      <c r="W343" s="84" t="str">
        <f t="shared" si="20"/>
        <v/>
      </c>
      <c r="X343" s="86" t="str">
        <f>IFERROR(_xlfn.XLOOKUP($A343,'Raw Data'!$G:$G,'Raw Data'!AI:AI),"")</f>
        <v/>
      </c>
      <c r="Y343" s="86" t="str">
        <f>IFERROR(_xlfn.XLOOKUP($A343,'Raw Data'!$G:$G,'Raw Data'!AJ:AJ),"")</f>
        <v/>
      </c>
      <c r="Z343" s="86" t="str">
        <f>IFERROR(_xlfn.XLOOKUP($A343,'Raw Data'!$G:$G,'Raw Data'!AK:AK),"")</f>
        <v/>
      </c>
      <c r="AA343" s="86" t="str">
        <f>IFERROR(_xlfn.XLOOKUP($A343,'Raw Data'!$G:$G,'Raw Data'!$AL:$AL)*(1+(_xlfn.XLOOKUP(Table13[[#This Row],[Month Year]],JMR!$A:$A,JMR!$J:$J))),"")</f>
        <v/>
      </c>
      <c r="AB343" s="86" t="str">
        <f>IFERROR(_xlfn.XLOOKUP($A343,'Raw Data'!$G:$G,'Raw Data'!$H:$H),"")</f>
        <v/>
      </c>
      <c r="AC343" s="87">
        <f>IFERROR(_xlfn.XLOOKUP($D343,'Modelling New'!$D:$D,'Modelling New'!$P:$P),"")</f>
        <v>6.7870967741935484</v>
      </c>
      <c r="AD343" s="86">
        <f>IFERROR(_xlfn.XLOOKUP($D343,'Modelling New'!$D:$D,'Modelling New'!$T:$T)*1000,"")</f>
        <v>33827.192387794741</v>
      </c>
      <c r="AE343" s="94">
        <f>IFERROR(_xlfn.XLOOKUP($D343,'Modelling New'!$D:$D,'Modelling New'!$O:$O),"")</f>
        <v>0.70205720444645303</v>
      </c>
      <c r="AF343" s="94">
        <f>IFERROR(_xlfn.XLOOKUP($D343,'Modelling New'!$D:$D,'Modelling New'!$W:$W),"")</f>
        <v>0.19853875781657757</v>
      </c>
      <c r="AG343" s="94">
        <f>IFERROR(_xlfn.XLOOKUP($D343,'Modelling New'!$D:$D,'Modelling New'!$AE:$AE),"")</f>
        <v>0.98040000000000005</v>
      </c>
      <c r="AH343" s="94">
        <f>IFERROR(_xlfn.XLOOKUP($D343,'Modelling New'!$D:$D,'Modelling New'!$AF:$AF),"")</f>
        <v>0.98</v>
      </c>
      <c r="AN343" s="85"/>
      <c r="AO343" s="84"/>
      <c r="AP343" s="84"/>
      <c r="AQ343" s="84"/>
      <c r="AR343" s="86">
        <f>'Basic Data'!$J$2</f>
        <v>7.0991999999999997</v>
      </c>
      <c r="AT343" s="7" t="str">
        <f>IFERROR(_xlfn.XLOOKUP(Table13[[#This Row],[Date]],'Raw Data'!$E:$E,'Raw Data'!$AN:$AN),"")</f>
        <v/>
      </c>
      <c r="AU343" s="7">
        <f>IFERROR(_xlfn.XLOOKUP(Table13[[#This Row],[Month Year]],'Modelling New'!$D:$D,'Modelling New'!$AO:$AO),"")</f>
        <v>7</v>
      </c>
      <c r="AV343" s="7">
        <f>IFERROR(SUMIF('Curtailment Records'!$C:$C,Table13[[#This Row],[Date]],'Curtailment Records'!$R:$R)/1000,"")</f>
        <v>0</v>
      </c>
    </row>
    <row r="344" spans="1:48" x14ac:dyDescent="0.25">
      <c r="A344" s="93">
        <f t="shared" si="22"/>
        <v>46087</v>
      </c>
      <c r="B344" s="86">
        <f>YEAR(Table13[[#This Row],[Date]])+IF(MONTH(Table13[[#This Row],[Date]])&gt;=4,1,0)</f>
        <v>2026</v>
      </c>
      <c r="C344" s="7">
        <f>YEAR(Table13[[#This Row],[Date]])</f>
        <v>2026</v>
      </c>
      <c r="D344" s="92">
        <f>Table13[[#This Row],[Date]]-DAY(Table13[[#This Row],[Date]])+1</f>
        <v>46082</v>
      </c>
      <c r="E344" s="7">
        <f t="shared" si="23"/>
        <v>31</v>
      </c>
      <c r="F344" s="91" t="str">
        <f>IFERROR(_xlfn.XLOOKUP($A344,'Raw Data'!$G:$G,'Raw Data'!$AM:$AM),"")</f>
        <v/>
      </c>
      <c r="G344" s="90" t="str">
        <f>IFERROR(_xlfn.XLOOKUP($A344,'Raw Data'!$G:$G,'Raw Data'!$AB:$AB),"")</f>
        <v/>
      </c>
      <c r="H344" s="90"/>
      <c r="I344" s="90" t="str">
        <f>IFERROR(_xlfn.XLOOKUP($A344,'Raw Data'!$G:$G,'Raw Data'!$AC:$AC),"")</f>
        <v/>
      </c>
      <c r="J344" s="90"/>
      <c r="K344" s="90" t="str">
        <f>IFERROR(_xlfn.XLOOKUP($A344,'Raw Data'!$G:$G,'Raw Data'!AD:AD),"")</f>
        <v/>
      </c>
      <c r="L344" s="90" t="str">
        <f>IFERROR(_xlfn.XLOOKUP($A344,'Raw Data'!$G:$G,'Raw Data'!AE:AE),"")</f>
        <v/>
      </c>
      <c r="M344" s="90" t="str">
        <f>IFERROR(_xlfn.XLOOKUP($A344,'Raw Data'!$G:$G,'Raw Data'!AF:AF),"")</f>
        <v/>
      </c>
      <c r="N344" s="90" t="str">
        <f>IFERROR(_xlfn.XLOOKUP($A344,'Raw Data'!$G:$G,'Raw Data'!AG:AG),"")</f>
        <v/>
      </c>
      <c r="O344" s="85" t="str">
        <f>IFERROR(1-SUMIF('Plant BD'!$B:$B,$A344,'Plant BD'!$AM:$AM)/($AA344+SUMIF('Plant BD'!$B:$B,$A344,'Plant BD'!$AM:$AM)),"")</f>
        <v/>
      </c>
      <c r="P344" s="85"/>
      <c r="Q344" s="89"/>
      <c r="R344" s="85" t="str">
        <f>IFERROR(1-SUMIF('Grid BD'!$B:$B,$A344,'Grid BD'!$AE:$AE)/($AA344+SUMIF('Grid BD'!$B:$B,$A344,'Grid BD'!$AE:$AE)),"")</f>
        <v/>
      </c>
      <c r="T344" s="89"/>
      <c r="U344" s="88" t="str">
        <f t="shared" si="21"/>
        <v/>
      </c>
      <c r="V344" s="88"/>
      <c r="W344" s="84" t="str">
        <f t="shared" si="20"/>
        <v/>
      </c>
      <c r="X344" s="86" t="str">
        <f>IFERROR(_xlfn.XLOOKUP($A344,'Raw Data'!$G:$G,'Raw Data'!AI:AI),"")</f>
        <v/>
      </c>
      <c r="Y344" s="86" t="str">
        <f>IFERROR(_xlfn.XLOOKUP($A344,'Raw Data'!$G:$G,'Raw Data'!AJ:AJ),"")</f>
        <v/>
      </c>
      <c r="Z344" s="86" t="str">
        <f>IFERROR(_xlfn.XLOOKUP($A344,'Raw Data'!$G:$G,'Raw Data'!AK:AK),"")</f>
        <v/>
      </c>
      <c r="AA344" s="86" t="str">
        <f>IFERROR(_xlfn.XLOOKUP($A344,'Raw Data'!$G:$G,'Raw Data'!$AL:$AL)*(1+(_xlfn.XLOOKUP(Table13[[#This Row],[Month Year]],JMR!$A:$A,JMR!$J:$J))),"")</f>
        <v/>
      </c>
      <c r="AB344" s="86" t="str">
        <f>IFERROR(_xlfn.XLOOKUP($A344,'Raw Data'!$G:$G,'Raw Data'!$H:$H),"")</f>
        <v/>
      </c>
      <c r="AC344" s="87">
        <f>IFERROR(_xlfn.XLOOKUP($D344,'Modelling New'!$D:$D,'Modelling New'!$P:$P),"")</f>
        <v>6.7870967741935484</v>
      </c>
      <c r="AD344" s="86">
        <f>IFERROR(_xlfn.XLOOKUP($D344,'Modelling New'!$D:$D,'Modelling New'!$T:$T)*1000,"")</f>
        <v>33827.192387794741</v>
      </c>
      <c r="AE344" s="94">
        <f>IFERROR(_xlfn.XLOOKUP($D344,'Modelling New'!$D:$D,'Modelling New'!$O:$O),"")</f>
        <v>0.70205720444645303</v>
      </c>
      <c r="AF344" s="94">
        <f>IFERROR(_xlfn.XLOOKUP($D344,'Modelling New'!$D:$D,'Modelling New'!$W:$W),"")</f>
        <v>0.19853875781657757</v>
      </c>
      <c r="AG344" s="94">
        <f>IFERROR(_xlfn.XLOOKUP($D344,'Modelling New'!$D:$D,'Modelling New'!$AE:$AE),"")</f>
        <v>0.98040000000000005</v>
      </c>
      <c r="AH344" s="94">
        <f>IFERROR(_xlfn.XLOOKUP($D344,'Modelling New'!$D:$D,'Modelling New'!$AF:$AF),"")</f>
        <v>0.98</v>
      </c>
      <c r="AN344" s="85"/>
      <c r="AO344" s="84"/>
      <c r="AP344" s="84"/>
      <c r="AQ344" s="84"/>
      <c r="AR344" s="86">
        <f>'Basic Data'!$J$2</f>
        <v>7.0991999999999997</v>
      </c>
      <c r="AT344" s="7" t="str">
        <f>IFERROR(_xlfn.XLOOKUP(Table13[[#This Row],[Date]],'Raw Data'!$E:$E,'Raw Data'!$AN:$AN),"")</f>
        <v/>
      </c>
      <c r="AU344" s="7">
        <f>IFERROR(_xlfn.XLOOKUP(Table13[[#This Row],[Month Year]],'Modelling New'!$D:$D,'Modelling New'!$AO:$AO),"")</f>
        <v>7</v>
      </c>
      <c r="AV344" s="7">
        <f>IFERROR(SUMIF('Curtailment Records'!$C:$C,Table13[[#This Row],[Date]],'Curtailment Records'!$R:$R)/1000,"")</f>
        <v>0</v>
      </c>
    </row>
    <row r="345" spans="1:48" x14ac:dyDescent="0.25">
      <c r="A345" s="93">
        <f t="shared" si="22"/>
        <v>46088</v>
      </c>
      <c r="B345" s="86">
        <f>YEAR(Table13[[#This Row],[Date]])+IF(MONTH(Table13[[#This Row],[Date]])&gt;=4,1,0)</f>
        <v>2026</v>
      </c>
      <c r="C345" s="7">
        <f>YEAR(Table13[[#This Row],[Date]])</f>
        <v>2026</v>
      </c>
      <c r="D345" s="92">
        <f>Table13[[#This Row],[Date]]-DAY(Table13[[#This Row],[Date]])+1</f>
        <v>46082</v>
      </c>
      <c r="E345" s="7">
        <f t="shared" si="23"/>
        <v>31</v>
      </c>
      <c r="F345" s="91" t="str">
        <f>IFERROR(_xlfn.XLOOKUP($A345,'Raw Data'!$G:$G,'Raw Data'!$AM:$AM),"")</f>
        <v/>
      </c>
      <c r="G345" s="90" t="str">
        <f>IFERROR(_xlfn.XLOOKUP($A345,'Raw Data'!$G:$G,'Raw Data'!$AB:$AB),"")</f>
        <v/>
      </c>
      <c r="H345" s="90"/>
      <c r="I345" s="90" t="str">
        <f>IFERROR(_xlfn.XLOOKUP($A345,'Raw Data'!$G:$G,'Raw Data'!$AC:$AC),"")</f>
        <v/>
      </c>
      <c r="J345" s="90"/>
      <c r="K345" s="90" t="str">
        <f>IFERROR(_xlfn.XLOOKUP($A345,'Raw Data'!$G:$G,'Raw Data'!AD:AD),"")</f>
        <v/>
      </c>
      <c r="L345" s="90" t="str">
        <f>IFERROR(_xlfn.XLOOKUP($A345,'Raw Data'!$G:$G,'Raw Data'!AE:AE),"")</f>
        <v/>
      </c>
      <c r="M345" s="90" t="str">
        <f>IFERROR(_xlfn.XLOOKUP($A345,'Raw Data'!$G:$G,'Raw Data'!AF:AF),"")</f>
        <v/>
      </c>
      <c r="N345" s="90" t="str">
        <f>IFERROR(_xlfn.XLOOKUP($A345,'Raw Data'!$G:$G,'Raw Data'!AG:AG),"")</f>
        <v/>
      </c>
      <c r="O345" s="85" t="str">
        <f>IFERROR(1-SUMIF('Plant BD'!$B:$B,$A345,'Plant BD'!$AM:$AM)/($AA345+SUMIF('Plant BD'!$B:$B,$A345,'Plant BD'!$AM:$AM)),"")</f>
        <v/>
      </c>
      <c r="P345" s="85"/>
      <c r="Q345" s="89"/>
      <c r="R345" s="85" t="str">
        <f>IFERROR(1-SUMIF('Grid BD'!$B:$B,$A345,'Grid BD'!$AE:$AE)/($AA345+SUMIF('Grid BD'!$B:$B,$A345,'Grid BD'!$AE:$AE)),"")</f>
        <v/>
      </c>
      <c r="T345" s="89"/>
      <c r="U345" s="88" t="str">
        <f t="shared" si="21"/>
        <v/>
      </c>
      <c r="V345" s="88"/>
      <c r="W345" s="84" t="str">
        <f t="shared" si="20"/>
        <v/>
      </c>
      <c r="X345" s="86" t="str">
        <f>IFERROR(_xlfn.XLOOKUP($A345,'Raw Data'!$G:$G,'Raw Data'!AI:AI),"")</f>
        <v/>
      </c>
      <c r="Y345" s="86" t="str">
        <f>IFERROR(_xlfn.XLOOKUP($A345,'Raw Data'!$G:$G,'Raw Data'!AJ:AJ),"")</f>
        <v/>
      </c>
      <c r="Z345" s="86" t="str">
        <f>IFERROR(_xlfn.XLOOKUP($A345,'Raw Data'!$G:$G,'Raw Data'!AK:AK),"")</f>
        <v/>
      </c>
      <c r="AA345" s="86" t="str">
        <f>IFERROR(_xlfn.XLOOKUP($A345,'Raw Data'!$G:$G,'Raw Data'!$AL:$AL)*(1+(_xlfn.XLOOKUP(Table13[[#This Row],[Month Year]],JMR!$A:$A,JMR!$J:$J))),"")</f>
        <v/>
      </c>
      <c r="AB345" s="86" t="str">
        <f>IFERROR(_xlfn.XLOOKUP($A345,'Raw Data'!$G:$G,'Raw Data'!$H:$H),"")</f>
        <v/>
      </c>
      <c r="AC345" s="87">
        <f>IFERROR(_xlfn.XLOOKUP($D345,'Modelling New'!$D:$D,'Modelling New'!$P:$P),"")</f>
        <v>6.7870967741935484</v>
      </c>
      <c r="AD345" s="86">
        <f>IFERROR(_xlfn.XLOOKUP($D345,'Modelling New'!$D:$D,'Modelling New'!$T:$T)*1000,"")</f>
        <v>33827.192387794741</v>
      </c>
      <c r="AE345" s="94">
        <f>IFERROR(_xlfn.XLOOKUP($D345,'Modelling New'!$D:$D,'Modelling New'!$O:$O),"")</f>
        <v>0.70205720444645303</v>
      </c>
      <c r="AF345" s="94">
        <f>IFERROR(_xlfn.XLOOKUP($D345,'Modelling New'!$D:$D,'Modelling New'!$W:$W),"")</f>
        <v>0.19853875781657757</v>
      </c>
      <c r="AG345" s="94">
        <f>IFERROR(_xlfn.XLOOKUP($D345,'Modelling New'!$D:$D,'Modelling New'!$AE:$AE),"")</f>
        <v>0.98040000000000005</v>
      </c>
      <c r="AH345" s="94">
        <f>IFERROR(_xlfn.XLOOKUP($D345,'Modelling New'!$D:$D,'Modelling New'!$AF:$AF),"")</f>
        <v>0.98</v>
      </c>
      <c r="AN345" s="85"/>
      <c r="AO345" s="84"/>
      <c r="AP345" s="84"/>
      <c r="AQ345" s="84"/>
      <c r="AR345" s="86">
        <f>'Basic Data'!$J$2</f>
        <v>7.0991999999999997</v>
      </c>
      <c r="AT345" s="7" t="str">
        <f>IFERROR(_xlfn.XLOOKUP(Table13[[#This Row],[Date]],'Raw Data'!$E:$E,'Raw Data'!$AN:$AN),"")</f>
        <v/>
      </c>
      <c r="AU345" s="7">
        <f>IFERROR(_xlfn.XLOOKUP(Table13[[#This Row],[Month Year]],'Modelling New'!$D:$D,'Modelling New'!$AO:$AO),"")</f>
        <v>7</v>
      </c>
      <c r="AV345" s="7">
        <f>IFERROR(SUMIF('Curtailment Records'!$C:$C,Table13[[#This Row],[Date]],'Curtailment Records'!$R:$R)/1000,"")</f>
        <v>0</v>
      </c>
    </row>
    <row r="346" spans="1:48" x14ac:dyDescent="0.25">
      <c r="A346" s="93">
        <f t="shared" si="22"/>
        <v>46089</v>
      </c>
      <c r="B346" s="86">
        <f>YEAR(Table13[[#This Row],[Date]])+IF(MONTH(Table13[[#This Row],[Date]])&gt;=4,1,0)</f>
        <v>2026</v>
      </c>
      <c r="C346" s="7">
        <f>YEAR(Table13[[#This Row],[Date]])</f>
        <v>2026</v>
      </c>
      <c r="D346" s="92">
        <f>Table13[[#This Row],[Date]]-DAY(Table13[[#This Row],[Date]])+1</f>
        <v>46082</v>
      </c>
      <c r="E346" s="7">
        <f t="shared" si="23"/>
        <v>31</v>
      </c>
      <c r="F346" s="91" t="str">
        <f>IFERROR(_xlfn.XLOOKUP($A346,'Raw Data'!$G:$G,'Raw Data'!$AM:$AM),"")</f>
        <v/>
      </c>
      <c r="G346" s="90" t="str">
        <f>IFERROR(_xlfn.XLOOKUP($A346,'Raw Data'!$G:$G,'Raw Data'!$AB:$AB),"")</f>
        <v/>
      </c>
      <c r="H346" s="90"/>
      <c r="I346" s="90" t="str">
        <f>IFERROR(_xlfn.XLOOKUP($A346,'Raw Data'!$G:$G,'Raw Data'!$AC:$AC),"")</f>
        <v/>
      </c>
      <c r="J346" s="90"/>
      <c r="K346" s="90" t="str">
        <f>IFERROR(_xlfn.XLOOKUP($A346,'Raw Data'!$G:$G,'Raw Data'!AD:AD),"")</f>
        <v/>
      </c>
      <c r="L346" s="90" t="str">
        <f>IFERROR(_xlfn.XLOOKUP($A346,'Raw Data'!$G:$G,'Raw Data'!AE:AE),"")</f>
        <v/>
      </c>
      <c r="M346" s="90" t="str">
        <f>IFERROR(_xlfn.XLOOKUP($A346,'Raw Data'!$G:$G,'Raw Data'!AF:AF),"")</f>
        <v/>
      </c>
      <c r="N346" s="90" t="str">
        <f>IFERROR(_xlfn.XLOOKUP($A346,'Raw Data'!$G:$G,'Raw Data'!AG:AG),"")</f>
        <v/>
      </c>
      <c r="O346" s="85" t="str">
        <f>IFERROR(1-SUMIF('Plant BD'!$B:$B,$A346,'Plant BD'!$AM:$AM)/($AA346+SUMIF('Plant BD'!$B:$B,$A346,'Plant BD'!$AM:$AM)),"")</f>
        <v/>
      </c>
      <c r="P346" s="85"/>
      <c r="Q346" s="89"/>
      <c r="R346" s="85" t="str">
        <f>IFERROR(1-SUMIF('Grid BD'!$B:$B,$A346,'Grid BD'!$AE:$AE)/($AA346+SUMIF('Grid BD'!$B:$B,$A346,'Grid BD'!$AE:$AE)),"")</f>
        <v/>
      </c>
      <c r="T346" s="89"/>
      <c r="U346" s="88" t="str">
        <f t="shared" si="21"/>
        <v/>
      </c>
      <c r="V346" s="88"/>
      <c r="W346" s="84" t="str">
        <f t="shared" si="20"/>
        <v/>
      </c>
      <c r="X346" s="86" t="str">
        <f>IFERROR(_xlfn.XLOOKUP($A346,'Raw Data'!$G:$G,'Raw Data'!AI:AI),"")</f>
        <v/>
      </c>
      <c r="Y346" s="86" t="str">
        <f>IFERROR(_xlfn.XLOOKUP($A346,'Raw Data'!$G:$G,'Raw Data'!AJ:AJ),"")</f>
        <v/>
      </c>
      <c r="Z346" s="86" t="str">
        <f>IFERROR(_xlfn.XLOOKUP($A346,'Raw Data'!$G:$G,'Raw Data'!AK:AK),"")</f>
        <v/>
      </c>
      <c r="AA346" s="86" t="str">
        <f>IFERROR(_xlfn.XLOOKUP($A346,'Raw Data'!$G:$G,'Raw Data'!$AL:$AL)*(1+(_xlfn.XLOOKUP(Table13[[#This Row],[Month Year]],JMR!$A:$A,JMR!$J:$J))),"")</f>
        <v/>
      </c>
      <c r="AB346" s="86" t="str">
        <f>IFERROR(_xlfn.XLOOKUP($A346,'Raw Data'!$G:$G,'Raw Data'!$H:$H),"")</f>
        <v/>
      </c>
      <c r="AC346" s="87">
        <f>IFERROR(_xlfn.XLOOKUP($D346,'Modelling New'!$D:$D,'Modelling New'!$P:$P),"")</f>
        <v>6.7870967741935484</v>
      </c>
      <c r="AD346" s="86">
        <f>IFERROR(_xlfn.XLOOKUP($D346,'Modelling New'!$D:$D,'Modelling New'!$T:$T)*1000,"")</f>
        <v>33827.192387794741</v>
      </c>
      <c r="AE346" s="94">
        <f>IFERROR(_xlfn.XLOOKUP($D346,'Modelling New'!$D:$D,'Modelling New'!$O:$O),"")</f>
        <v>0.70205720444645303</v>
      </c>
      <c r="AF346" s="94">
        <f>IFERROR(_xlfn.XLOOKUP($D346,'Modelling New'!$D:$D,'Modelling New'!$W:$W),"")</f>
        <v>0.19853875781657757</v>
      </c>
      <c r="AG346" s="94">
        <f>IFERROR(_xlfn.XLOOKUP($D346,'Modelling New'!$D:$D,'Modelling New'!$AE:$AE),"")</f>
        <v>0.98040000000000005</v>
      </c>
      <c r="AH346" s="94">
        <f>IFERROR(_xlfn.XLOOKUP($D346,'Modelling New'!$D:$D,'Modelling New'!$AF:$AF),"")</f>
        <v>0.98</v>
      </c>
      <c r="AN346" s="85"/>
      <c r="AO346" s="84"/>
      <c r="AP346" s="84"/>
      <c r="AQ346" s="84"/>
      <c r="AR346" s="86">
        <f>'Basic Data'!$J$2</f>
        <v>7.0991999999999997</v>
      </c>
      <c r="AT346" s="7" t="str">
        <f>IFERROR(_xlfn.XLOOKUP(Table13[[#This Row],[Date]],'Raw Data'!$E:$E,'Raw Data'!$AN:$AN),"")</f>
        <v/>
      </c>
      <c r="AU346" s="7">
        <f>IFERROR(_xlfn.XLOOKUP(Table13[[#This Row],[Month Year]],'Modelling New'!$D:$D,'Modelling New'!$AO:$AO),"")</f>
        <v>7</v>
      </c>
      <c r="AV346" s="7">
        <f>IFERROR(SUMIF('Curtailment Records'!$C:$C,Table13[[#This Row],[Date]],'Curtailment Records'!$R:$R)/1000,"")</f>
        <v>0</v>
      </c>
    </row>
    <row r="347" spans="1:48" x14ac:dyDescent="0.25">
      <c r="A347" s="93">
        <f t="shared" si="22"/>
        <v>46090</v>
      </c>
      <c r="B347" s="86">
        <f>YEAR(Table13[[#This Row],[Date]])+IF(MONTH(Table13[[#This Row],[Date]])&gt;=4,1,0)</f>
        <v>2026</v>
      </c>
      <c r="C347" s="7">
        <f>YEAR(Table13[[#This Row],[Date]])</f>
        <v>2026</v>
      </c>
      <c r="D347" s="92">
        <f>Table13[[#This Row],[Date]]-DAY(Table13[[#This Row],[Date]])+1</f>
        <v>46082</v>
      </c>
      <c r="E347" s="7">
        <f t="shared" si="23"/>
        <v>31</v>
      </c>
      <c r="F347" s="91" t="str">
        <f>IFERROR(_xlfn.XLOOKUP($A347,'Raw Data'!$G:$G,'Raw Data'!$AM:$AM),"")</f>
        <v/>
      </c>
      <c r="G347" s="90" t="str">
        <f>IFERROR(_xlfn.XLOOKUP($A347,'Raw Data'!$G:$G,'Raw Data'!$AB:$AB),"")</f>
        <v/>
      </c>
      <c r="H347" s="90"/>
      <c r="I347" s="90" t="str">
        <f>IFERROR(_xlfn.XLOOKUP($A347,'Raw Data'!$G:$G,'Raw Data'!$AC:$AC),"")</f>
        <v/>
      </c>
      <c r="J347" s="90"/>
      <c r="K347" s="90" t="str">
        <f>IFERROR(_xlfn.XLOOKUP($A347,'Raw Data'!$G:$G,'Raw Data'!AD:AD),"")</f>
        <v/>
      </c>
      <c r="L347" s="90" t="str">
        <f>IFERROR(_xlfn.XLOOKUP($A347,'Raw Data'!$G:$G,'Raw Data'!AE:AE),"")</f>
        <v/>
      </c>
      <c r="M347" s="90" t="str">
        <f>IFERROR(_xlfn.XLOOKUP($A347,'Raw Data'!$G:$G,'Raw Data'!AF:AF),"")</f>
        <v/>
      </c>
      <c r="N347" s="90" t="str">
        <f>IFERROR(_xlfn.XLOOKUP($A347,'Raw Data'!$G:$G,'Raw Data'!AG:AG),"")</f>
        <v/>
      </c>
      <c r="O347" s="85" t="str">
        <f>IFERROR(1-SUMIF('Plant BD'!$B:$B,$A347,'Plant BD'!$AM:$AM)/($AA347+SUMIF('Plant BD'!$B:$B,$A347,'Plant BD'!$AM:$AM)),"")</f>
        <v/>
      </c>
      <c r="P347" s="85"/>
      <c r="Q347" s="89"/>
      <c r="R347" s="85" t="str">
        <f>IFERROR(1-SUMIF('Grid BD'!$B:$B,$A347,'Grid BD'!$AE:$AE)/($AA347+SUMIF('Grid BD'!$B:$B,$A347,'Grid BD'!$AE:$AE)),"")</f>
        <v/>
      </c>
      <c r="T347" s="89"/>
      <c r="U347" s="88" t="str">
        <f t="shared" si="21"/>
        <v/>
      </c>
      <c r="V347" s="88"/>
      <c r="W347" s="84" t="str">
        <f t="shared" si="20"/>
        <v/>
      </c>
      <c r="X347" s="86" t="str">
        <f>IFERROR(_xlfn.XLOOKUP($A347,'Raw Data'!$G:$G,'Raw Data'!AI:AI),"")</f>
        <v/>
      </c>
      <c r="Y347" s="86" t="str">
        <f>IFERROR(_xlfn.XLOOKUP($A347,'Raw Data'!$G:$G,'Raw Data'!AJ:AJ),"")</f>
        <v/>
      </c>
      <c r="Z347" s="86" t="str">
        <f>IFERROR(_xlfn.XLOOKUP($A347,'Raw Data'!$G:$G,'Raw Data'!AK:AK),"")</f>
        <v/>
      </c>
      <c r="AA347" s="86" t="str">
        <f>IFERROR(_xlfn.XLOOKUP($A347,'Raw Data'!$G:$G,'Raw Data'!$AL:$AL)*(1+(_xlfn.XLOOKUP(Table13[[#This Row],[Month Year]],JMR!$A:$A,JMR!$J:$J))),"")</f>
        <v/>
      </c>
      <c r="AB347" s="86" t="str">
        <f>IFERROR(_xlfn.XLOOKUP($A347,'Raw Data'!$G:$G,'Raw Data'!$H:$H),"")</f>
        <v/>
      </c>
      <c r="AC347" s="87">
        <f>IFERROR(_xlfn.XLOOKUP($D347,'Modelling New'!$D:$D,'Modelling New'!$P:$P),"")</f>
        <v>6.7870967741935484</v>
      </c>
      <c r="AD347" s="86">
        <f>IFERROR(_xlfn.XLOOKUP($D347,'Modelling New'!$D:$D,'Modelling New'!$T:$T)*1000,"")</f>
        <v>33827.192387794741</v>
      </c>
      <c r="AE347" s="94">
        <f>IFERROR(_xlfn.XLOOKUP($D347,'Modelling New'!$D:$D,'Modelling New'!$O:$O),"")</f>
        <v>0.70205720444645303</v>
      </c>
      <c r="AF347" s="94">
        <f>IFERROR(_xlfn.XLOOKUP($D347,'Modelling New'!$D:$D,'Modelling New'!$W:$W),"")</f>
        <v>0.19853875781657757</v>
      </c>
      <c r="AG347" s="94">
        <f>IFERROR(_xlfn.XLOOKUP($D347,'Modelling New'!$D:$D,'Modelling New'!$AE:$AE),"")</f>
        <v>0.98040000000000005</v>
      </c>
      <c r="AH347" s="94">
        <f>IFERROR(_xlfn.XLOOKUP($D347,'Modelling New'!$D:$D,'Modelling New'!$AF:$AF),"")</f>
        <v>0.98</v>
      </c>
      <c r="AN347" s="85"/>
      <c r="AO347" s="84"/>
      <c r="AP347" s="84"/>
      <c r="AQ347" s="84"/>
      <c r="AR347" s="86">
        <f>'Basic Data'!$J$2</f>
        <v>7.0991999999999997</v>
      </c>
      <c r="AT347" s="7" t="str">
        <f>IFERROR(_xlfn.XLOOKUP(Table13[[#This Row],[Date]],'Raw Data'!$E:$E,'Raw Data'!$AN:$AN),"")</f>
        <v/>
      </c>
      <c r="AU347" s="7">
        <f>IFERROR(_xlfn.XLOOKUP(Table13[[#This Row],[Month Year]],'Modelling New'!$D:$D,'Modelling New'!$AO:$AO),"")</f>
        <v>7</v>
      </c>
      <c r="AV347" s="7">
        <f>IFERROR(SUMIF('Curtailment Records'!$C:$C,Table13[[#This Row],[Date]],'Curtailment Records'!$R:$R)/1000,"")</f>
        <v>0</v>
      </c>
    </row>
    <row r="348" spans="1:48" x14ac:dyDescent="0.25">
      <c r="A348" s="93">
        <f t="shared" si="22"/>
        <v>46091</v>
      </c>
      <c r="B348" s="86">
        <f>YEAR(Table13[[#This Row],[Date]])+IF(MONTH(Table13[[#This Row],[Date]])&gt;=4,1,0)</f>
        <v>2026</v>
      </c>
      <c r="C348" s="7">
        <f>YEAR(Table13[[#This Row],[Date]])</f>
        <v>2026</v>
      </c>
      <c r="D348" s="92">
        <f>Table13[[#This Row],[Date]]-DAY(Table13[[#This Row],[Date]])+1</f>
        <v>46082</v>
      </c>
      <c r="E348" s="7">
        <f t="shared" si="23"/>
        <v>31</v>
      </c>
      <c r="F348" s="91" t="str">
        <f>IFERROR(_xlfn.XLOOKUP($A348,'Raw Data'!$G:$G,'Raw Data'!$AM:$AM),"")</f>
        <v/>
      </c>
      <c r="G348" s="90" t="str">
        <f>IFERROR(_xlfn.XLOOKUP($A348,'Raw Data'!$G:$G,'Raw Data'!$AB:$AB),"")</f>
        <v/>
      </c>
      <c r="H348" s="90"/>
      <c r="I348" s="90" t="str">
        <f>IFERROR(_xlfn.XLOOKUP($A348,'Raw Data'!$G:$G,'Raw Data'!$AC:$AC),"")</f>
        <v/>
      </c>
      <c r="J348" s="90"/>
      <c r="K348" s="90" t="str">
        <f>IFERROR(_xlfn.XLOOKUP($A348,'Raw Data'!$G:$G,'Raw Data'!AD:AD),"")</f>
        <v/>
      </c>
      <c r="L348" s="90" t="str">
        <f>IFERROR(_xlfn.XLOOKUP($A348,'Raw Data'!$G:$G,'Raw Data'!AE:AE),"")</f>
        <v/>
      </c>
      <c r="M348" s="90" t="str">
        <f>IFERROR(_xlfn.XLOOKUP($A348,'Raw Data'!$G:$G,'Raw Data'!AF:AF),"")</f>
        <v/>
      </c>
      <c r="N348" s="90" t="str">
        <f>IFERROR(_xlfn.XLOOKUP($A348,'Raw Data'!$G:$G,'Raw Data'!AG:AG),"")</f>
        <v/>
      </c>
      <c r="O348" s="85" t="str">
        <f>IFERROR(1-SUMIF('Plant BD'!$B:$B,$A348,'Plant BD'!$AM:$AM)/($AA348+SUMIF('Plant BD'!$B:$B,$A348,'Plant BD'!$AM:$AM)),"")</f>
        <v/>
      </c>
      <c r="P348" s="85"/>
      <c r="Q348" s="89"/>
      <c r="R348" s="85" t="str">
        <f>IFERROR(1-SUMIF('Grid BD'!$B:$B,$A348,'Grid BD'!$AE:$AE)/($AA348+SUMIF('Grid BD'!$B:$B,$A348,'Grid BD'!$AE:$AE)),"")</f>
        <v/>
      </c>
      <c r="T348" s="89"/>
      <c r="U348" s="88" t="str">
        <f t="shared" si="21"/>
        <v/>
      </c>
      <c r="V348" s="88"/>
      <c r="W348" s="84" t="str">
        <f t="shared" si="20"/>
        <v/>
      </c>
      <c r="X348" s="86" t="str">
        <f>IFERROR(_xlfn.XLOOKUP($A348,'Raw Data'!$G:$G,'Raw Data'!AI:AI),"")</f>
        <v/>
      </c>
      <c r="Y348" s="86" t="str">
        <f>IFERROR(_xlfn.XLOOKUP($A348,'Raw Data'!$G:$G,'Raw Data'!AJ:AJ),"")</f>
        <v/>
      </c>
      <c r="Z348" s="86" t="str">
        <f>IFERROR(_xlfn.XLOOKUP($A348,'Raw Data'!$G:$G,'Raw Data'!AK:AK),"")</f>
        <v/>
      </c>
      <c r="AA348" s="86" t="str">
        <f>IFERROR(_xlfn.XLOOKUP($A348,'Raw Data'!$G:$G,'Raw Data'!$AL:$AL)*(1+(_xlfn.XLOOKUP(Table13[[#This Row],[Month Year]],JMR!$A:$A,JMR!$J:$J))),"")</f>
        <v/>
      </c>
      <c r="AB348" s="86" t="str">
        <f>IFERROR(_xlfn.XLOOKUP($A348,'Raw Data'!$G:$G,'Raw Data'!$H:$H),"")</f>
        <v/>
      </c>
      <c r="AC348" s="87">
        <f>IFERROR(_xlfn.XLOOKUP($D348,'Modelling New'!$D:$D,'Modelling New'!$P:$P),"")</f>
        <v>6.7870967741935484</v>
      </c>
      <c r="AD348" s="86">
        <f>IFERROR(_xlfn.XLOOKUP($D348,'Modelling New'!$D:$D,'Modelling New'!$T:$T)*1000,"")</f>
        <v>33827.192387794741</v>
      </c>
      <c r="AE348" s="94">
        <f>IFERROR(_xlfn.XLOOKUP($D348,'Modelling New'!$D:$D,'Modelling New'!$O:$O),"")</f>
        <v>0.70205720444645303</v>
      </c>
      <c r="AF348" s="94">
        <f>IFERROR(_xlfn.XLOOKUP($D348,'Modelling New'!$D:$D,'Modelling New'!$W:$W),"")</f>
        <v>0.19853875781657757</v>
      </c>
      <c r="AG348" s="94">
        <f>IFERROR(_xlfn.XLOOKUP($D348,'Modelling New'!$D:$D,'Modelling New'!$AE:$AE),"")</f>
        <v>0.98040000000000005</v>
      </c>
      <c r="AH348" s="94">
        <f>IFERROR(_xlfn.XLOOKUP($D348,'Modelling New'!$D:$D,'Modelling New'!$AF:$AF),"")</f>
        <v>0.98</v>
      </c>
      <c r="AN348" s="85"/>
      <c r="AO348" s="84"/>
      <c r="AP348" s="84"/>
      <c r="AQ348" s="84"/>
      <c r="AR348" s="86">
        <f>'Basic Data'!$J$2</f>
        <v>7.0991999999999997</v>
      </c>
      <c r="AT348" s="7" t="str">
        <f>IFERROR(_xlfn.XLOOKUP(Table13[[#This Row],[Date]],'Raw Data'!$E:$E,'Raw Data'!$AN:$AN),"")</f>
        <v/>
      </c>
      <c r="AU348" s="7">
        <f>IFERROR(_xlfn.XLOOKUP(Table13[[#This Row],[Month Year]],'Modelling New'!$D:$D,'Modelling New'!$AO:$AO),"")</f>
        <v>7</v>
      </c>
      <c r="AV348" s="7">
        <f>IFERROR(SUMIF('Curtailment Records'!$C:$C,Table13[[#This Row],[Date]],'Curtailment Records'!$R:$R)/1000,"")</f>
        <v>0</v>
      </c>
    </row>
    <row r="349" spans="1:48" x14ac:dyDescent="0.25">
      <c r="A349" s="93">
        <f t="shared" si="22"/>
        <v>46092</v>
      </c>
      <c r="B349" s="86">
        <f>YEAR(Table13[[#This Row],[Date]])+IF(MONTH(Table13[[#This Row],[Date]])&gt;=4,1,0)</f>
        <v>2026</v>
      </c>
      <c r="C349" s="7">
        <f>YEAR(Table13[[#This Row],[Date]])</f>
        <v>2026</v>
      </c>
      <c r="D349" s="92">
        <f>Table13[[#This Row],[Date]]-DAY(Table13[[#This Row],[Date]])+1</f>
        <v>46082</v>
      </c>
      <c r="E349" s="7">
        <f t="shared" si="23"/>
        <v>31</v>
      </c>
      <c r="F349" s="91" t="str">
        <f>IFERROR(_xlfn.XLOOKUP($A349,'Raw Data'!$G:$G,'Raw Data'!$AM:$AM),"")</f>
        <v/>
      </c>
      <c r="G349" s="90" t="str">
        <f>IFERROR(_xlfn.XLOOKUP($A349,'Raw Data'!$G:$G,'Raw Data'!$AB:$AB),"")</f>
        <v/>
      </c>
      <c r="H349" s="90"/>
      <c r="I349" s="90" t="str">
        <f>IFERROR(_xlfn.XLOOKUP($A349,'Raw Data'!$G:$G,'Raw Data'!$AC:$AC),"")</f>
        <v/>
      </c>
      <c r="J349" s="90"/>
      <c r="K349" s="90" t="str">
        <f>IFERROR(_xlfn.XLOOKUP($A349,'Raw Data'!$G:$G,'Raw Data'!AD:AD),"")</f>
        <v/>
      </c>
      <c r="L349" s="90" t="str">
        <f>IFERROR(_xlfn.XLOOKUP($A349,'Raw Data'!$G:$G,'Raw Data'!AE:AE),"")</f>
        <v/>
      </c>
      <c r="M349" s="90" t="str">
        <f>IFERROR(_xlfn.XLOOKUP($A349,'Raw Data'!$G:$G,'Raw Data'!AF:AF),"")</f>
        <v/>
      </c>
      <c r="N349" s="90" t="str">
        <f>IFERROR(_xlfn.XLOOKUP($A349,'Raw Data'!$G:$G,'Raw Data'!AG:AG),"")</f>
        <v/>
      </c>
      <c r="O349" s="85" t="str">
        <f>IFERROR(1-SUMIF('Plant BD'!$B:$B,$A349,'Plant BD'!$AM:$AM)/($AA349+SUMIF('Plant BD'!$B:$B,$A349,'Plant BD'!$AM:$AM)),"")</f>
        <v/>
      </c>
      <c r="P349" s="85"/>
      <c r="Q349" s="89"/>
      <c r="R349" s="85" t="str">
        <f>IFERROR(1-SUMIF('Grid BD'!$B:$B,$A349,'Grid BD'!$AE:$AE)/($AA349+SUMIF('Grid BD'!$B:$B,$A349,'Grid BD'!$AE:$AE)),"")</f>
        <v/>
      </c>
      <c r="T349" s="89"/>
      <c r="U349" s="88" t="str">
        <f t="shared" si="21"/>
        <v/>
      </c>
      <c r="V349" s="88"/>
      <c r="W349" s="84" t="str">
        <f t="shared" si="20"/>
        <v/>
      </c>
      <c r="X349" s="86" t="str">
        <f>IFERROR(_xlfn.XLOOKUP($A349,'Raw Data'!$G:$G,'Raw Data'!AI:AI),"")</f>
        <v/>
      </c>
      <c r="Y349" s="86" t="str">
        <f>IFERROR(_xlfn.XLOOKUP($A349,'Raw Data'!$G:$G,'Raw Data'!AJ:AJ),"")</f>
        <v/>
      </c>
      <c r="Z349" s="86" t="str">
        <f>IFERROR(_xlfn.XLOOKUP($A349,'Raw Data'!$G:$G,'Raw Data'!AK:AK),"")</f>
        <v/>
      </c>
      <c r="AA349" s="86" t="str">
        <f>IFERROR(_xlfn.XLOOKUP($A349,'Raw Data'!$G:$G,'Raw Data'!$AL:$AL)*(1+(_xlfn.XLOOKUP(Table13[[#This Row],[Month Year]],JMR!$A:$A,JMR!$J:$J))),"")</f>
        <v/>
      </c>
      <c r="AB349" s="86" t="str">
        <f>IFERROR(_xlfn.XLOOKUP($A349,'Raw Data'!$G:$G,'Raw Data'!$H:$H),"")</f>
        <v/>
      </c>
      <c r="AC349" s="87">
        <f>IFERROR(_xlfn.XLOOKUP($D349,'Modelling New'!$D:$D,'Modelling New'!$P:$P),"")</f>
        <v>6.7870967741935484</v>
      </c>
      <c r="AD349" s="86">
        <f>IFERROR(_xlfn.XLOOKUP($D349,'Modelling New'!$D:$D,'Modelling New'!$T:$T)*1000,"")</f>
        <v>33827.192387794741</v>
      </c>
      <c r="AE349" s="94">
        <f>IFERROR(_xlfn.XLOOKUP($D349,'Modelling New'!$D:$D,'Modelling New'!$O:$O),"")</f>
        <v>0.70205720444645303</v>
      </c>
      <c r="AF349" s="94">
        <f>IFERROR(_xlfn.XLOOKUP($D349,'Modelling New'!$D:$D,'Modelling New'!$W:$W),"")</f>
        <v>0.19853875781657757</v>
      </c>
      <c r="AG349" s="94">
        <f>IFERROR(_xlfn.XLOOKUP($D349,'Modelling New'!$D:$D,'Modelling New'!$AE:$AE),"")</f>
        <v>0.98040000000000005</v>
      </c>
      <c r="AH349" s="94">
        <f>IFERROR(_xlfn.XLOOKUP($D349,'Modelling New'!$D:$D,'Modelling New'!$AF:$AF),"")</f>
        <v>0.98</v>
      </c>
      <c r="AN349" s="85"/>
      <c r="AO349" s="84"/>
      <c r="AP349" s="84"/>
      <c r="AQ349" s="84"/>
      <c r="AR349" s="86">
        <f>'Basic Data'!$J$2</f>
        <v>7.0991999999999997</v>
      </c>
      <c r="AT349" s="7" t="str">
        <f>IFERROR(_xlfn.XLOOKUP(Table13[[#This Row],[Date]],'Raw Data'!$E:$E,'Raw Data'!$AN:$AN),"")</f>
        <v/>
      </c>
      <c r="AU349" s="7">
        <f>IFERROR(_xlfn.XLOOKUP(Table13[[#This Row],[Month Year]],'Modelling New'!$D:$D,'Modelling New'!$AO:$AO),"")</f>
        <v>7</v>
      </c>
      <c r="AV349" s="7">
        <f>IFERROR(SUMIF('Curtailment Records'!$C:$C,Table13[[#This Row],[Date]],'Curtailment Records'!$R:$R)/1000,"")</f>
        <v>0</v>
      </c>
    </row>
    <row r="350" spans="1:48" x14ac:dyDescent="0.25">
      <c r="A350" s="93">
        <f t="shared" si="22"/>
        <v>46093</v>
      </c>
      <c r="B350" s="86">
        <f>YEAR(Table13[[#This Row],[Date]])+IF(MONTH(Table13[[#This Row],[Date]])&gt;=4,1,0)</f>
        <v>2026</v>
      </c>
      <c r="C350" s="7">
        <f>YEAR(Table13[[#This Row],[Date]])</f>
        <v>2026</v>
      </c>
      <c r="D350" s="92">
        <f>Table13[[#This Row],[Date]]-DAY(Table13[[#This Row],[Date]])+1</f>
        <v>46082</v>
      </c>
      <c r="E350" s="7">
        <f t="shared" si="23"/>
        <v>31</v>
      </c>
      <c r="F350" s="91" t="str">
        <f>IFERROR(_xlfn.XLOOKUP($A350,'Raw Data'!$G:$G,'Raw Data'!$AM:$AM),"")</f>
        <v/>
      </c>
      <c r="G350" s="90" t="str">
        <f>IFERROR(_xlfn.XLOOKUP($A350,'Raw Data'!$G:$G,'Raw Data'!$AB:$AB),"")</f>
        <v/>
      </c>
      <c r="H350" s="90"/>
      <c r="I350" s="90" t="str">
        <f>IFERROR(_xlfn.XLOOKUP($A350,'Raw Data'!$G:$G,'Raw Data'!$AC:$AC),"")</f>
        <v/>
      </c>
      <c r="J350" s="90"/>
      <c r="K350" s="90" t="str">
        <f>IFERROR(_xlfn.XLOOKUP($A350,'Raw Data'!$G:$G,'Raw Data'!AD:AD),"")</f>
        <v/>
      </c>
      <c r="L350" s="90" t="str">
        <f>IFERROR(_xlfn.XLOOKUP($A350,'Raw Data'!$G:$G,'Raw Data'!AE:AE),"")</f>
        <v/>
      </c>
      <c r="M350" s="90" t="str">
        <f>IFERROR(_xlfn.XLOOKUP($A350,'Raw Data'!$G:$G,'Raw Data'!AF:AF),"")</f>
        <v/>
      </c>
      <c r="N350" s="90" t="str">
        <f>IFERROR(_xlfn.XLOOKUP($A350,'Raw Data'!$G:$G,'Raw Data'!AG:AG),"")</f>
        <v/>
      </c>
      <c r="O350" s="85" t="str">
        <f>IFERROR(1-SUMIF('Plant BD'!$B:$B,$A350,'Plant BD'!$AM:$AM)/($AA350+SUMIF('Plant BD'!$B:$B,$A350,'Plant BD'!$AM:$AM)),"")</f>
        <v/>
      </c>
      <c r="P350" s="85"/>
      <c r="Q350" s="89"/>
      <c r="R350" s="85" t="str">
        <f>IFERROR(1-SUMIF('Grid BD'!$B:$B,$A350,'Grid BD'!$AE:$AE)/($AA350+SUMIF('Grid BD'!$B:$B,$A350,'Grid BD'!$AE:$AE)),"")</f>
        <v/>
      </c>
      <c r="T350" s="89"/>
      <c r="U350" s="88" t="str">
        <f t="shared" si="21"/>
        <v/>
      </c>
      <c r="V350" s="88"/>
      <c r="W350" s="84" t="str">
        <f t="shared" si="20"/>
        <v/>
      </c>
      <c r="X350" s="86" t="str">
        <f>IFERROR(_xlfn.XLOOKUP($A350,'Raw Data'!$G:$G,'Raw Data'!AI:AI),"")</f>
        <v/>
      </c>
      <c r="Y350" s="86" t="str">
        <f>IFERROR(_xlfn.XLOOKUP($A350,'Raw Data'!$G:$G,'Raw Data'!AJ:AJ),"")</f>
        <v/>
      </c>
      <c r="Z350" s="86" t="str">
        <f>IFERROR(_xlfn.XLOOKUP($A350,'Raw Data'!$G:$G,'Raw Data'!AK:AK),"")</f>
        <v/>
      </c>
      <c r="AA350" s="86" t="str">
        <f>IFERROR(_xlfn.XLOOKUP($A350,'Raw Data'!$G:$G,'Raw Data'!$AL:$AL)*(1+(_xlfn.XLOOKUP(Table13[[#This Row],[Month Year]],JMR!$A:$A,JMR!$J:$J))),"")</f>
        <v/>
      </c>
      <c r="AB350" s="86" t="str">
        <f>IFERROR(_xlfn.XLOOKUP($A350,'Raw Data'!$G:$G,'Raw Data'!$H:$H),"")</f>
        <v/>
      </c>
      <c r="AC350" s="87">
        <f>IFERROR(_xlfn.XLOOKUP($D350,'Modelling New'!$D:$D,'Modelling New'!$P:$P),"")</f>
        <v>6.7870967741935484</v>
      </c>
      <c r="AD350" s="86">
        <f>IFERROR(_xlfn.XLOOKUP($D350,'Modelling New'!$D:$D,'Modelling New'!$T:$T)*1000,"")</f>
        <v>33827.192387794741</v>
      </c>
      <c r="AE350" s="94">
        <f>IFERROR(_xlfn.XLOOKUP($D350,'Modelling New'!$D:$D,'Modelling New'!$O:$O),"")</f>
        <v>0.70205720444645303</v>
      </c>
      <c r="AF350" s="94">
        <f>IFERROR(_xlfn.XLOOKUP($D350,'Modelling New'!$D:$D,'Modelling New'!$W:$W),"")</f>
        <v>0.19853875781657757</v>
      </c>
      <c r="AG350" s="94">
        <f>IFERROR(_xlfn.XLOOKUP($D350,'Modelling New'!$D:$D,'Modelling New'!$AE:$AE),"")</f>
        <v>0.98040000000000005</v>
      </c>
      <c r="AH350" s="94">
        <f>IFERROR(_xlfn.XLOOKUP($D350,'Modelling New'!$D:$D,'Modelling New'!$AF:$AF),"")</f>
        <v>0.98</v>
      </c>
      <c r="AN350" s="85"/>
      <c r="AO350" s="84"/>
      <c r="AP350" s="84"/>
      <c r="AQ350" s="84"/>
      <c r="AR350" s="86">
        <f>'Basic Data'!$J$2</f>
        <v>7.0991999999999997</v>
      </c>
      <c r="AT350" s="7" t="str">
        <f>IFERROR(_xlfn.XLOOKUP(Table13[[#This Row],[Date]],'Raw Data'!$E:$E,'Raw Data'!$AN:$AN),"")</f>
        <v/>
      </c>
      <c r="AU350" s="7">
        <f>IFERROR(_xlfn.XLOOKUP(Table13[[#This Row],[Month Year]],'Modelling New'!$D:$D,'Modelling New'!$AO:$AO),"")</f>
        <v>7</v>
      </c>
      <c r="AV350" s="7">
        <f>IFERROR(SUMIF('Curtailment Records'!$C:$C,Table13[[#This Row],[Date]],'Curtailment Records'!$R:$R)/1000,"")</f>
        <v>0</v>
      </c>
    </row>
    <row r="351" spans="1:48" x14ac:dyDescent="0.25">
      <c r="A351" s="93">
        <f t="shared" si="22"/>
        <v>46094</v>
      </c>
      <c r="B351" s="86">
        <f>YEAR(Table13[[#This Row],[Date]])+IF(MONTH(Table13[[#This Row],[Date]])&gt;=4,1,0)</f>
        <v>2026</v>
      </c>
      <c r="C351" s="7">
        <f>YEAR(Table13[[#This Row],[Date]])</f>
        <v>2026</v>
      </c>
      <c r="D351" s="92">
        <f>Table13[[#This Row],[Date]]-DAY(Table13[[#This Row],[Date]])+1</f>
        <v>46082</v>
      </c>
      <c r="E351" s="7">
        <f t="shared" si="23"/>
        <v>31</v>
      </c>
      <c r="F351" s="91" t="str">
        <f>IFERROR(_xlfn.XLOOKUP($A351,'Raw Data'!$G:$G,'Raw Data'!$AM:$AM),"")</f>
        <v/>
      </c>
      <c r="G351" s="90" t="str">
        <f>IFERROR(_xlfn.XLOOKUP($A351,'Raw Data'!$G:$G,'Raw Data'!$AB:$AB),"")</f>
        <v/>
      </c>
      <c r="H351" s="90"/>
      <c r="I351" s="90" t="str">
        <f>IFERROR(_xlfn.XLOOKUP($A351,'Raw Data'!$G:$G,'Raw Data'!$AC:$AC),"")</f>
        <v/>
      </c>
      <c r="J351" s="90"/>
      <c r="K351" s="90" t="str">
        <f>IFERROR(_xlfn.XLOOKUP($A351,'Raw Data'!$G:$G,'Raw Data'!AD:AD),"")</f>
        <v/>
      </c>
      <c r="L351" s="90" t="str">
        <f>IFERROR(_xlfn.XLOOKUP($A351,'Raw Data'!$G:$G,'Raw Data'!AE:AE),"")</f>
        <v/>
      </c>
      <c r="M351" s="90" t="str">
        <f>IFERROR(_xlfn.XLOOKUP($A351,'Raw Data'!$G:$G,'Raw Data'!AF:AF),"")</f>
        <v/>
      </c>
      <c r="N351" s="90" t="str">
        <f>IFERROR(_xlfn.XLOOKUP($A351,'Raw Data'!$G:$G,'Raw Data'!AG:AG),"")</f>
        <v/>
      </c>
      <c r="O351" s="85" t="str">
        <f>IFERROR(1-SUMIF('Plant BD'!$B:$B,$A351,'Plant BD'!$AM:$AM)/($AA351+SUMIF('Plant BD'!$B:$B,$A351,'Plant BD'!$AM:$AM)),"")</f>
        <v/>
      </c>
      <c r="P351" s="85"/>
      <c r="Q351" s="89"/>
      <c r="R351" s="85" t="str">
        <f>IFERROR(1-SUMIF('Grid BD'!$B:$B,$A351,'Grid BD'!$AE:$AE)/($AA351+SUMIF('Grid BD'!$B:$B,$A351,'Grid BD'!$AE:$AE)),"")</f>
        <v/>
      </c>
      <c r="T351" s="89"/>
      <c r="U351" s="88" t="str">
        <f t="shared" si="21"/>
        <v/>
      </c>
      <c r="V351" s="88"/>
      <c r="W351" s="84" t="str">
        <f t="shared" si="20"/>
        <v/>
      </c>
      <c r="X351" s="86" t="str">
        <f>IFERROR(_xlfn.XLOOKUP($A351,'Raw Data'!$G:$G,'Raw Data'!AI:AI),"")</f>
        <v/>
      </c>
      <c r="Y351" s="86" t="str">
        <f>IFERROR(_xlfn.XLOOKUP($A351,'Raw Data'!$G:$G,'Raw Data'!AJ:AJ),"")</f>
        <v/>
      </c>
      <c r="Z351" s="86" t="str">
        <f>IFERROR(_xlfn.XLOOKUP($A351,'Raw Data'!$G:$G,'Raw Data'!AK:AK),"")</f>
        <v/>
      </c>
      <c r="AA351" s="86" t="str">
        <f>IFERROR(_xlfn.XLOOKUP($A351,'Raw Data'!$G:$G,'Raw Data'!$AL:$AL)*(1+(_xlfn.XLOOKUP(Table13[[#This Row],[Month Year]],JMR!$A:$A,JMR!$J:$J))),"")</f>
        <v/>
      </c>
      <c r="AB351" s="86" t="str">
        <f>IFERROR(_xlfn.XLOOKUP($A351,'Raw Data'!$G:$G,'Raw Data'!$H:$H),"")</f>
        <v/>
      </c>
      <c r="AC351" s="87">
        <f>IFERROR(_xlfn.XLOOKUP($D351,'Modelling New'!$D:$D,'Modelling New'!$P:$P),"")</f>
        <v>6.7870967741935484</v>
      </c>
      <c r="AD351" s="86">
        <f>IFERROR(_xlfn.XLOOKUP($D351,'Modelling New'!$D:$D,'Modelling New'!$T:$T)*1000,"")</f>
        <v>33827.192387794741</v>
      </c>
      <c r="AE351" s="94">
        <f>IFERROR(_xlfn.XLOOKUP($D351,'Modelling New'!$D:$D,'Modelling New'!$O:$O),"")</f>
        <v>0.70205720444645303</v>
      </c>
      <c r="AF351" s="94">
        <f>IFERROR(_xlfn.XLOOKUP($D351,'Modelling New'!$D:$D,'Modelling New'!$W:$W),"")</f>
        <v>0.19853875781657757</v>
      </c>
      <c r="AG351" s="94">
        <f>IFERROR(_xlfn.XLOOKUP($D351,'Modelling New'!$D:$D,'Modelling New'!$AE:$AE),"")</f>
        <v>0.98040000000000005</v>
      </c>
      <c r="AH351" s="94">
        <f>IFERROR(_xlfn.XLOOKUP($D351,'Modelling New'!$D:$D,'Modelling New'!$AF:$AF),"")</f>
        <v>0.98</v>
      </c>
      <c r="AN351" s="85"/>
      <c r="AO351" s="84"/>
      <c r="AP351" s="84"/>
      <c r="AQ351" s="84"/>
      <c r="AR351" s="86">
        <f>'Basic Data'!$J$2</f>
        <v>7.0991999999999997</v>
      </c>
      <c r="AT351" s="7" t="str">
        <f>IFERROR(_xlfn.XLOOKUP(Table13[[#This Row],[Date]],'Raw Data'!$E:$E,'Raw Data'!$AN:$AN),"")</f>
        <v/>
      </c>
      <c r="AU351" s="7">
        <f>IFERROR(_xlfn.XLOOKUP(Table13[[#This Row],[Month Year]],'Modelling New'!$D:$D,'Modelling New'!$AO:$AO),"")</f>
        <v>7</v>
      </c>
      <c r="AV351" s="7">
        <f>IFERROR(SUMIF('Curtailment Records'!$C:$C,Table13[[#This Row],[Date]],'Curtailment Records'!$R:$R)/1000,"")</f>
        <v>0</v>
      </c>
    </row>
    <row r="352" spans="1:48" x14ac:dyDescent="0.25">
      <c r="A352" s="93">
        <f t="shared" si="22"/>
        <v>46095</v>
      </c>
      <c r="B352" s="86">
        <f>YEAR(Table13[[#This Row],[Date]])+IF(MONTH(Table13[[#This Row],[Date]])&gt;=4,1,0)</f>
        <v>2026</v>
      </c>
      <c r="C352" s="7">
        <f>YEAR(Table13[[#This Row],[Date]])</f>
        <v>2026</v>
      </c>
      <c r="D352" s="92">
        <f>Table13[[#This Row],[Date]]-DAY(Table13[[#This Row],[Date]])+1</f>
        <v>46082</v>
      </c>
      <c r="E352" s="7">
        <f t="shared" si="23"/>
        <v>31</v>
      </c>
      <c r="F352" s="91" t="str">
        <f>IFERROR(_xlfn.XLOOKUP($A352,'Raw Data'!$G:$G,'Raw Data'!$AM:$AM),"")</f>
        <v/>
      </c>
      <c r="G352" s="90" t="str">
        <f>IFERROR(_xlfn.XLOOKUP($A352,'Raw Data'!$G:$G,'Raw Data'!$AB:$AB),"")</f>
        <v/>
      </c>
      <c r="H352" s="90"/>
      <c r="I352" s="90" t="str">
        <f>IFERROR(_xlfn.XLOOKUP($A352,'Raw Data'!$G:$G,'Raw Data'!$AC:$AC),"")</f>
        <v/>
      </c>
      <c r="J352" s="90"/>
      <c r="K352" s="90" t="str">
        <f>IFERROR(_xlfn.XLOOKUP($A352,'Raw Data'!$G:$G,'Raw Data'!AD:AD),"")</f>
        <v/>
      </c>
      <c r="L352" s="90" t="str">
        <f>IFERROR(_xlfn.XLOOKUP($A352,'Raw Data'!$G:$G,'Raw Data'!AE:AE),"")</f>
        <v/>
      </c>
      <c r="M352" s="90" t="str">
        <f>IFERROR(_xlfn.XLOOKUP($A352,'Raw Data'!$G:$G,'Raw Data'!AF:AF),"")</f>
        <v/>
      </c>
      <c r="N352" s="90" t="str">
        <f>IFERROR(_xlfn.XLOOKUP($A352,'Raw Data'!$G:$G,'Raw Data'!AG:AG),"")</f>
        <v/>
      </c>
      <c r="O352" s="85" t="str">
        <f>IFERROR(1-SUMIF('Plant BD'!$B:$B,$A352,'Plant BD'!$AM:$AM)/($AA352+SUMIF('Plant BD'!$B:$B,$A352,'Plant BD'!$AM:$AM)),"")</f>
        <v/>
      </c>
      <c r="P352" s="85"/>
      <c r="Q352" s="89"/>
      <c r="R352" s="85" t="str">
        <f>IFERROR(1-SUMIF('Grid BD'!$B:$B,$A352,'Grid BD'!$AE:$AE)/($AA352+SUMIF('Grid BD'!$B:$B,$A352,'Grid BD'!$AE:$AE)),"")</f>
        <v/>
      </c>
      <c r="T352" s="89"/>
      <c r="U352" s="88" t="str">
        <f t="shared" si="21"/>
        <v/>
      </c>
      <c r="V352" s="88"/>
      <c r="W352" s="84" t="str">
        <f t="shared" si="20"/>
        <v/>
      </c>
      <c r="X352" s="86" t="str">
        <f>IFERROR(_xlfn.XLOOKUP($A352,'Raw Data'!$G:$G,'Raw Data'!AI:AI),"")</f>
        <v/>
      </c>
      <c r="Y352" s="86" t="str">
        <f>IFERROR(_xlfn.XLOOKUP($A352,'Raw Data'!$G:$G,'Raw Data'!AJ:AJ),"")</f>
        <v/>
      </c>
      <c r="Z352" s="86" t="str">
        <f>IFERROR(_xlfn.XLOOKUP($A352,'Raw Data'!$G:$G,'Raw Data'!AK:AK),"")</f>
        <v/>
      </c>
      <c r="AA352" s="86" t="str">
        <f>IFERROR(_xlfn.XLOOKUP($A352,'Raw Data'!$G:$G,'Raw Data'!$AL:$AL)*(1+(_xlfn.XLOOKUP(Table13[[#This Row],[Month Year]],JMR!$A:$A,JMR!$J:$J))),"")</f>
        <v/>
      </c>
      <c r="AB352" s="86" t="str">
        <f>IFERROR(_xlfn.XLOOKUP($A352,'Raw Data'!$G:$G,'Raw Data'!$H:$H),"")</f>
        <v/>
      </c>
      <c r="AC352" s="87">
        <f>IFERROR(_xlfn.XLOOKUP($D352,'Modelling New'!$D:$D,'Modelling New'!$P:$P),"")</f>
        <v>6.7870967741935484</v>
      </c>
      <c r="AD352" s="86">
        <f>IFERROR(_xlfn.XLOOKUP($D352,'Modelling New'!$D:$D,'Modelling New'!$T:$T)*1000,"")</f>
        <v>33827.192387794741</v>
      </c>
      <c r="AE352" s="94">
        <f>IFERROR(_xlfn.XLOOKUP($D352,'Modelling New'!$D:$D,'Modelling New'!$O:$O),"")</f>
        <v>0.70205720444645303</v>
      </c>
      <c r="AF352" s="94">
        <f>IFERROR(_xlfn.XLOOKUP($D352,'Modelling New'!$D:$D,'Modelling New'!$W:$W),"")</f>
        <v>0.19853875781657757</v>
      </c>
      <c r="AG352" s="94">
        <f>IFERROR(_xlfn.XLOOKUP($D352,'Modelling New'!$D:$D,'Modelling New'!$AE:$AE),"")</f>
        <v>0.98040000000000005</v>
      </c>
      <c r="AH352" s="94">
        <f>IFERROR(_xlfn.XLOOKUP($D352,'Modelling New'!$D:$D,'Modelling New'!$AF:$AF),"")</f>
        <v>0.98</v>
      </c>
      <c r="AN352" s="85"/>
      <c r="AO352" s="84"/>
      <c r="AP352" s="84"/>
      <c r="AQ352" s="84"/>
      <c r="AR352" s="86">
        <f>'Basic Data'!$J$2</f>
        <v>7.0991999999999997</v>
      </c>
      <c r="AT352" s="7" t="str">
        <f>IFERROR(_xlfn.XLOOKUP(Table13[[#This Row],[Date]],'Raw Data'!$E:$E,'Raw Data'!$AN:$AN),"")</f>
        <v/>
      </c>
      <c r="AU352" s="7">
        <f>IFERROR(_xlfn.XLOOKUP(Table13[[#This Row],[Month Year]],'Modelling New'!$D:$D,'Modelling New'!$AO:$AO),"")</f>
        <v>7</v>
      </c>
      <c r="AV352" s="7">
        <f>IFERROR(SUMIF('Curtailment Records'!$C:$C,Table13[[#This Row],[Date]],'Curtailment Records'!$R:$R)/1000,"")</f>
        <v>0</v>
      </c>
    </row>
    <row r="353" spans="1:48" x14ac:dyDescent="0.25">
      <c r="A353" s="93">
        <f t="shared" si="22"/>
        <v>46096</v>
      </c>
      <c r="B353" s="86">
        <f>YEAR(Table13[[#This Row],[Date]])+IF(MONTH(Table13[[#This Row],[Date]])&gt;=4,1,0)</f>
        <v>2026</v>
      </c>
      <c r="C353" s="7">
        <f>YEAR(Table13[[#This Row],[Date]])</f>
        <v>2026</v>
      </c>
      <c r="D353" s="92">
        <f>Table13[[#This Row],[Date]]-DAY(Table13[[#This Row],[Date]])+1</f>
        <v>46082</v>
      </c>
      <c r="E353" s="7">
        <f t="shared" si="23"/>
        <v>31</v>
      </c>
      <c r="F353" s="91" t="str">
        <f>IFERROR(_xlfn.XLOOKUP($A353,'Raw Data'!$G:$G,'Raw Data'!$AM:$AM),"")</f>
        <v/>
      </c>
      <c r="G353" s="90" t="str">
        <f>IFERROR(_xlfn.XLOOKUP($A353,'Raw Data'!$G:$G,'Raw Data'!$AB:$AB),"")</f>
        <v/>
      </c>
      <c r="H353" s="90"/>
      <c r="I353" s="90" t="str">
        <f>IFERROR(_xlfn.XLOOKUP($A353,'Raw Data'!$G:$G,'Raw Data'!$AC:$AC),"")</f>
        <v/>
      </c>
      <c r="J353" s="90"/>
      <c r="K353" s="90" t="str">
        <f>IFERROR(_xlfn.XLOOKUP($A353,'Raw Data'!$G:$G,'Raw Data'!AD:AD),"")</f>
        <v/>
      </c>
      <c r="L353" s="90" t="str">
        <f>IFERROR(_xlfn.XLOOKUP($A353,'Raw Data'!$G:$G,'Raw Data'!AE:AE),"")</f>
        <v/>
      </c>
      <c r="M353" s="90" t="str">
        <f>IFERROR(_xlfn.XLOOKUP($A353,'Raw Data'!$G:$G,'Raw Data'!AF:AF),"")</f>
        <v/>
      </c>
      <c r="N353" s="90" t="str">
        <f>IFERROR(_xlfn.XLOOKUP($A353,'Raw Data'!$G:$G,'Raw Data'!AG:AG),"")</f>
        <v/>
      </c>
      <c r="O353" s="85" t="str">
        <f>IFERROR(1-SUMIF('Plant BD'!$B:$B,$A353,'Plant BD'!$AM:$AM)/($AA353+SUMIF('Plant BD'!$B:$B,$A353,'Plant BD'!$AM:$AM)),"")</f>
        <v/>
      </c>
      <c r="P353" s="85"/>
      <c r="Q353" s="89"/>
      <c r="R353" s="85" t="str">
        <f>IFERROR(1-SUMIF('Grid BD'!$B:$B,$A353,'Grid BD'!$AE:$AE)/($AA353+SUMIF('Grid BD'!$B:$B,$A353,'Grid BD'!$AE:$AE)),"")</f>
        <v/>
      </c>
      <c r="T353" s="89"/>
      <c r="U353" s="88" t="str">
        <f t="shared" si="21"/>
        <v/>
      </c>
      <c r="V353" s="88"/>
      <c r="W353" s="84" t="str">
        <f t="shared" si="20"/>
        <v/>
      </c>
      <c r="X353" s="86" t="str">
        <f>IFERROR(_xlfn.XLOOKUP($A353,'Raw Data'!$G:$G,'Raw Data'!AI:AI),"")</f>
        <v/>
      </c>
      <c r="Y353" s="86" t="str">
        <f>IFERROR(_xlfn.XLOOKUP($A353,'Raw Data'!$G:$G,'Raw Data'!AJ:AJ),"")</f>
        <v/>
      </c>
      <c r="Z353" s="86" t="str">
        <f>IFERROR(_xlfn.XLOOKUP($A353,'Raw Data'!$G:$G,'Raw Data'!AK:AK),"")</f>
        <v/>
      </c>
      <c r="AA353" s="86" t="str">
        <f>IFERROR(_xlfn.XLOOKUP($A353,'Raw Data'!$G:$G,'Raw Data'!$AL:$AL)*(1+(_xlfn.XLOOKUP(Table13[[#This Row],[Month Year]],JMR!$A:$A,JMR!$J:$J))),"")</f>
        <v/>
      </c>
      <c r="AB353" s="86" t="str">
        <f>IFERROR(_xlfn.XLOOKUP($A353,'Raw Data'!$G:$G,'Raw Data'!$H:$H),"")</f>
        <v/>
      </c>
      <c r="AC353" s="87">
        <f>IFERROR(_xlfn.XLOOKUP($D353,'Modelling New'!$D:$D,'Modelling New'!$P:$P),"")</f>
        <v>6.7870967741935484</v>
      </c>
      <c r="AD353" s="86">
        <f>IFERROR(_xlfn.XLOOKUP($D353,'Modelling New'!$D:$D,'Modelling New'!$T:$T)*1000,"")</f>
        <v>33827.192387794741</v>
      </c>
      <c r="AE353" s="94">
        <f>IFERROR(_xlfn.XLOOKUP($D353,'Modelling New'!$D:$D,'Modelling New'!$O:$O),"")</f>
        <v>0.70205720444645303</v>
      </c>
      <c r="AF353" s="94">
        <f>IFERROR(_xlfn.XLOOKUP($D353,'Modelling New'!$D:$D,'Modelling New'!$W:$W),"")</f>
        <v>0.19853875781657757</v>
      </c>
      <c r="AG353" s="94">
        <f>IFERROR(_xlfn.XLOOKUP($D353,'Modelling New'!$D:$D,'Modelling New'!$AE:$AE),"")</f>
        <v>0.98040000000000005</v>
      </c>
      <c r="AH353" s="94">
        <f>IFERROR(_xlfn.XLOOKUP($D353,'Modelling New'!$D:$D,'Modelling New'!$AF:$AF),"")</f>
        <v>0.98</v>
      </c>
      <c r="AN353" s="85"/>
      <c r="AO353" s="84"/>
      <c r="AP353" s="84"/>
      <c r="AQ353" s="84"/>
      <c r="AR353" s="86">
        <f>'Basic Data'!$J$2</f>
        <v>7.0991999999999997</v>
      </c>
      <c r="AT353" s="7" t="str">
        <f>IFERROR(_xlfn.XLOOKUP(Table13[[#This Row],[Date]],'Raw Data'!$E:$E,'Raw Data'!$AN:$AN),"")</f>
        <v/>
      </c>
      <c r="AU353" s="7">
        <f>IFERROR(_xlfn.XLOOKUP(Table13[[#This Row],[Month Year]],'Modelling New'!$D:$D,'Modelling New'!$AO:$AO),"")</f>
        <v>7</v>
      </c>
      <c r="AV353" s="7">
        <f>IFERROR(SUMIF('Curtailment Records'!$C:$C,Table13[[#This Row],[Date]],'Curtailment Records'!$R:$R)/1000,"")</f>
        <v>0</v>
      </c>
    </row>
    <row r="354" spans="1:48" x14ac:dyDescent="0.25">
      <c r="A354" s="93">
        <f t="shared" si="22"/>
        <v>46097</v>
      </c>
      <c r="B354" s="86">
        <f>YEAR(Table13[[#This Row],[Date]])+IF(MONTH(Table13[[#This Row],[Date]])&gt;=4,1,0)</f>
        <v>2026</v>
      </c>
      <c r="C354" s="7">
        <f>YEAR(Table13[[#This Row],[Date]])</f>
        <v>2026</v>
      </c>
      <c r="D354" s="92">
        <f>Table13[[#This Row],[Date]]-DAY(Table13[[#This Row],[Date]])+1</f>
        <v>46082</v>
      </c>
      <c r="E354" s="7">
        <f t="shared" si="23"/>
        <v>31</v>
      </c>
      <c r="F354" s="91" t="str">
        <f>IFERROR(_xlfn.XLOOKUP($A354,'Raw Data'!$G:$G,'Raw Data'!$AM:$AM),"")</f>
        <v/>
      </c>
      <c r="G354" s="90" t="str">
        <f>IFERROR(_xlfn.XLOOKUP($A354,'Raw Data'!$G:$G,'Raw Data'!$AB:$AB),"")</f>
        <v/>
      </c>
      <c r="H354" s="90"/>
      <c r="I354" s="90" t="str">
        <f>IFERROR(_xlfn.XLOOKUP($A354,'Raw Data'!$G:$G,'Raw Data'!$AC:$AC),"")</f>
        <v/>
      </c>
      <c r="J354" s="90"/>
      <c r="K354" s="90" t="str">
        <f>IFERROR(_xlfn.XLOOKUP($A354,'Raw Data'!$G:$G,'Raw Data'!AD:AD),"")</f>
        <v/>
      </c>
      <c r="L354" s="90" t="str">
        <f>IFERROR(_xlfn.XLOOKUP($A354,'Raw Data'!$G:$G,'Raw Data'!AE:AE),"")</f>
        <v/>
      </c>
      <c r="M354" s="90" t="str">
        <f>IFERROR(_xlfn.XLOOKUP($A354,'Raw Data'!$G:$G,'Raw Data'!AF:AF),"")</f>
        <v/>
      </c>
      <c r="N354" s="90" t="str">
        <f>IFERROR(_xlfn.XLOOKUP($A354,'Raw Data'!$G:$G,'Raw Data'!AG:AG),"")</f>
        <v/>
      </c>
      <c r="O354" s="85" t="str">
        <f>IFERROR(1-SUMIF('Plant BD'!$B:$B,$A354,'Plant BD'!$AM:$AM)/($AA354+SUMIF('Plant BD'!$B:$B,$A354,'Plant BD'!$AM:$AM)),"")</f>
        <v/>
      </c>
      <c r="P354" s="85"/>
      <c r="Q354" s="89"/>
      <c r="R354" s="85" t="str">
        <f>IFERROR(1-SUMIF('Grid BD'!$B:$B,$A354,'Grid BD'!$AE:$AE)/($AA354+SUMIF('Grid BD'!$B:$B,$A354,'Grid BD'!$AE:$AE)),"")</f>
        <v/>
      </c>
      <c r="T354" s="89"/>
      <c r="U354" s="88" t="str">
        <f t="shared" si="21"/>
        <v/>
      </c>
      <c r="V354" s="88"/>
      <c r="W354" s="84" t="str">
        <f t="shared" si="20"/>
        <v/>
      </c>
      <c r="X354" s="86" t="str">
        <f>IFERROR(_xlfn.XLOOKUP($A354,'Raw Data'!$G:$G,'Raw Data'!AI:AI),"")</f>
        <v/>
      </c>
      <c r="Y354" s="86" t="str">
        <f>IFERROR(_xlfn.XLOOKUP($A354,'Raw Data'!$G:$G,'Raw Data'!AJ:AJ),"")</f>
        <v/>
      </c>
      <c r="Z354" s="86" t="str">
        <f>IFERROR(_xlfn.XLOOKUP($A354,'Raw Data'!$G:$G,'Raw Data'!AK:AK),"")</f>
        <v/>
      </c>
      <c r="AA354" s="86" t="str">
        <f>IFERROR(_xlfn.XLOOKUP($A354,'Raw Data'!$G:$G,'Raw Data'!$AL:$AL)*(1+(_xlfn.XLOOKUP(Table13[[#This Row],[Month Year]],JMR!$A:$A,JMR!$J:$J))),"")</f>
        <v/>
      </c>
      <c r="AB354" s="86" t="str">
        <f>IFERROR(_xlfn.XLOOKUP($A354,'Raw Data'!$G:$G,'Raw Data'!$H:$H),"")</f>
        <v/>
      </c>
      <c r="AC354" s="87">
        <f>IFERROR(_xlfn.XLOOKUP($D354,'Modelling New'!$D:$D,'Modelling New'!$P:$P),"")</f>
        <v>6.7870967741935484</v>
      </c>
      <c r="AD354" s="86">
        <f>IFERROR(_xlfn.XLOOKUP($D354,'Modelling New'!$D:$D,'Modelling New'!$T:$T)*1000,"")</f>
        <v>33827.192387794741</v>
      </c>
      <c r="AE354" s="94">
        <f>IFERROR(_xlfn.XLOOKUP($D354,'Modelling New'!$D:$D,'Modelling New'!$O:$O),"")</f>
        <v>0.70205720444645303</v>
      </c>
      <c r="AF354" s="94">
        <f>IFERROR(_xlfn.XLOOKUP($D354,'Modelling New'!$D:$D,'Modelling New'!$W:$W),"")</f>
        <v>0.19853875781657757</v>
      </c>
      <c r="AG354" s="94">
        <f>IFERROR(_xlfn.XLOOKUP($D354,'Modelling New'!$D:$D,'Modelling New'!$AE:$AE),"")</f>
        <v>0.98040000000000005</v>
      </c>
      <c r="AH354" s="94">
        <f>IFERROR(_xlfn.XLOOKUP($D354,'Modelling New'!$D:$D,'Modelling New'!$AF:$AF),"")</f>
        <v>0.98</v>
      </c>
      <c r="AN354" s="85"/>
      <c r="AO354" s="84"/>
      <c r="AP354" s="84"/>
      <c r="AQ354" s="84"/>
      <c r="AR354" s="86">
        <f>'Basic Data'!$J$2</f>
        <v>7.0991999999999997</v>
      </c>
      <c r="AT354" s="7" t="str">
        <f>IFERROR(_xlfn.XLOOKUP(Table13[[#This Row],[Date]],'Raw Data'!$E:$E,'Raw Data'!$AN:$AN),"")</f>
        <v/>
      </c>
      <c r="AU354" s="7">
        <f>IFERROR(_xlfn.XLOOKUP(Table13[[#This Row],[Month Year]],'Modelling New'!$D:$D,'Modelling New'!$AO:$AO),"")</f>
        <v>7</v>
      </c>
      <c r="AV354" s="7">
        <f>IFERROR(SUMIF('Curtailment Records'!$C:$C,Table13[[#This Row],[Date]],'Curtailment Records'!$R:$R)/1000,"")</f>
        <v>0</v>
      </c>
    </row>
    <row r="355" spans="1:48" x14ac:dyDescent="0.25">
      <c r="A355" s="93">
        <f t="shared" si="22"/>
        <v>46098</v>
      </c>
      <c r="B355" s="86">
        <f>YEAR(Table13[[#This Row],[Date]])+IF(MONTH(Table13[[#This Row],[Date]])&gt;=4,1,0)</f>
        <v>2026</v>
      </c>
      <c r="C355" s="7">
        <f>YEAR(Table13[[#This Row],[Date]])</f>
        <v>2026</v>
      </c>
      <c r="D355" s="92">
        <f>Table13[[#This Row],[Date]]-DAY(Table13[[#This Row],[Date]])+1</f>
        <v>46082</v>
      </c>
      <c r="E355" s="7">
        <f t="shared" si="23"/>
        <v>31</v>
      </c>
      <c r="F355" s="91" t="str">
        <f>IFERROR(_xlfn.XLOOKUP($A355,'Raw Data'!$G:$G,'Raw Data'!$AM:$AM),"")</f>
        <v/>
      </c>
      <c r="G355" s="90" t="str">
        <f>IFERROR(_xlfn.XLOOKUP($A355,'Raw Data'!$G:$G,'Raw Data'!$AB:$AB),"")</f>
        <v/>
      </c>
      <c r="H355" s="90"/>
      <c r="I355" s="90" t="str">
        <f>IFERROR(_xlfn.XLOOKUP($A355,'Raw Data'!$G:$G,'Raw Data'!$AC:$AC),"")</f>
        <v/>
      </c>
      <c r="J355" s="90"/>
      <c r="K355" s="90" t="str">
        <f>IFERROR(_xlfn.XLOOKUP($A355,'Raw Data'!$G:$G,'Raw Data'!AD:AD),"")</f>
        <v/>
      </c>
      <c r="L355" s="90" t="str">
        <f>IFERROR(_xlfn.XLOOKUP($A355,'Raw Data'!$G:$G,'Raw Data'!AE:AE),"")</f>
        <v/>
      </c>
      <c r="M355" s="90" t="str">
        <f>IFERROR(_xlfn.XLOOKUP($A355,'Raw Data'!$G:$G,'Raw Data'!AF:AF),"")</f>
        <v/>
      </c>
      <c r="N355" s="90" t="str">
        <f>IFERROR(_xlfn.XLOOKUP($A355,'Raw Data'!$G:$G,'Raw Data'!AG:AG),"")</f>
        <v/>
      </c>
      <c r="O355" s="85" t="str">
        <f>IFERROR(1-SUMIF('Plant BD'!$B:$B,$A355,'Plant BD'!$AM:$AM)/($AA355+SUMIF('Plant BD'!$B:$B,$A355,'Plant BD'!$AM:$AM)),"")</f>
        <v/>
      </c>
      <c r="P355" s="85"/>
      <c r="Q355" s="89"/>
      <c r="R355" s="85" t="str">
        <f>IFERROR(1-SUMIF('Grid BD'!$B:$B,$A355,'Grid BD'!$AE:$AE)/($AA355+SUMIF('Grid BD'!$B:$B,$A355,'Grid BD'!$AE:$AE)),"")</f>
        <v/>
      </c>
      <c r="T355" s="89"/>
      <c r="U355" s="88" t="str">
        <f t="shared" si="21"/>
        <v/>
      </c>
      <c r="V355" s="88"/>
      <c r="W355" s="84" t="str">
        <f t="shared" si="20"/>
        <v/>
      </c>
      <c r="X355" s="86" t="str">
        <f>IFERROR(_xlfn.XLOOKUP($A355,'Raw Data'!$G:$G,'Raw Data'!AI:AI),"")</f>
        <v/>
      </c>
      <c r="Y355" s="86" t="str">
        <f>IFERROR(_xlfn.XLOOKUP($A355,'Raw Data'!$G:$G,'Raw Data'!AJ:AJ),"")</f>
        <v/>
      </c>
      <c r="Z355" s="86" t="str">
        <f>IFERROR(_xlfn.XLOOKUP($A355,'Raw Data'!$G:$G,'Raw Data'!AK:AK),"")</f>
        <v/>
      </c>
      <c r="AA355" s="86" t="str">
        <f>IFERROR(_xlfn.XLOOKUP($A355,'Raw Data'!$G:$G,'Raw Data'!$AL:$AL)*(1+(_xlfn.XLOOKUP(Table13[[#This Row],[Month Year]],JMR!$A:$A,JMR!$J:$J))),"")</f>
        <v/>
      </c>
      <c r="AB355" s="86" t="str">
        <f>IFERROR(_xlfn.XLOOKUP($A355,'Raw Data'!$G:$G,'Raw Data'!$H:$H),"")</f>
        <v/>
      </c>
      <c r="AC355" s="87">
        <f>IFERROR(_xlfn.XLOOKUP($D355,'Modelling New'!$D:$D,'Modelling New'!$P:$P),"")</f>
        <v>6.7870967741935484</v>
      </c>
      <c r="AD355" s="86">
        <f>IFERROR(_xlfn.XLOOKUP($D355,'Modelling New'!$D:$D,'Modelling New'!$T:$T)*1000,"")</f>
        <v>33827.192387794741</v>
      </c>
      <c r="AE355" s="94">
        <f>IFERROR(_xlfn.XLOOKUP($D355,'Modelling New'!$D:$D,'Modelling New'!$O:$O),"")</f>
        <v>0.70205720444645303</v>
      </c>
      <c r="AF355" s="94">
        <f>IFERROR(_xlfn.XLOOKUP($D355,'Modelling New'!$D:$D,'Modelling New'!$W:$W),"")</f>
        <v>0.19853875781657757</v>
      </c>
      <c r="AG355" s="94">
        <f>IFERROR(_xlfn.XLOOKUP($D355,'Modelling New'!$D:$D,'Modelling New'!$AE:$AE),"")</f>
        <v>0.98040000000000005</v>
      </c>
      <c r="AH355" s="94">
        <f>IFERROR(_xlfn.XLOOKUP($D355,'Modelling New'!$D:$D,'Modelling New'!$AF:$AF),"")</f>
        <v>0.98</v>
      </c>
      <c r="AN355" s="85"/>
      <c r="AO355" s="84"/>
      <c r="AP355" s="84"/>
      <c r="AQ355" s="84"/>
      <c r="AR355" s="86">
        <f>'Basic Data'!$J$2</f>
        <v>7.0991999999999997</v>
      </c>
      <c r="AT355" s="7" t="str">
        <f>IFERROR(_xlfn.XLOOKUP(Table13[[#This Row],[Date]],'Raw Data'!$E:$E,'Raw Data'!$AN:$AN),"")</f>
        <v/>
      </c>
      <c r="AU355" s="7">
        <f>IFERROR(_xlfn.XLOOKUP(Table13[[#This Row],[Month Year]],'Modelling New'!$D:$D,'Modelling New'!$AO:$AO),"")</f>
        <v>7</v>
      </c>
      <c r="AV355" s="7">
        <f>IFERROR(SUMIF('Curtailment Records'!$C:$C,Table13[[#This Row],[Date]],'Curtailment Records'!$R:$R)/1000,"")</f>
        <v>0</v>
      </c>
    </row>
    <row r="356" spans="1:48" x14ac:dyDescent="0.25">
      <c r="A356" s="93">
        <f t="shared" si="22"/>
        <v>46099</v>
      </c>
      <c r="B356" s="86">
        <f>YEAR(Table13[[#This Row],[Date]])+IF(MONTH(Table13[[#This Row],[Date]])&gt;=4,1,0)</f>
        <v>2026</v>
      </c>
      <c r="C356" s="7">
        <f>YEAR(Table13[[#This Row],[Date]])</f>
        <v>2026</v>
      </c>
      <c r="D356" s="92">
        <f>Table13[[#This Row],[Date]]-DAY(Table13[[#This Row],[Date]])+1</f>
        <v>46082</v>
      </c>
      <c r="E356" s="7">
        <f t="shared" si="23"/>
        <v>31</v>
      </c>
      <c r="F356" s="91" t="str">
        <f>IFERROR(_xlfn.XLOOKUP($A356,'Raw Data'!$G:$G,'Raw Data'!$AM:$AM),"")</f>
        <v/>
      </c>
      <c r="G356" s="90" t="str">
        <f>IFERROR(_xlfn.XLOOKUP($A356,'Raw Data'!$G:$G,'Raw Data'!$AB:$AB),"")</f>
        <v/>
      </c>
      <c r="H356" s="90"/>
      <c r="I356" s="90" t="str">
        <f>IFERROR(_xlfn.XLOOKUP($A356,'Raw Data'!$G:$G,'Raw Data'!$AC:$AC),"")</f>
        <v/>
      </c>
      <c r="J356" s="90"/>
      <c r="K356" s="90" t="str">
        <f>IFERROR(_xlfn.XLOOKUP($A356,'Raw Data'!$G:$G,'Raw Data'!AD:AD),"")</f>
        <v/>
      </c>
      <c r="L356" s="90" t="str">
        <f>IFERROR(_xlfn.XLOOKUP($A356,'Raw Data'!$G:$G,'Raw Data'!AE:AE),"")</f>
        <v/>
      </c>
      <c r="M356" s="90" t="str">
        <f>IFERROR(_xlfn.XLOOKUP($A356,'Raw Data'!$G:$G,'Raw Data'!AF:AF),"")</f>
        <v/>
      </c>
      <c r="N356" s="90" t="str">
        <f>IFERROR(_xlfn.XLOOKUP($A356,'Raw Data'!$G:$G,'Raw Data'!AG:AG),"")</f>
        <v/>
      </c>
      <c r="O356" s="85" t="str">
        <f>IFERROR(1-SUMIF('Plant BD'!$B:$B,$A356,'Plant BD'!$AM:$AM)/($AA356+SUMIF('Plant BD'!$B:$B,$A356,'Plant BD'!$AM:$AM)),"")</f>
        <v/>
      </c>
      <c r="P356" s="85"/>
      <c r="Q356" s="89"/>
      <c r="R356" s="85" t="str">
        <f>IFERROR(1-SUMIF('Grid BD'!$B:$B,$A356,'Grid BD'!$AE:$AE)/($AA356+SUMIF('Grid BD'!$B:$B,$A356,'Grid BD'!$AE:$AE)),"")</f>
        <v/>
      </c>
      <c r="T356" s="89"/>
      <c r="U356" s="88" t="str">
        <f t="shared" si="21"/>
        <v/>
      </c>
      <c r="V356" s="88"/>
      <c r="W356" s="84" t="str">
        <f t="shared" si="20"/>
        <v/>
      </c>
      <c r="X356" s="86" t="str">
        <f>IFERROR(_xlfn.XLOOKUP($A356,'Raw Data'!$G:$G,'Raw Data'!AI:AI),"")</f>
        <v/>
      </c>
      <c r="Y356" s="86" t="str">
        <f>IFERROR(_xlfn.XLOOKUP($A356,'Raw Data'!$G:$G,'Raw Data'!AJ:AJ),"")</f>
        <v/>
      </c>
      <c r="Z356" s="86" t="str">
        <f>IFERROR(_xlfn.XLOOKUP($A356,'Raw Data'!$G:$G,'Raw Data'!AK:AK),"")</f>
        <v/>
      </c>
      <c r="AA356" s="86" t="str">
        <f>IFERROR(_xlfn.XLOOKUP($A356,'Raw Data'!$G:$G,'Raw Data'!$AL:$AL)*(1+(_xlfn.XLOOKUP(Table13[[#This Row],[Month Year]],JMR!$A:$A,JMR!$J:$J))),"")</f>
        <v/>
      </c>
      <c r="AB356" s="86" t="str">
        <f>IFERROR(_xlfn.XLOOKUP($A356,'Raw Data'!$G:$G,'Raw Data'!$H:$H),"")</f>
        <v/>
      </c>
      <c r="AC356" s="87">
        <f>IFERROR(_xlfn.XLOOKUP($D356,'Modelling New'!$D:$D,'Modelling New'!$P:$P),"")</f>
        <v>6.7870967741935484</v>
      </c>
      <c r="AD356" s="86">
        <f>IFERROR(_xlfn.XLOOKUP($D356,'Modelling New'!$D:$D,'Modelling New'!$T:$T)*1000,"")</f>
        <v>33827.192387794741</v>
      </c>
      <c r="AE356" s="94">
        <f>IFERROR(_xlfn.XLOOKUP($D356,'Modelling New'!$D:$D,'Modelling New'!$O:$O),"")</f>
        <v>0.70205720444645303</v>
      </c>
      <c r="AF356" s="94">
        <f>IFERROR(_xlfn.XLOOKUP($D356,'Modelling New'!$D:$D,'Modelling New'!$W:$W),"")</f>
        <v>0.19853875781657757</v>
      </c>
      <c r="AG356" s="94">
        <f>IFERROR(_xlfn.XLOOKUP($D356,'Modelling New'!$D:$D,'Modelling New'!$AE:$AE),"")</f>
        <v>0.98040000000000005</v>
      </c>
      <c r="AH356" s="94">
        <f>IFERROR(_xlfn.XLOOKUP($D356,'Modelling New'!$D:$D,'Modelling New'!$AF:$AF),"")</f>
        <v>0.98</v>
      </c>
      <c r="AN356" s="85"/>
      <c r="AO356" s="84"/>
      <c r="AP356" s="84"/>
      <c r="AQ356" s="84"/>
      <c r="AR356" s="86">
        <f>'Basic Data'!$J$2</f>
        <v>7.0991999999999997</v>
      </c>
      <c r="AT356" s="7" t="str">
        <f>IFERROR(_xlfn.XLOOKUP(Table13[[#This Row],[Date]],'Raw Data'!$E:$E,'Raw Data'!$AN:$AN),"")</f>
        <v/>
      </c>
      <c r="AU356" s="7">
        <f>IFERROR(_xlfn.XLOOKUP(Table13[[#This Row],[Month Year]],'Modelling New'!$D:$D,'Modelling New'!$AO:$AO),"")</f>
        <v>7</v>
      </c>
      <c r="AV356" s="7">
        <f>IFERROR(SUMIF('Curtailment Records'!$C:$C,Table13[[#This Row],[Date]],'Curtailment Records'!$R:$R)/1000,"")</f>
        <v>0</v>
      </c>
    </row>
    <row r="357" spans="1:48" x14ac:dyDescent="0.25">
      <c r="A357" s="93">
        <f t="shared" si="22"/>
        <v>46100</v>
      </c>
      <c r="B357" s="86">
        <f>YEAR(Table13[[#This Row],[Date]])+IF(MONTH(Table13[[#This Row],[Date]])&gt;=4,1,0)</f>
        <v>2026</v>
      </c>
      <c r="C357" s="7">
        <f>YEAR(Table13[[#This Row],[Date]])</f>
        <v>2026</v>
      </c>
      <c r="D357" s="92">
        <f>Table13[[#This Row],[Date]]-DAY(Table13[[#This Row],[Date]])+1</f>
        <v>46082</v>
      </c>
      <c r="E357" s="7">
        <f t="shared" si="23"/>
        <v>31</v>
      </c>
      <c r="F357" s="91" t="str">
        <f>IFERROR(_xlfn.XLOOKUP($A357,'Raw Data'!$G:$G,'Raw Data'!$AM:$AM),"")</f>
        <v/>
      </c>
      <c r="G357" s="90" t="str">
        <f>IFERROR(_xlfn.XLOOKUP($A357,'Raw Data'!$G:$G,'Raw Data'!$AB:$AB),"")</f>
        <v/>
      </c>
      <c r="H357" s="90"/>
      <c r="I357" s="90" t="str">
        <f>IFERROR(_xlfn.XLOOKUP($A357,'Raw Data'!$G:$G,'Raw Data'!$AC:$AC),"")</f>
        <v/>
      </c>
      <c r="J357" s="90"/>
      <c r="K357" s="90" t="str">
        <f>IFERROR(_xlfn.XLOOKUP($A357,'Raw Data'!$G:$G,'Raw Data'!AD:AD),"")</f>
        <v/>
      </c>
      <c r="L357" s="90" t="str">
        <f>IFERROR(_xlfn.XLOOKUP($A357,'Raw Data'!$G:$G,'Raw Data'!AE:AE),"")</f>
        <v/>
      </c>
      <c r="M357" s="90" t="str">
        <f>IFERROR(_xlfn.XLOOKUP($A357,'Raw Data'!$G:$G,'Raw Data'!AF:AF),"")</f>
        <v/>
      </c>
      <c r="N357" s="90" t="str">
        <f>IFERROR(_xlfn.XLOOKUP($A357,'Raw Data'!$G:$G,'Raw Data'!AG:AG),"")</f>
        <v/>
      </c>
      <c r="O357" s="85" t="str">
        <f>IFERROR(1-SUMIF('Plant BD'!$B:$B,$A357,'Plant BD'!$AM:$AM)/($AA357+SUMIF('Plant BD'!$B:$B,$A357,'Plant BD'!$AM:$AM)),"")</f>
        <v/>
      </c>
      <c r="P357" s="85"/>
      <c r="Q357" s="89"/>
      <c r="R357" s="85" t="str">
        <f>IFERROR(1-SUMIF('Grid BD'!$B:$B,$A357,'Grid BD'!$AE:$AE)/($AA357+SUMIF('Grid BD'!$B:$B,$A357,'Grid BD'!$AE:$AE)),"")</f>
        <v/>
      </c>
      <c r="T357" s="89"/>
      <c r="U357" s="88" t="str">
        <f t="shared" si="21"/>
        <v/>
      </c>
      <c r="V357" s="88"/>
      <c r="W357" s="84" t="str">
        <f t="shared" si="20"/>
        <v/>
      </c>
      <c r="X357" s="86" t="str">
        <f>IFERROR(_xlfn.XLOOKUP($A357,'Raw Data'!$G:$G,'Raw Data'!AI:AI),"")</f>
        <v/>
      </c>
      <c r="Y357" s="86" t="str">
        <f>IFERROR(_xlfn.XLOOKUP($A357,'Raw Data'!$G:$G,'Raw Data'!AJ:AJ),"")</f>
        <v/>
      </c>
      <c r="Z357" s="86" t="str">
        <f>IFERROR(_xlfn.XLOOKUP($A357,'Raw Data'!$G:$G,'Raw Data'!AK:AK),"")</f>
        <v/>
      </c>
      <c r="AA357" s="86" t="str">
        <f>IFERROR(_xlfn.XLOOKUP($A357,'Raw Data'!$G:$G,'Raw Data'!$AL:$AL)*(1+(_xlfn.XLOOKUP(Table13[[#This Row],[Month Year]],JMR!$A:$A,JMR!$J:$J))),"")</f>
        <v/>
      </c>
      <c r="AB357" s="86" t="str">
        <f>IFERROR(_xlfn.XLOOKUP($A357,'Raw Data'!$G:$G,'Raw Data'!$H:$H),"")</f>
        <v/>
      </c>
      <c r="AC357" s="87">
        <f>IFERROR(_xlfn.XLOOKUP($D357,'Modelling New'!$D:$D,'Modelling New'!$P:$P),"")</f>
        <v>6.7870967741935484</v>
      </c>
      <c r="AD357" s="86">
        <f>IFERROR(_xlfn.XLOOKUP($D357,'Modelling New'!$D:$D,'Modelling New'!$T:$T)*1000,"")</f>
        <v>33827.192387794741</v>
      </c>
      <c r="AE357" s="94">
        <f>IFERROR(_xlfn.XLOOKUP($D357,'Modelling New'!$D:$D,'Modelling New'!$O:$O),"")</f>
        <v>0.70205720444645303</v>
      </c>
      <c r="AF357" s="94">
        <f>IFERROR(_xlfn.XLOOKUP($D357,'Modelling New'!$D:$D,'Modelling New'!$W:$W),"")</f>
        <v>0.19853875781657757</v>
      </c>
      <c r="AG357" s="94">
        <f>IFERROR(_xlfn.XLOOKUP($D357,'Modelling New'!$D:$D,'Modelling New'!$AE:$AE),"")</f>
        <v>0.98040000000000005</v>
      </c>
      <c r="AH357" s="94">
        <f>IFERROR(_xlfn.XLOOKUP($D357,'Modelling New'!$D:$D,'Modelling New'!$AF:$AF),"")</f>
        <v>0.98</v>
      </c>
      <c r="AN357" s="85"/>
      <c r="AO357" s="84"/>
      <c r="AP357" s="84"/>
      <c r="AQ357" s="84"/>
      <c r="AR357" s="86">
        <f>'Basic Data'!$J$2</f>
        <v>7.0991999999999997</v>
      </c>
      <c r="AT357" s="7" t="str">
        <f>IFERROR(_xlfn.XLOOKUP(Table13[[#This Row],[Date]],'Raw Data'!$E:$E,'Raw Data'!$AN:$AN),"")</f>
        <v/>
      </c>
      <c r="AU357" s="7">
        <f>IFERROR(_xlfn.XLOOKUP(Table13[[#This Row],[Month Year]],'Modelling New'!$D:$D,'Modelling New'!$AO:$AO),"")</f>
        <v>7</v>
      </c>
      <c r="AV357" s="7">
        <f>IFERROR(SUMIF('Curtailment Records'!$C:$C,Table13[[#This Row],[Date]],'Curtailment Records'!$R:$R)/1000,"")</f>
        <v>0</v>
      </c>
    </row>
    <row r="358" spans="1:48" x14ac:dyDescent="0.25">
      <c r="A358" s="93">
        <f t="shared" si="22"/>
        <v>46101</v>
      </c>
      <c r="B358" s="86">
        <f>YEAR(Table13[[#This Row],[Date]])+IF(MONTH(Table13[[#This Row],[Date]])&gt;=4,1,0)</f>
        <v>2026</v>
      </c>
      <c r="C358" s="7">
        <f>YEAR(Table13[[#This Row],[Date]])</f>
        <v>2026</v>
      </c>
      <c r="D358" s="92">
        <f>Table13[[#This Row],[Date]]-DAY(Table13[[#This Row],[Date]])+1</f>
        <v>46082</v>
      </c>
      <c r="E358" s="7">
        <f t="shared" si="23"/>
        <v>31</v>
      </c>
      <c r="F358" s="91" t="str">
        <f>IFERROR(_xlfn.XLOOKUP($A358,'Raw Data'!$G:$G,'Raw Data'!$AM:$AM),"")</f>
        <v/>
      </c>
      <c r="G358" s="90" t="str">
        <f>IFERROR(_xlfn.XLOOKUP($A358,'Raw Data'!$G:$G,'Raw Data'!$AB:$AB),"")</f>
        <v/>
      </c>
      <c r="H358" s="90"/>
      <c r="I358" s="90" t="str">
        <f>IFERROR(_xlfn.XLOOKUP($A358,'Raw Data'!$G:$G,'Raw Data'!$AC:$AC),"")</f>
        <v/>
      </c>
      <c r="J358" s="90"/>
      <c r="K358" s="90" t="str">
        <f>IFERROR(_xlfn.XLOOKUP($A358,'Raw Data'!$G:$G,'Raw Data'!AD:AD),"")</f>
        <v/>
      </c>
      <c r="L358" s="90" t="str">
        <f>IFERROR(_xlfn.XLOOKUP($A358,'Raw Data'!$G:$G,'Raw Data'!AE:AE),"")</f>
        <v/>
      </c>
      <c r="M358" s="90" t="str">
        <f>IFERROR(_xlfn.XLOOKUP($A358,'Raw Data'!$G:$G,'Raw Data'!AF:AF),"")</f>
        <v/>
      </c>
      <c r="N358" s="90" t="str">
        <f>IFERROR(_xlfn.XLOOKUP($A358,'Raw Data'!$G:$G,'Raw Data'!AG:AG),"")</f>
        <v/>
      </c>
      <c r="O358" s="85" t="str">
        <f>IFERROR(1-SUMIF('Plant BD'!$B:$B,$A358,'Plant BD'!$AM:$AM)/($AA358+SUMIF('Plant BD'!$B:$B,$A358,'Plant BD'!$AM:$AM)),"")</f>
        <v/>
      </c>
      <c r="P358" s="85"/>
      <c r="Q358" s="89"/>
      <c r="R358" s="85" t="str">
        <f>IFERROR(1-SUMIF('Grid BD'!$B:$B,$A358,'Grid BD'!$AE:$AE)/($AA358+SUMIF('Grid BD'!$B:$B,$A358,'Grid BD'!$AE:$AE)),"")</f>
        <v/>
      </c>
      <c r="T358" s="89"/>
      <c r="U358" s="88" t="str">
        <f t="shared" si="21"/>
        <v/>
      </c>
      <c r="V358" s="88"/>
      <c r="W358" s="84" t="str">
        <f t="shared" si="20"/>
        <v/>
      </c>
      <c r="X358" s="86" t="str">
        <f>IFERROR(_xlfn.XLOOKUP($A358,'Raw Data'!$G:$G,'Raw Data'!AI:AI),"")</f>
        <v/>
      </c>
      <c r="Y358" s="86" t="str">
        <f>IFERROR(_xlfn.XLOOKUP($A358,'Raw Data'!$G:$G,'Raw Data'!AJ:AJ),"")</f>
        <v/>
      </c>
      <c r="Z358" s="86" t="str">
        <f>IFERROR(_xlfn.XLOOKUP($A358,'Raw Data'!$G:$G,'Raw Data'!AK:AK),"")</f>
        <v/>
      </c>
      <c r="AA358" s="86" t="str">
        <f>IFERROR(_xlfn.XLOOKUP($A358,'Raw Data'!$G:$G,'Raw Data'!$AL:$AL)*(1+(_xlfn.XLOOKUP(Table13[[#This Row],[Month Year]],JMR!$A:$A,JMR!$J:$J))),"")</f>
        <v/>
      </c>
      <c r="AB358" s="86" t="str">
        <f>IFERROR(_xlfn.XLOOKUP($A358,'Raw Data'!$G:$G,'Raw Data'!$H:$H),"")</f>
        <v/>
      </c>
      <c r="AC358" s="87">
        <f>IFERROR(_xlfn.XLOOKUP($D358,'Modelling New'!$D:$D,'Modelling New'!$P:$P),"")</f>
        <v>6.7870967741935484</v>
      </c>
      <c r="AD358" s="86">
        <f>IFERROR(_xlfn.XLOOKUP($D358,'Modelling New'!$D:$D,'Modelling New'!$T:$T)*1000,"")</f>
        <v>33827.192387794741</v>
      </c>
      <c r="AE358" s="94">
        <f>IFERROR(_xlfn.XLOOKUP($D358,'Modelling New'!$D:$D,'Modelling New'!$O:$O),"")</f>
        <v>0.70205720444645303</v>
      </c>
      <c r="AF358" s="94">
        <f>IFERROR(_xlfn.XLOOKUP($D358,'Modelling New'!$D:$D,'Modelling New'!$W:$W),"")</f>
        <v>0.19853875781657757</v>
      </c>
      <c r="AG358" s="94">
        <f>IFERROR(_xlfn.XLOOKUP($D358,'Modelling New'!$D:$D,'Modelling New'!$AE:$AE),"")</f>
        <v>0.98040000000000005</v>
      </c>
      <c r="AH358" s="94">
        <f>IFERROR(_xlfn.XLOOKUP($D358,'Modelling New'!$D:$D,'Modelling New'!$AF:$AF),"")</f>
        <v>0.98</v>
      </c>
      <c r="AN358" s="85"/>
      <c r="AO358" s="84"/>
      <c r="AP358" s="84"/>
      <c r="AQ358" s="84"/>
      <c r="AR358" s="86">
        <f>'Basic Data'!$J$2</f>
        <v>7.0991999999999997</v>
      </c>
      <c r="AT358" s="7" t="str">
        <f>IFERROR(_xlfn.XLOOKUP(Table13[[#This Row],[Date]],'Raw Data'!$E:$E,'Raw Data'!$AN:$AN),"")</f>
        <v/>
      </c>
      <c r="AU358" s="7">
        <f>IFERROR(_xlfn.XLOOKUP(Table13[[#This Row],[Month Year]],'Modelling New'!$D:$D,'Modelling New'!$AO:$AO),"")</f>
        <v>7</v>
      </c>
      <c r="AV358" s="7">
        <f>IFERROR(SUMIF('Curtailment Records'!$C:$C,Table13[[#This Row],[Date]],'Curtailment Records'!$R:$R)/1000,"")</f>
        <v>0</v>
      </c>
    </row>
    <row r="359" spans="1:48" x14ac:dyDescent="0.25">
      <c r="A359" s="93">
        <f t="shared" si="22"/>
        <v>46102</v>
      </c>
      <c r="B359" s="86">
        <f>YEAR(Table13[[#This Row],[Date]])+IF(MONTH(Table13[[#This Row],[Date]])&gt;=4,1,0)</f>
        <v>2026</v>
      </c>
      <c r="C359" s="7">
        <f>YEAR(Table13[[#This Row],[Date]])</f>
        <v>2026</v>
      </c>
      <c r="D359" s="92">
        <f>Table13[[#This Row],[Date]]-DAY(Table13[[#This Row],[Date]])+1</f>
        <v>46082</v>
      </c>
      <c r="E359" s="7">
        <f t="shared" si="23"/>
        <v>31</v>
      </c>
      <c r="F359" s="91" t="str">
        <f>IFERROR(_xlfn.XLOOKUP($A359,'Raw Data'!$G:$G,'Raw Data'!$AM:$AM),"")</f>
        <v/>
      </c>
      <c r="G359" s="90" t="str">
        <f>IFERROR(_xlfn.XLOOKUP($A359,'Raw Data'!$G:$G,'Raw Data'!$AB:$AB),"")</f>
        <v/>
      </c>
      <c r="H359" s="90"/>
      <c r="I359" s="90" t="str">
        <f>IFERROR(_xlfn.XLOOKUP($A359,'Raw Data'!$G:$G,'Raw Data'!$AC:$AC),"")</f>
        <v/>
      </c>
      <c r="J359" s="90"/>
      <c r="K359" s="90" t="str">
        <f>IFERROR(_xlfn.XLOOKUP($A359,'Raw Data'!$G:$G,'Raw Data'!AD:AD),"")</f>
        <v/>
      </c>
      <c r="L359" s="90" t="str">
        <f>IFERROR(_xlfn.XLOOKUP($A359,'Raw Data'!$G:$G,'Raw Data'!AE:AE),"")</f>
        <v/>
      </c>
      <c r="M359" s="90" t="str">
        <f>IFERROR(_xlfn.XLOOKUP($A359,'Raw Data'!$G:$G,'Raw Data'!AF:AF),"")</f>
        <v/>
      </c>
      <c r="N359" s="90" t="str">
        <f>IFERROR(_xlfn.XLOOKUP($A359,'Raw Data'!$G:$G,'Raw Data'!AG:AG),"")</f>
        <v/>
      </c>
      <c r="O359" s="85" t="str">
        <f>IFERROR(1-SUMIF('Plant BD'!$B:$B,$A359,'Plant BD'!$AM:$AM)/($AA359+SUMIF('Plant BD'!$B:$B,$A359,'Plant BD'!$AM:$AM)),"")</f>
        <v/>
      </c>
      <c r="P359" s="85"/>
      <c r="Q359" s="89"/>
      <c r="R359" s="85" t="str">
        <f>IFERROR(1-SUMIF('Grid BD'!$B:$B,$A359,'Grid BD'!$AE:$AE)/($AA359+SUMIF('Grid BD'!$B:$B,$A359,'Grid BD'!$AE:$AE)),"")</f>
        <v/>
      </c>
      <c r="T359" s="89"/>
      <c r="U359" s="88" t="str">
        <f t="shared" si="21"/>
        <v/>
      </c>
      <c r="V359" s="88"/>
      <c r="W359" s="84" t="str">
        <f t="shared" si="20"/>
        <v/>
      </c>
      <c r="X359" s="86" t="str">
        <f>IFERROR(_xlfn.XLOOKUP($A359,'Raw Data'!$G:$G,'Raw Data'!AI:AI),"")</f>
        <v/>
      </c>
      <c r="Y359" s="86" t="str">
        <f>IFERROR(_xlfn.XLOOKUP($A359,'Raw Data'!$G:$G,'Raw Data'!AJ:AJ),"")</f>
        <v/>
      </c>
      <c r="Z359" s="86" t="str">
        <f>IFERROR(_xlfn.XLOOKUP($A359,'Raw Data'!$G:$G,'Raw Data'!AK:AK),"")</f>
        <v/>
      </c>
      <c r="AA359" s="86" t="str">
        <f>IFERROR(_xlfn.XLOOKUP($A359,'Raw Data'!$G:$G,'Raw Data'!$AL:$AL)*(1+(_xlfn.XLOOKUP(Table13[[#This Row],[Month Year]],JMR!$A:$A,JMR!$J:$J))),"")</f>
        <v/>
      </c>
      <c r="AB359" s="86" t="str">
        <f>IFERROR(_xlfn.XLOOKUP($A359,'Raw Data'!$G:$G,'Raw Data'!$H:$H),"")</f>
        <v/>
      </c>
      <c r="AC359" s="87">
        <f>IFERROR(_xlfn.XLOOKUP($D359,'Modelling New'!$D:$D,'Modelling New'!$P:$P),"")</f>
        <v>6.7870967741935484</v>
      </c>
      <c r="AD359" s="86">
        <f>IFERROR(_xlfn.XLOOKUP($D359,'Modelling New'!$D:$D,'Modelling New'!$T:$T)*1000,"")</f>
        <v>33827.192387794741</v>
      </c>
      <c r="AE359" s="94">
        <f>IFERROR(_xlfn.XLOOKUP($D359,'Modelling New'!$D:$D,'Modelling New'!$O:$O),"")</f>
        <v>0.70205720444645303</v>
      </c>
      <c r="AF359" s="94">
        <f>IFERROR(_xlfn.XLOOKUP($D359,'Modelling New'!$D:$D,'Modelling New'!$W:$W),"")</f>
        <v>0.19853875781657757</v>
      </c>
      <c r="AG359" s="94">
        <f>IFERROR(_xlfn.XLOOKUP($D359,'Modelling New'!$D:$D,'Modelling New'!$AE:$AE),"")</f>
        <v>0.98040000000000005</v>
      </c>
      <c r="AH359" s="94">
        <f>IFERROR(_xlfn.XLOOKUP($D359,'Modelling New'!$D:$D,'Modelling New'!$AF:$AF),"")</f>
        <v>0.98</v>
      </c>
      <c r="AN359" s="85"/>
      <c r="AO359" s="84"/>
      <c r="AP359" s="84"/>
      <c r="AQ359" s="84"/>
      <c r="AR359" s="86">
        <f>'Basic Data'!$J$2</f>
        <v>7.0991999999999997</v>
      </c>
      <c r="AT359" s="7" t="str">
        <f>IFERROR(_xlfn.XLOOKUP(Table13[[#This Row],[Date]],'Raw Data'!$E:$E,'Raw Data'!$AN:$AN),"")</f>
        <v/>
      </c>
      <c r="AU359" s="7">
        <f>IFERROR(_xlfn.XLOOKUP(Table13[[#This Row],[Month Year]],'Modelling New'!$D:$D,'Modelling New'!$AO:$AO),"")</f>
        <v>7</v>
      </c>
      <c r="AV359" s="7">
        <f>IFERROR(SUMIF('Curtailment Records'!$C:$C,Table13[[#This Row],[Date]],'Curtailment Records'!$R:$R)/1000,"")</f>
        <v>0</v>
      </c>
    </row>
    <row r="360" spans="1:48" x14ac:dyDescent="0.25">
      <c r="A360" s="93">
        <f t="shared" si="22"/>
        <v>46103</v>
      </c>
      <c r="B360" s="86">
        <f>YEAR(Table13[[#This Row],[Date]])+IF(MONTH(Table13[[#This Row],[Date]])&gt;=4,1,0)</f>
        <v>2026</v>
      </c>
      <c r="C360" s="7">
        <f>YEAR(Table13[[#This Row],[Date]])</f>
        <v>2026</v>
      </c>
      <c r="D360" s="92">
        <f>Table13[[#This Row],[Date]]-DAY(Table13[[#This Row],[Date]])+1</f>
        <v>46082</v>
      </c>
      <c r="E360" s="7">
        <f t="shared" si="23"/>
        <v>31</v>
      </c>
      <c r="F360" s="91" t="str">
        <f>IFERROR(_xlfn.XLOOKUP($A360,'Raw Data'!$G:$G,'Raw Data'!$AM:$AM),"")</f>
        <v/>
      </c>
      <c r="G360" s="90" t="str">
        <f>IFERROR(_xlfn.XLOOKUP($A360,'Raw Data'!$G:$G,'Raw Data'!$AB:$AB),"")</f>
        <v/>
      </c>
      <c r="H360" s="90"/>
      <c r="I360" s="90" t="str">
        <f>IFERROR(_xlfn.XLOOKUP($A360,'Raw Data'!$G:$G,'Raw Data'!$AC:$AC),"")</f>
        <v/>
      </c>
      <c r="J360" s="90"/>
      <c r="K360" s="90" t="str">
        <f>IFERROR(_xlfn.XLOOKUP($A360,'Raw Data'!$G:$G,'Raw Data'!AD:AD),"")</f>
        <v/>
      </c>
      <c r="L360" s="90" t="str">
        <f>IFERROR(_xlfn.XLOOKUP($A360,'Raw Data'!$G:$G,'Raw Data'!AE:AE),"")</f>
        <v/>
      </c>
      <c r="M360" s="90" t="str">
        <f>IFERROR(_xlfn.XLOOKUP($A360,'Raw Data'!$G:$G,'Raw Data'!AF:AF),"")</f>
        <v/>
      </c>
      <c r="N360" s="90" t="str">
        <f>IFERROR(_xlfn.XLOOKUP($A360,'Raw Data'!$G:$G,'Raw Data'!AG:AG),"")</f>
        <v/>
      </c>
      <c r="O360" s="85" t="str">
        <f>IFERROR(1-SUMIF('Plant BD'!$B:$B,$A360,'Plant BD'!$AM:$AM)/($AA360+SUMIF('Plant BD'!$B:$B,$A360,'Plant BD'!$AM:$AM)),"")</f>
        <v/>
      </c>
      <c r="P360" s="85"/>
      <c r="Q360" s="89"/>
      <c r="R360" s="85" t="str">
        <f>IFERROR(1-SUMIF('Grid BD'!$B:$B,$A360,'Grid BD'!$AE:$AE)/($AA360+SUMIF('Grid BD'!$B:$B,$A360,'Grid BD'!$AE:$AE)),"")</f>
        <v/>
      </c>
      <c r="T360" s="89"/>
      <c r="U360" s="88" t="str">
        <f t="shared" si="21"/>
        <v/>
      </c>
      <c r="V360" s="88"/>
      <c r="W360" s="84" t="str">
        <f t="shared" si="20"/>
        <v/>
      </c>
      <c r="X360" s="86" t="str">
        <f>IFERROR(_xlfn.XLOOKUP($A360,'Raw Data'!$G:$G,'Raw Data'!AI:AI),"")</f>
        <v/>
      </c>
      <c r="Y360" s="86" t="str">
        <f>IFERROR(_xlfn.XLOOKUP($A360,'Raw Data'!$G:$G,'Raw Data'!AJ:AJ),"")</f>
        <v/>
      </c>
      <c r="Z360" s="86" t="str">
        <f>IFERROR(_xlfn.XLOOKUP($A360,'Raw Data'!$G:$G,'Raw Data'!AK:AK),"")</f>
        <v/>
      </c>
      <c r="AA360" s="86" t="str">
        <f>IFERROR(_xlfn.XLOOKUP($A360,'Raw Data'!$G:$G,'Raw Data'!$AL:$AL)*(1+(_xlfn.XLOOKUP(Table13[[#This Row],[Month Year]],JMR!$A:$A,JMR!$J:$J))),"")</f>
        <v/>
      </c>
      <c r="AB360" s="86" t="str">
        <f>IFERROR(_xlfn.XLOOKUP($A360,'Raw Data'!$G:$G,'Raw Data'!$H:$H),"")</f>
        <v/>
      </c>
      <c r="AC360" s="87">
        <f>IFERROR(_xlfn.XLOOKUP($D360,'Modelling New'!$D:$D,'Modelling New'!$P:$P),"")</f>
        <v>6.7870967741935484</v>
      </c>
      <c r="AD360" s="86">
        <f>IFERROR(_xlfn.XLOOKUP($D360,'Modelling New'!$D:$D,'Modelling New'!$T:$T)*1000,"")</f>
        <v>33827.192387794741</v>
      </c>
      <c r="AE360" s="94">
        <f>IFERROR(_xlfn.XLOOKUP($D360,'Modelling New'!$D:$D,'Modelling New'!$O:$O),"")</f>
        <v>0.70205720444645303</v>
      </c>
      <c r="AF360" s="94">
        <f>IFERROR(_xlfn.XLOOKUP($D360,'Modelling New'!$D:$D,'Modelling New'!$W:$W),"")</f>
        <v>0.19853875781657757</v>
      </c>
      <c r="AG360" s="94">
        <f>IFERROR(_xlfn.XLOOKUP($D360,'Modelling New'!$D:$D,'Modelling New'!$AE:$AE),"")</f>
        <v>0.98040000000000005</v>
      </c>
      <c r="AH360" s="94">
        <f>IFERROR(_xlfn.XLOOKUP($D360,'Modelling New'!$D:$D,'Modelling New'!$AF:$AF),"")</f>
        <v>0.98</v>
      </c>
      <c r="AN360" s="85"/>
      <c r="AO360" s="84"/>
      <c r="AP360" s="84"/>
      <c r="AQ360" s="84"/>
      <c r="AR360" s="86">
        <f>'Basic Data'!$J$2</f>
        <v>7.0991999999999997</v>
      </c>
      <c r="AT360" s="7" t="str">
        <f>IFERROR(_xlfn.XLOOKUP(Table13[[#This Row],[Date]],'Raw Data'!$E:$E,'Raw Data'!$AN:$AN),"")</f>
        <v/>
      </c>
      <c r="AU360" s="7">
        <f>IFERROR(_xlfn.XLOOKUP(Table13[[#This Row],[Month Year]],'Modelling New'!$D:$D,'Modelling New'!$AO:$AO),"")</f>
        <v>7</v>
      </c>
      <c r="AV360" s="7">
        <f>IFERROR(SUMIF('Curtailment Records'!$C:$C,Table13[[#This Row],[Date]],'Curtailment Records'!$R:$R)/1000,"")</f>
        <v>0</v>
      </c>
    </row>
    <row r="361" spans="1:48" x14ac:dyDescent="0.25">
      <c r="A361" s="93">
        <f t="shared" si="22"/>
        <v>46104</v>
      </c>
      <c r="B361" s="86">
        <f>YEAR(Table13[[#This Row],[Date]])+IF(MONTH(Table13[[#This Row],[Date]])&gt;=4,1,0)</f>
        <v>2026</v>
      </c>
      <c r="C361" s="7">
        <f>YEAR(Table13[[#This Row],[Date]])</f>
        <v>2026</v>
      </c>
      <c r="D361" s="92">
        <f>Table13[[#This Row],[Date]]-DAY(Table13[[#This Row],[Date]])+1</f>
        <v>46082</v>
      </c>
      <c r="E361" s="7">
        <f t="shared" si="23"/>
        <v>31</v>
      </c>
      <c r="F361" s="91" t="str">
        <f>IFERROR(_xlfn.XLOOKUP($A361,'Raw Data'!$G:$G,'Raw Data'!$AM:$AM),"")</f>
        <v/>
      </c>
      <c r="G361" s="90" t="str">
        <f>IFERROR(_xlfn.XLOOKUP($A361,'Raw Data'!$G:$G,'Raw Data'!$AB:$AB),"")</f>
        <v/>
      </c>
      <c r="H361" s="90"/>
      <c r="I361" s="90" t="str">
        <f>IFERROR(_xlfn.XLOOKUP($A361,'Raw Data'!$G:$G,'Raw Data'!$AC:$AC),"")</f>
        <v/>
      </c>
      <c r="J361" s="90"/>
      <c r="K361" s="90" t="str">
        <f>IFERROR(_xlfn.XLOOKUP($A361,'Raw Data'!$G:$G,'Raw Data'!AD:AD),"")</f>
        <v/>
      </c>
      <c r="L361" s="90" t="str">
        <f>IFERROR(_xlfn.XLOOKUP($A361,'Raw Data'!$G:$G,'Raw Data'!AE:AE),"")</f>
        <v/>
      </c>
      <c r="M361" s="90" t="str">
        <f>IFERROR(_xlfn.XLOOKUP($A361,'Raw Data'!$G:$G,'Raw Data'!AF:AF),"")</f>
        <v/>
      </c>
      <c r="N361" s="90" t="str">
        <f>IFERROR(_xlfn.XLOOKUP($A361,'Raw Data'!$G:$G,'Raw Data'!AG:AG),"")</f>
        <v/>
      </c>
      <c r="O361" s="85" t="str">
        <f>IFERROR(1-SUMIF('Plant BD'!$B:$B,$A361,'Plant BD'!$AM:$AM)/($AA361+SUMIF('Plant BD'!$B:$B,$A361,'Plant BD'!$AM:$AM)),"")</f>
        <v/>
      </c>
      <c r="P361" s="85"/>
      <c r="Q361" s="89"/>
      <c r="R361" s="85" t="str">
        <f>IFERROR(1-SUMIF('Grid BD'!$B:$B,$A361,'Grid BD'!$AE:$AE)/($AA361+SUMIF('Grid BD'!$B:$B,$A361,'Grid BD'!$AE:$AE)),"")</f>
        <v/>
      </c>
      <c r="T361" s="89"/>
      <c r="U361" s="88" t="str">
        <f t="shared" si="21"/>
        <v/>
      </c>
      <c r="V361" s="88"/>
      <c r="W361" s="84" t="str">
        <f t="shared" si="20"/>
        <v/>
      </c>
      <c r="X361" s="86" t="str">
        <f>IFERROR(_xlfn.XLOOKUP($A361,'Raw Data'!$G:$G,'Raw Data'!AI:AI),"")</f>
        <v/>
      </c>
      <c r="Y361" s="86" t="str">
        <f>IFERROR(_xlfn.XLOOKUP($A361,'Raw Data'!$G:$G,'Raw Data'!AJ:AJ),"")</f>
        <v/>
      </c>
      <c r="Z361" s="86" t="str">
        <f>IFERROR(_xlfn.XLOOKUP($A361,'Raw Data'!$G:$G,'Raw Data'!AK:AK),"")</f>
        <v/>
      </c>
      <c r="AA361" s="86" t="str">
        <f>IFERROR(_xlfn.XLOOKUP($A361,'Raw Data'!$G:$G,'Raw Data'!$AL:$AL)*(1+(_xlfn.XLOOKUP(Table13[[#This Row],[Month Year]],JMR!$A:$A,JMR!$J:$J))),"")</f>
        <v/>
      </c>
      <c r="AB361" s="86" t="str">
        <f>IFERROR(_xlfn.XLOOKUP($A361,'Raw Data'!$G:$G,'Raw Data'!$H:$H),"")</f>
        <v/>
      </c>
      <c r="AC361" s="87">
        <f>IFERROR(_xlfn.XLOOKUP($D361,'Modelling New'!$D:$D,'Modelling New'!$P:$P),"")</f>
        <v>6.7870967741935484</v>
      </c>
      <c r="AD361" s="86">
        <f>IFERROR(_xlfn.XLOOKUP($D361,'Modelling New'!$D:$D,'Modelling New'!$T:$T)*1000,"")</f>
        <v>33827.192387794741</v>
      </c>
      <c r="AE361" s="94">
        <f>IFERROR(_xlfn.XLOOKUP($D361,'Modelling New'!$D:$D,'Modelling New'!$O:$O),"")</f>
        <v>0.70205720444645303</v>
      </c>
      <c r="AF361" s="94">
        <f>IFERROR(_xlfn.XLOOKUP($D361,'Modelling New'!$D:$D,'Modelling New'!$W:$W),"")</f>
        <v>0.19853875781657757</v>
      </c>
      <c r="AG361" s="94">
        <f>IFERROR(_xlfn.XLOOKUP($D361,'Modelling New'!$D:$D,'Modelling New'!$AE:$AE),"")</f>
        <v>0.98040000000000005</v>
      </c>
      <c r="AH361" s="94">
        <f>IFERROR(_xlfn.XLOOKUP($D361,'Modelling New'!$D:$D,'Modelling New'!$AF:$AF),"")</f>
        <v>0.98</v>
      </c>
      <c r="AN361" s="85"/>
      <c r="AO361" s="84"/>
      <c r="AP361" s="84"/>
      <c r="AQ361" s="84"/>
      <c r="AR361" s="86">
        <f>'Basic Data'!$J$2</f>
        <v>7.0991999999999997</v>
      </c>
      <c r="AT361" s="7" t="str">
        <f>IFERROR(_xlfn.XLOOKUP(Table13[[#This Row],[Date]],'Raw Data'!$E:$E,'Raw Data'!$AN:$AN),"")</f>
        <v/>
      </c>
      <c r="AU361" s="7">
        <f>IFERROR(_xlfn.XLOOKUP(Table13[[#This Row],[Month Year]],'Modelling New'!$D:$D,'Modelling New'!$AO:$AO),"")</f>
        <v>7</v>
      </c>
      <c r="AV361" s="7">
        <f>IFERROR(SUMIF('Curtailment Records'!$C:$C,Table13[[#This Row],[Date]],'Curtailment Records'!$R:$R)/1000,"")</f>
        <v>0</v>
      </c>
    </row>
    <row r="362" spans="1:48" x14ac:dyDescent="0.25">
      <c r="A362" s="93">
        <f t="shared" si="22"/>
        <v>46105</v>
      </c>
      <c r="B362" s="86">
        <f>YEAR(Table13[[#This Row],[Date]])+IF(MONTH(Table13[[#This Row],[Date]])&gt;=4,1,0)</f>
        <v>2026</v>
      </c>
      <c r="C362" s="7">
        <f>YEAR(Table13[[#This Row],[Date]])</f>
        <v>2026</v>
      </c>
      <c r="D362" s="92">
        <f>Table13[[#This Row],[Date]]-DAY(Table13[[#This Row],[Date]])+1</f>
        <v>46082</v>
      </c>
      <c r="E362" s="7">
        <f t="shared" si="23"/>
        <v>31</v>
      </c>
      <c r="F362" s="91" t="str">
        <f>IFERROR(_xlfn.XLOOKUP($A362,'Raw Data'!$G:$G,'Raw Data'!$AM:$AM),"")</f>
        <v/>
      </c>
      <c r="G362" s="90" t="str">
        <f>IFERROR(_xlfn.XLOOKUP($A362,'Raw Data'!$G:$G,'Raw Data'!$AB:$AB),"")</f>
        <v/>
      </c>
      <c r="H362" s="90"/>
      <c r="I362" s="90" t="str">
        <f>IFERROR(_xlfn.XLOOKUP($A362,'Raw Data'!$G:$G,'Raw Data'!$AC:$AC),"")</f>
        <v/>
      </c>
      <c r="J362" s="90"/>
      <c r="K362" s="90" t="str">
        <f>IFERROR(_xlfn.XLOOKUP($A362,'Raw Data'!$G:$G,'Raw Data'!AD:AD),"")</f>
        <v/>
      </c>
      <c r="L362" s="90" t="str">
        <f>IFERROR(_xlfn.XLOOKUP($A362,'Raw Data'!$G:$G,'Raw Data'!AE:AE),"")</f>
        <v/>
      </c>
      <c r="M362" s="90" t="str">
        <f>IFERROR(_xlfn.XLOOKUP($A362,'Raw Data'!$G:$G,'Raw Data'!AF:AF),"")</f>
        <v/>
      </c>
      <c r="N362" s="90" t="str">
        <f>IFERROR(_xlfn.XLOOKUP($A362,'Raw Data'!$G:$G,'Raw Data'!AG:AG),"")</f>
        <v/>
      </c>
      <c r="O362" s="85" t="str">
        <f>IFERROR(1-SUMIF('Plant BD'!$B:$B,$A362,'Plant BD'!$AM:$AM)/($AA362+SUMIF('Plant BD'!$B:$B,$A362,'Plant BD'!$AM:$AM)),"")</f>
        <v/>
      </c>
      <c r="P362" s="85"/>
      <c r="Q362" s="89"/>
      <c r="R362" s="85" t="str">
        <f>IFERROR(1-SUMIF('Grid BD'!$B:$B,$A362,'Grid BD'!$AE:$AE)/($AA362+SUMIF('Grid BD'!$B:$B,$A362,'Grid BD'!$AE:$AE)),"")</f>
        <v/>
      </c>
      <c r="T362" s="89"/>
      <c r="U362" s="88" t="str">
        <f t="shared" si="21"/>
        <v/>
      </c>
      <c r="V362" s="88"/>
      <c r="W362" s="84" t="str">
        <f t="shared" si="20"/>
        <v/>
      </c>
      <c r="X362" s="86" t="str">
        <f>IFERROR(_xlfn.XLOOKUP($A362,'Raw Data'!$G:$G,'Raw Data'!AI:AI),"")</f>
        <v/>
      </c>
      <c r="Y362" s="86" t="str">
        <f>IFERROR(_xlfn.XLOOKUP($A362,'Raw Data'!$G:$G,'Raw Data'!AJ:AJ),"")</f>
        <v/>
      </c>
      <c r="Z362" s="86" t="str">
        <f>IFERROR(_xlfn.XLOOKUP($A362,'Raw Data'!$G:$G,'Raw Data'!AK:AK),"")</f>
        <v/>
      </c>
      <c r="AA362" s="86" t="str">
        <f>IFERROR(_xlfn.XLOOKUP($A362,'Raw Data'!$G:$G,'Raw Data'!$AL:$AL)*(1+(_xlfn.XLOOKUP(Table13[[#This Row],[Month Year]],JMR!$A:$A,JMR!$J:$J))),"")</f>
        <v/>
      </c>
      <c r="AB362" s="86" t="str">
        <f>IFERROR(_xlfn.XLOOKUP($A362,'Raw Data'!$G:$G,'Raw Data'!$H:$H),"")</f>
        <v/>
      </c>
      <c r="AC362" s="87">
        <f>IFERROR(_xlfn.XLOOKUP($D362,'Modelling New'!$D:$D,'Modelling New'!$P:$P),"")</f>
        <v>6.7870967741935484</v>
      </c>
      <c r="AD362" s="86">
        <f>IFERROR(_xlfn.XLOOKUP($D362,'Modelling New'!$D:$D,'Modelling New'!$T:$T)*1000,"")</f>
        <v>33827.192387794741</v>
      </c>
      <c r="AE362" s="94">
        <f>IFERROR(_xlfn.XLOOKUP($D362,'Modelling New'!$D:$D,'Modelling New'!$O:$O),"")</f>
        <v>0.70205720444645303</v>
      </c>
      <c r="AF362" s="94">
        <f>IFERROR(_xlfn.XLOOKUP($D362,'Modelling New'!$D:$D,'Modelling New'!$W:$W),"")</f>
        <v>0.19853875781657757</v>
      </c>
      <c r="AG362" s="94">
        <f>IFERROR(_xlfn.XLOOKUP($D362,'Modelling New'!$D:$D,'Modelling New'!$AE:$AE),"")</f>
        <v>0.98040000000000005</v>
      </c>
      <c r="AH362" s="94">
        <f>IFERROR(_xlfn.XLOOKUP($D362,'Modelling New'!$D:$D,'Modelling New'!$AF:$AF),"")</f>
        <v>0.98</v>
      </c>
      <c r="AN362" s="85"/>
      <c r="AO362" s="84"/>
      <c r="AP362" s="84"/>
      <c r="AQ362" s="84"/>
      <c r="AR362" s="86">
        <f>'Basic Data'!$J$2</f>
        <v>7.0991999999999997</v>
      </c>
      <c r="AT362" s="7" t="str">
        <f>IFERROR(_xlfn.XLOOKUP(Table13[[#This Row],[Date]],'Raw Data'!$E:$E,'Raw Data'!$AN:$AN),"")</f>
        <v/>
      </c>
      <c r="AU362" s="7">
        <f>IFERROR(_xlfn.XLOOKUP(Table13[[#This Row],[Month Year]],'Modelling New'!$D:$D,'Modelling New'!$AO:$AO),"")</f>
        <v>7</v>
      </c>
      <c r="AV362" s="7">
        <f>IFERROR(SUMIF('Curtailment Records'!$C:$C,Table13[[#This Row],[Date]],'Curtailment Records'!$R:$R)/1000,"")</f>
        <v>0</v>
      </c>
    </row>
    <row r="363" spans="1:48" x14ac:dyDescent="0.25">
      <c r="A363" s="93">
        <f t="shared" si="22"/>
        <v>46106</v>
      </c>
      <c r="B363" s="86">
        <f>YEAR(Table13[[#This Row],[Date]])+IF(MONTH(Table13[[#This Row],[Date]])&gt;=4,1,0)</f>
        <v>2026</v>
      </c>
      <c r="C363" s="7">
        <f>YEAR(Table13[[#This Row],[Date]])</f>
        <v>2026</v>
      </c>
      <c r="D363" s="92">
        <f>Table13[[#This Row],[Date]]-DAY(Table13[[#This Row],[Date]])+1</f>
        <v>46082</v>
      </c>
      <c r="E363" s="7">
        <f t="shared" si="23"/>
        <v>31</v>
      </c>
      <c r="F363" s="91" t="str">
        <f>IFERROR(_xlfn.XLOOKUP($A363,'Raw Data'!$G:$G,'Raw Data'!$AM:$AM),"")</f>
        <v/>
      </c>
      <c r="G363" s="90" t="str">
        <f>IFERROR(_xlfn.XLOOKUP($A363,'Raw Data'!$G:$G,'Raw Data'!$AB:$AB),"")</f>
        <v/>
      </c>
      <c r="H363" s="90"/>
      <c r="I363" s="90" t="str">
        <f>IFERROR(_xlfn.XLOOKUP($A363,'Raw Data'!$G:$G,'Raw Data'!$AC:$AC),"")</f>
        <v/>
      </c>
      <c r="J363" s="90"/>
      <c r="K363" s="90" t="str">
        <f>IFERROR(_xlfn.XLOOKUP($A363,'Raw Data'!$G:$G,'Raw Data'!AD:AD),"")</f>
        <v/>
      </c>
      <c r="L363" s="90" t="str">
        <f>IFERROR(_xlfn.XLOOKUP($A363,'Raw Data'!$G:$G,'Raw Data'!AE:AE),"")</f>
        <v/>
      </c>
      <c r="M363" s="90" t="str">
        <f>IFERROR(_xlfn.XLOOKUP($A363,'Raw Data'!$G:$G,'Raw Data'!AF:AF),"")</f>
        <v/>
      </c>
      <c r="N363" s="90" t="str">
        <f>IFERROR(_xlfn.XLOOKUP($A363,'Raw Data'!$G:$G,'Raw Data'!AG:AG),"")</f>
        <v/>
      </c>
      <c r="O363" s="85" t="str">
        <f>IFERROR(1-SUMIF('Plant BD'!$B:$B,$A363,'Plant BD'!$AM:$AM)/($AA363+SUMIF('Plant BD'!$B:$B,$A363,'Plant BD'!$AM:$AM)),"")</f>
        <v/>
      </c>
      <c r="P363" s="85"/>
      <c r="Q363" s="89"/>
      <c r="R363" s="85" t="str">
        <f>IFERROR(1-SUMIF('Grid BD'!$B:$B,$A363,'Grid BD'!$AE:$AE)/($AA363+SUMIF('Grid BD'!$B:$B,$A363,'Grid BD'!$AE:$AE)),"")</f>
        <v/>
      </c>
      <c r="T363" s="89"/>
      <c r="U363" s="88" t="str">
        <f t="shared" si="21"/>
        <v/>
      </c>
      <c r="V363" s="88"/>
      <c r="W363" s="84" t="str">
        <f t="shared" si="20"/>
        <v/>
      </c>
      <c r="X363" s="86" t="str">
        <f>IFERROR(_xlfn.XLOOKUP($A363,'Raw Data'!$G:$G,'Raw Data'!AI:AI),"")</f>
        <v/>
      </c>
      <c r="Y363" s="86" t="str">
        <f>IFERROR(_xlfn.XLOOKUP($A363,'Raw Data'!$G:$G,'Raw Data'!AJ:AJ),"")</f>
        <v/>
      </c>
      <c r="Z363" s="86" t="str">
        <f>IFERROR(_xlfn.XLOOKUP($A363,'Raw Data'!$G:$G,'Raw Data'!AK:AK),"")</f>
        <v/>
      </c>
      <c r="AA363" s="86" t="str">
        <f>IFERROR(_xlfn.XLOOKUP($A363,'Raw Data'!$G:$G,'Raw Data'!$AL:$AL)*(1+(_xlfn.XLOOKUP(Table13[[#This Row],[Month Year]],JMR!$A:$A,JMR!$J:$J))),"")</f>
        <v/>
      </c>
      <c r="AB363" s="86" t="str">
        <f>IFERROR(_xlfn.XLOOKUP($A363,'Raw Data'!$G:$G,'Raw Data'!$H:$H),"")</f>
        <v/>
      </c>
      <c r="AC363" s="87">
        <f>IFERROR(_xlfn.XLOOKUP($D363,'Modelling New'!$D:$D,'Modelling New'!$P:$P),"")</f>
        <v>6.7870967741935484</v>
      </c>
      <c r="AD363" s="86">
        <f>IFERROR(_xlfn.XLOOKUP($D363,'Modelling New'!$D:$D,'Modelling New'!$T:$T)*1000,"")</f>
        <v>33827.192387794741</v>
      </c>
      <c r="AE363" s="94">
        <f>IFERROR(_xlfn.XLOOKUP($D363,'Modelling New'!$D:$D,'Modelling New'!$O:$O),"")</f>
        <v>0.70205720444645303</v>
      </c>
      <c r="AF363" s="94">
        <f>IFERROR(_xlfn.XLOOKUP($D363,'Modelling New'!$D:$D,'Modelling New'!$W:$W),"")</f>
        <v>0.19853875781657757</v>
      </c>
      <c r="AG363" s="94">
        <f>IFERROR(_xlfn.XLOOKUP($D363,'Modelling New'!$D:$D,'Modelling New'!$AE:$AE),"")</f>
        <v>0.98040000000000005</v>
      </c>
      <c r="AH363" s="94">
        <f>IFERROR(_xlfn.XLOOKUP($D363,'Modelling New'!$D:$D,'Modelling New'!$AF:$AF),"")</f>
        <v>0.98</v>
      </c>
      <c r="AN363" s="85"/>
      <c r="AO363" s="84"/>
      <c r="AP363" s="84"/>
      <c r="AQ363" s="84"/>
      <c r="AR363" s="86">
        <f>'Basic Data'!$J$2</f>
        <v>7.0991999999999997</v>
      </c>
      <c r="AT363" s="7" t="str">
        <f>IFERROR(_xlfn.XLOOKUP(Table13[[#This Row],[Date]],'Raw Data'!$E:$E,'Raw Data'!$AN:$AN),"")</f>
        <v/>
      </c>
      <c r="AU363" s="7">
        <f>IFERROR(_xlfn.XLOOKUP(Table13[[#This Row],[Month Year]],'Modelling New'!$D:$D,'Modelling New'!$AO:$AO),"")</f>
        <v>7</v>
      </c>
      <c r="AV363" s="7">
        <f>IFERROR(SUMIF('Curtailment Records'!$C:$C,Table13[[#This Row],[Date]],'Curtailment Records'!$R:$R)/1000,"")</f>
        <v>0</v>
      </c>
    </row>
    <row r="364" spans="1:48" x14ac:dyDescent="0.25">
      <c r="A364" s="93">
        <f t="shared" si="22"/>
        <v>46107</v>
      </c>
      <c r="B364" s="86">
        <f>YEAR(Table13[[#This Row],[Date]])+IF(MONTH(Table13[[#This Row],[Date]])&gt;=4,1,0)</f>
        <v>2026</v>
      </c>
      <c r="C364" s="7">
        <f>YEAR(Table13[[#This Row],[Date]])</f>
        <v>2026</v>
      </c>
      <c r="D364" s="92">
        <f>Table13[[#This Row],[Date]]-DAY(Table13[[#This Row],[Date]])+1</f>
        <v>46082</v>
      </c>
      <c r="E364" s="7">
        <f t="shared" si="23"/>
        <v>31</v>
      </c>
      <c r="F364" s="91" t="str">
        <f>IFERROR(_xlfn.XLOOKUP($A364,'Raw Data'!$G:$G,'Raw Data'!$AM:$AM),"")</f>
        <v/>
      </c>
      <c r="G364" s="90" t="str">
        <f>IFERROR(_xlfn.XLOOKUP($A364,'Raw Data'!$G:$G,'Raw Data'!$AB:$AB),"")</f>
        <v/>
      </c>
      <c r="H364" s="90"/>
      <c r="I364" s="90" t="str">
        <f>IFERROR(_xlfn.XLOOKUP($A364,'Raw Data'!$G:$G,'Raw Data'!$AC:$AC),"")</f>
        <v/>
      </c>
      <c r="J364" s="90"/>
      <c r="K364" s="90" t="str">
        <f>IFERROR(_xlfn.XLOOKUP($A364,'Raw Data'!$G:$G,'Raw Data'!AD:AD),"")</f>
        <v/>
      </c>
      <c r="L364" s="90" t="str">
        <f>IFERROR(_xlfn.XLOOKUP($A364,'Raw Data'!$G:$G,'Raw Data'!AE:AE),"")</f>
        <v/>
      </c>
      <c r="M364" s="90" t="str">
        <f>IFERROR(_xlfn.XLOOKUP($A364,'Raw Data'!$G:$G,'Raw Data'!AF:AF),"")</f>
        <v/>
      </c>
      <c r="N364" s="90" t="str">
        <f>IFERROR(_xlfn.XLOOKUP($A364,'Raw Data'!$G:$G,'Raw Data'!AG:AG),"")</f>
        <v/>
      </c>
      <c r="O364" s="85" t="str">
        <f>IFERROR(1-SUMIF('Plant BD'!$B:$B,$A364,'Plant BD'!$AM:$AM)/($AA364+SUMIF('Plant BD'!$B:$B,$A364,'Plant BD'!$AM:$AM)),"")</f>
        <v/>
      </c>
      <c r="P364" s="85"/>
      <c r="Q364" s="89"/>
      <c r="R364" s="85" t="str">
        <f>IFERROR(1-SUMIF('Grid BD'!$B:$B,$A364,'Grid BD'!$AE:$AE)/($AA364+SUMIF('Grid BD'!$B:$B,$A364,'Grid BD'!$AE:$AE)),"")</f>
        <v/>
      </c>
      <c r="T364" s="89"/>
      <c r="U364" s="88" t="str">
        <f t="shared" si="21"/>
        <v/>
      </c>
      <c r="V364" s="88"/>
      <c r="W364" s="84" t="str">
        <f t="shared" si="20"/>
        <v/>
      </c>
      <c r="X364" s="86" t="str">
        <f>IFERROR(_xlfn.XLOOKUP($A364,'Raw Data'!$G:$G,'Raw Data'!AI:AI),"")</f>
        <v/>
      </c>
      <c r="Y364" s="86" t="str">
        <f>IFERROR(_xlfn.XLOOKUP($A364,'Raw Data'!$G:$G,'Raw Data'!AJ:AJ),"")</f>
        <v/>
      </c>
      <c r="Z364" s="86" t="str">
        <f>IFERROR(_xlfn.XLOOKUP($A364,'Raw Data'!$G:$G,'Raw Data'!AK:AK),"")</f>
        <v/>
      </c>
      <c r="AA364" s="86" t="str">
        <f>IFERROR(_xlfn.XLOOKUP($A364,'Raw Data'!$G:$G,'Raw Data'!$AL:$AL)*(1+(_xlfn.XLOOKUP(Table13[[#This Row],[Month Year]],JMR!$A:$A,JMR!$J:$J))),"")</f>
        <v/>
      </c>
      <c r="AB364" s="86" t="str">
        <f>IFERROR(_xlfn.XLOOKUP($A364,'Raw Data'!$G:$G,'Raw Data'!$H:$H),"")</f>
        <v/>
      </c>
      <c r="AC364" s="87">
        <f>IFERROR(_xlfn.XLOOKUP($D364,'Modelling New'!$D:$D,'Modelling New'!$P:$P),"")</f>
        <v>6.7870967741935484</v>
      </c>
      <c r="AD364" s="86">
        <f>IFERROR(_xlfn.XLOOKUP($D364,'Modelling New'!$D:$D,'Modelling New'!$T:$T)*1000,"")</f>
        <v>33827.192387794741</v>
      </c>
      <c r="AE364" s="94">
        <f>IFERROR(_xlfn.XLOOKUP($D364,'Modelling New'!$D:$D,'Modelling New'!$O:$O),"")</f>
        <v>0.70205720444645303</v>
      </c>
      <c r="AF364" s="94">
        <f>IFERROR(_xlfn.XLOOKUP($D364,'Modelling New'!$D:$D,'Modelling New'!$W:$W),"")</f>
        <v>0.19853875781657757</v>
      </c>
      <c r="AG364" s="94">
        <f>IFERROR(_xlfn.XLOOKUP($D364,'Modelling New'!$D:$D,'Modelling New'!$AE:$AE),"")</f>
        <v>0.98040000000000005</v>
      </c>
      <c r="AH364" s="94">
        <f>IFERROR(_xlfn.XLOOKUP($D364,'Modelling New'!$D:$D,'Modelling New'!$AF:$AF),"")</f>
        <v>0.98</v>
      </c>
      <c r="AN364" s="85"/>
      <c r="AO364" s="84"/>
      <c r="AP364" s="84"/>
      <c r="AQ364" s="84"/>
      <c r="AR364" s="86">
        <f>'Basic Data'!$J$2</f>
        <v>7.0991999999999997</v>
      </c>
      <c r="AT364" s="7" t="str">
        <f>IFERROR(_xlfn.XLOOKUP(Table13[[#This Row],[Date]],'Raw Data'!$E:$E,'Raw Data'!$AN:$AN),"")</f>
        <v/>
      </c>
      <c r="AU364" s="7">
        <f>IFERROR(_xlfn.XLOOKUP(Table13[[#This Row],[Month Year]],'Modelling New'!$D:$D,'Modelling New'!$AO:$AO),"")</f>
        <v>7</v>
      </c>
      <c r="AV364" s="7">
        <f>IFERROR(SUMIF('Curtailment Records'!$C:$C,Table13[[#This Row],[Date]],'Curtailment Records'!$R:$R)/1000,"")</f>
        <v>0</v>
      </c>
    </row>
    <row r="365" spans="1:48" x14ac:dyDescent="0.25">
      <c r="A365" s="93">
        <f t="shared" si="22"/>
        <v>46108</v>
      </c>
      <c r="B365" s="86">
        <f>YEAR(Table13[[#This Row],[Date]])+IF(MONTH(Table13[[#This Row],[Date]])&gt;=4,1,0)</f>
        <v>2026</v>
      </c>
      <c r="C365" s="7">
        <f>YEAR(Table13[[#This Row],[Date]])</f>
        <v>2026</v>
      </c>
      <c r="D365" s="92">
        <f>Table13[[#This Row],[Date]]-DAY(Table13[[#This Row],[Date]])+1</f>
        <v>46082</v>
      </c>
      <c r="E365" s="7">
        <f t="shared" si="23"/>
        <v>31</v>
      </c>
      <c r="F365" s="91" t="str">
        <f>IFERROR(_xlfn.XLOOKUP($A365,'Raw Data'!$G:$G,'Raw Data'!$AM:$AM),"")</f>
        <v/>
      </c>
      <c r="G365" s="90" t="str">
        <f>IFERROR(_xlfn.XLOOKUP($A365,'Raw Data'!$G:$G,'Raw Data'!$AB:$AB),"")</f>
        <v/>
      </c>
      <c r="H365" s="90"/>
      <c r="I365" s="90" t="str">
        <f>IFERROR(_xlfn.XLOOKUP($A365,'Raw Data'!$G:$G,'Raw Data'!$AC:$AC),"")</f>
        <v/>
      </c>
      <c r="J365" s="90"/>
      <c r="K365" s="90" t="str">
        <f>IFERROR(_xlfn.XLOOKUP($A365,'Raw Data'!$G:$G,'Raw Data'!AD:AD),"")</f>
        <v/>
      </c>
      <c r="L365" s="90" t="str">
        <f>IFERROR(_xlfn.XLOOKUP($A365,'Raw Data'!$G:$G,'Raw Data'!AE:AE),"")</f>
        <v/>
      </c>
      <c r="M365" s="90" t="str">
        <f>IFERROR(_xlfn.XLOOKUP($A365,'Raw Data'!$G:$G,'Raw Data'!AF:AF),"")</f>
        <v/>
      </c>
      <c r="N365" s="90" t="str">
        <f>IFERROR(_xlfn.XLOOKUP($A365,'Raw Data'!$G:$G,'Raw Data'!AG:AG),"")</f>
        <v/>
      </c>
      <c r="O365" s="85" t="str">
        <f>IFERROR(1-SUMIF('Plant BD'!$B:$B,$A365,'Plant BD'!$AM:$AM)/($AA365+SUMIF('Plant BD'!$B:$B,$A365,'Plant BD'!$AM:$AM)),"")</f>
        <v/>
      </c>
      <c r="P365" s="85"/>
      <c r="Q365" s="89"/>
      <c r="R365" s="85" t="str">
        <f>IFERROR(1-SUMIF('Grid BD'!$B:$B,$A365,'Grid BD'!$AE:$AE)/($AA365+SUMIF('Grid BD'!$B:$B,$A365,'Grid BD'!$AE:$AE)),"")</f>
        <v/>
      </c>
      <c r="T365" s="89"/>
      <c r="U365" s="88" t="str">
        <f t="shared" si="21"/>
        <v/>
      </c>
      <c r="V365" s="88"/>
      <c r="W365" s="84" t="str">
        <f t="shared" si="20"/>
        <v/>
      </c>
      <c r="X365" s="86" t="str">
        <f>IFERROR(_xlfn.XLOOKUP($A365,'Raw Data'!$G:$G,'Raw Data'!AI:AI),"")</f>
        <v/>
      </c>
      <c r="Y365" s="86" t="str">
        <f>IFERROR(_xlfn.XLOOKUP($A365,'Raw Data'!$G:$G,'Raw Data'!AJ:AJ),"")</f>
        <v/>
      </c>
      <c r="Z365" s="86" t="str">
        <f>IFERROR(_xlfn.XLOOKUP($A365,'Raw Data'!$G:$G,'Raw Data'!AK:AK),"")</f>
        <v/>
      </c>
      <c r="AA365" s="86" t="str">
        <f>IFERROR(_xlfn.XLOOKUP($A365,'Raw Data'!$G:$G,'Raw Data'!$AL:$AL)*(1+(_xlfn.XLOOKUP(Table13[[#This Row],[Month Year]],JMR!$A:$A,JMR!$J:$J))),"")</f>
        <v/>
      </c>
      <c r="AB365" s="86" t="str">
        <f>IFERROR(_xlfn.XLOOKUP($A365,'Raw Data'!$G:$G,'Raw Data'!$H:$H),"")</f>
        <v/>
      </c>
      <c r="AC365" s="87">
        <f>IFERROR(_xlfn.XLOOKUP($D365,'Modelling New'!$D:$D,'Modelling New'!$P:$P),"")</f>
        <v>6.7870967741935484</v>
      </c>
      <c r="AD365" s="86">
        <f>IFERROR(_xlfn.XLOOKUP($D365,'Modelling New'!$D:$D,'Modelling New'!$T:$T)*1000,"")</f>
        <v>33827.192387794741</v>
      </c>
      <c r="AE365" s="94">
        <f>IFERROR(_xlfn.XLOOKUP($D365,'Modelling New'!$D:$D,'Modelling New'!$O:$O),"")</f>
        <v>0.70205720444645303</v>
      </c>
      <c r="AF365" s="94">
        <f>IFERROR(_xlfn.XLOOKUP($D365,'Modelling New'!$D:$D,'Modelling New'!$W:$W),"")</f>
        <v>0.19853875781657757</v>
      </c>
      <c r="AG365" s="94">
        <f>IFERROR(_xlfn.XLOOKUP($D365,'Modelling New'!$D:$D,'Modelling New'!$AE:$AE),"")</f>
        <v>0.98040000000000005</v>
      </c>
      <c r="AH365" s="94">
        <f>IFERROR(_xlfn.XLOOKUP($D365,'Modelling New'!$D:$D,'Modelling New'!$AF:$AF),"")</f>
        <v>0.98</v>
      </c>
      <c r="AN365" s="85"/>
      <c r="AO365" s="84"/>
      <c r="AP365" s="84"/>
      <c r="AQ365" s="84"/>
      <c r="AR365" s="86">
        <f>'Basic Data'!$J$2</f>
        <v>7.0991999999999997</v>
      </c>
      <c r="AT365" s="7" t="str">
        <f>IFERROR(_xlfn.XLOOKUP(Table13[[#This Row],[Date]],'Raw Data'!$E:$E,'Raw Data'!$AN:$AN),"")</f>
        <v/>
      </c>
      <c r="AU365" s="7">
        <f>IFERROR(_xlfn.XLOOKUP(Table13[[#This Row],[Month Year]],'Modelling New'!$D:$D,'Modelling New'!$AO:$AO),"")</f>
        <v>7</v>
      </c>
      <c r="AV365" s="7">
        <f>IFERROR(SUMIF('Curtailment Records'!$C:$C,Table13[[#This Row],[Date]],'Curtailment Records'!$R:$R)/1000,"")</f>
        <v>0</v>
      </c>
    </row>
    <row r="366" spans="1:48" x14ac:dyDescent="0.25">
      <c r="A366" s="93">
        <f t="shared" si="22"/>
        <v>46109</v>
      </c>
      <c r="B366" s="86">
        <f>YEAR(Table13[[#This Row],[Date]])+IF(MONTH(Table13[[#This Row],[Date]])&gt;=4,1,0)</f>
        <v>2026</v>
      </c>
      <c r="C366" s="7">
        <f>YEAR(Table13[[#This Row],[Date]])</f>
        <v>2026</v>
      </c>
      <c r="D366" s="92">
        <f>Table13[[#This Row],[Date]]-DAY(Table13[[#This Row],[Date]])+1</f>
        <v>46082</v>
      </c>
      <c r="E366" s="7">
        <f t="shared" si="23"/>
        <v>31</v>
      </c>
      <c r="F366" s="91" t="str">
        <f>IFERROR(_xlfn.XLOOKUP($A366,'Raw Data'!$G:$G,'Raw Data'!$AM:$AM),"")</f>
        <v/>
      </c>
      <c r="G366" s="90" t="str">
        <f>IFERROR(_xlfn.XLOOKUP($A366,'Raw Data'!$G:$G,'Raw Data'!$AB:$AB),"")</f>
        <v/>
      </c>
      <c r="H366" s="90"/>
      <c r="I366" s="90" t="str">
        <f>IFERROR(_xlfn.XLOOKUP($A366,'Raw Data'!$G:$G,'Raw Data'!$AC:$AC),"")</f>
        <v/>
      </c>
      <c r="J366" s="90"/>
      <c r="K366" s="90" t="str">
        <f>IFERROR(_xlfn.XLOOKUP($A366,'Raw Data'!$G:$G,'Raw Data'!AD:AD),"")</f>
        <v/>
      </c>
      <c r="L366" s="90" t="str">
        <f>IFERROR(_xlfn.XLOOKUP($A366,'Raw Data'!$G:$G,'Raw Data'!AE:AE),"")</f>
        <v/>
      </c>
      <c r="M366" s="90" t="str">
        <f>IFERROR(_xlfn.XLOOKUP($A366,'Raw Data'!$G:$G,'Raw Data'!AF:AF),"")</f>
        <v/>
      </c>
      <c r="N366" s="90" t="str">
        <f>IFERROR(_xlfn.XLOOKUP($A366,'Raw Data'!$G:$G,'Raw Data'!AG:AG),"")</f>
        <v/>
      </c>
      <c r="O366" s="85" t="str">
        <f>IFERROR(1-SUMIF('Plant BD'!$B:$B,$A366,'Plant BD'!$AM:$AM)/($AA366+SUMIF('Plant BD'!$B:$B,$A366,'Plant BD'!$AM:$AM)),"")</f>
        <v/>
      </c>
      <c r="P366" s="85"/>
      <c r="Q366" s="89"/>
      <c r="R366" s="85" t="str">
        <f>IFERROR(1-SUMIF('Grid BD'!$B:$B,$A366,'Grid BD'!$AE:$AE)/($AA366+SUMIF('Grid BD'!$B:$B,$A366,'Grid BD'!$AE:$AE)),"")</f>
        <v/>
      </c>
      <c r="T366" s="89"/>
      <c r="U366" s="88" t="str">
        <f t="shared" si="21"/>
        <v/>
      </c>
      <c r="V366" s="88"/>
      <c r="W366" s="84" t="str">
        <f t="shared" si="20"/>
        <v/>
      </c>
      <c r="X366" s="86" t="str">
        <f>IFERROR(_xlfn.XLOOKUP($A366,'Raw Data'!$G:$G,'Raw Data'!AI:AI),"")</f>
        <v/>
      </c>
      <c r="Y366" s="86" t="str">
        <f>IFERROR(_xlfn.XLOOKUP($A366,'Raw Data'!$G:$G,'Raw Data'!AJ:AJ),"")</f>
        <v/>
      </c>
      <c r="Z366" s="86" t="str">
        <f>IFERROR(_xlfn.XLOOKUP($A366,'Raw Data'!$G:$G,'Raw Data'!AK:AK),"")</f>
        <v/>
      </c>
      <c r="AA366" s="86" t="str">
        <f>IFERROR(_xlfn.XLOOKUP($A366,'Raw Data'!$G:$G,'Raw Data'!$AL:$AL)*(1+(_xlfn.XLOOKUP(Table13[[#This Row],[Month Year]],JMR!$A:$A,JMR!$J:$J))),"")</f>
        <v/>
      </c>
      <c r="AB366" s="86" t="str">
        <f>IFERROR(_xlfn.XLOOKUP($A366,'Raw Data'!$G:$G,'Raw Data'!$H:$H),"")</f>
        <v/>
      </c>
      <c r="AC366" s="87">
        <f>IFERROR(_xlfn.XLOOKUP($D366,'Modelling New'!$D:$D,'Modelling New'!$P:$P),"")</f>
        <v>6.7870967741935484</v>
      </c>
      <c r="AD366" s="86">
        <f>IFERROR(_xlfn.XLOOKUP($D366,'Modelling New'!$D:$D,'Modelling New'!$T:$T)*1000,"")</f>
        <v>33827.192387794741</v>
      </c>
      <c r="AE366" s="94">
        <f>IFERROR(_xlfn.XLOOKUP($D366,'Modelling New'!$D:$D,'Modelling New'!$O:$O),"")</f>
        <v>0.70205720444645303</v>
      </c>
      <c r="AF366" s="94">
        <f>IFERROR(_xlfn.XLOOKUP($D366,'Modelling New'!$D:$D,'Modelling New'!$W:$W),"")</f>
        <v>0.19853875781657757</v>
      </c>
      <c r="AG366" s="94">
        <f>IFERROR(_xlfn.XLOOKUP($D366,'Modelling New'!$D:$D,'Modelling New'!$AE:$AE),"")</f>
        <v>0.98040000000000005</v>
      </c>
      <c r="AH366" s="94">
        <f>IFERROR(_xlfn.XLOOKUP($D366,'Modelling New'!$D:$D,'Modelling New'!$AF:$AF),"")</f>
        <v>0.98</v>
      </c>
      <c r="AN366" s="85"/>
      <c r="AO366" s="84"/>
      <c r="AP366" s="84"/>
      <c r="AQ366" s="84"/>
      <c r="AR366" s="86">
        <f>'Basic Data'!$J$2</f>
        <v>7.0991999999999997</v>
      </c>
      <c r="AT366" s="7" t="str">
        <f>IFERROR(_xlfn.XLOOKUP(Table13[[#This Row],[Date]],'Raw Data'!$E:$E,'Raw Data'!$AN:$AN),"")</f>
        <v/>
      </c>
      <c r="AU366" s="7">
        <f>IFERROR(_xlfn.XLOOKUP(Table13[[#This Row],[Month Year]],'Modelling New'!$D:$D,'Modelling New'!$AO:$AO),"")</f>
        <v>7</v>
      </c>
      <c r="AV366" s="7">
        <f>IFERROR(SUMIF('Curtailment Records'!$C:$C,Table13[[#This Row],[Date]],'Curtailment Records'!$R:$R)/1000,"")</f>
        <v>0</v>
      </c>
    </row>
    <row r="367" spans="1:48" x14ac:dyDescent="0.25">
      <c r="A367" s="93">
        <f t="shared" si="22"/>
        <v>46110</v>
      </c>
      <c r="B367" s="86">
        <f>YEAR(Table13[[#This Row],[Date]])+IF(MONTH(Table13[[#This Row],[Date]])&gt;=4,1,0)</f>
        <v>2026</v>
      </c>
      <c r="C367" s="7">
        <f>YEAR(Table13[[#This Row],[Date]])</f>
        <v>2026</v>
      </c>
      <c r="D367" s="92">
        <f>Table13[[#This Row],[Date]]-DAY(Table13[[#This Row],[Date]])+1</f>
        <v>46082</v>
      </c>
      <c r="E367" s="7">
        <f t="shared" si="23"/>
        <v>31</v>
      </c>
      <c r="F367" s="91" t="str">
        <f>IFERROR(_xlfn.XLOOKUP($A367,'Raw Data'!$G:$G,'Raw Data'!$AM:$AM),"")</f>
        <v/>
      </c>
      <c r="G367" s="90" t="str">
        <f>IFERROR(_xlfn.XLOOKUP($A367,'Raw Data'!$G:$G,'Raw Data'!$AB:$AB),"")</f>
        <v/>
      </c>
      <c r="H367" s="90"/>
      <c r="I367" s="90" t="str">
        <f>IFERROR(_xlfn.XLOOKUP($A367,'Raw Data'!$G:$G,'Raw Data'!$AC:$AC),"")</f>
        <v/>
      </c>
      <c r="J367" s="90"/>
      <c r="K367" s="90" t="str">
        <f>IFERROR(_xlfn.XLOOKUP($A367,'Raw Data'!$G:$G,'Raw Data'!AD:AD),"")</f>
        <v/>
      </c>
      <c r="L367" s="90" t="str">
        <f>IFERROR(_xlfn.XLOOKUP($A367,'Raw Data'!$G:$G,'Raw Data'!AE:AE),"")</f>
        <v/>
      </c>
      <c r="M367" s="90" t="str">
        <f>IFERROR(_xlfn.XLOOKUP($A367,'Raw Data'!$G:$G,'Raw Data'!AF:AF),"")</f>
        <v/>
      </c>
      <c r="N367" s="90" t="str">
        <f>IFERROR(_xlfn.XLOOKUP($A367,'Raw Data'!$G:$G,'Raw Data'!AG:AG),"")</f>
        <v/>
      </c>
      <c r="O367" s="85" t="str">
        <f>IFERROR(1-SUMIF('Plant BD'!$B:$B,$A367,'Plant BD'!$AM:$AM)/($AA367+SUMIF('Plant BD'!$B:$B,$A367,'Plant BD'!$AM:$AM)),"")</f>
        <v/>
      </c>
      <c r="P367" s="85"/>
      <c r="Q367" s="89"/>
      <c r="R367" s="85" t="str">
        <f>IFERROR(1-SUMIF('Grid BD'!$B:$B,$A367,'Grid BD'!$AE:$AE)/($AA367+SUMIF('Grid BD'!$B:$B,$A367,'Grid BD'!$AE:$AE)),"")</f>
        <v/>
      </c>
      <c r="T367" s="89"/>
      <c r="U367" s="88" t="str">
        <f t="shared" si="21"/>
        <v/>
      </c>
      <c r="V367" s="88"/>
      <c r="W367" s="84" t="str">
        <f t="shared" ref="W367:W369" si="24">IFERROR(AA367/(24*AB367*1000),"")</f>
        <v/>
      </c>
      <c r="X367" s="86" t="str">
        <f>IFERROR(_xlfn.XLOOKUP($A367,'Raw Data'!$G:$G,'Raw Data'!AI:AI),"")</f>
        <v/>
      </c>
      <c r="Y367" s="86" t="str">
        <f>IFERROR(_xlfn.XLOOKUP($A367,'Raw Data'!$G:$G,'Raw Data'!AJ:AJ),"")</f>
        <v/>
      </c>
      <c r="Z367" s="86" t="str">
        <f>IFERROR(_xlfn.XLOOKUP($A367,'Raw Data'!$G:$G,'Raw Data'!AK:AK),"")</f>
        <v/>
      </c>
      <c r="AA367" s="86" t="str">
        <f>IFERROR(_xlfn.XLOOKUP($A367,'Raw Data'!$G:$G,'Raw Data'!$AL:$AL)*(1+(_xlfn.XLOOKUP(Table13[[#This Row],[Month Year]],JMR!$A:$A,JMR!$J:$J))),"")</f>
        <v/>
      </c>
      <c r="AB367" s="86" t="str">
        <f>IFERROR(_xlfn.XLOOKUP($A367,'Raw Data'!$G:$G,'Raw Data'!$H:$H),"")</f>
        <v/>
      </c>
      <c r="AC367" s="87">
        <f>IFERROR(_xlfn.XLOOKUP($D367,'Modelling New'!$D:$D,'Modelling New'!$P:$P),"")</f>
        <v>6.7870967741935484</v>
      </c>
      <c r="AD367" s="86">
        <f>IFERROR(_xlfn.XLOOKUP($D367,'Modelling New'!$D:$D,'Modelling New'!$T:$T)*1000,"")</f>
        <v>33827.192387794741</v>
      </c>
      <c r="AE367" s="94">
        <f>IFERROR(_xlfn.XLOOKUP($D367,'Modelling New'!$D:$D,'Modelling New'!$O:$O),"")</f>
        <v>0.70205720444645303</v>
      </c>
      <c r="AF367" s="94">
        <f>IFERROR(_xlfn.XLOOKUP($D367,'Modelling New'!$D:$D,'Modelling New'!$W:$W),"")</f>
        <v>0.19853875781657757</v>
      </c>
      <c r="AG367" s="94">
        <f>IFERROR(_xlfn.XLOOKUP($D367,'Modelling New'!$D:$D,'Modelling New'!$AE:$AE),"")</f>
        <v>0.98040000000000005</v>
      </c>
      <c r="AH367" s="94">
        <f>IFERROR(_xlfn.XLOOKUP($D367,'Modelling New'!$D:$D,'Modelling New'!$AF:$AF),"")</f>
        <v>0.98</v>
      </c>
      <c r="AN367" s="85"/>
      <c r="AO367" s="84"/>
      <c r="AP367" s="84"/>
      <c r="AQ367" s="84"/>
      <c r="AR367" s="86">
        <f>'Basic Data'!$J$2</f>
        <v>7.0991999999999997</v>
      </c>
      <c r="AT367" s="7" t="str">
        <f>IFERROR(_xlfn.XLOOKUP(Table13[[#This Row],[Date]],'Raw Data'!$E:$E,'Raw Data'!$AN:$AN),"")</f>
        <v/>
      </c>
      <c r="AU367" s="7">
        <f>IFERROR(_xlfn.XLOOKUP(Table13[[#This Row],[Month Year]],'Modelling New'!$D:$D,'Modelling New'!$AO:$AO),"")</f>
        <v>7</v>
      </c>
      <c r="AV367" s="7">
        <f>IFERROR(SUMIF('Curtailment Records'!$C:$C,Table13[[#This Row],[Date]],'Curtailment Records'!$R:$R)/1000,"")</f>
        <v>0</v>
      </c>
    </row>
    <row r="368" spans="1:48" x14ac:dyDescent="0.25">
      <c r="A368" s="93">
        <f t="shared" si="22"/>
        <v>46111</v>
      </c>
      <c r="B368" s="86">
        <f>YEAR(Table13[[#This Row],[Date]])+IF(MONTH(Table13[[#This Row],[Date]])&gt;=4,1,0)</f>
        <v>2026</v>
      </c>
      <c r="C368" s="7">
        <f>YEAR(Table13[[#This Row],[Date]])</f>
        <v>2026</v>
      </c>
      <c r="D368" s="92">
        <f>Table13[[#This Row],[Date]]-DAY(Table13[[#This Row],[Date]])+1</f>
        <v>46082</v>
      </c>
      <c r="E368" s="7">
        <f t="shared" si="23"/>
        <v>31</v>
      </c>
      <c r="F368" s="91" t="str">
        <f>IFERROR(_xlfn.XLOOKUP($A368,'Raw Data'!$G:$G,'Raw Data'!$AM:$AM),"")</f>
        <v/>
      </c>
      <c r="G368" s="90" t="str">
        <f>IFERROR(_xlfn.XLOOKUP($A368,'Raw Data'!$G:$G,'Raw Data'!$AB:$AB),"")</f>
        <v/>
      </c>
      <c r="H368" s="90"/>
      <c r="I368" s="90" t="str">
        <f>IFERROR(_xlfn.XLOOKUP($A368,'Raw Data'!$G:$G,'Raw Data'!$AC:$AC),"")</f>
        <v/>
      </c>
      <c r="J368" s="90"/>
      <c r="K368" s="90" t="str">
        <f>IFERROR(_xlfn.XLOOKUP($A368,'Raw Data'!$G:$G,'Raw Data'!AD:AD),"")</f>
        <v/>
      </c>
      <c r="L368" s="90" t="str">
        <f>IFERROR(_xlfn.XLOOKUP($A368,'Raw Data'!$G:$G,'Raw Data'!AE:AE),"")</f>
        <v/>
      </c>
      <c r="M368" s="90" t="str">
        <f>IFERROR(_xlfn.XLOOKUP($A368,'Raw Data'!$G:$G,'Raw Data'!AF:AF),"")</f>
        <v/>
      </c>
      <c r="N368" s="90" t="str">
        <f>IFERROR(_xlfn.XLOOKUP($A368,'Raw Data'!$G:$G,'Raw Data'!AG:AG),"")</f>
        <v/>
      </c>
      <c r="O368" s="85" t="str">
        <f>IFERROR(1-SUMIF('Plant BD'!$B:$B,$A368,'Plant BD'!$AM:$AM)/($AA368+SUMIF('Plant BD'!$B:$B,$A368,'Plant BD'!$AM:$AM)),"")</f>
        <v/>
      </c>
      <c r="P368" s="85"/>
      <c r="Q368" s="89"/>
      <c r="R368" s="85" t="str">
        <f>IFERROR(1-SUMIF('Grid BD'!$B:$B,$A368,'Grid BD'!$AE:$AE)/($AA368+SUMIF('Grid BD'!$B:$B,$A368,'Grid BD'!$AE:$AE)),"")</f>
        <v/>
      </c>
      <c r="T368" s="89"/>
      <c r="U368" s="88" t="str">
        <f t="shared" si="21"/>
        <v/>
      </c>
      <c r="V368" s="88"/>
      <c r="W368" s="84" t="str">
        <f t="shared" si="24"/>
        <v/>
      </c>
      <c r="X368" s="86" t="str">
        <f>IFERROR(_xlfn.XLOOKUP($A368,'Raw Data'!$G:$G,'Raw Data'!AI:AI),"")</f>
        <v/>
      </c>
      <c r="Y368" s="86" t="str">
        <f>IFERROR(_xlfn.XLOOKUP($A368,'Raw Data'!$G:$G,'Raw Data'!AJ:AJ),"")</f>
        <v/>
      </c>
      <c r="Z368" s="86" t="str">
        <f>IFERROR(_xlfn.XLOOKUP($A368,'Raw Data'!$G:$G,'Raw Data'!AK:AK),"")</f>
        <v/>
      </c>
      <c r="AA368" s="86" t="str">
        <f>IFERROR(_xlfn.XLOOKUP($A368,'Raw Data'!$G:$G,'Raw Data'!$AL:$AL)*(1+(_xlfn.XLOOKUP(Table13[[#This Row],[Month Year]],JMR!$A:$A,JMR!$J:$J))),"")</f>
        <v/>
      </c>
      <c r="AB368" s="86" t="str">
        <f>IFERROR(_xlfn.XLOOKUP($A368,'Raw Data'!$G:$G,'Raw Data'!$H:$H),"")</f>
        <v/>
      </c>
      <c r="AC368" s="87">
        <f>IFERROR(_xlfn.XLOOKUP($D368,'Modelling New'!$D:$D,'Modelling New'!$P:$P),"")</f>
        <v>6.7870967741935484</v>
      </c>
      <c r="AD368" s="86">
        <f>IFERROR(_xlfn.XLOOKUP($D368,'Modelling New'!$D:$D,'Modelling New'!$T:$T)*1000,"")</f>
        <v>33827.192387794741</v>
      </c>
      <c r="AE368" s="94">
        <f>IFERROR(_xlfn.XLOOKUP($D368,'Modelling New'!$D:$D,'Modelling New'!$O:$O),"")</f>
        <v>0.70205720444645303</v>
      </c>
      <c r="AF368" s="94">
        <f>IFERROR(_xlfn.XLOOKUP($D368,'Modelling New'!$D:$D,'Modelling New'!$W:$W),"")</f>
        <v>0.19853875781657757</v>
      </c>
      <c r="AG368" s="94">
        <f>IFERROR(_xlfn.XLOOKUP($D368,'Modelling New'!$D:$D,'Modelling New'!$AE:$AE),"")</f>
        <v>0.98040000000000005</v>
      </c>
      <c r="AH368" s="94">
        <f>IFERROR(_xlfn.XLOOKUP($D368,'Modelling New'!$D:$D,'Modelling New'!$AF:$AF),"")</f>
        <v>0.98</v>
      </c>
      <c r="AN368" s="85"/>
      <c r="AO368" s="84"/>
      <c r="AP368" s="84"/>
      <c r="AQ368" s="84"/>
      <c r="AR368" s="86">
        <f>'Basic Data'!$J$2</f>
        <v>7.0991999999999997</v>
      </c>
      <c r="AT368" s="7" t="str">
        <f>IFERROR(_xlfn.XLOOKUP(Table13[[#This Row],[Date]],'Raw Data'!$E:$E,'Raw Data'!$AN:$AN),"")</f>
        <v/>
      </c>
      <c r="AU368" s="7">
        <f>IFERROR(_xlfn.XLOOKUP(Table13[[#This Row],[Month Year]],'Modelling New'!$D:$D,'Modelling New'!$AO:$AO),"")</f>
        <v>7</v>
      </c>
      <c r="AV368" s="7">
        <f>IFERROR(SUMIF('Curtailment Records'!$C:$C,Table13[[#This Row],[Date]],'Curtailment Records'!$R:$R)/1000,"")</f>
        <v>0</v>
      </c>
    </row>
    <row r="369" spans="1:48" x14ac:dyDescent="0.25">
      <c r="A369" s="93">
        <f t="shared" si="22"/>
        <v>46112</v>
      </c>
      <c r="B369" s="86">
        <f>YEAR(Table13[[#This Row],[Date]])+IF(MONTH(Table13[[#This Row],[Date]])&gt;=4,1,0)</f>
        <v>2026</v>
      </c>
      <c r="C369" s="7">
        <f>YEAR(Table13[[#This Row],[Date]])</f>
        <v>2026</v>
      </c>
      <c r="D369" s="92">
        <f>Table13[[#This Row],[Date]]-DAY(Table13[[#This Row],[Date]])+1</f>
        <v>46082</v>
      </c>
      <c r="E369" s="7">
        <f t="shared" si="23"/>
        <v>31</v>
      </c>
      <c r="F369" s="91" t="str">
        <f>IFERROR(_xlfn.XLOOKUP($A369,'Raw Data'!$G:$G,'Raw Data'!$AM:$AM),"")</f>
        <v/>
      </c>
      <c r="G369" s="90" t="str">
        <f>IFERROR(_xlfn.XLOOKUP($A369,'Raw Data'!$G:$G,'Raw Data'!$AB:$AB),"")</f>
        <v/>
      </c>
      <c r="H369" s="90"/>
      <c r="I369" s="90" t="str">
        <f>IFERROR(_xlfn.XLOOKUP($A369,'Raw Data'!$G:$G,'Raw Data'!$AC:$AC),"")</f>
        <v/>
      </c>
      <c r="J369" s="90"/>
      <c r="K369" s="90" t="str">
        <f>IFERROR(_xlfn.XLOOKUP($A369,'Raw Data'!$G:$G,'Raw Data'!AD:AD),"")</f>
        <v/>
      </c>
      <c r="L369" s="90" t="str">
        <f>IFERROR(_xlfn.XLOOKUP($A369,'Raw Data'!$G:$G,'Raw Data'!AE:AE),"")</f>
        <v/>
      </c>
      <c r="M369" s="90" t="str">
        <f>IFERROR(_xlfn.XLOOKUP($A369,'Raw Data'!$G:$G,'Raw Data'!AF:AF),"")</f>
        <v/>
      </c>
      <c r="N369" s="90" t="str">
        <f>IFERROR(_xlfn.XLOOKUP($A369,'Raw Data'!$G:$G,'Raw Data'!AG:AG),"")</f>
        <v/>
      </c>
      <c r="O369" s="85" t="str">
        <f>IFERROR(1-SUMIF('Plant BD'!$B:$B,$A369,'Plant BD'!$AM:$AM)/($AA369+SUMIF('Plant BD'!$B:$B,$A369,'Plant BD'!$AM:$AM)),"")</f>
        <v/>
      </c>
      <c r="P369" s="85"/>
      <c r="Q369" s="89"/>
      <c r="R369" s="85" t="str">
        <f>IFERROR(1-SUMIF('Grid BD'!$B:$B,$A369,'Grid BD'!$AE:$AE)/($AA369+SUMIF('Grid BD'!$B:$B,$A369,'Grid BD'!$AE:$AE)),"")</f>
        <v/>
      </c>
      <c r="T369" s="89"/>
      <c r="U369" s="88" t="str">
        <f t="shared" si="21"/>
        <v/>
      </c>
      <c r="V369" s="88"/>
      <c r="W369" s="84" t="str">
        <f t="shared" si="24"/>
        <v/>
      </c>
      <c r="X369" s="86" t="str">
        <f>IFERROR(_xlfn.XLOOKUP($A369,'Raw Data'!$G:$G,'Raw Data'!AI:AI),"")</f>
        <v/>
      </c>
      <c r="Y369" s="86" t="str">
        <f>IFERROR(_xlfn.XLOOKUP($A369,'Raw Data'!$G:$G,'Raw Data'!AJ:AJ),"")</f>
        <v/>
      </c>
      <c r="Z369" s="86" t="str">
        <f>IFERROR(_xlfn.XLOOKUP($A369,'Raw Data'!$G:$G,'Raw Data'!AK:AK),"")</f>
        <v/>
      </c>
      <c r="AA369" s="86" t="str">
        <f>IFERROR(_xlfn.XLOOKUP($A369,'Raw Data'!$G:$G,'Raw Data'!$AL:$AL)*(1+(_xlfn.XLOOKUP(Table13[[#This Row],[Month Year]],JMR!$A:$A,JMR!$J:$J))),"")</f>
        <v/>
      </c>
      <c r="AB369" s="86" t="str">
        <f>IFERROR(_xlfn.XLOOKUP($A369,'Raw Data'!$G:$G,'Raw Data'!$H:$H),"")</f>
        <v/>
      </c>
      <c r="AC369" s="87">
        <f>IFERROR(_xlfn.XLOOKUP($D369,'Modelling New'!$D:$D,'Modelling New'!$P:$P),"")</f>
        <v>6.7870967741935484</v>
      </c>
      <c r="AD369" s="86">
        <f>IFERROR(_xlfn.XLOOKUP($D369,'Modelling New'!$D:$D,'Modelling New'!$T:$T)*1000,"")</f>
        <v>33827.192387794741</v>
      </c>
      <c r="AE369" s="94">
        <f>IFERROR(_xlfn.XLOOKUP($D369,'Modelling New'!$D:$D,'Modelling New'!$O:$O),"")</f>
        <v>0.70205720444645303</v>
      </c>
      <c r="AF369" s="94">
        <f>IFERROR(_xlfn.XLOOKUP($D369,'Modelling New'!$D:$D,'Modelling New'!$W:$W),"")</f>
        <v>0.19853875781657757</v>
      </c>
      <c r="AG369" s="94">
        <f>IFERROR(_xlfn.XLOOKUP($D369,'Modelling New'!$D:$D,'Modelling New'!$AE:$AE),"")</f>
        <v>0.98040000000000005</v>
      </c>
      <c r="AH369" s="94">
        <f>IFERROR(_xlfn.XLOOKUP($D369,'Modelling New'!$D:$D,'Modelling New'!$AF:$AF),"")</f>
        <v>0.98</v>
      </c>
      <c r="AN369" s="85"/>
      <c r="AO369" s="84"/>
      <c r="AP369" s="84"/>
      <c r="AQ369" s="84"/>
      <c r="AR369" s="86">
        <f>'Basic Data'!$J$2</f>
        <v>7.0991999999999997</v>
      </c>
      <c r="AT369" s="7" t="str">
        <f>IFERROR(_xlfn.XLOOKUP(Table13[[#This Row],[Date]],'Raw Data'!$E:$E,'Raw Data'!$AN:$AN),"")</f>
        <v/>
      </c>
      <c r="AU369" s="7">
        <f>IFERROR(_xlfn.XLOOKUP(Table13[[#This Row],[Month Year]],'Modelling New'!$D:$D,'Modelling New'!$AO:$AO),"")</f>
        <v>7</v>
      </c>
      <c r="AV369" s="7">
        <f>IFERROR(SUMIF('Curtailment Records'!$C:$C,Table13[[#This Row],[Date]],'Curtailment Records'!$R:$R)/1000,"")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C117" activePane="bottomRight" state="frozen"/>
      <selection pane="topRight" activeCell="H1" sqref="H1"/>
      <selection pane="bottomLeft" activeCell="A4" sqref="A4"/>
      <selection pane="bottomRight" activeCell="AJ134" sqref="AJ134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3" customWidth="1"/>
    <col min="7" max="7" width="12" style="44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0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2" t="s">
        <v>109</v>
      </c>
      <c r="B3" s="13" t="s">
        <v>110</v>
      </c>
      <c r="C3" s="13" t="s">
        <v>1136</v>
      </c>
      <c r="D3" s="13" t="s">
        <v>85</v>
      </c>
      <c r="E3" s="13" t="s">
        <v>86</v>
      </c>
      <c r="F3" s="13" t="s">
        <v>62</v>
      </c>
      <c r="G3" s="16" t="s">
        <v>33</v>
      </c>
      <c r="H3" s="16" t="s">
        <v>87</v>
      </c>
      <c r="I3" s="13" t="s">
        <v>149</v>
      </c>
      <c r="J3" s="13" t="s">
        <v>150</v>
      </c>
      <c r="K3" s="13" t="s">
        <v>151</v>
      </c>
      <c r="L3" s="13" t="s">
        <v>152</v>
      </c>
      <c r="M3" s="13" t="s">
        <v>153</v>
      </c>
      <c r="N3" s="13" t="s">
        <v>154</v>
      </c>
      <c r="O3" s="13" t="s">
        <v>155</v>
      </c>
      <c r="P3" s="13" t="s">
        <v>156</v>
      </c>
      <c r="Q3" s="13" t="s">
        <v>157</v>
      </c>
      <c r="R3" s="13" t="s">
        <v>158</v>
      </c>
      <c r="S3" s="13" t="s">
        <v>159</v>
      </c>
      <c r="T3" s="13" t="s">
        <v>160</v>
      </c>
      <c r="U3" s="13" t="s">
        <v>161</v>
      </c>
      <c r="V3" s="13" t="s">
        <v>162</v>
      </c>
      <c r="W3" s="13" t="s">
        <v>100</v>
      </c>
      <c r="X3" s="13" t="s">
        <v>101</v>
      </c>
      <c r="Y3" s="13" t="s">
        <v>102</v>
      </c>
      <c r="Z3" s="13" t="s">
        <v>163</v>
      </c>
      <c r="AA3" s="13" t="s">
        <v>164</v>
      </c>
      <c r="AB3" s="13" t="s">
        <v>165</v>
      </c>
      <c r="AC3" s="13" t="s">
        <v>166</v>
      </c>
      <c r="AD3" s="13" t="s">
        <v>167</v>
      </c>
      <c r="AE3" s="13" t="s">
        <v>168</v>
      </c>
      <c r="AF3" s="13" t="s">
        <v>169</v>
      </c>
      <c r="AG3" s="13" t="s">
        <v>170</v>
      </c>
      <c r="AH3" s="13" t="s">
        <v>171</v>
      </c>
      <c r="AI3" s="13" t="s">
        <v>172</v>
      </c>
      <c r="AJ3" s="13" t="s">
        <v>173</v>
      </c>
      <c r="AK3" s="13" t="s">
        <v>174</v>
      </c>
      <c r="AL3" s="13" t="s">
        <v>175</v>
      </c>
      <c r="AM3" s="13" t="s">
        <v>111</v>
      </c>
      <c r="AN3" s="13" t="s">
        <v>1109</v>
      </c>
    </row>
    <row r="4" spans="1:40" x14ac:dyDescent="0.25">
      <c r="A4" s="125">
        <f>YEAR(Raw_Data[[#This Row],[Date]])+IF(MONTH(Raw_Data[[#This Row],[Date]])&gt;=4,1,0)</f>
        <v>2025</v>
      </c>
      <c r="B4" s="41">
        <v>2024</v>
      </c>
      <c r="C4" s="59" t="s">
        <v>107</v>
      </c>
      <c r="D4" s="59" t="s">
        <v>107</v>
      </c>
      <c r="E4" s="6" t="str">
        <f>TEXT(Raw_Data[[#This Row],[Date]],"mmm-yy")</f>
        <v>Mar-25</v>
      </c>
      <c r="F4" s="41">
        <f>DAY(EOMONTH(Raw_Data[[#This Row],[Month Year]],0))</f>
        <v>31</v>
      </c>
      <c r="G4" s="42">
        <v>45745</v>
      </c>
      <c r="H4" s="11">
        <f>'Modelling New'!$AR$1</f>
        <v>7.0991999999999997</v>
      </c>
      <c r="I4" s="40">
        <v>0.25555555555555554</v>
      </c>
      <c r="J4" s="40">
        <v>0.76944444444444449</v>
      </c>
      <c r="K4" s="58">
        <v>2518.6999999999998</v>
      </c>
      <c r="L4" s="58">
        <v>2503.1</v>
      </c>
      <c r="M4" s="58">
        <v>2498.9</v>
      </c>
      <c r="N4" s="58">
        <v>2567.4</v>
      </c>
      <c r="O4" s="58">
        <v>2906.8</v>
      </c>
      <c r="P4" s="58">
        <v>0</v>
      </c>
      <c r="Q4" s="58">
        <v>2907.9</v>
      </c>
      <c r="R4" s="58">
        <v>3009.1</v>
      </c>
      <c r="S4" s="58">
        <v>2567.9</v>
      </c>
      <c r="T4" s="58">
        <v>2578.4</v>
      </c>
      <c r="U4" s="58">
        <v>2566.6999999999998</v>
      </c>
      <c r="V4" s="58">
        <v>2565.6</v>
      </c>
      <c r="W4" s="58">
        <v>10088.1</v>
      </c>
      <c r="X4" s="58">
        <v>8823.7999999999993</v>
      </c>
      <c r="Y4" s="58">
        <v>10278.6</v>
      </c>
      <c r="Z4" s="59">
        <v>1922.7</v>
      </c>
      <c r="AA4" s="59">
        <v>14.6</v>
      </c>
      <c r="AB4" s="59"/>
      <c r="AC4" s="59">
        <v>5.5</v>
      </c>
      <c r="AD4" s="59">
        <v>0</v>
      </c>
      <c r="AE4" s="59">
        <v>51.7</v>
      </c>
      <c r="AF4" s="59">
        <v>0</v>
      </c>
      <c r="AG4" s="59">
        <v>0</v>
      </c>
      <c r="AH4" s="59"/>
      <c r="AI4" s="10">
        <f>SUM(Raw_Data[[#This Row],[Inv1]:[Inv3]])</f>
        <v>29190.5</v>
      </c>
      <c r="AJ4" s="10" t="e">
        <f>(Raw_Data[[#This Row],[33 kV Outgoinng Export Reading]]-#REF!)*1000</f>
        <v>#REF!</v>
      </c>
      <c r="AK4" s="10" t="e">
        <f>(Raw_Data[[#This Row],[33 kV Outgoinng Import Reading]]-#REF!)*1000</f>
        <v>#REF!</v>
      </c>
      <c r="AL4" s="10" t="e">
        <f>Raw_Data[[#This Row],[Export  (kWh)]]-Raw_Data[[#This Row],[Import (kWh)]]</f>
        <v>#REF!</v>
      </c>
      <c r="AM4" s="20">
        <f t="shared" ref="AM4:AM7" si="3">IFERROR((J4-I4)*24,"")</f>
        <v>12.333333333333336</v>
      </c>
    </row>
    <row r="5" spans="1:40" x14ac:dyDescent="0.25">
      <c r="A5" s="125">
        <f>YEAR(Raw_Data[[#This Row],[Date]])+IF(MONTH(Raw_Data[[#This Row],[Date]])&gt;=4,1,0)</f>
        <v>2025</v>
      </c>
      <c r="B5" s="41">
        <v>2024</v>
      </c>
      <c r="C5" s="59" t="s">
        <v>107</v>
      </c>
      <c r="D5" s="59" t="s">
        <v>107</v>
      </c>
      <c r="E5" s="6" t="str">
        <f>TEXT(Raw_Data[[#This Row],[Date]],"mmm-yy")</f>
        <v>Mar-25</v>
      </c>
      <c r="F5" s="41">
        <f>DAY(EOMONTH(Raw_Data[[#This Row],[Month Year]],0))</f>
        <v>31</v>
      </c>
      <c r="G5" s="42">
        <f t="shared" ref="G5:G68" si="4">G4+1</f>
        <v>45746</v>
      </c>
      <c r="H5" s="11">
        <f>'Modelling New'!$AR$1</f>
        <v>7.0991999999999997</v>
      </c>
      <c r="I5" s="40">
        <v>0.27847222222222223</v>
      </c>
      <c r="J5" s="40">
        <v>0.75624999999999998</v>
      </c>
      <c r="K5" s="58">
        <v>2577.6</v>
      </c>
      <c r="L5" s="58">
        <v>2484.3000000000002</v>
      </c>
      <c r="M5" s="58">
        <v>2480.6</v>
      </c>
      <c r="N5" s="58">
        <v>2482</v>
      </c>
      <c r="O5" s="58">
        <v>2972.2</v>
      </c>
      <c r="P5" s="58">
        <v>0</v>
      </c>
      <c r="Q5" s="58">
        <v>2887.7</v>
      </c>
      <c r="R5" s="58">
        <v>2904.1</v>
      </c>
      <c r="S5" s="58">
        <v>2563</v>
      </c>
      <c r="T5" s="58">
        <v>2573.8000000000002</v>
      </c>
      <c r="U5" s="58">
        <v>2563.1999999999998</v>
      </c>
      <c r="V5" s="58">
        <v>2561.6</v>
      </c>
      <c r="W5" s="58">
        <v>10024.5</v>
      </c>
      <c r="X5" s="58">
        <v>8764</v>
      </c>
      <c r="Y5" s="58">
        <v>10261.6</v>
      </c>
      <c r="Z5" s="59">
        <v>1951.6</v>
      </c>
      <c r="AA5" s="59">
        <v>14.8</v>
      </c>
      <c r="AB5" s="59"/>
      <c r="AC5" s="59">
        <v>5.5</v>
      </c>
      <c r="AD5" s="59">
        <v>0</v>
      </c>
      <c r="AE5" s="59">
        <v>52.76</v>
      </c>
      <c r="AF5" s="59">
        <v>0</v>
      </c>
      <c r="AG5" s="59">
        <v>0</v>
      </c>
      <c r="AH5" s="59"/>
      <c r="AI5" s="10">
        <f>SUM(Raw_Data[[#This Row],[Inv1]:[Inv3]])</f>
        <v>29050.1</v>
      </c>
      <c r="AJ5" s="10">
        <f>(Raw_Data[[#This Row],[33 kV Outgoinng Export Reading]]-Z4)*1000</f>
        <v>28899.999999999862</v>
      </c>
      <c r="AK5" s="10">
        <f>(Raw_Data[[#This Row],[33 kV Outgoinng Import Reading]]-AA4)*1000</f>
        <v>200.00000000000108</v>
      </c>
      <c r="AL5" s="10">
        <f>Raw_Data[[#This Row],[Export  (kWh)]]-Raw_Data[[#This Row],[Import (kWh)]]</f>
        <v>28699.999999999862</v>
      </c>
      <c r="AM5" s="20">
        <f t="shared" si="3"/>
        <v>11.466666666666665</v>
      </c>
    </row>
    <row r="6" spans="1:40" x14ac:dyDescent="0.25">
      <c r="A6" s="125">
        <f>YEAR(Raw_Data[[#This Row],[Date]])+IF(MONTH(Raw_Data[[#This Row],[Date]])&gt;=4,1,0)</f>
        <v>2025</v>
      </c>
      <c r="B6" s="41">
        <v>2024</v>
      </c>
      <c r="C6" s="59" t="s">
        <v>107</v>
      </c>
      <c r="D6" s="59" t="s">
        <v>107</v>
      </c>
      <c r="E6" s="6" t="str">
        <f>TEXT(Raw_Data[[#This Row],[Date]],"mmm-yy")</f>
        <v>Mar-25</v>
      </c>
      <c r="F6" s="41">
        <f>DAY(EOMONTH(Raw_Data[[#This Row],[Month Year]],0))</f>
        <v>31</v>
      </c>
      <c r="G6" s="42">
        <f t="shared" si="4"/>
        <v>45747</v>
      </c>
      <c r="H6" s="11">
        <f>'Modelling New'!$AR$1</f>
        <v>7.0991999999999997</v>
      </c>
      <c r="I6" s="40">
        <v>0.24930555555555556</v>
      </c>
      <c r="J6" s="40">
        <v>0.77152777777777781</v>
      </c>
      <c r="K6" s="58">
        <v>2365.5</v>
      </c>
      <c r="L6" s="58">
        <v>2425.8000000000002</v>
      </c>
      <c r="M6" s="58">
        <v>2347.1999999999998</v>
      </c>
      <c r="N6" s="58">
        <v>2350.1999999999998</v>
      </c>
      <c r="O6" s="58">
        <v>2730.4</v>
      </c>
      <c r="P6" s="58">
        <v>0</v>
      </c>
      <c r="Q6" s="58">
        <v>2812.9</v>
      </c>
      <c r="R6" s="58">
        <v>2746.8</v>
      </c>
      <c r="S6" s="58">
        <v>2421.6</v>
      </c>
      <c r="T6" s="58">
        <v>2430.6</v>
      </c>
      <c r="U6" s="58">
        <v>2421.1999999999998</v>
      </c>
      <c r="V6" s="58">
        <v>2419.5</v>
      </c>
      <c r="W6" s="58">
        <v>9488.7000000000007</v>
      </c>
      <c r="X6" s="58">
        <v>8290.1</v>
      </c>
      <c r="Y6" s="58">
        <v>9692.9</v>
      </c>
      <c r="Z6" s="59">
        <v>1978.9</v>
      </c>
      <c r="AA6" s="59">
        <v>15</v>
      </c>
      <c r="AB6" s="59"/>
      <c r="AC6" s="59">
        <v>5.28</v>
      </c>
      <c r="AD6" s="59">
        <v>0</v>
      </c>
      <c r="AE6" s="59">
        <v>48.34</v>
      </c>
      <c r="AF6" s="59">
        <v>0</v>
      </c>
      <c r="AG6" s="59">
        <v>0</v>
      </c>
      <c r="AH6" s="59"/>
      <c r="AI6" s="10">
        <f>SUM(Raw_Data[[#This Row],[Inv1]:[Inv3]])</f>
        <v>27471.700000000004</v>
      </c>
      <c r="AJ6" s="10">
        <f>(Raw_Data[[#This Row],[33 kV Outgoinng Export Reading]]-Z5)*1000</f>
        <v>27300.000000000182</v>
      </c>
      <c r="AK6" s="10">
        <f>(Raw_Data[[#This Row],[33 kV Outgoinng Import Reading]]-AA5)*1000</f>
        <v>199.99999999999929</v>
      </c>
      <c r="AL6" s="10">
        <f>Raw_Data[[#This Row],[Export  (kWh)]]-Raw_Data[[#This Row],[Import (kWh)]]</f>
        <v>27100.000000000182</v>
      </c>
      <c r="AM6" s="20">
        <f t="shared" si="3"/>
        <v>12.533333333333335</v>
      </c>
    </row>
    <row r="7" spans="1:40" x14ac:dyDescent="0.25">
      <c r="A7" s="125">
        <f>YEAR(Raw_Data[[#This Row],[Date]])+IF(MONTH(Raw_Data[[#This Row],[Date]])&gt;=4,1,0)</f>
        <v>2026</v>
      </c>
      <c r="B7" s="41">
        <v>2025</v>
      </c>
      <c r="C7" s="59" t="s">
        <v>4</v>
      </c>
      <c r="D7" s="59" t="s">
        <v>4</v>
      </c>
      <c r="E7" s="6" t="str">
        <f>TEXT(Raw_Data[[#This Row],[Date]],"mmm-yy")</f>
        <v>Apr-25</v>
      </c>
      <c r="F7" s="41">
        <f>DAY(EOMONTH(Raw_Data[[#This Row],[Month Year]],0))</f>
        <v>30</v>
      </c>
      <c r="G7" s="42">
        <f t="shared" si="4"/>
        <v>45748</v>
      </c>
      <c r="H7" s="11">
        <f>'Modelling New'!$AR$1</f>
        <v>7.0991999999999997</v>
      </c>
      <c r="I7" s="40">
        <v>0.24791666666666667</v>
      </c>
      <c r="J7" s="40">
        <v>0.77083333333333337</v>
      </c>
      <c r="K7" s="58">
        <v>2584.9</v>
      </c>
      <c r="L7" s="58">
        <v>2570</v>
      </c>
      <c r="M7" s="58">
        <v>2647.6</v>
      </c>
      <c r="N7" s="58">
        <v>2570.6</v>
      </c>
      <c r="O7" s="58">
        <v>2928.1</v>
      </c>
      <c r="P7" s="58">
        <v>0</v>
      </c>
      <c r="Q7" s="58">
        <v>3015.4</v>
      </c>
      <c r="R7" s="58">
        <v>2946.2</v>
      </c>
      <c r="S7" s="58">
        <v>2599</v>
      </c>
      <c r="T7" s="58">
        <v>2608.3000000000002</v>
      </c>
      <c r="U7" s="58">
        <v>2597.8000000000002</v>
      </c>
      <c r="V7" s="58">
        <v>2596.3000000000002</v>
      </c>
      <c r="W7" s="58">
        <v>10373.1</v>
      </c>
      <c r="X7" s="58">
        <v>8889.7000000000007</v>
      </c>
      <c r="Y7" s="58">
        <v>10401.4</v>
      </c>
      <c r="Z7" s="59">
        <v>2008.4</v>
      </c>
      <c r="AA7" s="59">
        <v>15.2</v>
      </c>
      <c r="AB7" s="59"/>
      <c r="AC7" s="59">
        <v>5.23</v>
      </c>
      <c r="AD7" s="59">
        <v>0</v>
      </c>
      <c r="AE7" s="59">
        <v>48.81</v>
      </c>
      <c r="AF7" s="59">
        <v>0</v>
      </c>
      <c r="AG7" s="59">
        <v>0</v>
      </c>
      <c r="AH7" s="59"/>
      <c r="AI7" s="10">
        <f>SUM(Raw_Data[[#This Row],[Inv1]:[Inv3]])</f>
        <v>29664.200000000004</v>
      </c>
      <c r="AJ7" s="10">
        <f>(Raw_Data[[#This Row],[33 kV Outgoinng Export Reading]]-Z6)*1000</f>
        <v>29500</v>
      </c>
      <c r="AK7" s="10">
        <f>(Raw_Data[[#This Row],[33 kV Outgoinng Import Reading]]-AA6)*1000</f>
        <v>199.99999999999929</v>
      </c>
      <c r="AL7" s="10">
        <f>Raw_Data[[#This Row],[Export  (kWh)]]-Raw_Data[[#This Row],[Import (kWh)]]</f>
        <v>29300</v>
      </c>
      <c r="AM7" s="20">
        <f t="shared" si="3"/>
        <v>12.55</v>
      </c>
    </row>
    <row r="8" spans="1:40" x14ac:dyDescent="0.25">
      <c r="A8" s="125">
        <f>YEAR(Raw_Data[[#This Row],[Date]])+IF(MONTH(Raw_Data[[#This Row],[Date]])&gt;=4,1,0)</f>
        <v>2026</v>
      </c>
      <c r="B8" s="41">
        <v>2025</v>
      </c>
      <c r="C8" s="59" t="s">
        <v>4</v>
      </c>
      <c r="D8" s="59" t="s">
        <v>4</v>
      </c>
      <c r="E8" s="6" t="str">
        <f>TEXT(Raw_Data[[#This Row],[Date]],"mmm-yy")</f>
        <v>Apr-25</v>
      </c>
      <c r="F8" s="41">
        <f>DAY(EOMONTH(Raw_Data[[#This Row],[Month Year]],0))</f>
        <v>30</v>
      </c>
      <c r="G8" s="42">
        <f t="shared" si="4"/>
        <v>45749</v>
      </c>
      <c r="H8" s="11">
        <f>'Modelling New'!$AR$1</f>
        <v>7.0991999999999997</v>
      </c>
      <c r="I8" s="40">
        <v>0.24236111111111111</v>
      </c>
      <c r="J8" s="40">
        <v>0.77569444444444446</v>
      </c>
      <c r="K8" s="58">
        <v>2642.2</v>
      </c>
      <c r="L8" s="58">
        <v>2627.2</v>
      </c>
      <c r="M8" s="58">
        <v>2624</v>
      </c>
      <c r="N8" s="58">
        <v>2707.4</v>
      </c>
      <c r="O8" s="58">
        <v>2950.2</v>
      </c>
      <c r="P8" s="58">
        <v>0</v>
      </c>
      <c r="Q8" s="58">
        <v>2952</v>
      </c>
      <c r="R8" s="58">
        <v>3055.6</v>
      </c>
      <c r="S8" s="58">
        <v>2616.9</v>
      </c>
      <c r="T8" s="58">
        <v>2626</v>
      </c>
      <c r="U8" s="58">
        <v>2615.6</v>
      </c>
      <c r="V8" s="58">
        <v>2614.4</v>
      </c>
      <c r="W8" s="58">
        <v>10600.8</v>
      </c>
      <c r="X8" s="58">
        <v>8957.7999999999993</v>
      </c>
      <c r="Y8" s="58">
        <v>10472.9</v>
      </c>
      <c r="Z8" s="59">
        <v>2038.2</v>
      </c>
      <c r="AA8" s="59">
        <v>15.4</v>
      </c>
      <c r="AB8" s="59"/>
      <c r="AC8" s="59">
        <v>5.53</v>
      </c>
      <c r="AD8" s="59">
        <v>0</v>
      </c>
      <c r="AE8" s="59">
        <v>48.13</v>
      </c>
      <c r="AF8" s="59">
        <v>0</v>
      </c>
      <c r="AG8" s="59">
        <v>0</v>
      </c>
      <c r="AH8" s="59"/>
      <c r="AI8" s="10">
        <f>SUM(Raw_Data[[#This Row],[Inv1]:[Inv3]])</f>
        <v>30031.5</v>
      </c>
      <c r="AJ8" s="10">
        <f>(Raw_Data[[#This Row],[33 kV Outgoinng Export Reading]]-Z7)*1000</f>
        <v>29799.999999999956</v>
      </c>
      <c r="AK8" s="10">
        <f>(Raw_Data[[#This Row],[33 kV Outgoinng Import Reading]]-AA7)*1000</f>
        <v>200.00000000000108</v>
      </c>
      <c r="AL8" s="10">
        <f>Raw_Data[[#This Row],[Export  (kWh)]]-Raw_Data[[#This Row],[Import (kWh)]]</f>
        <v>29599.999999999956</v>
      </c>
      <c r="AM8" s="20">
        <f t="shared" ref="AM8" si="5">IFERROR((J8-I8)*24,"")</f>
        <v>12.8</v>
      </c>
    </row>
    <row r="9" spans="1:40" x14ac:dyDescent="0.25">
      <c r="A9" s="125">
        <f>YEAR(Raw_Data[[#This Row],[Date]])+IF(MONTH(Raw_Data[[#This Row],[Date]])&gt;=4,1,0)</f>
        <v>2026</v>
      </c>
      <c r="B9" s="41">
        <v>2025</v>
      </c>
      <c r="C9" s="59" t="s">
        <v>4</v>
      </c>
      <c r="D9" s="59" t="s">
        <v>4</v>
      </c>
      <c r="E9" s="6" t="str">
        <f>TEXT(Raw_Data[[#This Row],[Date]],"mmm-yy")</f>
        <v>Apr-25</v>
      </c>
      <c r="F9" s="41">
        <f>DAY(EOMONTH(Raw_Data[[#This Row],[Month Year]],0))</f>
        <v>30</v>
      </c>
      <c r="G9" s="42">
        <f t="shared" si="4"/>
        <v>45750</v>
      </c>
      <c r="H9" s="11">
        <f>'Modelling New'!$AR$1</f>
        <v>7.0991999999999997</v>
      </c>
      <c r="I9" s="40">
        <v>0.24722222222222223</v>
      </c>
      <c r="J9" s="40">
        <v>0.77152777777777781</v>
      </c>
      <c r="K9" s="58">
        <v>1550.2</v>
      </c>
      <c r="L9" s="58">
        <v>1462.8</v>
      </c>
      <c r="M9" s="58">
        <v>1448.8</v>
      </c>
      <c r="N9" s="58">
        <v>1460.3</v>
      </c>
      <c r="O9" s="58">
        <v>1919.8</v>
      </c>
      <c r="P9" s="58">
        <v>0</v>
      </c>
      <c r="Q9" s="58">
        <v>1851</v>
      </c>
      <c r="R9" s="58">
        <v>1865.4</v>
      </c>
      <c r="S9" s="58">
        <v>1457.3</v>
      </c>
      <c r="T9" s="58">
        <v>1460.4</v>
      </c>
      <c r="U9" s="58">
        <v>1455.1</v>
      </c>
      <c r="V9" s="58">
        <v>1454.9</v>
      </c>
      <c r="W9" s="58">
        <v>5922.3</v>
      </c>
      <c r="X9" s="58">
        <v>5636.2</v>
      </c>
      <c r="Y9" s="58">
        <v>5827.7</v>
      </c>
      <c r="Z9" s="59">
        <v>2055.4</v>
      </c>
      <c r="AA9" s="59">
        <v>15.6</v>
      </c>
      <c r="AB9" s="59"/>
      <c r="AC9" s="59">
        <v>3.27</v>
      </c>
      <c r="AD9" s="59">
        <v>0</v>
      </c>
      <c r="AE9" s="59">
        <v>38.299999999999997</v>
      </c>
      <c r="AF9" s="59">
        <v>0</v>
      </c>
      <c r="AG9" s="59">
        <v>0</v>
      </c>
      <c r="AH9" s="59"/>
      <c r="AI9" s="10">
        <f>SUM(Raw_Data[[#This Row],[Inv1]:[Inv3]])</f>
        <v>17386.2</v>
      </c>
      <c r="AJ9" s="10">
        <f>(Raw_Data[[#This Row],[33 kV Outgoinng Export Reading]]-Z8)*1000</f>
        <v>17200.000000000044</v>
      </c>
      <c r="AK9" s="10">
        <f>(Raw_Data[[#This Row],[33 kV Outgoinng Import Reading]]-AA8)*1000</f>
        <v>199.99999999999929</v>
      </c>
      <c r="AL9" s="10">
        <f>Raw_Data[[#This Row],[Export  (kWh)]]-Raw_Data[[#This Row],[Import (kWh)]]</f>
        <v>17000.000000000044</v>
      </c>
      <c r="AM9" s="20">
        <f t="shared" ref="AM9" si="6">IFERROR((J9-I9)*24,"")</f>
        <v>12.583333333333334</v>
      </c>
    </row>
    <row r="10" spans="1:40" x14ac:dyDescent="0.25">
      <c r="A10" s="125">
        <f>YEAR(Raw_Data[[#This Row],[Date]])+IF(MONTH(Raw_Data[[#This Row],[Date]])&gt;=4,1,0)</f>
        <v>2026</v>
      </c>
      <c r="B10" s="41">
        <v>2025</v>
      </c>
      <c r="C10" s="59" t="s">
        <v>4</v>
      </c>
      <c r="D10" s="59" t="s">
        <v>4</v>
      </c>
      <c r="E10" s="6" t="str">
        <f>TEXT(Raw_Data[[#This Row],[Date]],"mmm-yy")</f>
        <v>Apr-25</v>
      </c>
      <c r="F10" s="41">
        <f>DAY(EOMONTH(Raw_Data[[#This Row],[Month Year]],0))</f>
        <v>30</v>
      </c>
      <c r="G10" s="42">
        <f t="shared" si="4"/>
        <v>45751</v>
      </c>
      <c r="H10" s="11">
        <f>'Modelling New'!$AR$1</f>
        <v>7.0991999999999997</v>
      </c>
      <c r="I10" s="40">
        <v>0.24930555555555556</v>
      </c>
      <c r="J10" s="40">
        <v>0.77361111111111114</v>
      </c>
      <c r="K10" s="58">
        <v>2929.5</v>
      </c>
      <c r="L10" s="58">
        <v>2985.9</v>
      </c>
      <c r="M10" s="58">
        <v>2908.3</v>
      </c>
      <c r="N10" s="58">
        <v>2906.6</v>
      </c>
      <c r="O10" s="58">
        <v>3479.4</v>
      </c>
      <c r="P10" s="58">
        <v>0</v>
      </c>
      <c r="Q10" s="58">
        <v>3554.3</v>
      </c>
      <c r="R10" s="58">
        <v>3500.3</v>
      </c>
      <c r="S10" s="58">
        <v>2671</v>
      </c>
      <c r="T10" s="58">
        <v>2682.2</v>
      </c>
      <c r="U10" s="58">
        <v>2670.7</v>
      </c>
      <c r="V10" s="58">
        <v>2668.5</v>
      </c>
      <c r="W10" s="58">
        <v>11730.3</v>
      </c>
      <c r="X10" s="58">
        <v>10534</v>
      </c>
      <c r="Y10" s="58">
        <v>10692.4</v>
      </c>
      <c r="Z10" s="59">
        <v>2088.1</v>
      </c>
      <c r="AA10" s="59">
        <v>15.7</v>
      </c>
      <c r="AB10" s="59"/>
      <c r="AC10" s="59">
        <v>6.44</v>
      </c>
      <c r="AD10" s="59">
        <v>0</v>
      </c>
      <c r="AE10" s="59">
        <v>48.64</v>
      </c>
      <c r="AF10" s="59">
        <v>0</v>
      </c>
      <c r="AG10" s="59">
        <v>0</v>
      </c>
      <c r="AH10" s="59"/>
      <c r="AI10" s="10">
        <f>SUM(Raw_Data[[#This Row],[Inv1]:[Inv3]])</f>
        <v>32956.699999999997</v>
      </c>
      <c r="AJ10" s="10">
        <f>(Raw_Data[[#This Row],[33 kV Outgoinng Export Reading]]-Z9)*1000</f>
        <v>32699.999999999818</v>
      </c>
      <c r="AK10" s="10">
        <f>(Raw_Data[[#This Row],[33 kV Outgoinng Import Reading]]-AA9)*1000</f>
        <v>99.999999999999645</v>
      </c>
      <c r="AL10" s="10">
        <f>Raw_Data[[#This Row],[Export  (kWh)]]-Raw_Data[[#This Row],[Import (kWh)]]</f>
        <v>32599.999999999818</v>
      </c>
      <c r="AM10" s="20">
        <f t="shared" ref="AM10" si="7">IFERROR((J10-I10)*24,"")</f>
        <v>12.583333333333334</v>
      </c>
    </row>
    <row r="11" spans="1:40" x14ac:dyDescent="0.25">
      <c r="A11" s="125">
        <f>YEAR(Raw_Data[[#This Row],[Date]])+IF(MONTH(Raw_Data[[#This Row],[Date]])&gt;=4,1,0)</f>
        <v>2026</v>
      </c>
      <c r="B11" s="41">
        <v>2025</v>
      </c>
      <c r="C11" s="59" t="s">
        <v>4</v>
      </c>
      <c r="D11" s="59" t="s">
        <v>4</v>
      </c>
      <c r="E11" s="6" t="str">
        <f>TEXT(Raw_Data[[#This Row],[Date]],"mmm-yy")</f>
        <v>Apr-25</v>
      </c>
      <c r="F11" s="41">
        <f>DAY(EOMONTH(Raw_Data[[#This Row],[Month Year]],0))</f>
        <v>30</v>
      </c>
      <c r="G11" s="42">
        <f t="shared" si="4"/>
        <v>45752</v>
      </c>
      <c r="H11" s="11">
        <f>'Modelling New'!$AR$1</f>
        <v>7.0991999999999997</v>
      </c>
      <c r="I11" s="40">
        <v>0.24930555555555556</v>
      </c>
      <c r="J11" s="40">
        <v>0.77361111111111114</v>
      </c>
      <c r="K11" s="58">
        <v>2793.4</v>
      </c>
      <c r="L11" s="58">
        <v>2776.1</v>
      </c>
      <c r="M11" s="58">
        <v>2772.7</v>
      </c>
      <c r="N11" s="58">
        <v>2837.1</v>
      </c>
      <c r="O11" s="58">
        <v>3793.2</v>
      </c>
      <c r="P11" s="58">
        <v>0</v>
      </c>
      <c r="Q11" s="58">
        <v>3731.8</v>
      </c>
      <c r="R11" s="58">
        <v>3747.4</v>
      </c>
      <c r="S11" s="58">
        <v>2788.2</v>
      </c>
      <c r="T11" s="58">
        <v>2800.2</v>
      </c>
      <c r="U11" s="58">
        <v>2788.4</v>
      </c>
      <c r="V11" s="58">
        <v>2785.1</v>
      </c>
      <c r="W11" s="58">
        <v>11179.3</v>
      </c>
      <c r="X11" s="58">
        <v>11272.4</v>
      </c>
      <c r="Y11" s="58">
        <v>11161.9</v>
      </c>
      <c r="Z11" s="59">
        <v>2121.5</v>
      </c>
      <c r="AA11" s="59">
        <v>16</v>
      </c>
      <c r="AB11" s="59"/>
      <c r="AC11" s="59">
        <v>6.18</v>
      </c>
      <c r="AD11" s="59">
        <v>0</v>
      </c>
      <c r="AE11" s="59">
        <v>49.73</v>
      </c>
      <c r="AF11" s="59">
        <v>0</v>
      </c>
      <c r="AG11" s="59">
        <v>0</v>
      </c>
      <c r="AH11" s="59"/>
      <c r="AI11" s="10">
        <f>SUM(Raw_Data[[#This Row],[Inv1]:[Inv3]])</f>
        <v>33613.599999999999</v>
      </c>
      <c r="AJ11" s="10">
        <f>(Raw_Data[[#This Row],[33 kV Outgoinng Export Reading]]-Z10)*1000</f>
        <v>33400.000000000087</v>
      </c>
      <c r="AK11" s="10">
        <f>(Raw_Data[[#This Row],[33 kV Outgoinng Import Reading]]-AA10)*1000</f>
        <v>300.00000000000068</v>
      </c>
      <c r="AL11" s="10">
        <f>Raw_Data[[#This Row],[Export  (kWh)]]-Raw_Data[[#This Row],[Import (kWh)]]</f>
        <v>33100.000000000087</v>
      </c>
      <c r="AM11" s="20">
        <f t="shared" ref="AM11" si="8">IFERROR((J11-I11)*24,"")</f>
        <v>12.583333333333334</v>
      </c>
    </row>
    <row r="12" spans="1:40" x14ac:dyDescent="0.25">
      <c r="A12" s="125">
        <f>YEAR(Raw_Data[[#This Row],[Date]])+IF(MONTH(Raw_Data[[#This Row],[Date]])&gt;=4,1,0)</f>
        <v>2026</v>
      </c>
      <c r="B12" s="41">
        <v>2025</v>
      </c>
      <c r="C12" s="59" t="s">
        <v>4</v>
      </c>
      <c r="D12" s="59" t="s">
        <v>4</v>
      </c>
      <c r="E12" s="6" t="str">
        <f>TEXT(Raw_Data[[#This Row],[Date]],"mmm-yy")</f>
        <v>Apr-25</v>
      </c>
      <c r="F12" s="41">
        <f>DAY(EOMONTH(Raw_Data[[#This Row],[Month Year]],0))</f>
        <v>30</v>
      </c>
      <c r="G12" s="42">
        <f t="shared" si="4"/>
        <v>45753</v>
      </c>
      <c r="H12" s="11">
        <f>'Modelling New'!$AR$1</f>
        <v>7.0991999999999997</v>
      </c>
      <c r="I12" s="40">
        <v>0.24930555555555556</v>
      </c>
      <c r="J12" s="40">
        <v>0.7729166666666667</v>
      </c>
      <c r="K12" s="58">
        <v>3075.5</v>
      </c>
      <c r="L12" s="58">
        <v>2986.5</v>
      </c>
      <c r="M12" s="58">
        <v>2984</v>
      </c>
      <c r="N12" s="58">
        <v>2979.8</v>
      </c>
      <c r="O12" s="58">
        <v>3690.1</v>
      </c>
      <c r="P12" s="58">
        <v>0</v>
      </c>
      <c r="Q12" s="58">
        <v>3765.4</v>
      </c>
      <c r="R12" s="58">
        <v>3711.4</v>
      </c>
      <c r="S12" s="58">
        <v>3023.5</v>
      </c>
      <c r="T12" s="58">
        <v>3037.5</v>
      </c>
      <c r="U12" s="58">
        <v>3024.4</v>
      </c>
      <c r="V12" s="58">
        <v>3021.3</v>
      </c>
      <c r="W12" s="58">
        <v>12025.8</v>
      </c>
      <c r="X12" s="58">
        <v>11166.9</v>
      </c>
      <c r="Y12" s="58">
        <v>12106.7</v>
      </c>
      <c r="Z12" s="59">
        <v>2156.4</v>
      </c>
      <c r="AA12" s="59">
        <v>16.2</v>
      </c>
      <c r="AB12" s="59"/>
      <c r="AC12" s="59">
        <v>6.75</v>
      </c>
      <c r="AD12" s="59">
        <v>0</v>
      </c>
      <c r="AE12" s="59">
        <v>51.48</v>
      </c>
      <c r="AF12" s="59">
        <v>0</v>
      </c>
      <c r="AG12" s="59">
        <v>0</v>
      </c>
      <c r="AH12" s="59"/>
      <c r="AI12" s="10">
        <f>SUM(Raw_Data[[#This Row],[Inv1]:[Inv3]])</f>
        <v>35299.399999999994</v>
      </c>
      <c r="AJ12" s="10">
        <f>(Raw_Data[[#This Row],[33 kV Outgoinng Export Reading]]-Z11)*1000</f>
        <v>34900.000000000087</v>
      </c>
      <c r="AK12" s="10">
        <f>(Raw_Data[[#This Row],[33 kV Outgoinng Import Reading]]-AA11)*1000</f>
        <v>199.99999999999929</v>
      </c>
      <c r="AL12" s="10">
        <f>Raw_Data[[#This Row],[Export  (kWh)]]-Raw_Data[[#This Row],[Import (kWh)]]</f>
        <v>34700.000000000087</v>
      </c>
      <c r="AM12" s="20">
        <f t="shared" ref="AM12" si="9">IFERROR((J12-I12)*24,"")</f>
        <v>12.566666666666666</v>
      </c>
    </row>
    <row r="13" spans="1:40" x14ac:dyDescent="0.25">
      <c r="A13" s="125">
        <f>YEAR(Raw_Data[[#This Row],[Date]])+IF(MONTH(Raw_Data[[#This Row],[Date]])&gt;=4,1,0)</f>
        <v>2026</v>
      </c>
      <c r="B13" s="41">
        <v>2025</v>
      </c>
      <c r="C13" s="59" t="s">
        <v>4</v>
      </c>
      <c r="D13" s="59" t="s">
        <v>4</v>
      </c>
      <c r="E13" s="6" t="str">
        <f>TEXT(Raw_Data[[#This Row],[Date]],"mmm-yy")</f>
        <v>Apr-25</v>
      </c>
      <c r="F13" s="41">
        <f>DAY(EOMONTH(Raw_Data[[#This Row],[Month Year]],0))</f>
        <v>30</v>
      </c>
      <c r="G13" s="42">
        <f t="shared" si="4"/>
        <v>45754</v>
      </c>
      <c r="H13" s="11">
        <f>'Modelling New'!$AR$1</f>
        <v>7.0991999999999997</v>
      </c>
      <c r="I13" s="40">
        <v>0.24930555555555556</v>
      </c>
      <c r="J13" s="40">
        <v>0.77500000000000002</v>
      </c>
      <c r="K13" s="58">
        <v>2917.6</v>
      </c>
      <c r="L13" s="58">
        <v>2971.9</v>
      </c>
      <c r="M13" s="58">
        <v>2897.1</v>
      </c>
      <c r="N13" s="58">
        <v>2892.2</v>
      </c>
      <c r="O13" s="58">
        <v>3879.4</v>
      </c>
      <c r="P13" s="58">
        <v>0</v>
      </c>
      <c r="Q13" s="58">
        <v>3953.6</v>
      </c>
      <c r="R13" s="58">
        <v>3900.7</v>
      </c>
      <c r="S13" s="58">
        <v>2934.7</v>
      </c>
      <c r="T13" s="58">
        <v>2948.2</v>
      </c>
      <c r="U13" s="58">
        <v>2936</v>
      </c>
      <c r="V13" s="58">
        <v>2932.2</v>
      </c>
      <c r="W13" s="58">
        <v>11678.8</v>
      </c>
      <c r="X13" s="58">
        <v>11733.7</v>
      </c>
      <c r="Y13" s="58">
        <v>11751.1</v>
      </c>
      <c r="Z13" s="59">
        <v>2192.1999999999998</v>
      </c>
      <c r="AA13" s="59">
        <v>16.399999999999999</v>
      </c>
      <c r="AB13" s="59"/>
      <c r="AC13" s="59">
        <v>6.57</v>
      </c>
      <c r="AD13" s="59">
        <v>0</v>
      </c>
      <c r="AE13" s="59">
        <v>51.99</v>
      </c>
      <c r="AF13" s="59">
        <v>0</v>
      </c>
      <c r="AG13" s="59">
        <v>0</v>
      </c>
      <c r="AH13" s="59"/>
      <c r="AI13" s="10">
        <f>SUM(Raw_Data[[#This Row],[Inv1]:[Inv3]])</f>
        <v>35163.599999999999</v>
      </c>
      <c r="AJ13" s="10">
        <f>(Raw_Data[[#This Row],[33 kV Outgoinng Export Reading]]-Z12)*1000</f>
        <v>35799.999999999724</v>
      </c>
      <c r="AK13" s="10">
        <f>(Raw_Data[[#This Row],[33 kV Outgoinng Import Reading]]-AA12)*1000</f>
        <v>199.99999999999929</v>
      </c>
      <c r="AL13" s="10">
        <f>Raw_Data[[#This Row],[Export  (kWh)]]-Raw_Data[[#This Row],[Import (kWh)]]</f>
        <v>35599.999999999724</v>
      </c>
      <c r="AM13" s="20">
        <f t="shared" ref="AM13:AM40" si="10">IFERROR((J13-I13)*24,"")</f>
        <v>12.616666666666667</v>
      </c>
    </row>
    <row r="14" spans="1:40" x14ac:dyDescent="0.25">
      <c r="A14" s="125">
        <f>YEAR(Raw_Data[[#This Row],[Date]])+IF(MONTH(Raw_Data[[#This Row],[Date]])&gt;=4,1,0)</f>
        <v>2026</v>
      </c>
      <c r="B14" s="41">
        <v>2025</v>
      </c>
      <c r="C14" s="59" t="s">
        <v>4</v>
      </c>
      <c r="D14" s="59" t="s">
        <v>4</v>
      </c>
      <c r="E14" s="6" t="str">
        <f>TEXT(Raw_Data[[#This Row],[Date]],"mmm-yy")</f>
        <v>Apr-25</v>
      </c>
      <c r="F14" s="41">
        <f>DAY(EOMONTH(Raw_Data[[#This Row],[Month Year]],0))</f>
        <v>30</v>
      </c>
      <c r="G14" s="42">
        <f t="shared" si="4"/>
        <v>45755</v>
      </c>
      <c r="H14" s="11">
        <f>'Modelling New'!$AR$1</f>
        <v>7.0991999999999997</v>
      </c>
      <c r="I14" s="40">
        <v>0.22777777777777777</v>
      </c>
      <c r="J14" s="40">
        <v>0.77500000000000002</v>
      </c>
      <c r="K14" s="58">
        <v>2779.6</v>
      </c>
      <c r="L14" s="58">
        <v>2761.5</v>
      </c>
      <c r="M14" s="58">
        <v>2823.2</v>
      </c>
      <c r="N14" s="58">
        <v>2758.5</v>
      </c>
      <c r="O14" s="58">
        <v>3694.9</v>
      </c>
      <c r="P14" s="58">
        <v>0</v>
      </c>
      <c r="Q14" s="58">
        <v>3699.3</v>
      </c>
      <c r="R14" s="58">
        <v>3780.1</v>
      </c>
      <c r="S14" s="58">
        <v>2786.2</v>
      </c>
      <c r="T14" s="58">
        <v>2797.4</v>
      </c>
      <c r="U14" s="58">
        <v>2787.5</v>
      </c>
      <c r="V14" s="58">
        <v>2785.8</v>
      </c>
      <c r="W14" s="58">
        <v>11122.8</v>
      </c>
      <c r="X14" s="58">
        <v>11174.3</v>
      </c>
      <c r="Y14" s="58">
        <v>11156.9</v>
      </c>
      <c r="Z14" s="59">
        <v>2224.5</v>
      </c>
      <c r="AA14" s="59">
        <v>16.5</v>
      </c>
      <c r="AB14" s="59"/>
      <c r="AC14" s="59">
        <v>6.2</v>
      </c>
      <c r="AD14" s="59">
        <v>0</v>
      </c>
      <c r="AE14" s="59">
        <v>49.88</v>
      </c>
      <c r="AF14" s="59">
        <v>0</v>
      </c>
      <c r="AG14" s="59">
        <v>0</v>
      </c>
      <c r="AH14" s="59"/>
      <c r="AI14" s="10">
        <f>SUM(Raw_Data[[#This Row],[Inv1]:[Inv3]])</f>
        <v>33454</v>
      </c>
      <c r="AJ14" s="10">
        <f>(Raw_Data[[#This Row],[33 kV Outgoinng Export Reading]]-Z13)*1000</f>
        <v>32300.000000000182</v>
      </c>
      <c r="AK14" s="10">
        <f>(Raw_Data[[#This Row],[33 kV Outgoinng Import Reading]]-AA13)*1000</f>
        <v>100.00000000000142</v>
      </c>
      <c r="AL14" s="10">
        <f>Raw_Data[[#This Row],[Export  (kWh)]]-Raw_Data[[#This Row],[Import (kWh)]]</f>
        <v>32200.000000000182</v>
      </c>
      <c r="AM14" s="20">
        <f t="shared" ref="AM14" si="11">IFERROR((J14-I14)*24,"")</f>
        <v>13.133333333333335</v>
      </c>
    </row>
    <row r="15" spans="1:40" x14ac:dyDescent="0.25">
      <c r="A15" s="125">
        <f>YEAR(Raw_Data[[#This Row],[Date]])+IF(MONTH(Raw_Data[[#This Row],[Date]])&gt;=4,1,0)</f>
        <v>2026</v>
      </c>
      <c r="B15" s="41">
        <v>2025</v>
      </c>
      <c r="C15" s="59" t="s">
        <v>4</v>
      </c>
      <c r="D15" s="59" t="s">
        <v>4</v>
      </c>
      <c r="E15" s="6" t="str">
        <f>TEXT(Raw_Data[[#This Row],[Date]],"mmm-yy")</f>
        <v>Apr-25</v>
      </c>
      <c r="F15" s="41">
        <f>DAY(EOMONTH(Raw_Data[[#This Row],[Month Year]],0))</f>
        <v>30</v>
      </c>
      <c r="G15" s="42">
        <f t="shared" si="4"/>
        <v>45756</v>
      </c>
      <c r="H15" s="11">
        <f>'Modelling New'!$AR$1</f>
        <v>7.0991999999999997</v>
      </c>
      <c r="I15" s="40">
        <v>0.24791666666666667</v>
      </c>
      <c r="J15" s="40">
        <v>0.77777777777777779</v>
      </c>
      <c r="K15" s="58">
        <v>2964.8</v>
      </c>
      <c r="L15" s="58">
        <v>2851.5</v>
      </c>
      <c r="M15" s="58">
        <v>2847.9</v>
      </c>
      <c r="N15" s="58">
        <v>2844.5</v>
      </c>
      <c r="O15" s="58">
        <v>3825.2</v>
      </c>
      <c r="P15" s="58">
        <v>0</v>
      </c>
      <c r="Q15" s="58">
        <v>3925.7</v>
      </c>
      <c r="R15" s="58">
        <v>3847.7</v>
      </c>
      <c r="S15" s="58">
        <v>2893.9</v>
      </c>
      <c r="T15" s="58">
        <v>2906.3</v>
      </c>
      <c r="U15" s="58">
        <v>2894.3</v>
      </c>
      <c r="V15" s="58">
        <v>2893</v>
      </c>
      <c r="W15" s="58">
        <v>11508.7</v>
      </c>
      <c r="X15" s="58">
        <v>11598.6</v>
      </c>
      <c r="Y15" s="58">
        <v>11587.5</v>
      </c>
      <c r="Z15" s="59">
        <v>2259</v>
      </c>
      <c r="AA15" s="59">
        <v>16.8</v>
      </c>
      <c r="AB15" s="59"/>
      <c r="AC15" s="59">
        <v>6.46</v>
      </c>
      <c r="AD15" s="59">
        <v>0</v>
      </c>
      <c r="AE15" s="59">
        <v>51.17</v>
      </c>
      <c r="AF15" s="59">
        <v>0</v>
      </c>
      <c r="AG15" s="59">
        <v>0</v>
      </c>
      <c r="AH15" s="59"/>
      <c r="AI15" s="10">
        <f>SUM(Raw_Data[[#This Row],[Inv1]:[Inv3]])</f>
        <v>34694.800000000003</v>
      </c>
      <c r="AJ15" s="10">
        <f>(Raw_Data[[#This Row],[33 kV Outgoinng Export Reading]]-Z14)*1000</f>
        <v>34500</v>
      </c>
      <c r="AK15" s="10">
        <f>(Raw_Data[[#This Row],[33 kV Outgoinng Import Reading]]-AA14)*1000</f>
        <v>300.00000000000068</v>
      </c>
      <c r="AL15" s="10">
        <f>Raw_Data[[#This Row],[Export  (kWh)]]-Raw_Data[[#This Row],[Import (kWh)]]</f>
        <v>34200</v>
      </c>
      <c r="AM15" s="20">
        <f t="shared" ref="AM15" si="12">IFERROR((J15-I15)*24,"")</f>
        <v>12.716666666666667</v>
      </c>
    </row>
    <row r="16" spans="1:40" x14ac:dyDescent="0.25">
      <c r="A16" s="125">
        <f>YEAR(Raw_Data[[#This Row],[Date]])+IF(MONTH(Raw_Data[[#This Row],[Date]])&gt;=4,1,0)</f>
        <v>2026</v>
      </c>
      <c r="B16" s="41">
        <v>2025</v>
      </c>
      <c r="C16" s="59" t="s">
        <v>4</v>
      </c>
      <c r="D16" s="59" t="s">
        <v>4</v>
      </c>
      <c r="E16" s="6" t="str">
        <f>TEXT(Raw_Data[[#This Row],[Date]],"mmm-yy")</f>
        <v>Apr-25</v>
      </c>
      <c r="F16" s="41">
        <f>DAY(EOMONTH(Raw_Data[[#This Row],[Month Year]],0))</f>
        <v>30</v>
      </c>
      <c r="G16" s="42">
        <f t="shared" si="4"/>
        <v>45757</v>
      </c>
      <c r="H16" s="11">
        <f>'Modelling New'!$AR$1</f>
        <v>7.0991999999999997</v>
      </c>
      <c r="I16" s="40">
        <v>0.24166666666666667</v>
      </c>
      <c r="J16" s="40">
        <v>0.78680555555555554</v>
      </c>
      <c r="K16" s="58">
        <v>2103</v>
      </c>
      <c r="L16" s="58">
        <v>2165</v>
      </c>
      <c r="M16" s="58">
        <v>2086</v>
      </c>
      <c r="N16" s="58">
        <v>2085</v>
      </c>
      <c r="O16" s="58">
        <v>2819</v>
      </c>
      <c r="P16" s="58">
        <v>0</v>
      </c>
      <c r="Q16" s="58">
        <v>2895</v>
      </c>
      <c r="R16" s="58">
        <v>2836</v>
      </c>
      <c r="S16" s="58">
        <v>2142</v>
      </c>
      <c r="T16" s="58">
        <v>2150</v>
      </c>
      <c r="U16" s="58">
        <v>2143</v>
      </c>
      <c r="V16" s="58">
        <v>2142</v>
      </c>
      <c r="W16" s="58">
        <v>8439</v>
      </c>
      <c r="X16" s="58">
        <v>8550</v>
      </c>
      <c r="Y16" s="58">
        <v>8577</v>
      </c>
      <c r="Z16" s="59">
        <v>2284.4</v>
      </c>
      <c r="AA16" s="59">
        <v>16.899999999999999</v>
      </c>
      <c r="AB16" s="59"/>
      <c r="AC16" s="59">
        <v>4.8499999999999996</v>
      </c>
      <c r="AD16" s="59">
        <v>0</v>
      </c>
      <c r="AE16" s="59">
        <v>43.6</v>
      </c>
      <c r="AF16" s="59">
        <v>0</v>
      </c>
      <c r="AG16" s="59">
        <v>0</v>
      </c>
      <c r="AH16" s="59"/>
      <c r="AI16" s="10">
        <f>SUM(Raw_Data[[#This Row],[Inv1]:[Inv3]])</f>
        <v>25566</v>
      </c>
      <c r="AJ16" s="10">
        <f>(Raw_Data[[#This Row],[33 kV Outgoinng Export Reading]]-Z15)*1000</f>
        <v>25400.000000000091</v>
      </c>
      <c r="AK16" s="10">
        <f>(Raw_Data[[#This Row],[33 kV Outgoinng Import Reading]]-AA15)*1000</f>
        <v>99.999999999997868</v>
      </c>
      <c r="AL16" s="10">
        <f>Raw_Data[[#This Row],[Export  (kWh)]]-Raw_Data[[#This Row],[Import (kWh)]]</f>
        <v>25300.000000000095</v>
      </c>
      <c r="AM16" s="20">
        <f t="shared" ref="AM16" si="13">IFERROR((J16-I16)*24,"")</f>
        <v>13.083333333333332</v>
      </c>
    </row>
    <row r="17" spans="1:39" x14ac:dyDescent="0.25">
      <c r="A17" s="125">
        <f>YEAR(Raw_Data[[#This Row],[Date]])+IF(MONTH(Raw_Data[[#This Row],[Date]])&gt;=4,1,0)</f>
        <v>2026</v>
      </c>
      <c r="B17" s="41">
        <v>2025</v>
      </c>
      <c r="C17" s="59" t="s">
        <v>4</v>
      </c>
      <c r="D17" s="59" t="s">
        <v>4</v>
      </c>
      <c r="E17" s="6" t="str">
        <f>TEXT(Raw_Data[[#This Row],[Date]],"mmm-yy")</f>
        <v>Apr-25</v>
      </c>
      <c r="F17" s="41">
        <f>DAY(EOMONTH(Raw_Data[[#This Row],[Month Year]],0))</f>
        <v>30</v>
      </c>
      <c r="G17" s="42">
        <f t="shared" si="4"/>
        <v>45758</v>
      </c>
      <c r="H17" s="11">
        <f>'Modelling New'!$AR$1</f>
        <v>7.0991999999999997</v>
      </c>
      <c r="I17" s="40">
        <v>0.24652777777777779</v>
      </c>
      <c r="J17" s="40">
        <v>0.77152777777777781</v>
      </c>
      <c r="K17" s="58">
        <v>2848</v>
      </c>
      <c r="L17" s="58">
        <v>2832.3</v>
      </c>
      <c r="M17" s="58">
        <v>2826.7</v>
      </c>
      <c r="N17" s="58">
        <v>2826.7</v>
      </c>
      <c r="O17" s="58">
        <v>2533.1</v>
      </c>
      <c r="P17" s="58">
        <v>2542.8000000000002</v>
      </c>
      <c r="Q17" s="58">
        <v>2532.9</v>
      </c>
      <c r="R17" s="58">
        <v>2548.6999999999998</v>
      </c>
      <c r="S17" s="58">
        <v>2855.7</v>
      </c>
      <c r="T17" s="58">
        <v>2871.4</v>
      </c>
      <c r="U17" s="58">
        <v>2856</v>
      </c>
      <c r="V17" s="58">
        <v>2852.9</v>
      </c>
      <c r="W17" s="58">
        <v>11333.7</v>
      </c>
      <c r="X17" s="58">
        <v>10157.5</v>
      </c>
      <c r="Y17" s="58">
        <v>11436</v>
      </c>
      <c r="Z17" s="59">
        <v>2317</v>
      </c>
      <c r="AA17" s="59">
        <v>17</v>
      </c>
      <c r="AB17" s="59"/>
      <c r="AC17" s="59">
        <v>6.33</v>
      </c>
      <c r="AD17" s="59">
        <v>0</v>
      </c>
      <c r="AE17" s="59">
        <v>48.19</v>
      </c>
      <c r="AF17" s="59">
        <v>0</v>
      </c>
      <c r="AG17" s="59">
        <v>0</v>
      </c>
      <c r="AH17" s="59"/>
      <c r="AI17" s="10">
        <f>SUM(Raw_Data[[#This Row],[Inv1]:[Inv3]])</f>
        <v>32927.199999999997</v>
      </c>
      <c r="AJ17" s="10">
        <f>(Raw_Data[[#This Row],[33 kV Outgoinng Export Reading]]-Z16)*1000</f>
        <v>32599.999999999909</v>
      </c>
      <c r="AK17" s="10">
        <f>(Raw_Data[[#This Row],[33 kV Outgoinng Import Reading]]-AA16)*1000</f>
        <v>100.00000000000142</v>
      </c>
      <c r="AL17" s="10">
        <f>Raw_Data[[#This Row],[Export  (kWh)]]-Raw_Data[[#This Row],[Import (kWh)]]</f>
        <v>32499.999999999909</v>
      </c>
      <c r="AM17" s="20">
        <f t="shared" ref="AM17" si="14">IFERROR((J17-I17)*24,"")</f>
        <v>12.600000000000001</v>
      </c>
    </row>
    <row r="18" spans="1:39" x14ac:dyDescent="0.25">
      <c r="A18" s="125">
        <f>YEAR(Raw_Data[[#This Row],[Date]])+IF(MONTH(Raw_Data[[#This Row],[Date]])&gt;=4,1,0)</f>
        <v>2026</v>
      </c>
      <c r="B18" s="41">
        <v>2025</v>
      </c>
      <c r="C18" s="59" t="s">
        <v>4</v>
      </c>
      <c r="D18" s="59" t="s">
        <v>4</v>
      </c>
      <c r="E18" s="6" t="str">
        <f>TEXT(Raw_Data[[#This Row],[Date]],"mmm-yy")</f>
        <v>Apr-25</v>
      </c>
      <c r="F18" s="41">
        <f>DAY(EOMONTH(Raw_Data[[#This Row],[Month Year]],0))</f>
        <v>30</v>
      </c>
      <c r="G18" s="42">
        <f t="shared" si="4"/>
        <v>45759</v>
      </c>
      <c r="H18" s="11">
        <f>'Modelling New'!$AR$1</f>
        <v>7.0991999999999997</v>
      </c>
      <c r="I18" s="40">
        <v>0.24444444444444444</v>
      </c>
      <c r="J18" s="40">
        <v>0.77013888888888893</v>
      </c>
      <c r="K18" s="58">
        <v>2908.3</v>
      </c>
      <c r="L18" s="58">
        <v>2889.6</v>
      </c>
      <c r="M18" s="58">
        <v>2885.8</v>
      </c>
      <c r="N18" s="58">
        <v>2950.3</v>
      </c>
      <c r="O18" s="58">
        <v>2972</v>
      </c>
      <c r="P18" s="58">
        <v>2907.5</v>
      </c>
      <c r="Q18" s="58">
        <v>2909.8</v>
      </c>
      <c r="R18" s="58">
        <v>2928.1</v>
      </c>
      <c r="S18" s="58">
        <v>2929.7</v>
      </c>
      <c r="T18" s="58">
        <v>2947.6</v>
      </c>
      <c r="U18" s="58">
        <v>2931.2</v>
      </c>
      <c r="V18" s="58">
        <v>2927.5</v>
      </c>
      <c r="W18" s="58">
        <v>11634</v>
      </c>
      <c r="X18" s="58">
        <v>11717.4</v>
      </c>
      <c r="Y18" s="58">
        <v>11736</v>
      </c>
      <c r="Z18" s="59">
        <v>2351.8000000000002</v>
      </c>
      <c r="AA18" s="59">
        <v>17.2</v>
      </c>
      <c r="AB18" s="59"/>
      <c r="AC18" s="59">
        <v>6.54</v>
      </c>
      <c r="AD18" s="59">
        <v>0</v>
      </c>
      <c r="AE18" s="59">
        <v>50.17</v>
      </c>
      <c r="AF18" s="59">
        <v>0</v>
      </c>
      <c r="AG18" s="59">
        <v>0</v>
      </c>
      <c r="AH18" s="59"/>
      <c r="AI18" s="10">
        <f>SUM(Raw_Data[[#This Row],[Inv1]:[Inv3]])</f>
        <v>35087.4</v>
      </c>
      <c r="AJ18" s="10">
        <f>(Raw_Data[[#This Row],[33 kV Outgoinng Export Reading]]-Z17)*1000</f>
        <v>34800.000000000182</v>
      </c>
      <c r="AK18" s="10">
        <f>(Raw_Data[[#This Row],[33 kV Outgoinng Import Reading]]-AA17)*1000</f>
        <v>199.99999999999929</v>
      </c>
      <c r="AL18" s="10">
        <f>Raw_Data[[#This Row],[Export  (kWh)]]-Raw_Data[[#This Row],[Import (kWh)]]</f>
        <v>34600.000000000182</v>
      </c>
      <c r="AM18" s="20">
        <f t="shared" ref="AM18" si="15">IFERROR((J18-I18)*24,"")</f>
        <v>12.616666666666667</v>
      </c>
    </row>
    <row r="19" spans="1:39" x14ac:dyDescent="0.25">
      <c r="A19" s="125">
        <f>YEAR(Raw_Data[[#This Row],[Date]])+IF(MONTH(Raw_Data[[#This Row],[Date]])&gt;=4,1,0)</f>
        <v>2026</v>
      </c>
      <c r="B19" s="41">
        <v>2025</v>
      </c>
      <c r="C19" s="59" t="s">
        <v>4</v>
      </c>
      <c r="D19" s="59" t="s">
        <v>4</v>
      </c>
      <c r="E19" s="6" t="str">
        <f>TEXT(Raw_Data[[#This Row],[Date]],"mmm-yy")</f>
        <v>Apr-25</v>
      </c>
      <c r="F19" s="41">
        <f>DAY(EOMONTH(Raw_Data[[#This Row],[Month Year]],0))</f>
        <v>30</v>
      </c>
      <c r="G19" s="42">
        <f t="shared" si="4"/>
        <v>45760</v>
      </c>
      <c r="H19" s="11">
        <f>'Modelling New'!$AR$1</f>
        <v>7.0991999999999997</v>
      </c>
      <c r="I19" s="40">
        <v>0.24722222222222223</v>
      </c>
      <c r="J19" s="40">
        <v>0.77152777777777781</v>
      </c>
      <c r="K19" s="58">
        <v>2990.9</v>
      </c>
      <c r="L19" s="58">
        <v>2894.3</v>
      </c>
      <c r="M19" s="58">
        <v>2892.3</v>
      </c>
      <c r="N19" s="58">
        <v>2888.4</v>
      </c>
      <c r="O19" s="58">
        <v>3015.5</v>
      </c>
      <c r="P19" s="58">
        <v>2917.2</v>
      </c>
      <c r="Q19" s="58">
        <v>2918.9</v>
      </c>
      <c r="R19" s="58">
        <v>2938.1</v>
      </c>
      <c r="S19" s="58">
        <v>2934</v>
      </c>
      <c r="T19" s="58">
        <v>2953.1</v>
      </c>
      <c r="U19" s="58">
        <v>2937.9</v>
      </c>
      <c r="V19" s="58">
        <v>2933.5</v>
      </c>
      <c r="W19" s="58">
        <v>11665.9</v>
      </c>
      <c r="X19" s="58">
        <v>11789.7</v>
      </c>
      <c r="Y19" s="58">
        <v>11758.5</v>
      </c>
      <c r="Z19" s="59">
        <v>2386.8000000000002</v>
      </c>
      <c r="AA19" s="59">
        <v>17.399999999999999</v>
      </c>
      <c r="AB19" s="59"/>
      <c r="AC19" s="59">
        <v>6.35</v>
      </c>
      <c r="AD19" s="59">
        <v>0</v>
      </c>
      <c r="AE19" s="59">
        <v>52.55</v>
      </c>
      <c r="AF19" s="59">
        <v>0</v>
      </c>
      <c r="AG19" s="59">
        <v>0</v>
      </c>
      <c r="AH19" s="59"/>
      <c r="AI19" s="10">
        <f>SUM(Raw_Data[[#This Row],[Inv1]:[Inv3]])</f>
        <v>35214.1</v>
      </c>
      <c r="AJ19" s="10">
        <f>(Raw_Data[[#This Row],[33 kV Outgoinng Export Reading]]-Z18)*1000</f>
        <v>35000</v>
      </c>
      <c r="AK19" s="10">
        <f>(Raw_Data[[#This Row],[33 kV Outgoinng Import Reading]]-AA18)*1000</f>
        <v>199.99999999999929</v>
      </c>
      <c r="AL19" s="10">
        <f>Raw_Data[[#This Row],[Export  (kWh)]]-Raw_Data[[#This Row],[Import (kWh)]]</f>
        <v>34800</v>
      </c>
      <c r="AM19" s="20">
        <f t="shared" ref="AM19" si="16">IFERROR((J19-I19)*24,"")</f>
        <v>12.583333333333334</v>
      </c>
    </row>
    <row r="20" spans="1:39" x14ac:dyDescent="0.25">
      <c r="A20" s="125">
        <f>YEAR(Raw_Data[[#This Row],[Date]])+IF(MONTH(Raw_Data[[#This Row],[Date]])&gt;=4,1,0)</f>
        <v>2026</v>
      </c>
      <c r="B20" s="41">
        <v>2025</v>
      </c>
      <c r="C20" s="59" t="s">
        <v>4</v>
      </c>
      <c r="D20" s="59" t="s">
        <v>4</v>
      </c>
      <c r="E20" s="6" t="str">
        <f>TEXT(Raw_Data[[#This Row],[Date]],"mmm-yy")</f>
        <v>Apr-25</v>
      </c>
      <c r="F20" s="41">
        <f>DAY(EOMONTH(Raw_Data[[#This Row],[Month Year]],0))</f>
        <v>30</v>
      </c>
      <c r="G20" s="42">
        <f t="shared" si="4"/>
        <v>45761</v>
      </c>
      <c r="H20" s="11">
        <f>'Modelling New'!$AR$1</f>
        <v>7.0991999999999997</v>
      </c>
      <c r="I20" s="40">
        <v>0.22916666666666666</v>
      </c>
      <c r="J20" s="40">
        <v>0.77222222222222225</v>
      </c>
      <c r="K20" s="58">
        <v>2678.1</v>
      </c>
      <c r="L20" s="58">
        <v>2720.7</v>
      </c>
      <c r="M20" s="58">
        <v>2657.9</v>
      </c>
      <c r="N20" s="58">
        <v>2656.1</v>
      </c>
      <c r="O20" s="58">
        <v>2718.7</v>
      </c>
      <c r="P20" s="58">
        <v>2704.9</v>
      </c>
      <c r="Q20" s="58">
        <v>2766.7</v>
      </c>
      <c r="R20" s="58">
        <v>2725.1</v>
      </c>
      <c r="S20" s="58">
        <v>2679.3</v>
      </c>
      <c r="T20" s="58">
        <v>2695.9</v>
      </c>
      <c r="U20" s="58">
        <v>2682.4</v>
      </c>
      <c r="V20" s="58">
        <v>2678.4</v>
      </c>
      <c r="W20" s="58">
        <v>10712.9</v>
      </c>
      <c r="X20" s="58">
        <v>10915.4</v>
      </c>
      <c r="Y20" s="58">
        <v>10736</v>
      </c>
      <c r="Z20" s="59">
        <v>2418.9</v>
      </c>
      <c r="AA20" s="59">
        <v>17.600000000000001</v>
      </c>
      <c r="AB20" s="59"/>
      <c r="AC20" s="59">
        <v>6.09</v>
      </c>
      <c r="AD20" s="59">
        <v>0</v>
      </c>
      <c r="AE20" s="59">
        <v>49.67</v>
      </c>
      <c r="AF20" s="59">
        <v>0</v>
      </c>
      <c r="AG20" s="59">
        <v>0</v>
      </c>
      <c r="AH20" s="59"/>
      <c r="AI20" s="10">
        <f>SUM(Raw_Data[[#This Row],[Inv1]:[Inv3]])</f>
        <v>32364.3</v>
      </c>
      <c r="AJ20" s="10">
        <f>(Raw_Data[[#This Row],[33 kV Outgoinng Export Reading]]-Z19)*1000</f>
        <v>32099.999999999909</v>
      </c>
      <c r="AK20" s="10">
        <f>(Raw_Data[[#This Row],[33 kV Outgoinng Import Reading]]-AA19)*1000</f>
        <v>200.00000000000284</v>
      </c>
      <c r="AL20" s="10">
        <f>Raw_Data[[#This Row],[Export  (kWh)]]-Raw_Data[[#This Row],[Import (kWh)]]</f>
        <v>31899.999999999905</v>
      </c>
      <c r="AM20" s="20">
        <f t="shared" si="10"/>
        <v>13.033333333333335</v>
      </c>
    </row>
    <row r="21" spans="1:39" x14ac:dyDescent="0.25">
      <c r="A21" s="125">
        <f>YEAR(Raw_Data[[#This Row],[Date]])+IF(MONTH(Raw_Data[[#This Row],[Date]])&gt;=4,1,0)</f>
        <v>2026</v>
      </c>
      <c r="B21" s="41">
        <v>2025</v>
      </c>
      <c r="C21" s="59" t="s">
        <v>4</v>
      </c>
      <c r="D21" s="59" t="s">
        <v>4</v>
      </c>
      <c r="E21" s="6" t="str">
        <f>TEXT(Raw_Data[[#This Row],[Date]],"mmm-yy")</f>
        <v>Apr-25</v>
      </c>
      <c r="F21" s="41">
        <f>DAY(EOMONTH(Raw_Data[[#This Row],[Month Year]],0))</f>
        <v>30</v>
      </c>
      <c r="G21" s="42">
        <f t="shared" si="4"/>
        <v>45762</v>
      </c>
      <c r="H21" s="11">
        <f>'Modelling New'!$AR$1</f>
        <v>7.0991999999999997</v>
      </c>
      <c r="I21" s="40">
        <v>0.2361111111111111</v>
      </c>
      <c r="J21" s="40">
        <v>0.77777777777777779</v>
      </c>
      <c r="K21" s="58">
        <v>2475</v>
      </c>
      <c r="L21" s="58">
        <v>2460.1999999999998</v>
      </c>
      <c r="M21" s="58">
        <v>2530.5</v>
      </c>
      <c r="N21" s="58">
        <v>2454.9</v>
      </c>
      <c r="O21" s="58">
        <v>2493.5</v>
      </c>
      <c r="P21" s="58">
        <v>2481</v>
      </c>
      <c r="Q21" s="58">
        <v>2483.6999999999998</v>
      </c>
      <c r="R21" s="58">
        <v>2571.9</v>
      </c>
      <c r="S21" s="58">
        <v>2447.8000000000002</v>
      </c>
      <c r="T21" s="58">
        <v>2461.8000000000002</v>
      </c>
      <c r="U21" s="58">
        <v>2450.6</v>
      </c>
      <c r="V21" s="58">
        <v>2447.4</v>
      </c>
      <c r="W21" s="58">
        <v>9920.6</v>
      </c>
      <c r="X21" s="58">
        <v>10030.1</v>
      </c>
      <c r="Y21" s="58">
        <v>9807.6</v>
      </c>
      <c r="Z21" s="59">
        <v>2448.5</v>
      </c>
      <c r="AA21" s="59">
        <v>17.8</v>
      </c>
      <c r="AB21" s="59"/>
      <c r="AC21" s="59">
        <v>5.28</v>
      </c>
      <c r="AD21" s="59">
        <v>0</v>
      </c>
      <c r="AE21" s="59">
        <v>48.37</v>
      </c>
      <c r="AF21" s="59">
        <v>0</v>
      </c>
      <c r="AG21" s="59">
        <v>0</v>
      </c>
      <c r="AH21" s="59"/>
      <c r="AI21" s="10">
        <f>SUM(Raw_Data[[#This Row],[Inv1]:[Inv3]])</f>
        <v>29758.300000000003</v>
      </c>
      <c r="AJ21" s="10">
        <f>(Raw_Data[[#This Row],[33 kV Outgoinng Export Reading]]-Z20)*1000</f>
        <v>29599.999999999909</v>
      </c>
      <c r="AK21" s="10">
        <f>(Raw_Data[[#This Row],[33 kV Outgoinng Import Reading]]-AA20)*1000</f>
        <v>199.99999999999929</v>
      </c>
      <c r="AL21" s="10">
        <f>Raw_Data[[#This Row],[Export  (kWh)]]-Raw_Data[[#This Row],[Import (kWh)]]</f>
        <v>29399.999999999909</v>
      </c>
      <c r="AM21" s="20">
        <f t="shared" ref="AM21" si="17">IFERROR((J21-I21)*24,"")</f>
        <v>13.000000000000002</v>
      </c>
    </row>
    <row r="22" spans="1:39" x14ac:dyDescent="0.25">
      <c r="A22" s="125">
        <f>YEAR(Raw_Data[[#This Row],[Date]])+IF(MONTH(Raw_Data[[#This Row],[Date]])&gt;=4,1,0)</f>
        <v>2026</v>
      </c>
      <c r="B22" s="41">
        <v>2025</v>
      </c>
      <c r="C22" s="59" t="s">
        <v>4</v>
      </c>
      <c r="D22" s="59" t="s">
        <v>4</v>
      </c>
      <c r="E22" s="6" t="str">
        <f>TEXT(Raw_Data[[#This Row],[Date]],"mmm-yy")</f>
        <v>Apr-25</v>
      </c>
      <c r="F22" s="41">
        <f>DAY(EOMONTH(Raw_Data[[#This Row],[Month Year]],0))</f>
        <v>30</v>
      </c>
      <c r="G22" s="42">
        <f t="shared" si="4"/>
        <v>45763</v>
      </c>
      <c r="H22" s="11">
        <f>'Modelling New'!$AR$1</f>
        <v>7.0991999999999997</v>
      </c>
      <c r="I22" s="40">
        <v>0.23958333333333334</v>
      </c>
      <c r="J22" s="40">
        <v>0.77986111111111112</v>
      </c>
      <c r="K22" s="58">
        <v>2729.2</v>
      </c>
      <c r="L22" s="58">
        <v>2714.4</v>
      </c>
      <c r="M22" s="58">
        <v>2710.3</v>
      </c>
      <c r="N22" s="58">
        <v>2770.8</v>
      </c>
      <c r="O22" s="58">
        <v>2774.9</v>
      </c>
      <c r="P22" s="58">
        <v>2697.5</v>
      </c>
      <c r="Q22" s="58">
        <v>2700.5</v>
      </c>
      <c r="R22" s="58">
        <v>2717.7</v>
      </c>
      <c r="S22" s="58">
        <v>2693.1</v>
      </c>
      <c r="T22" s="58">
        <v>2709.3</v>
      </c>
      <c r="U22" s="58">
        <v>2696.3</v>
      </c>
      <c r="V22" s="58">
        <v>2693.1</v>
      </c>
      <c r="W22" s="58">
        <v>10924.7</v>
      </c>
      <c r="X22" s="58">
        <v>10890.6</v>
      </c>
      <c r="Y22" s="58">
        <v>10791.8</v>
      </c>
      <c r="Z22" s="59">
        <v>2480.8000000000002</v>
      </c>
      <c r="AA22" s="59">
        <v>18</v>
      </c>
      <c r="AB22" s="59"/>
      <c r="AC22" s="59">
        <v>5.92</v>
      </c>
      <c r="AD22" s="59">
        <v>0</v>
      </c>
      <c r="AE22" s="59">
        <v>49.03</v>
      </c>
      <c r="AF22" s="59">
        <v>0</v>
      </c>
      <c r="AG22" s="59">
        <v>0</v>
      </c>
      <c r="AH22" s="59"/>
      <c r="AI22" s="10">
        <f>SUM(Raw_Data[[#This Row],[Inv1]:[Inv3]])</f>
        <v>32607.100000000002</v>
      </c>
      <c r="AJ22" s="10">
        <f>(Raw_Data[[#This Row],[33 kV Outgoinng Export Reading]]-Z21)*1000</f>
        <v>32300.000000000182</v>
      </c>
      <c r="AK22" s="10">
        <f>(Raw_Data[[#This Row],[33 kV Outgoinng Import Reading]]-AA21)*1000</f>
        <v>199.99999999999929</v>
      </c>
      <c r="AL22" s="10">
        <f>Raw_Data[[#This Row],[Export  (kWh)]]-Raw_Data[[#This Row],[Import (kWh)]]</f>
        <v>32100.000000000182</v>
      </c>
      <c r="AM22" s="20">
        <f t="shared" si="10"/>
        <v>12.966666666666665</v>
      </c>
    </row>
    <row r="23" spans="1:39" x14ac:dyDescent="0.25">
      <c r="A23" s="125">
        <f>YEAR(Raw_Data[[#This Row],[Date]])+IF(MONTH(Raw_Data[[#This Row],[Date]])&gt;=4,1,0)</f>
        <v>2026</v>
      </c>
      <c r="B23" s="41">
        <v>2025</v>
      </c>
      <c r="C23" s="59" t="s">
        <v>4</v>
      </c>
      <c r="D23" s="59" t="s">
        <v>4</v>
      </c>
      <c r="E23" s="6" t="str">
        <f>TEXT(Raw_Data[[#This Row],[Date]],"mmm-yy")</f>
        <v>Apr-25</v>
      </c>
      <c r="F23" s="41">
        <f>DAY(EOMONTH(Raw_Data[[#This Row],[Month Year]],0))</f>
        <v>30</v>
      </c>
      <c r="G23" s="42">
        <f t="shared" si="4"/>
        <v>45764</v>
      </c>
      <c r="H23" s="11">
        <f>'Modelling New'!$AR$1</f>
        <v>7.0991999999999997</v>
      </c>
      <c r="I23" s="40">
        <v>0.24305555555555555</v>
      </c>
      <c r="J23" s="40">
        <v>0.7729166666666667</v>
      </c>
      <c r="K23" s="58">
        <v>2696.2</v>
      </c>
      <c r="L23" s="58">
        <v>2609.3000000000002</v>
      </c>
      <c r="M23" s="58">
        <v>2604.8000000000002</v>
      </c>
      <c r="N23" s="58">
        <v>2604.1</v>
      </c>
      <c r="O23" s="58">
        <v>2656.1</v>
      </c>
      <c r="P23" s="58">
        <v>2712.7</v>
      </c>
      <c r="Q23" s="58">
        <v>2646.3</v>
      </c>
      <c r="R23" s="58">
        <v>2663.1</v>
      </c>
      <c r="S23" s="58">
        <v>2653.7</v>
      </c>
      <c r="T23" s="58">
        <v>2670</v>
      </c>
      <c r="U23" s="58">
        <v>2657.3</v>
      </c>
      <c r="V23" s="58">
        <v>2653.9</v>
      </c>
      <c r="W23" s="58">
        <v>10514.4</v>
      </c>
      <c r="X23" s="58">
        <v>10678.2</v>
      </c>
      <c r="Y23" s="58">
        <v>10634.9</v>
      </c>
      <c r="Z23" s="59">
        <v>2512.4</v>
      </c>
      <c r="AA23" s="59">
        <v>18.2</v>
      </c>
      <c r="AB23" s="59"/>
      <c r="AC23" s="59">
        <v>5.66</v>
      </c>
      <c r="AD23" s="59">
        <v>0</v>
      </c>
      <c r="AE23" s="59">
        <v>49.83</v>
      </c>
      <c r="AF23" s="59">
        <v>0</v>
      </c>
      <c r="AG23" s="59">
        <v>0</v>
      </c>
      <c r="AH23" s="59"/>
      <c r="AI23" s="10">
        <f>SUM(Raw_Data[[#This Row],[Inv1]:[Inv3]])</f>
        <v>31827.5</v>
      </c>
      <c r="AJ23" s="10">
        <f>(Raw_Data[[#This Row],[33 kV Outgoinng Export Reading]]-Z22)*1000</f>
        <v>31599.999999999909</v>
      </c>
      <c r="AK23" s="10">
        <f>(Raw_Data[[#This Row],[33 kV Outgoinng Import Reading]]-AA22)*1000</f>
        <v>199.99999999999929</v>
      </c>
      <c r="AL23" s="10">
        <f>Raw_Data[[#This Row],[Export  (kWh)]]-Raw_Data[[#This Row],[Import (kWh)]]</f>
        <v>31399.999999999909</v>
      </c>
      <c r="AM23" s="20">
        <f t="shared" ref="AM23" si="18">IFERROR((J23-I23)*24,"")</f>
        <v>12.716666666666667</v>
      </c>
    </row>
    <row r="24" spans="1:39" x14ac:dyDescent="0.25">
      <c r="A24" s="125">
        <f>YEAR(Raw_Data[[#This Row],[Date]])+IF(MONTH(Raw_Data[[#This Row],[Date]])&gt;=4,1,0)</f>
        <v>2026</v>
      </c>
      <c r="B24" s="41">
        <v>2025</v>
      </c>
      <c r="C24" s="59" t="s">
        <v>4</v>
      </c>
      <c r="D24" s="59" t="s">
        <v>4</v>
      </c>
      <c r="E24" s="6" t="str">
        <f>TEXT(Raw_Data[[#This Row],[Date]],"mmm-yy")</f>
        <v>Apr-25</v>
      </c>
      <c r="F24" s="41">
        <f>DAY(EOMONTH(Raw_Data[[#This Row],[Month Year]],0))</f>
        <v>30</v>
      </c>
      <c r="G24" s="42">
        <f t="shared" si="4"/>
        <v>45765</v>
      </c>
      <c r="H24" s="11">
        <f>'Modelling New'!$AR$1</f>
        <v>7.0991999999999997</v>
      </c>
      <c r="I24" s="40">
        <v>0.24027777777777778</v>
      </c>
      <c r="J24" s="40">
        <v>0.77638888888888891</v>
      </c>
      <c r="K24" s="58">
        <v>2435.4</v>
      </c>
      <c r="L24" s="58">
        <v>2526.1</v>
      </c>
      <c r="M24" s="58">
        <v>2417.1999999999998</v>
      </c>
      <c r="N24" s="58">
        <v>2421.1999999999998</v>
      </c>
      <c r="O24" s="58">
        <v>2443.5</v>
      </c>
      <c r="P24" s="58">
        <v>2431.6999999999998</v>
      </c>
      <c r="Q24" s="58">
        <v>2549</v>
      </c>
      <c r="R24" s="58">
        <v>2449.8000000000002</v>
      </c>
      <c r="S24" s="58">
        <v>2467.6</v>
      </c>
      <c r="T24" s="58">
        <v>2476.6999999999998</v>
      </c>
      <c r="U24" s="58">
        <v>2467</v>
      </c>
      <c r="V24" s="58">
        <v>2466.5</v>
      </c>
      <c r="W24" s="58">
        <v>9799.9</v>
      </c>
      <c r="X24" s="58">
        <v>9874</v>
      </c>
      <c r="Y24" s="58">
        <v>9877.7999999999993</v>
      </c>
      <c r="Z24" s="59">
        <v>2541.6999999999998</v>
      </c>
      <c r="AA24" s="59">
        <v>18.399999999999999</v>
      </c>
      <c r="AB24" s="59"/>
      <c r="AC24" s="59">
        <v>5.38</v>
      </c>
      <c r="AD24" s="59">
        <v>0</v>
      </c>
      <c r="AE24" s="59">
        <v>49.26</v>
      </c>
      <c r="AF24" s="59">
        <v>0</v>
      </c>
      <c r="AG24" s="59">
        <v>0</v>
      </c>
      <c r="AH24" s="59"/>
      <c r="AI24" s="10">
        <f>SUM(Raw_Data[[#This Row],[Inv1]:[Inv3]])</f>
        <v>29551.7</v>
      </c>
      <c r="AJ24" s="10">
        <f>(Raw_Data[[#This Row],[33 kV Outgoinng Export Reading]]-Z23)*1000</f>
        <v>29299.999999999727</v>
      </c>
      <c r="AK24" s="10">
        <f>(Raw_Data[[#This Row],[33 kV Outgoinng Import Reading]]-AA23)*1000</f>
        <v>199.99999999999929</v>
      </c>
      <c r="AL24" s="10">
        <f>Raw_Data[[#This Row],[Export  (kWh)]]-Raw_Data[[#This Row],[Import (kWh)]]</f>
        <v>29099.999999999727</v>
      </c>
      <c r="AM24" s="20">
        <f t="shared" ref="AM24" si="19">IFERROR((J24-I24)*24,"")</f>
        <v>12.866666666666667</v>
      </c>
    </row>
    <row r="25" spans="1:39" x14ac:dyDescent="0.25">
      <c r="A25" s="125">
        <f>YEAR(Raw_Data[[#This Row],[Date]])+IF(MONTH(Raw_Data[[#This Row],[Date]])&gt;=4,1,0)</f>
        <v>2026</v>
      </c>
      <c r="B25" s="41">
        <v>2025</v>
      </c>
      <c r="C25" s="59" t="s">
        <v>4</v>
      </c>
      <c r="D25" s="59" t="s">
        <v>4</v>
      </c>
      <c r="E25" s="6" t="str">
        <f>TEXT(Raw_Data[[#This Row],[Date]],"mmm-yy")</f>
        <v>Apr-25</v>
      </c>
      <c r="F25" s="41">
        <f>DAY(EOMONTH(Raw_Data[[#This Row],[Month Year]],0))</f>
        <v>30</v>
      </c>
      <c r="G25" s="42">
        <f t="shared" si="4"/>
        <v>45766</v>
      </c>
      <c r="H25" s="11">
        <f>'Modelling New'!$AR$1</f>
        <v>7.0991999999999997</v>
      </c>
      <c r="I25" s="40">
        <v>0.24027777777777778</v>
      </c>
      <c r="J25" s="40">
        <v>0.77430555555555558</v>
      </c>
      <c r="K25" s="58">
        <v>2565.6999999999998</v>
      </c>
      <c r="L25" s="58">
        <v>2550.1999999999998</v>
      </c>
      <c r="M25" s="58">
        <v>2545.8000000000002</v>
      </c>
      <c r="N25" s="58">
        <v>2612.4</v>
      </c>
      <c r="O25" s="58">
        <v>2658.2</v>
      </c>
      <c r="P25" s="58">
        <v>2574.3000000000002</v>
      </c>
      <c r="Q25" s="58">
        <v>2577.1</v>
      </c>
      <c r="R25" s="58">
        <v>2593.1999999999998</v>
      </c>
      <c r="S25" s="58">
        <v>2598.1</v>
      </c>
      <c r="T25" s="58">
        <v>2608.8000000000002</v>
      </c>
      <c r="U25" s="58">
        <v>2597.9</v>
      </c>
      <c r="V25" s="58">
        <v>2597.4</v>
      </c>
      <c r="W25" s="58">
        <v>10274.1</v>
      </c>
      <c r="X25" s="58">
        <v>10402.799999999999</v>
      </c>
      <c r="Y25" s="58">
        <v>10402.200000000001</v>
      </c>
      <c r="Z25" s="59">
        <v>2572.6</v>
      </c>
      <c r="AA25" s="59">
        <v>18.600000000000001</v>
      </c>
      <c r="AB25" s="59"/>
      <c r="AC25" s="59">
        <v>5.54</v>
      </c>
      <c r="AD25" s="59">
        <v>0</v>
      </c>
      <c r="AE25" s="59">
        <v>49.45</v>
      </c>
      <c r="AF25" s="59">
        <v>0</v>
      </c>
      <c r="AG25" s="59">
        <v>0</v>
      </c>
      <c r="AH25" s="59"/>
      <c r="AI25" s="10">
        <f>SUM(Raw_Data[[#This Row],[Inv1]:[Inv3]])</f>
        <v>31079.100000000002</v>
      </c>
      <c r="AJ25" s="10">
        <f>(Raw_Data[[#This Row],[33 kV Outgoinng Export Reading]]-Z24)*1000</f>
        <v>30900.000000000091</v>
      </c>
      <c r="AK25" s="10">
        <f>(Raw_Data[[#This Row],[33 kV Outgoinng Import Reading]]-AA24)*1000</f>
        <v>200.00000000000284</v>
      </c>
      <c r="AL25" s="10">
        <f>Raw_Data[[#This Row],[Export  (kWh)]]-Raw_Data[[#This Row],[Import (kWh)]]</f>
        <v>30700.000000000087</v>
      </c>
      <c r="AM25" s="20">
        <f t="shared" ref="AM25" si="20">IFERROR((J25-I25)*24,"")</f>
        <v>12.816666666666666</v>
      </c>
    </row>
    <row r="26" spans="1:39" x14ac:dyDescent="0.25">
      <c r="A26" s="125">
        <f>YEAR(Raw_Data[[#This Row],[Date]])+IF(MONTH(Raw_Data[[#This Row],[Date]])&gt;=4,1,0)</f>
        <v>2026</v>
      </c>
      <c r="B26" s="41">
        <v>2025</v>
      </c>
      <c r="C26" s="59" t="s">
        <v>4</v>
      </c>
      <c r="D26" s="59" t="s">
        <v>4</v>
      </c>
      <c r="E26" s="6" t="str">
        <f>TEXT(Raw_Data[[#This Row],[Date]],"mmm-yy")</f>
        <v>Apr-25</v>
      </c>
      <c r="F26" s="41">
        <f>DAY(EOMONTH(Raw_Data[[#This Row],[Month Year]],0))</f>
        <v>30</v>
      </c>
      <c r="G26" s="42">
        <f t="shared" si="4"/>
        <v>45767</v>
      </c>
      <c r="H26" s="11">
        <f>'Modelling New'!$AR$1</f>
        <v>7.0991999999999997</v>
      </c>
      <c r="I26" s="40">
        <v>0.23958333333333334</v>
      </c>
      <c r="J26" s="40">
        <v>0.78194444444444444</v>
      </c>
      <c r="K26" s="58">
        <v>2386.5</v>
      </c>
      <c r="L26" s="58">
        <v>2288.1</v>
      </c>
      <c r="M26" s="58">
        <v>2285</v>
      </c>
      <c r="N26" s="58">
        <v>2283.9</v>
      </c>
      <c r="O26" s="58">
        <v>2297.1999999999998</v>
      </c>
      <c r="P26" s="58">
        <v>2368</v>
      </c>
      <c r="Q26" s="58">
        <v>2286.8000000000002</v>
      </c>
      <c r="R26" s="58">
        <v>2302.4</v>
      </c>
      <c r="S26" s="58">
        <v>2279</v>
      </c>
      <c r="T26" s="58">
        <v>2287.6999999999998</v>
      </c>
      <c r="U26" s="58">
        <v>2279</v>
      </c>
      <c r="V26" s="58">
        <v>2277.3000000000002</v>
      </c>
      <c r="W26" s="58">
        <v>9243.5</v>
      </c>
      <c r="X26" s="58">
        <v>9254.4</v>
      </c>
      <c r="Y26" s="58">
        <v>9123</v>
      </c>
      <c r="Z26" s="59">
        <v>2600</v>
      </c>
      <c r="AA26" s="59">
        <v>18.7</v>
      </c>
      <c r="AB26" s="59"/>
      <c r="AC26" s="59">
        <v>5.12</v>
      </c>
      <c r="AD26" s="59">
        <v>0</v>
      </c>
      <c r="AE26" s="59">
        <v>50.89</v>
      </c>
      <c r="AF26" s="59">
        <v>0</v>
      </c>
      <c r="AG26" s="59">
        <v>0</v>
      </c>
      <c r="AH26" s="59"/>
      <c r="AI26" s="10">
        <f>SUM(Raw_Data[[#This Row],[Inv1]:[Inv3]])</f>
        <v>27620.9</v>
      </c>
      <c r="AJ26" s="10">
        <f>(Raw_Data[[#This Row],[33 kV Outgoinng Export Reading]]-Z25)*1000</f>
        <v>27400.000000000091</v>
      </c>
      <c r="AK26" s="10">
        <f>(Raw_Data[[#This Row],[33 kV Outgoinng Import Reading]]-AA25)*1000</f>
        <v>99.999999999997868</v>
      </c>
      <c r="AL26" s="10">
        <f>Raw_Data[[#This Row],[Export  (kWh)]]-Raw_Data[[#This Row],[Import (kWh)]]</f>
        <v>27300.000000000095</v>
      </c>
      <c r="AM26" s="20">
        <f t="shared" ref="AM26" si="21">IFERROR((J26-I26)*24,"")</f>
        <v>13.016666666666666</v>
      </c>
    </row>
    <row r="27" spans="1:39" x14ac:dyDescent="0.25">
      <c r="A27" s="125">
        <f>YEAR(Raw_Data[[#This Row],[Date]])+IF(MONTH(Raw_Data[[#This Row],[Date]])&gt;=4,1,0)</f>
        <v>2026</v>
      </c>
      <c r="B27" s="41">
        <v>2025</v>
      </c>
      <c r="C27" s="59" t="s">
        <v>4</v>
      </c>
      <c r="D27" s="59" t="s">
        <v>4</v>
      </c>
      <c r="E27" s="6" t="str">
        <f>TEXT(Raw_Data[[#This Row],[Date]],"mmm-yy")</f>
        <v>Apr-25</v>
      </c>
      <c r="F27" s="41">
        <f>DAY(EOMONTH(Raw_Data[[#This Row],[Month Year]],0))</f>
        <v>30</v>
      </c>
      <c r="G27" s="42">
        <f t="shared" si="4"/>
        <v>45768</v>
      </c>
      <c r="H27" s="11">
        <f>'Modelling New'!$AR$1</f>
        <v>7.0991999999999997</v>
      </c>
      <c r="I27" s="40">
        <v>0.23958333333333334</v>
      </c>
      <c r="J27" s="40">
        <v>0.7729166666666667</v>
      </c>
      <c r="K27" s="58">
        <v>2243</v>
      </c>
      <c r="L27" s="58">
        <v>2230</v>
      </c>
      <c r="M27" s="58">
        <v>2307</v>
      </c>
      <c r="N27" s="58">
        <v>2378</v>
      </c>
      <c r="O27" s="58">
        <v>2253.6999999999998</v>
      </c>
      <c r="P27" s="58">
        <v>2243</v>
      </c>
      <c r="Q27" s="58">
        <v>2246</v>
      </c>
      <c r="R27" s="58">
        <v>2338</v>
      </c>
      <c r="S27" s="58">
        <v>1998.9</v>
      </c>
      <c r="T27" s="58">
        <v>2120.9</v>
      </c>
      <c r="U27" s="58">
        <v>2355.9</v>
      </c>
      <c r="V27" s="58">
        <v>2158.9</v>
      </c>
      <c r="W27" s="58">
        <v>9018</v>
      </c>
      <c r="X27" s="58">
        <v>9097</v>
      </c>
      <c r="Y27" s="58">
        <v>8634.5</v>
      </c>
      <c r="Z27" s="59">
        <v>2626.5</v>
      </c>
      <c r="AA27" s="59">
        <v>18.8</v>
      </c>
      <c r="AB27" s="59"/>
      <c r="AC27" s="59">
        <v>5.26</v>
      </c>
      <c r="AD27" s="59">
        <v>0</v>
      </c>
      <c r="AE27" s="59">
        <v>49.37</v>
      </c>
      <c r="AF27" s="59">
        <v>0</v>
      </c>
      <c r="AG27" s="59">
        <v>0</v>
      </c>
      <c r="AH27" s="59"/>
      <c r="AI27" s="10">
        <f>SUM(Raw_Data[[#This Row],[Inv1]:[Inv3]])</f>
        <v>26749.5</v>
      </c>
      <c r="AJ27" s="10">
        <f>(Raw_Data[[#This Row],[33 kV Outgoinng Export Reading]]-Z26)*1000</f>
        <v>26500</v>
      </c>
      <c r="AK27" s="10">
        <f>(Raw_Data[[#This Row],[33 kV Outgoinng Import Reading]]-AA26)*1000</f>
        <v>100.00000000000142</v>
      </c>
      <c r="AL27" s="10">
        <f>Raw_Data[[#This Row],[Export  (kWh)]]-Raw_Data[[#This Row],[Import (kWh)]]</f>
        <v>26400</v>
      </c>
      <c r="AM27" s="20">
        <f t="shared" ref="AM27" si="22">IFERROR((J27-I27)*24,"")</f>
        <v>12.8</v>
      </c>
    </row>
    <row r="28" spans="1:39" x14ac:dyDescent="0.25">
      <c r="A28" s="125">
        <f>YEAR(Raw_Data[[#This Row],[Date]])+IF(MONTH(Raw_Data[[#This Row],[Date]])&gt;=4,1,0)</f>
        <v>2026</v>
      </c>
      <c r="B28" s="41">
        <v>2025</v>
      </c>
      <c r="C28" s="59" t="s">
        <v>4</v>
      </c>
      <c r="D28" s="59" t="s">
        <v>4</v>
      </c>
      <c r="E28" s="6" t="str">
        <f>TEXT(Raw_Data[[#This Row],[Date]],"mmm-yy")</f>
        <v>Apr-25</v>
      </c>
      <c r="F28" s="41">
        <f>DAY(EOMONTH(Raw_Data[[#This Row],[Month Year]],0))</f>
        <v>30</v>
      </c>
      <c r="G28" s="42">
        <f t="shared" si="4"/>
        <v>45769</v>
      </c>
      <c r="H28" s="11">
        <f>'Modelling New'!$AR$1</f>
        <v>7.0991999999999997</v>
      </c>
      <c r="I28" s="40">
        <v>0.24305555555555555</v>
      </c>
      <c r="J28" s="40">
        <v>0.78194444444444444</v>
      </c>
      <c r="K28" s="58">
        <v>2609.9</v>
      </c>
      <c r="L28" s="58">
        <v>2595.1999999999998</v>
      </c>
      <c r="M28" s="58">
        <v>2591.4</v>
      </c>
      <c r="N28" s="58">
        <v>2615.8000000000002</v>
      </c>
      <c r="O28" s="58">
        <v>2681.8</v>
      </c>
      <c r="P28" s="58">
        <v>2640.3</v>
      </c>
      <c r="Q28" s="58">
        <v>2644.7</v>
      </c>
      <c r="R28" s="58">
        <v>2659.1</v>
      </c>
      <c r="S28" s="58">
        <v>2639.4</v>
      </c>
      <c r="T28" s="58">
        <v>2653.2</v>
      </c>
      <c r="U28" s="58">
        <v>2638</v>
      </c>
      <c r="V28" s="58">
        <v>2634.9</v>
      </c>
      <c r="W28" s="58">
        <v>10412.299999999999</v>
      </c>
      <c r="X28" s="58">
        <v>10625.9</v>
      </c>
      <c r="Y28" s="58">
        <v>10565.5</v>
      </c>
      <c r="Z28" s="59">
        <v>2657.8</v>
      </c>
      <c r="AA28" s="59">
        <v>18.899999999999999</v>
      </c>
      <c r="AB28" s="59"/>
      <c r="AC28" s="59">
        <v>5.79</v>
      </c>
      <c r="AD28" s="59">
        <v>0</v>
      </c>
      <c r="AE28" s="59">
        <v>52.61</v>
      </c>
      <c r="AF28" s="59">
        <v>0</v>
      </c>
      <c r="AG28" s="59">
        <v>0</v>
      </c>
      <c r="AH28" s="59"/>
      <c r="AI28" s="10">
        <f>SUM(Raw_Data[[#This Row],[Inv1]:[Inv3]])</f>
        <v>31603.699999999997</v>
      </c>
      <c r="AJ28" s="10">
        <f>(Raw_Data[[#This Row],[33 kV Outgoinng Export Reading]]-Z27)*1000</f>
        <v>31300.000000000182</v>
      </c>
      <c r="AK28" s="10">
        <f>(Raw_Data[[#This Row],[33 kV Outgoinng Import Reading]]-AA27)*1000</f>
        <v>99.999999999997868</v>
      </c>
      <c r="AL28" s="10">
        <f>Raw_Data[[#This Row],[Export  (kWh)]]-Raw_Data[[#This Row],[Import (kWh)]]</f>
        <v>31200.000000000186</v>
      </c>
      <c r="AM28" s="20">
        <f t="shared" ref="AM28" si="23">IFERROR((J28-I28)*24,"")</f>
        <v>12.933333333333334</v>
      </c>
    </row>
    <row r="29" spans="1:39" x14ac:dyDescent="0.25">
      <c r="A29" s="125">
        <f>YEAR(Raw_Data[[#This Row],[Date]])+IF(MONTH(Raw_Data[[#This Row],[Date]])&gt;=4,1,0)</f>
        <v>2026</v>
      </c>
      <c r="B29" s="41">
        <v>2025</v>
      </c>
      <c r="C29" s="59" t="s">
        <v>4</v>
      </c>
      <c r="D29" s="59" t="s">
        <v>4</v>
      </c>
      <c r="E29" s="6" t="str">
        <f>TEXT(Raw_Data[[#This Row],[Date]],"mmm-yy")</f>
        <v>Apr-25</v>
      </c>
      <c r="F29" s="41">
        <f>DAY(EOMONTH(Raw_Data[[#This Row],[Month Year]],0))</f>
        <v>30</v>
      </c>
      <c r="G29" s="42">
        <f t="shared" si="4"/>
        <v>45770</v>
      </c>
      <c r="H29" s="11">
        <f>'Modelling New'!$AR$1</f>
        <v>7.0991999999999997</v>
      </c>
      <c r="I29" s="40">
        <v>0.24027777777777778</v>
      </c>
      <c r="J29" s="40">
        <v>0.77569444444444446</v>
      </c>
      <c r="K29" s="58">
        <v>2744.2</v>
      </c>
      <c r="L29" s="58">
        <v>2666.6</v>
      </c>
      <c r="M29" s="58">
        <v>2662.7</v>
      </c>
      <c r="N29" s="58">
        <v>2660</v>
      </c>
      <c r="O29" s="58">
        <v>2723.8</v>
      </c>
      <c r="P29" s="58">
        <v>2773.1</v>
      </c>
      <c r="Q29" s="58">
        <v>2716</v>
      </c>
      <c r="R29" s="58">
        <v>2729.7</v>
      </c>
      <c r="S29" s="58">
        <v>2595.6999999999998</v>
      </c>
      <c r="T29" s="58">
        <v>2613.4</v>
      </c>
      <c r="U29" s="58">
        <v>2597.4</v>
      </c>
      <c r="V29" s="58">
        <v>2594.3000000000002</v>
      </c>
      <c r="W29" s="58">
        <v>10733.5</v>
      </c>
      <c r="X29" s="58">
        <v>10942.6</v>
      </c>
      <c r="Y29" s="58">
        <v>10400.799999999999</v>
      </c>
      <c r="Z29" s="59">
        <v>2689.6</v>
      </c>
      <c r="AA29" s="59">
        <v>19.2</v>
      </c>
      <c r="AB29" s="59"/>
      <c r="AC29" s="59">
        <v>5.92</v>
      </c>
      <c r="AD29" s="59">
        <v>0</v>
      </c>
      <c r="AE29" s="59">
        <v>53.78</v>
      </c>
      <c r="AF29" s="59">
        <v>0</v>
      </c>
      <c r="AG29" s="59">
        <v>0</v>
      </c>
      <c r="AH29" s="59"/>
      <c r="AI29" s="10">
        <f>SUM(Raw_Data[[#This Row],[Inv1]:[Inv3]])</f>
        <v>32076.899999999998</v>
      </c>
      <c r="AJ29" s="10">
        <f>(Raw_Data[[#This Row],[33 kV Outgoinng Export Reading]]-Z28)*1000</f>
        <v>31799.999999999727</v>
      </c>
      <c r="AK29" s="10">
        <f>(Raw_Data[[#This Row],[33 kV Outgoinng Import Reading]]-AA28)*1000</f>
        <v>300.00000000000068</v>
      </c>
      <c r="AL29" s="10">
        <f>Raw_Data[[#This Row],[Export  (kWh)]]-Raw_Data[[#This Row],[Import (kWh)]]</f>
        <v>31499.999999999727</v>
      </c>
      <c r="AM29" s="20">
        <f t="shared" ref="AM29" si="24">IFERROR((J29-I29)*24,"")</f>
        <v>12.85</v>
      </c>
    </row>
    <row r="30" spans="1:39" x14ac:dyDescent="0.25">
      <c r="A30" s="125">
        <f>YEAR(Raw_Data[[#This Row],[Date]])+IF(MONTH(Raw_Data[[#This Row],[Date]])&gt;=4,1,0)</f>
        <v>2026</v>
      </c>
      <c r="B30" s="41">
        <v>2025</v>
      </c>
      <c r="C30" s="59" t="s">
        <v>4</v>
      </c>
      <c r="D30" s="59" t="s">
        <v>4</v>
      </c>
      <c r="E30" s="6" t="str">
        <f>TEXT(Raw_Data[[#This Row],[Date]],"mmm-yy")</f>
        <v>Apr-25</v>
      </c>
      <c r="F30" s="41">
        <f>DAY(EOMONTH(Raw_Data[[#This Row],[Month Year]],0))</f>
        <v>30</v>
      </c>
      <c r="G30" s="42">
        <f t="shared" si="4"/>
        <v>45771</v>
      </c>
      <c r="H30" s="11">
        <f>'Modelling New'!$AR$1</f>
        <v>7.0991999999999997</v>
      </c>
      <c r="I30" s="40">
        <v>0.23541666666666666</v>
      </c>
      <c r="J30" s="40">
        <v>0.76597222222222228</v>
      </c>
      <c r="K30" s="58">
        <v>2660</v>
      </c>
      <c r="L30" s="58">
        <v>2722.5</v>
      </c>
      <c r="M30" s="58">
        <v>2641.1</v>
      </c>
      <c r="N30" s="58">
        <v>2638.1</v>
      </c>
      <c r="O30" s="58">
        <v>2702.5</v>
      </c>
      <c r="P30" s="58">
        <v>2689.6</v>
      </c>
      <c r="Q30" s="58">
        <v>2771.8</v>
      </c>
      <c r="R30" s="58">
        <v>2708.7</v>
      </c>
      <c r="S30" s="58">
        <v>2593.1</v>
      </c>
      <c r="T30" s="58">
        <v>2610.6</v>
      </c>
      <c r="U30" s="58">
        <v>2594.9</v>
      </c>
      <c r="V30" s="58">
        <v>2591.6999999999998</v>
      </c>
      <c r="W30" s="58">
        <v>10661.7</v>
      </c>
      <c r="X30" s="58">
        <v>10872.6</v>
      </c>
      <c r="Y30" s="58">
        <v>10390.299999999999</v>
      </c>
      <c r="Z30" s="59">
        <v>2721.4</v>
      </c>
      <c r="AA30" s="59">
        <v>19.399999999999999</v>
      </c>
      <c r="AB30" s="59"/>
      <c r="AC30" s="59">
        <v>5.6</v>
      </c>
      <c r="AD30" s="59">
        <v>0</v>
      </c>
      <c r="AE30" s="59">
        <v>52.71</v>
      </c>
      <c r="AF30" s="59">
        <v>0</v>
      </c>
      <c r="AG30" s="59">
        <v>0</v>
      </c>
      <c r="AH30" s="59"/>
      <c r="AI30" s="10">
        <f>SUM(Raw_Data[[#This Row],[Inv1]:[Inv3]])</f>
        <v>31924.600000000002</v>
      </c>
      <c r="AJ30" s="10">
        <f>(Raw_Data[[#This Row],[33 kV Outgoinng Export Reading]]-Z29)*1000</f>
        <v>31800.000000000182</v>
      </c>
      <c r="AK30" s="10">
        <f>(Raw_Data[[#This Row],[33 kV Outgoinng Import Reading]]-AA29)*1000</f>
        <v>199.99999999999929</v>
      </c>
      <c r="AL30" s="10">
        <f>Raw_Data[[#This Row],[Export  (kWh)]]-Raw_Data[[#This Row],[Import (kWh)]]</f>
        <v>31600.000000000182</v>
      </c>
      <c r="AM30" s="20">
        <f t="shared" ref="AM30" si="25">IFERROR((J30-I30)*24,"")</f>
        <v>12.733333333333336</v>
      </c>
    </row>
    <row r="31" spans="1:39" x14ac:dyDescent="0.25">
      <c r="A31" s="125">
        <f>YEAR(Raw_Data[[#This Row],[Date]])+IF(MONTH(Raw_Data[[#This Row],[Date]])&gt;=4,1,0)</f>
        <v>2026</v>
      </c>
      <c r="B31" s="41">
        <v>2025</v>
      </c>
      <c r="C31" s="59" t="s">
        <v>4</v>
      </c>
      <c r="D31" s="59" t="s">
        <v>4</v>
      </c>
      <c r="E31" s="6" t="str">
        <f>TEXT(Raw_Data[[#This Row],[Date]],"mmm-yy")</f>
        <v>Apr-25</v>
      </c>
      <c r="F31" s="41">
        <f>DAY(EOMONTH(Raw_Data[[#This Row],[Month Year]],0))</f>
        <v>30</v>
      </c>
      <c r="G31" s="42">
        <f t="shared" si="4"/>
        <v>45772</v>
      </c>
      <c r="H31" s="11">
        <f>'Modelling New'!$AR$1</f>
        <v>7.0991999999999997</v>
      </c>
      <c r="I31" s="40">
        <v>0.23194444444444445</v>
      </c>
      <c r="J31" s="40">
        <v>0.7583333333333333</v>
      </c>
      <c r="K31" s="58">
        <v>2624</v>
      </c>
      <c r="L31" s="58">
        <v>2608.9</v>
      </c>
      <c r="M31" s="58">
        <v>2686.3</v>
      </c>
      <c r="N31" s="58">
        <v>2601.1</v>
      </c>
      <c r="O31" s="58">
        <v>2627.9</v>
      </c>
      <c r="P31" s="58">
        <v>2615.1999999999998</v>
      </c>
      <c r="Q31" s="58">
        <v>2619.1999999999998</v>
      </c>
      <c r="R31" s="58">
        <v>2711.9</v>
      </c>
      <c r="S31" s="58">
        <v>2527.8000000000002</v>
      </c>
      <c r="T31" s="58">
        <v>2545.1999999999998</v>
      </c>
      <c r="U31" s="58">
        <v>2529.6999999999998</v>
      </c>
      <c r="V31" s="58">
        <v>2526.8000000000002</v>
      </c>
      <c r="W31" s="58">
        <v>10520.3</v>
      </c>
      <c r="X31" s="58">
        <v>10574.2</v>
      </c>
      <c r="Y31" s="58">
        <v>10129.5</v>
      </c>
      <c r="Z31" s="59">
        <v>2752.4</v>
      </c>
      <c r="AA31" s="59">
        <v>19.600000000000001</v>
      </c>
      <c r="AB31" s="59"/>
      <c r="AC31" s="59">
        <v>5.72</v>
      </c>
      <c r="AD31" s="59">
        <v>0</v>
      </c>
      <c r="AE31" s="59">
        <v>52.83</v>
      </c>
      <c r="AF31" s="59">
        <v>0</v>
      </c>
      <c r="AG31" s="59">
        <v>0</v>
      </c>
      <c r="AH31" s="59"/>
      <c r="AI31" s="10">
        <f>SUM(Raw_Data[[#This Row],[Inv1]:[Inv3]])</f>
        <v>31224</v>
      </c>
      <c r="AJ31" s="10">
        <f>(Raw_Data[[#This Row],[33 kV Outgoinng Export Reading]]-Z30)*1000</f>
        <v>31000</v>
      </c>
      <c r="AK31" s="10">
        <f>(Raw_Data[[#This Row],[33 kV Outgoinng Import Reading]]-AA30)*1000</f>
        <v>200.00000000000284</v>
      </c>
      <c r="AL31" s="10">
        <f>Raw_Data[[#This Row],[Export  (kWh)]]-Raw_Data[[#This Row],[Import (kWh)]]</f>
        <v>30799.999999999996</v>
      </c>
      <c r="AM31" s="20">
        <f t="shared" ref="AM31" si="26">IFERROR((J31-I31)*24,"")</f>
        <v>12.633333333333331</v>
      </c>
    </row>
    <row r="32" spans="1:39" x14ac:dyDescent="0.25">
      <c r="A32" s="125">
        <f>YEAR(Raw_Data[[#This Row],[Date]])+IF(MONTH(Raw_Data[[#This Row],[Date]])&gt;=4,1,0)</f>
        <v>2026</v>
      </c>
      <c r="B32" s="41">
        <v>2025</v>
      </c>
      <c r="C32" s="59" t="s">
        <v>4</v>
      </c>
      <c r="D32" s="59" t="s">
        <v>4</v>
      </c>
      <c r="E32" s="6" t="str">
        <f>TEXT(Raw_Data[[#This Row],[Date]],"mmm-yy")</f>
        <v>Apr-25</v>
      </c>
      <c r="F32" s="41">
        <f>DAY(EOMONTH(Raw_Data[[#This Row],[Month Year]],0))</f>
        <v>30</v>
      </c>
      <c r="G32" s="42">
        <f t="shared" si="4"/>
        <v>45773</v>
      </c>
      <c r="H32" s="11">
        <f>'Modelling New'!$AR$1</f>
        <v>7.0991999999999997</v>
      </c>
      <c r="I32" s="40">
        <v>0.2388888888888889</v>
      </c>
      <c r="J32" s="40">
        <v>0.75416666666666665</v>
      </c>
      <c r="K32" s="58">
        <v>2436.5</v>
      </c>
      <c r="L32" s="58">
        <v>2420</v>
      </c>
      <c r="M32" s="58">
        <v>2417</v>
      </c>
      <c r="N32" s="58">
        <v>2492.9</v>
      </c>
      <c r="O32" s="58">
        <v>2538.9</v>
      </c>
      <c r="P32" s="58">
        <v>2446.1999999999998</v>
      </c>
      <c r="Q32" s="58">
        <v>2451.4</v>
      </c>
      <c r="R32" s="58">
        <v>2464.6</v>
      </c>
      <c r="S32" s="58">
        <v>2458.6999999999998</v>
      </c>
      <c r="T32" s="58">
        <v>2468.9</v>
      </c>
      <c r="U32" s="58">
        <v>2457.4</v>
      </c>
      <c r="V32" s="58">
        <v>2456.3000000000002</v>
      </c>
      <c r="W32" s="58">
        <v>9766.4</v>
      </c>
      <c r="X32" s="58">
        <v>9901.1</v>
      </c>
      <c r="Y32" s="58">
        <v>9841.2999999999993</v>
      </c>
      <c r="Z32" s="59">
        <v>2781.7</v>
      </c>
      <c r="AA32" s="59">
        <v>19.7</v>
      </c>
      <c r="AB32" s="59"/>
      <c r="AC32" s="59">
        <v>5.2</v>
      </c>
      <c r="AD32" s="59">
        <v>0</v>
      </c>
      <c r="AE32" s="59">
        <v>51.88</v>
      </c>
      <c r="AF32" s="59">
        <v>0</v>
      </c>
      <c r="AG32" s="59">
        <v>0</v>
      </c>
      <c r="AH32" s="59"/>
      <c r="AI32" s="10">
        <f>SUM(Raw_Data[[#This Row],[Inv1]:[Inv3]])</f>
        <v>29508.799999999999</v>
      </c>
      <c r="AJ32" s="10">
        <f>(Raw_Data[[#This Row],[33 kV Outgoinng Export Reading]]-Z31)*1000</f>
        <v>29299.999999999727</v>
      </c>
      <c r="AK32" s="10">
        <f>(Raw_Data[[#This Row],[33 kV Outgoinng Import Reading]]-AA31)*1000</f>
        <v>99.999999999997868</v>
      </c>
      <c r="AL32" s="10">
        <f>Raw_Data[[#This Row],[Export  (kWh)]]-Raw_Data[[#This Row],[Import (kWh)]]</f>
        <v>29199.999999999731</v>
      </c>
      <c r="AM32" s="20">
        <f t="shared" ref="AM32" si="27">IFERROR((J32-I32)*24,"")</f>
        <v>12.366666666666665</v>
      </c>
    </row>
    <row r="33" spans="1:39" x14ac:dyDescent="0.25">
      <c r="A33" s="125">
        <f>YEAR(Raw_Data[[#This Row],[Date]])+IF(MONTH(Raw_Data[[#This Row],[Date]])&gt;=4,1,0)</f>
        <v>2026</v>
      </c>
      <c r="B33" s="41">
        <v>2025</v>
      </c>
      <c r="C33" s="59" t="s">
        <v>4</v>
      </c>
      <c r="D33" s="59" t="s">
        <v>4</v>
      </c>
      <c r="E33" s="6" t="str">
        <f>TEXT(Raw_Data[[#This Row],[Date]],"mmm-yy")</f>
        <v>Apr-25</v>
      </c>
      <c r="F33" s="41">
        <f>DAY(EOMONTH(Raw_Data[[#This Row],[Month Year]],0))</f>
        <v>30</v>
      </c>
      <c r="G33" s="42">
        <f t="shared" si="4"/>
        <v>45774</v>
      </c>
      <c r="H33" s="11">
        <f>'Modelling New'!$AR$1</f>
        <v>7.0991999999999997</v>
      </c>
      <c r="I33" s="40">
        <v>0.23680555555555555</v>
      </c>
      <c r="J33" s="40">
        <v>0.77986111111111112</v>
      </c>
      <c r="K33" s="58">
        <v>2309</v>
      </c>
      <c r="L33" s="58">
        <v>2428.5</v>
      </c>
      <c r="M33" s="58">
        <v>2293</v>
      </c>
      <c r="N33" s="58">
        <v>2297.1</v>
      </c>
      <c r="O33" s="58">
        <v>2322.5</v>
      </c>
      <c r="P33" s="58">
        <v>2415.6</v>
      </c>
      <c r="Q33" s="58">
        <v>2341.1999999999998</v>
      </c>
      <c r="R33" s="58">
        <v>2329.6</v>
      </c>
      <c r="S33" s="58">
        <v>2205</v>
      </c>
      <c r="T33" s="58">
        <v>2215.1999999999998</v>
      </c>
      <c r="U33" s="58">
        <v>2206.6</v>
      </c>
      <c r="V33" s="58">
        <v>2206.8000000000002</v>
      </c>
      <c r="W33" s="58">
        <v>9327.6</v>
      </c>
      <c r="X33" s="58">
        <v>9408.9</v>
      </c>
      <c r="Y33" s="58">
        <v>8833.6</v>
      </c>
      <c r="Z33" s="59">
        <v>2808.9</v>
      </c>
      <c r="AA33" s="59">
        <v>19.899999999999999</v>
      </c>
      <c r="AB33" s="59"/>
      <c r="AC33" s="59">
        <v>4.6900000000000004</v>
      </c>
      <c r="AD33" s="59">
        <v>0</v>
      </c>
      <c r="AE33" s="59">
        <v>46.53</v>
      </c>
      <c r="AF33" s="59">
        <v>0</v>
      </c>
      <c r="AG33" s="59">
        <v>0</v>
      </c>
      <c r="AH33" s="59"/>
      <c r="AI33" s="10">
        <f>SUM(Raw_Data[[#This Row],[Inv1]:[Inv3]])</f>
        <v>27570.1</v>
      </c>
      <c r="AJ33" s="10">
        <f>(Raw_Data[[#This Row],[33 kV Outgoinng Export Reading]]-Z32)*1000</f>
        <v>27200.000000000273</v>
      </c>
      <c r="AK33" s="10">
        <f>(Raw_Data[[#This Row],[33 kV Outgoinng Import Reading]]-AA32)*1000</f>
        <v>199.99999999999929</v>
      </c>
      <c r="AL33" s="10">
        <f>Raw_Data[[#This Row],[Export  (kWh)]]-Raw_Data[[#This Row],[Import (kWh)]]</f>
        <v>27000.000000000273</v>
      </c>
      <c r="AM33" s="20">
        <f t="shared" ref="AM33" si="28">IFERROR((J33-I33)*24,"")</f>
        <v>13.033333333333335</v>
      </c>
    </row>
    <row r="34" spans="1:39" x14ac:dyDescent="0.25">
      <c r="A34" s="125">
        <f>YEAR(Raw_Data[[#This Row],[Date]])+IF(MONTH(Raw_Data[[#This Row],[Date]])&gt;=4,1,0)</f>
        <v>2026</v>
      </c>
      <c r="B34" s="41">
        <v>2025</v>
      </c>
      <c r="C34" s="59" t="s">
        <v>4</v>
      </c>
      <c r="D34" s="59" t="s">
        <v>4</v>
      </c>
      <c r="E34" s="6" t="str">
        <f>TEXT(Raw_Data[[#This Row],[Date]],"mmm-yy")</f>
        <v>Apr-25</v>
      </c>
      <c r="F34" s="41">
        <f>DAY(EOMONTH(Raw_Data[[#This Row],[Month Year]],0))</f>
        <v>30</v>
      </c>
      <c r="G34" s="42">
        <f t="shared" si="4"/>
        <v>45775</v>
      </c>
      <c r="H34" s="11">
        <f>'Modelling New'!$AR$1</f>
        <v>7.0991999999999997</v>
      </c>
      <c r="I34" s="40">
        <v>0.24305555555555555</v>
      </c>
      <c r="J34" s="40">
        <v>0.78055555555555556</v>
      </c>
      <c r="K34" s="58">
        <v>2844.3</v>
      </c>
      <c r="L34" s="58">
        <v>2828.9</v>
      </c>
      <c r="M34" s="58">
        <v>2906.3</v>
      </c>
      <c r="N34" s="58">
        <v>2822.2</v>
      </c>
      <c r="O34" s="58">
        <v>2824.7</v>
      </c>
      <c r="P34" s="58">
        <v>2810.9</v>
      </c>
      <c r="Q34" s="58">
        <v>2900.8</v>
      </c>
      <c r="R34" s="58">
        <v>2832.1</v>
      </c>
      <c r="S34" s="58">
        <v>2806.9</v>
      </c>
      <c r="T34" s="58">
        <v>2819.3</v>
      </c>
      <c r="U34" s="58">
        <v>2807.1</v>
      </c>
      <c r="V34" s="58">
        <v>2806.4</v>
      </c>
      <c r="W34" s="58">
        <v>11401.7</v>
      </c>
      <c r="X34" s="58">
        <v>11368.5</v>
      </c>
      <c r="Y34" s="58">
        <v>11239.7</v>
      </c>
      <c r="Z34" s="59">
        <v>2842.7</v>
      </c>
      <c r="AA34" s="59">
        <v>20.2</v>
      </c>
      <c r="AB34" s="59"/>
      <c r="AC34" s="59">
        <v>6.33</v>
      </c>
      <c r="AD34" s="59">
        <v>0</v>
      </c>
      <c r="AE34" s="59">
        <v>52.13</v>
      </c>
      <c r="AF34" s="59">
        <v>0</v>
      </c>
      <c r="AG34" s="59">
        <v>0</v>
      </c>
      <c r="AH34" s="59"/>
      <c r="AI34" s="10">
        <f>SUM(Raw_Data[[#This Row],[Inv1]:[Inv3]])</f>
        <v>34009.9</v>
      </c>
      <c r="AJ34" s="10">
        <f>(Raw_Data[[#This Row],[33 kV Outgoinng Export Reading]]-Z33)*1000</f>
        <v>33799.999999999724</v>
      </c>
      <c r="AK34" s="10">
        <f>(Raw_Data[[#This Row],[33 kV Outgoinng Import Reading]]-AA33)*1000</f>
        <v>300.00000000000068</v>
      </c>
      <c r="AL34" s="10">
        <f>Raw_Data[[#This Row],[Export  (kWh)]]-Raw_Data[[#This Row],[Import (kWh)]]</f>
        <v>33499.999999999724</v>
      </c>
      <c r="AM34" s="20">
        <f t="shared" ref="AM34" si="29">IFERROR((J34-I34)*24,"")</f>
        <v>12.899999999999999</v>
      </c>
    </row>
    <row r="35" spans="1:39" x14ac:dyDescent="0.25">
      <c r="A35" s="125">
        <f>YEAR(Raw_Data[[#This Row],[Date]])+IF(MONTH(Raw_Data[[#This Row],[Date]])&gt;=4,1,0)</f>
        <v>2026</v>
      </c>
      <c r="B35" s="41">
        <v>2025</v>
      </c>
      <c r="C35" s="59" t="s">
        <v>4</v>
      </c>
      <c r="D35" s="59" t="s">
        <v>4</v>
      </c>
      <c r="E35" s="6" t="str">
        <f>TEXT(Raw_Data[[#This Row],[Date]],"mmm-yy")</f>
        <v>Apr-25</v>
      </c>
      <c r="F35" s="41">
        <f>DAY(EOMONTH(Raw_Data[[#This Row],[Month Year]],0))</f>
        <v>30</v>
      </c>
      <c r="G35" s="42">
        <f t="shared" si="4"/>
        <v>45776</v>
      </c>
      <c r="H35" s="11">
        <f>'Modelling New'!$AR$1</f>
        <v>7.0991999999999997</v>
      </c>
      <c r="I35" s="40">
        <v>0.2388888888888889</v>
      </c>
      <c r="J35" s="40">
        <v>0.77916666666666667</v>
      </c>
      <c r="K35" s="58">
        <v>2610.1999999999998</v>
      </c>
      <c r="L35" s="58">
        <v>2594.3000000000002</v>
      </c>
      <c r="M35" s="58">
        <v>2590</v>
      </c>
      <c r="N35" s="58">
        <v>2681</v>
      </c>
      <c r="O35" s="58">
        <v>2689.1</v>
      </c>
      <c r="P35" s="58">
        <v>2580</v>
      </c>
      <c r="Q35" s="58">
        <v>2583.1999999999998</v>
      </c>
      <c r="R35" s="58">
        <v>2599.6</v>
      </c>
      <c r="S35" s="58">
        <v>2619.1999999999998</v>
      </c>
      <c r="T35" s="58">
        <v>2629.3</v>
      </c>
      <c r="U35" s="58">
        <v>2618.8000000000002</v>
      </c>
      <c r="V35" s="58">
        <v>2618.6</v>
      </c>
      <c r="W35" s="58">
        <v>10475.5</v>
      </c>
      <c r="X35" s="58">
        <v>10451.9</v>
      </c>
      <c r="Y35" s="58">
        <v>10485.9</v>
      </c>
      <c r="Z35" s="59">
        <v>2873.9</v>
      </c>
      <c r="AA35" s="59">
        <v>20.399999999999999</v>
      </c>
      <c r="AB35" s="59"/>
      <c r="AC35" s="59">
        <v>5.62</v>
      </c>
      <c r="AD35" s="59">
        <v>0</v>
      </c>
      <c r="AE35" s="59">
        <v>50.41</v>
      </c>
      <c r="AF35" s="59">
        <v>0</v>
      </c>
      <c r="AG35" s="59">
        <v>0</v>
      </c>
      <c r="AH35" s="59"/>
      <c r="AI35" s="10">
        <f>SUM(Raw_Data[[#This Row],[Inv1]:[Inv3]])</f>
        <v>31413.300000000003</v>
      </c>
      <c r="AJ35" s="10">
        <f>(Raw_Data[[#This Row],[33 kV Outgoinng Export Reading]]-Z34)*1000</f>
        <v>31200.000000000273</v>
      </c>
      <c r="AK35" s="10">
        <f>(Raw_Data[[#This Row],[33 kV Outgoinng Import Reading]]-AA34)*1000</f>
        <v>199.99999999999929</v>
      </c>
      <c r="AL35" s="10">
        <f>Raw_Data[[#This Row],[Export  (kWh)]]-Raw_Data[[#This Row],[Import (kWh)]]</f>
        <v>31000.000000000273</v>
      </c>
      <c r="AM35" s="20">
        <f t="shared" ref="AM35" si="30">IFERROR((J35-I35)*24,"")</f>
        <v>12.966666666666665</v>
      </c>
    </row>
    <row r="36" spans="1:39" x14ac:dyDescent="0.25">
      <c r="A36" s="125">
        <f>YEAR(Raw_Data[[#This Row],[Date]])+IF(MONTH(Raw_Data[[#This Row],[Date]])&gt;=4,1,0)</f>
        <v>2026</v>
      </c>
      <c r="B36" s="41">
        <v>2025</v>
      </c>
      <c r="C36" s="59" t="s">
        <v>4</v>
      </c>
      <c r="D36" s="59" t="s">
        <v>4</v>
      </c>
      <c r="E36" s="6" t="str">
        <f>TEXT(Raw_Data[[#This Row],[Date]],"mmm-yy")</f>
        <v>Apr-25</v>
      </c>
      <c r="F36" s="41">
        <f>DAY(EOMONTH(Raw_Data[[#This Row],[Month Year]],0))</f>
        <v>30</v>
      </c>
      <c r="G36" s="42">
        <f t="shared" si="4"/>
        <v>45777</v>
      </c>
      <c r="H36" s="11">
        <f>'Modelling New'!$AR$1</f>
        <v>7.0991999999999997</v>
      </c>
      <c r="I36" s="40">
        <v>0.23402777777777778</v>
      </c>
      <c r="J36" s="40">
        <v>0.77569444444444446</v>
      </c>
      <c r="K36" s="58">
        <v>2834.2</v>
      </c>
      <c r="L36" s="58">
        <v>2731.4</v>
      </c>
      <c r="M36" s="58">
        <v>2728.2</v>
      </c>
      <c r="N36" s="58">
        <v>2724.5</v>
      </c>
      <c r="O36" s="58">
        <v>2773.4</v>
      </c>
      <c r="P36" s="58">
        <v>2846.4</v>
      </c>
      <c r="Q36" s="58">
        <v>2764.7</v>
      </c>
      <c r="R36" s="58">
        <v>2779.8</v>
      </c>
      <c r="S36" s="58">
        <v>2789.9</v>
      </c>
      <c r="T36" s="58">
        <v>2801.9</v>
      </c>
      <c r="U36" s="58">
        <v>2790.1</v>
      </c>
      <c r="V36" s="58">
        <v>2788.8</v>
      </c>
      <c r="W36" s="58">
        <v>11018.3</v>
      </c>
      <c r="X36" s="58">
        <v>11164.3</v>
      </c>
      <c r="Y36" s="58">
        <v>11170.7</v>
      </c>
      <c r="Z36" s="59">
        <v>2907</v>
      </c>
      <c r="AA36" s="59">
        <v>20.6</v>
      </c>
      <c r="AB36" s="59"/>
      <c r="AC36" s="59">
        <v>5.77</v>
      </c>
      <c r="AD36" s="59">
        <v>0</v>
      </c>
      <c r="AE36" s="59">
        <v>53.11</v>
      </c>
      <c r="AF36" s="59">
        <v>0</v>
      </c>
      <c r="AG36" s="59">
        <v>0</v>
      </c>
      <c r="AH36" s="59"/>
      <c r="AI36" s="10">
        <f>SUM(Raw_Data[[#This Row],[Inv1]:[Inv3]])</f>
        <v>33353.300000000003</v>
      </c>
      <c r="AJ36" s="10">
        <f>(Raw_Data[[#This Row],[33 kV Outgoinng Export Reading]]-Z35)*1000</f>
        <v>33099.999999999913</v>
      </c>
      <c r="AK36" s="10">
        <f>(Raw_Data[[#This Row],[33 kV Outgoinng Import Reading]]-AA35)*1000</f>
        <v>200.00000000000284</v>
      </c>
      <c r="AL36" s="10">
        <f>Raw_Data[[#This Row],[Export  (kWh)]]-Raw_Data[[#This Row],[Import (kWh)]]</f>
        <v>32899.999999999913</v>
      </c>
      <c r="AM36" s="20">
        <f t="shared" ref="AM36" si="31">IFERROR((J36-I36)*24,"")</f>
        <v>13.000000000000002</v>
      </c>
    </row>
    <row r="37" spans="1:39" x14ac:dyDescent="0.25">
      <c r="A37" s="125">
        <f>YEAR(Raw_Data[[#This Row],[Date]])+IF(MONTH(Raw_Data[[#This Row],[Date]])&gt;=4,1,0)</f>
        <v>2026</v>
      </c>
      <c r="B37" s="41">
        <v>2025</v>
      </c>
      <c r="C37" s="59" t="s">
        <v>4</v>
      </c>
      <c r="D37" s="59" t="s">
        <v>4</v>
      </c>
      <c r="E37" s="6" t="str">
        <f>TEXT(Raw_Data[[#This Row],[Date]],"mmm-yy")</f>
        <v>May-25</v>
      </c>
      <c r="F37" s="41">
        <f>DAY(EOMONTH(Raw_Data[[#This Row],[Month Year]],0))</f>
        <v>31</v>
      </c>
      <c r="G37" s="42">
        <f t="shared" si="4"/>
        <v>45778</v>
      </c>
      <c r="H37" s="11">
        <f>'Modelling New'!$AR$1</f>
        <v>7.0991999999999997</v>
      </c>
      <c r="I37" s="40">
        <v>0.24513888888888888</v>
      </c>
      <c r="J37" s="40">
        <v>0.78125</v>
      </c>
      <c r="K37" s="58">
        <v>2669.4</v>
      </c>
      <c r="L37" s="58">
        <v>2730.7</v>
      </c>
      <c r="M37" s="58">
        <v>2650.5</v>
      </c>
      <c r="N37" s="58">
        <v>2652.3</v>
      </c>
      <c r="O37" s="58">
        <v>2675.1</v>
      </c>
      <c r="P37" s="58">
        <v>2662.7</v>
      </c>
      <c r="Q37" s="58">
        <v>2740</v>
      </c>
      <c r="R37" s="58">
        <v>2682.5</v>
      </c>
      <c r="S37" s="58">
        <v>2677.9</v>
      </c>
      <c r="T37" s="58">
        <v>2689.5</v>
      </c>
      <c r="U37" s="58">
        <v>2679</v>
      </c>
      <c r="V37" s="58">
        <v>2677.5</v>
      </c>
      <c r="W37" s="58">
        <v>10702.9</v>
      </c>
      <c r="X37" s="58">
        <v>10760.3</v>
      </c>
      <c r="Y37" s="58">
        <v>10723.9</v>
      </c>
      <c r="Z37" s="59">
        <v>2939</v>
      </c>
      <c r="AA37" s="59">
        <v>20.8</v>
      </c>
      <c r="AB37" s="59"/>
      <c r="AC37" s="59">
        <v>5.52</v>
      </c>
      <c r="AD37" s="59">
        <v>0</v>
      </c>
      <c r="AE37" s="59">
        <v>51.73</v>
      </c>
      <c r="AF37" s="59">
        <v>0</v>
      </c>
      <c r="AG37" s="59">
        <v>0</v>
      </c>
      <c r="AH37" s="59"/>
      <c r="AI37" s="10">
        <f>SUM(Raw_Data[[#This Row],[Inv1]:[Inv3]])</f>
        <v>32187.1</v>
      </c>
      <c r="AJ37" s="10">
        <f>(Raw_Data[[#This Row],[33 kV Outgoinng Export Reading]]-Z36)*1000</f>
        <v>32000</v>
      </c>
      <c r="AK37" s="10">
        <f>(Raw_Data[[#This Row],[33 kV Outgoinng Import Reading]]-AA36)*1000</f>
        <v>199.99999999999929</v>
      </c>
      <c r="AL37" s="10">
        <f>Raw_Data[[#This Row],[Export  (kWh)]]-Raw_Data[[#This Row],[Import (kWh)]]</f>
        <v>31800</v>
      </c>
      <c r="AM37" s="20">
        <f t="shared" ref="AM37" si="32">IFERROR((J37-I37)*24,"")</f>
        <v>12.866666666666667</v>
      </c>
    </row>
    <row r="38" spans="1:39" x14ac:dyDescent="0.25">
      <c r="A38" s="125">
        <f>YEAR(Raw_Data[[#This Row],[Date]])+IF(MONTH(Raw_Data[[#This Row],[Date]])&gt;=4,1,0)</f>
        <v>2026</v>
      </c>
      <c r="B38" s="41">
        <v>2025</v>
      </c>
      <c r="C38" s="59" t="s">
        <v>4</v>
      </c>
      <c r="D38" s="59" t="s">
        <v>4</v>
      </c>
      <c r="E38" s="6" t="str">
        <f>TEXT(Raw_Data[[#This Row],[Date]],"mmm-yy")</f>
        <v>May-25</v>
      </c>
      <c r="F38" s="41">
        <f>DAY(EOMONTH(Raw_Data[[#This Row],[Month Year]],0))</f>
        <v>31</v>
      </c>
      <c r="G38" s="42">
        <f t="shared" si="4"/>
        <v>45779</v>
      </c>
      <c r="H38" s="11">
        <f>'Modelling New'!$AR$1</f>
        <v>7.0991999999999997</v>
      </c>
      <c r="I38" s="40">
        <v>0.24722222222222223</v>
      </c>
      <c r="J38" s="40">
        <v>0.77638888888888891</v>
      </c>
      <c r="K38" s="58">
        <v>2776.7</v>
      </c>
      <c r="L38" s="58">
        <v>2760.8</v>
      </c>
      <c r="M38" s="58">
        <v>2836.4</v>
      </c>
      <c r="N38" s="58">
        <v>2754</v>
      </c>
      <c r="O38" s="58">
        <v>2805.9</v>
      </c>
      <c r="P38" s="58">
        <v>2792.6</v>
      </c>
      <c r="Q38" s="58">
        <v>2797.1</v>
      </c>
      <c r="R38" s="58">
        <v>2890.5</v>
      </c>
      <c r="S38" s="58">
        <v>2835.8</v>
      </c>
      <c r="T38" s="58">
        <v>2848.1</v>
      </c>
      <c r="U38" s="58">
        <v>2835.7</v>
      </c>
      <c r="V38" s="58">
        <v>2834.6</v>
      </c>
      <c r="W38" s="58">
        <v>11127.9</v>
      </c>
      <c r="X38" s="58">
        <v>11286.1</v>
      </c>
      <c r="Y38" s="58">
        <v>11354.2</v>
      </c>
      <c r="Z38" s="59">
        <v>2972.4</v>
      </c>
      <c r="AA38" s="59">
        <v>21</v>
      </c>
      <c r="AB38" s="59"/>
      <c r="AC38" s="59">
        <v>6.17</v>
      </c>
      <c r="AD38" s="59">
        <v>0</v>
      </c>
      <c r="AE38" s="59">
        <v>52.45</v>
      </c>
      <c r="AF38" s="59">
        <v>0</v>
      </c>
      <c r="AG38" s="59">
        <v>0</v>
      </c>
      <c r="AH38" s="59"/>
      <c r="AI38" s="10">
        <f>SUM(Raw_Data[[#This Row],[Inv1]:[Inv3]])</f>
        <v>33768.199999999997</v>
      </c>
      <c r="AJ38" s="10">
        <f>(Raw_Data[[#This Row],[33 kV Outgoinng Export Reading]]-Z37)*1000</f>
        <v>33400.000000000087</v>
      </c>
      <c r="AK38" s="10">
        <f>(Raw_Data[[#This Row],[33 kV Outgoinng Import Reading]]-AA37)*1000</f>
        <v>199.99999999999929</v>
      </c>
      <c r="AL38" s="10">
        <f>Raw_Data[[#This Row],[Export  (kWh)]]-Raw_Data[[#This Row],[Import (kWh)]]</f>
        <v>33200.000000000087</v>
      </c>
      <c r="AM38" s="20">
        <f t="shared" ref="AM38" si="33">IFERROR((J38-I38)*24,"")</f>
        <v>12.7</v>
      </c>
    </row>
    <row r="39" spans="1:39" x14ac:dyDescent="0.25">
      <c r="A39" s="125">
        <f>YEAR(Raw_Data[[#This Row],[Date]])+IF(MONTH(Raw_Data[[#This Row],[Date]])&gt;=4,1,0)</f>
        <v>2026</v>
      </c>
      <c r="B39" s="41">
        <v>2025</v>
      </c>
      <c r="C39" s="59" t="s">
        <v>4</v>
      </c>
      <c r="D39" s="59" t="s">
        <v>4</v>
      </c>
      <c r="E39" s="6" t="str">
        <f>TEXT(Raw_Data[[#This Row],[Date]],"mmm-yy")</f>
        <v>May-25</v>
      </c>
      <c r="F39" s="41">
        <f>DAY(EOMONTH(Raw_Data[[#This Row],[Month Year]],0))</f>
        <v>31</v>
      </c>
      <c r="G39" s="42">
        <f t="shared" si="4"/>
        <v>45780</v>
      </c>
      <c r="H39" s="11">
        <f>'Modelling New'!$AR$1</f>
        <v>7.0991999999999997</v>
      </c>
      <c r="I39" s="40">
        <v>0.24791666666666667</v>
      </c>
      <c r="J39" s="40">
        <v>0.78125</v>
      </c>
      <c r="K39" s="58">
        <v>2874.5</v>
      </c>
      <c r="L39" s="58">
        <v>2857.3</v>
      </c>
      <c r="M39" s="58">
        <v>2852.9</v>
      </c>
      <c r="N39" s="58">
        <v>2923.6</v>
      </c>
      <c r="O39" s="58">
        <v>2936.2</v>
      </c>
      <c r="P39" s="58">
        <v>2846</v>
      </c>
      <c r="Q39" s="58">
        <v>2850</v>
      </c>
      <c r="R39" s="58">
        <v>2866.1</v>
      </c>
      <c r="S39" s="58">
        <v>2907.8</v>
      </c>
      <c r="T39" s="58">
        <v>2920.4</v>
      </c>
      <c r="U39" s="58">
        <v>2907.2</v>
      </c>
      <c r="V39" s="58">
        <v>2906</v>
      </c>
      <c r="W39" s="58">
        <v>11508.3</v>
      </c>
      <c r="X39" s="58">
        <v>11498.3</v>
      </c>
      <c r="Y39" s="58">
        <v>11641.4</v>
      </c>
      <c r="Z39" s="59">
        <v>3006.8</v>
      </c>
      <c r="AA39" s="59">
        <v>21.2</v>
      </c>
      <c r="AB39" s="59"/>
      <c r="AC39" s="59">
        <v>5.95</v>
      </c>
      <c r="AD39" s="59">
        <v>0</v>
      </c>
      <c r="AE39" s="59">
        <v>51.94</v>
      </c>
      <c r="AF39" s="59">
        <v>0</v>
      </c>
      <c r="AG39" s="59">
        <v>0</v>
      </c>
      <c r="AH39" s="59"/>
      <c r="AI39" s="10">
        <f>SUM(Raw_Data[[#This Row],[Inv1]:[Inv3]])</f>
        <v>34648</v>
      </c>
      <c r="AJ39" s="10">
        <f>(Raw_Data[[#This Row],[33 kV Outgoinng Export Reading]]-Z38)*1000</f>
        <v>34400.000000000087</v>
      </c>
      <c r="AK39" s="10">
        <f>(Raw_Data[[#This Row],[33 kV Outgoinng Import Reading]]-AA38)*1000</f>
        <v>199.99999999999929</v>
      </c>
      <c r="AL39" s="10">
        <f>Raw_Data[[#This Row],[Export  (kWh)]]-Raw_Data[[#This Row],[Import (kWh)]]</f>
        <v>34200.000000000087</v>
      </c>
      <c r="AM39" s="20">
        <f t="shared" ref="AM39" si="34">IFERROR((J39-I39)*24,"")</f>
        <v>12.8</v>
      </c>
    </row>
    <row r="40" spans="1:39" x14ac:dyDescent="0.25">
      <c r="A40" s="125">
        <f>YEAR(Raw_Data[[#This Row],[Date]])+IF(MONTH(Raw_Data[[#This Row],[Date]])&gt;=4,1,0)</f>
        <v>2026</v>
      </c>
      <c r="B40" s="41">
        <v>2025</v>
      </c>
      <c r="C40" s="59" t="s">
        <v>4</v>
      </c>
      <c r="D40" s="59" t="s">
        <v>4</v>
      </c>
      <c r="E40" s="6" t="str">
        <f>TEXT(Raw_Data[[#This Row],[Date]],"mmm-yy")</f>
        <v>May-25</v>
      </c>
      <c r="F40" s="41">
        <f>DAY(EOMONTH(Raw_Data[[#This Row],[Month Year]],0))</f>
        <v>31</v>
      </c>
      <c r="G40" s="42">
        <f t="shared" si="4"/>
        <v>45781</v>
      </c>
      <c r="H40" s="11">
        <f>'Modelling New'!$AR$1</f>
        <v>7.0991999999999997</v>
      </c>
      <c r="I40" s="40">
        <v>0.24861111111111112</v>
      </c>
      <c r="J40" s="40">
        <v>0.78263888888888888</v>
      </c>
      <c r="K40" s="58">
        <v>2619.9</v>
      </c>
      <c r="L40" s="58">
        <v>2517.1999999999998</v>
      </c>
      <c r="M40" s="58">
        <v>2514.6</v>
      </c>
      <c r="N40" s="58">
        <v>2518.6999999999998</v>
      </c>
      <c r="O40" s="58">
        <v>2510.6999999999998</v>
      </c>
      <c r="P40" s="58">
        <v>2585.6</v>
      </c>
      <c r="Q40" s="58">
        <v>2500.6</v>
      </c>
      <c r="R40" s="58">
        <v>2517.6999999999998</v>
      </c>
      <c r="S40" s="58">
        <v>2533.3000000000002</v>
      </c>
      <c r="T40" s="58">
        <v>2542.9</v>
      </c>
      <c r="U40" s="58">
        <v>2532.6999999999998</v>
      </c>
      <c r="V40" s="58">
        <v>2532.3000000000002</v>
      </c>
      <c r="W40" s="58">
        <v>10170.4</v>
      </c>
      <c r="X40" s="58">
        <v>10114.6</v>
      </c>
      <c r="Y40" s="58">
        <v>10141.200000000001</v>
      </c>
      <c r="Z40" s="59">
        <v>3037.1</v>
      </c>
      <c r="AA40" s="59">
        <v>21.4</v>
      </c>
      <c r="AB40" s="59"/>
      <c r="AC40" s="59">
        <v>5.27</v>
      </c>
      <c r="AD40" s="59">
        <v>0</v>
      </c>
      <c r="AE40" s="59">
        <v>48.93</v>
      </c>
      <c r="AF40" s="59">
        <v>0</v>
      </c>
      <c r="AG40" s="59">
        <v>0</v>
      </c>
      <c r="AH40" s="59"/>
      <c r="AI40" s="10">
        <f>SUM(Raw_Data[[#This Row],[Inv1]:[Inv3]])</f>
        <v>30426.2</v>
      </c>
      <c r="AJ40" s="10">
        <f>(Raw_Data[[#This Row],[33 kV Outgoinng Export Reading]]-Z39)*1000</f>
        <v>30299.999999999727</v>
      </c>
      <c r="AK40" s="10">
        <f>(Raw_Data[[#This Row],[33 kV Outgoinng Import Reading]]-AA39)*1000</f>
        <v>199.99999999999929</v>
      </c>
      <c r="AL40" s="10">
        <f>Raw_Data[[#This Row],[Export  (kWh)]]-Raw_Data[[#This Row],[Import (kWh)]]</f>
        <v>30099.999999999727</v>
      </c>
      <c r="AM40" s="20">
        <f t="shared" si="10"/>
        <v>12.816666666666666</v>
      </c>
    </row>
    <row r="41" spans="1:39" x14ac:dyDescent="0.25">
      <c r="A41" s="125">
        <f>YEAR(Raw_Data[[#This Row],[Date]])+IF(MONTH(Raw_Data[[#This Row],[Date]])&gt;=4,1,0)</f>
        <v>2026</v>
      </c>
      <c r="B41" s="41">
        <v>2025</v>
      </c>
      <c r="C41" s="59" t="s">
        <v>4</v>
      </c>
      <c r="D41" s="59" t="s">
        <v>4</v>
      </c>
      <c r="E41" s="6" t="str">
        <f>TEXT(Raw_Data[[#This Row],[Date]],"mmm-yy")</f>
        <v>May-25</v>
      </c>
      <c r="F41" s="41">
        <f>DAY(EOMONTH(Raw_Data[[#This Row],[Month Year]],0))</f>
        <v>31</v>
      </c>
      <c r="G41" s="42">
        <f t="shared" si="4"/>
        <v>45782</v>
      </c>
      <c r="H41" s="11">
        <f>'Modelling New'!$AR$1</f>
        <v>7.0991999999999997</v>
      </c>
      <c r="I41" s="40">
        <v>0.23055555555555557</v>
      </c>
      <c r="J41" s="40">
        <v>0.76736111111111116</v>
      </c>
      <c r="K41" s="58">
        <v>2934.6</v>
      </c>
      <c r="L41" s="58">
        <v>2998.2</v>
      </c>
      <c r="M41" s="58">
        <v>2913.8</v>
      </c>
      <c r="N41" s="58">
        <v>2909.7</v>
      </c>
      <c r="O41" s="58">
        <v>2946.2</v>
      </c>
      <c r="P41" s="58">
        <v>2934.1</v>
      </c>
      <c r="Q41" s="58">
        <v>3016.4</v>
      </c>
      <c r="R41" s="58">
        <v>2954.5</v>
      </c>
      <c r="S41" s="58">
        <v>2963.8</v>
      </c>
      <c r="T41" s="58">
        <v>2977.2</v>
      </c>
      <c r="U41" s="58">
        <v>2963.7</v>
      </c>
      <c r="V41" s="58">
        <v>2961.7</v>
      </c>
      <c r="W41" s="58">
        <v>11756.3</v>
      </c>
      <c r="X41" s="58">
        <v>11951.2</v>
      </c>
      <c r="Y41" s="58">
        <v>11866.4</v>
      </c>
      <c r="Z41" s="59">
        <v>3072.3</v>
      </c>
      <c r="AA41" s="59">
        <v>21.6</v>
      </c>
      <c r="AB41" s="59"/>
      <c r="AC41" s="59">
        <v>6.52</v>
      </c>
      <c r="AD41" s="59">
        <v>0</v>
      </c>
      <c r="AE41" s="59">
        <v>51.89</v>
      </c>
      <c r="AF41" s="59">
        <v>0</v>
      </c>
      <c r="AG41" s="59">
        <v>0</v>
      </c>
      <c r="AH41" s="59"/>
      <c r="AI41" s="10">
        <f>SUM(Raw_Data[[#This Row],[Inv1]:[Inv3]])</f>
        <v>35573.9</v>
      </c>
      <c r="AJ41" s="10">
        <f>(Raw_Data[[#This Row],[33 kV Outgoinng Export Reading]]-Z40)*1000</f>
        <v>35200.000000000276</v>
      </c>
      <c r="AK41" s="10">
        <f>(Raw_Data[[#This Row],[33 kV Outgoinng Import Reading]]-AA40)*1000</f>
        <v>200.00000000000284</v>
      </c>
      <c r="AL41" s="10">
        <f>Raw_Data[[#This Row],[Export  (kWh)]]-Raw_Data[[#This Row],[Import (kWh)]]</f>
        <v>35000.000000000276</v>
      </c>
      <c r="AM41" s="20">
        <f t="shared" ref="AM41" si="35">IFERROR((J41-I41)*24,"")</f>
        <v>12.883333333333333</v>
      </c>
    </row>
    <row r="42" spans="1:39" x14ac:dyDescent="0.25">
      <c r="A42" s="125">
        <f>YEAR(Raw_Data[[#This Row],[Date]])+IF(MONTH(Raw_Data[[#This Row],[Date]])&gt;=4,1,0)</f>
        <v>2026</v>
      </c>
      <c r="B42" s="41">
        <v>2025</v>
      </c>
      <c r="C42" s="59" t="s">
        <v>4</v>
      </c>
      <c r="D42" s="59" t="s">
        <v>4</v>
      </c>
      <c r="E42" s="6" t="str">
        <f>TEXT(Raw_Data[[#This Row],[Date]],"mmm-yy")</f>
        <v>May-25</v>
      </c>
      <c r="F42" s="41">
        <f>DAY(EOMONTH(Raw_Data[[#This Row],[Month Year]],0))</f>
        <v>31</v>
      </c>
      <c r="G42" s="42">
        <f t="shared" si="4"/>
        <v>45783</v>
      </c>
      <c r="H42" s="11">
        <f>'Modelling New'!$AR$1</f>
        <v>7.0991999999999997</v>
      </c>
      <c r="I42" s="40">
        <v>0.23472222222222222</v>
      </c>
      <c r="J42" s="40">
        <v>0.77569444444444446</v>
      </c>
      <c r="K42" s="58">
        <v>2702.9</v>
      </c>
      <c r="L42" s="58">
        <v>2687.1</v>
      </c>
      <c r="M42" s="58">
        <v>2763.1</v>
      </c>
      <c r="N42" s="58">
        <v>2679.6</v>
      </c>
      <c r="O42" s="58">
        <v>2741.4</v>
      </c>
      <c r="P42" s="58">
        <v>2728.9</v>
      </c>
      <c r="Q42" s="58">
        <v>2732.3</v>
      </c>
      <c r="R42" s="58">
        <v>2825.3</v>
      </c>
      <c r="S42" s="58">
        <v>2730.6</v>
      </c>
      <c r="T42" s="58">
        <v>2742.2</v>
      </c>
      <c r="U42" s="58">
        <v>2728.6</v>
      </c>
      <c r="V42" s="58">
        <v>2728.5</v>
      </c>
      <c r="W42" s="58">
        <v>10832.7</v>
      </c>
      <c r="X42" s="58">
        <v>11027.9</v>
      </c>
      <c r="Y42" s="58">
        <v>10929.9</v>
      </c>
      <c r="Z42" s="59">
        <v>3104.8</v>
      </c>
      <c r="AA42" s="59">
        <v>21.8</v>
      </c>
      <c r="AB42" s="59"/>
      <c r="AC42" s="59">
        <v>6.2</v>
      </c>
      <c r="AD42" s="59">
        <v>0</v>
      </c>
      <c r="AE42" s="59">
        <v>51.72</v>
      </c>
      <c r="AF42" s="59">
        <v>0</v>
      </c>
      <c r="AG42" s="59">
        <v>0</v>
      </c>
      <c r="AH42" s="59"/>
      <c r="AI42" s="10">
        <f>SUM(Raw_Data[[#This Row],[Inv1]:[Inv3]])</f>
        <v>32790.5</v>
      </c>
      <c r="AJ42" s="10">
        <f>(Raw_Data[[#This Row],[33 kV Outgoinng Export Reading]]-Z41)*1000</f>
        <v>32500</v>
      </c>
      <c r="AK42" s="10">
        <f>(Raw_Data[[#This Row],[33 kV Outgoinng Import Reading]]-AA41)*1000</f>
        <v>199.99999999999929</v>
      </c>
      <c r="AL42" s="10">
        <f>Raw_Data[[#This Row],[Export  (kWh)]]-Raw_Data[[#This Row],[Import (kWh)]]</f>
        <v>32300</v>
      </c>
      <c r="AM42" s="20">
        <f t="shared" ref="AM42" si="36">IFERROR((J42-I42)*24,"")</f>
        <v>12.983333333333333</v>
      </c>
    </row>
    <row r="43" spans="1:39" x14ac:dyDescent="0.25">
      <c r="A43" s="125">
        <f>YEAR(Raw_Data[[#This Row],[Date]])+IF(MONTH(Raw_Data[[#This Row],[Date]])&gt;=4,1,0)</f>
        <v>2026</v>
      </c>
      <c r="B43" s="41">
        <v>2025</v>
      </c>
      <c r="C43" s="59" t="s">
        <v>4</v>
      </c>
      <c r="D43" s="59" t="s">
        <v>4</v>
      </c>
      <c r="E43" s="6" t="str">
        <f>TEXT(Raw_Data[[#This Row],[Date]],"mmm-yy")</f>
        <v>May-25</v>
      </c>
      <c r="F43" s="41">
        <f>DAY(EOMONTH(Raw_Data[[#This Row],[Month Year]],0))</f>
        <v>31</v>
      </c>
      <c r="G43" s="42">
        <f t="shared" si="4"/>
        <v>45784</v>
      </c>
      <c r="H43" s="11">
        <f>'Modelling New'!$AR$1</f>
        <v>7.0991999999999997</v>
      </c>
      <c r="I43" s="40">
        <v>0.2388888888888889</v>
      </c>
      <c r="J43" s="40">
        <v>0.77222222222222225</v>
      </c>
      <c r="K43" s="58">
        <v>2858.3</v>
      </c>
      <c r="L43" s="58">
        <v>2841.3</v>
      </c>
      <c r="M43" s="58">
        <v>2836.7</v>
      </c>
      <c r="N43" s="58">
        <v>2913.6</v>
      </c>
      <c r="O43" s="58">
        <v>2988.3</v>
      </c>
      <c r="P43" s="58">
        <v>2892.8</v>
      </c>
      <c r="Q43" s="58">
        <v>2896.5</v>
      </c>
      <c r="R43" s="58">
        <v>2912.3</v>
      </c>
      <c r="S43" s="58">
        <v>2921.2</v>
      </c>
      <c r="T43" s="58">
        <v>2933.7</v>
      </c>
      <c r="U43" s="58">
        <v>2918.6</v>
      </c>
      <c r="V43" s="58">
        <v>2918.6</v>
      </c>
      <c r="W43" s="58">
        <v>11449.9</v>
      </c>
      <c r="X43" s="58">
        <v>11689.9</v>
      </c>
      <c r="Y43" s="58">
        <v>11692.1</v>
      </c>
      <c r="Z43" s="59">
        <v>3139.3</v>
      </c>
      <c r="AA43" s="59">
        <v>22</v>
      </c>
      <c r="AB43" s="59"/>
      <c r="AC43" s="59">
        <v>6.27</v>
      </c>
      <c r="AD43" s="59">
        <v>0</v>
      </c>
      <c r="AE43" s="59">
        <v>51.48</v>
      </c>
      <c r="AF43" s="59">
        <v>0</v>
      </c>
      <c r="AG43" s="59">
        <v>0</v>
      </c>
      <c r="AH43" s="59"/>
      <c r="AI43" s="10">
        <f>SUM(Raw_Data[[#This Row],[Inv1]:[Inv3]])</f>
        <v>34831.9</v>
      </c>
      <c r="AJ43" s="10">
        <f>(Raw_Data[[#This Row],[33 kV Outgoinng Export Reading]]-Z42)*1000</f>
        <v>34500</v>
      </c>
      <c r="AK43" s="10">
        <f>(Raw_Data[[#This Row],[33 kV Outgoinng Import Reading]]-AA42)*1000</f>
        <v>199.99999999999929</v>
      </c>
      <c r="AL43" s="10">
        <f>Raw_Data[[#This Row],[Export  (kWh)]]-Raw_Data[[#This Row],[Import (kWh)]]</f>
        <v>34300</v>
      </c>
      <c r="AM43" s="20">
        <f t="shared" ref="AM43" si="37">IFERROR((J43-I43)*24,"")</f>
        <v>12.8</v>
      </c>
    </row>
    <row r="44" spans="1:39" x14ac:dyDescent="0.25">
      <c r="A44" s="125">
        <f>YEAR(Raw_Data[[#This Row],[Date]])+IF(MONTH(Raw_Data[[#This Row],[Date]])&gt;=4,1,0)</f>
        <v>2026</v>
      </c>
      <c r="B44" s="41">
        <v>2025</v>
      </c>
      <c r="C44" s="59" t="s">
        <v>4</v>
      </c>
      <c r="D44" s="59" t="s">
        <v>4</v>
      </c>
      <c r="E44" s="6" t="str">
        <f>TEXT(Raw_Data[[#This Row],[Date]],"mmm-yy")</f>
        <v>May-25</v>
      </c>
      <c r="F44" s="41">
        <f>DAY(EOMONTH(Raw_Data[[#This Row],[Month Year]],0))</f>
        <v>31</v>
      </c>
      <c r="G44" s="42">
        <f t="shared" si="4"/>
        <v>45785</v>
      </c>
      <c r="H44" s="11">
        <f>'Modelling New'!$AR$1</f>
        <v>7.0991999999999997</v>
      </c>
      <c r="I44" s="40">
        <v>0.23194444444444445</v>
      </c>
      <c r="J44" s="40">
        <v>0.76041666666666663</v>
      </c>
      <c r="K44" s="58">
        <v>2193.8000000000002</v>
      </c>
      <c r="L44" s="58">
        <v>2180.8000000000002</v>
      </c>
      <c r="M44" s="58">
        <v>2257.8000000000002</v>
      </c>
      <c r="N44" s="58">
        <v>2279.6999999999998</v>
      </c>
      <c r="O44" s="58">
        <v>2204.5</v>
      </c>
      <c r="P44" s="58">
        <v>2193.8000000000002</v>
      </c>
      <c r="Q44" s="58">
        <v>2196.6999999999998</v>
      </c>
      <c r="R44" s="58">
        <v>2288.8000000000002</v>
      </c>
      <c r="S44" s="58">
        <v>1949.7</v>
      </c>
      <c r="T44" s="58">
        <v>2071.6999999999998</v>
      </c>
      <c r="U44" s="58">
        <v>2355.9</v>
      </c>
      <c r="V44" s="58">
        <v>2109.6999999999998</v>
      </c>
      <c r="W44" s="58">
        <v>8721</v>
      </c>
      <c r="X44" s="58">
        <v>8800</v>
      </c>
      <c r="Y44" s="58">
        <v>8761.9</v>
      </c>
      <c r="Z44" s="59">
        <v>3165.4</v>
      </c>
      <c r="AA44" s="59">
        <v>22.2</v>
      </c>
      <c r="AB44" s="59"/>
      <c r="AC44" s="59">
        <v>5.2</v>
      </c>
      <c r="AD44" s="59">
        <v>0</v>
      </c>
      <c r="AE44" s="59">
        <v>49.38</v>
      </c>
      <c r="AF44" s="59">
        <v>0</v>
      </c>
      <c r="AG44" s="59">
        <v>0</v>
      </c>
      <c r="AH44" s="59"/>
      <c r="AI44" s="10">
        <f>SUM(Raw_Data[[#This Row],[Inv1]:[Inv3]])</f>
        <v>26282.9</v>
      </c>
      <c r="AJ44" s="10">
        <f>(Raw_Data[[#This Row],[33 kV Outgoinng Export Reading]]-Z43)*1000</f>
        <v>26099.999999999909</v>
      </c>
      <c r="AK44" s="10">
        <f>(Raw_Data[[#This Row],[33 kV Outgoinng Import Reading]]-AA43)*1000</f>
        <v>199.99999999999929</v>
      </c>
      <c r="AL44" s="10">
        <f>Raw_Data[[#This Row],[Export  (kWh)]]-Raw_Data[[#This Row],[Import (kWh)]]</f>
        <v>25899.999999999909</v>
      </c>
      <c r="AM44" s="20">
        <f t="shared" ref="AM44" si="38">IFERROR((J44-I44)*24,"")</f>
        <v>12.683333333333334</v>
      </c>
    </row>
    <row r="45" spans="1:39" x14ac:dyDescent="0.25">
      <c r="A45" s="125">
        <f>YEAR(Raw_Data[[#This Row],[Date]])+IF(MONTH(Raw_Data[[#This Row],[Date]])&gt;=4,1,0)</f>
        <v>2026</v>
      </c>
      <c r="B45" s="41">
        <v>2025</v>
      </c>
      <c r="C45" s="59" t="s">
        <v>4</v>
      </c>
      <c r="D45" s="59" t="s">
        <v>4</v>
      </c>
      <c r="E45" s="6" t="str">
        <f>TEXT(Raw_Data[[#This Row],[Date]],"mmm-yy")</f>
        <v>May-25</v>
      </c>
      <c r="F45" s="41">
        <f>DAY(EOMONTH(Raw_Data[[#This Row],[Month Year]],0))</f>
        <v>31</v>
      </c>
      <c r="G45" s="42">
        <f t="shared" si="4"/>
        <v>45786</v>
      </c>
      <c r="H45" s="11">
        <f>'Modelling New'!$AR$1</f>
        <v>7.0991999999999997</v>
      </c>
      <c r="I45" s="40">
        <v>0.2361111111111111</v>
      </c>
      <c r="J45" s="40">
        <v>0.77847222222222223</v>
      </c>
      <c r="K45" s="58">
        <v>2646.9</v>
      </c>
      <c r="L45" s="58">
        <v>2708.7</v>
      </c>
      <c r="M45" s="58">
        <v>2625.7</v>
      </c>
      <c r="N45" s="58">
        <v>2624.9</v>
      </c>
      <c r="O45" s="58">
        <v>2669.7</v>
      </c>
      <c r="P45" s="58">
        <v>2656.7</v>
      </c>
      <c r="Q45" s="58">
        <v>2660.6</v>
      </c>
      <c r="R45" s="58">
        <v>2752.8</v>
      </c>
      <c r="S45" s="58">
        <v>2711.5</v>
      </c>
      <c r="T45" s="58">
        <v>2725.3</v>
      </c>
      <c r="U45" s="58">
        <v>2712.1</v>
      </c>
      <c r="V45" s="58">
        <v>2710.6</v>
      </c>
      <c r="W45" s="58">
        <v>10606.2</v>
      </c>
      <c r="X45" s="58">
        <v>10739.8</v>
      </c>
      <c r="Y45" s="58">
        <v>10859.5</v>
      </c>
      <c r="Z45" s="59">
        <v>3197.4</v>
      </c>
      <c r="AA45" s="59">
        <v>22.4</v>
      </c>
      <c r="AB45" s="59"/>
      <c r="AC45" s="59">
        <v>5.66</v>
      </c>
      <c r="AD45" s="59">
        <v>0</v>
      </c>
      <c r="AE45" s="59">
        <v>49.95</v>
      </c>
      <c r="AF45" s="59">
        <v>0</v>
      </c>
      <c r="AG45" s="59">
        <v>0</v>
      </c>
      <c r="AH45" s="59"/>
      <c r="AI45" s="10">
        <f>SUM(Raw_Data[[#This Row],[Inv1]:[Inv3]])</f>
        <v>32205.5</v>
      </c>
      <c r="AJ45" s="10">
        <f>(Raw_Data[[#This Row],[33 kV Outgoinng Export Reading]]-Z44)*1000</f>
        <v>32000</v>
      </c>
      <c r="AK45" s="10">
        <f>(Raw_Data[[#This Row],[33 kV Outgoinng Import Reading]]-AA44)*1000</f>
        <v>199.99999999999929</v>
      </c>
      <c r="AL45" s="10">
        <f>Raw_Data[[#This Row],[Export  (kWh)]]-Raw_Data[[#This Row],[Import (kWh)]]</f>
        <v>31800</v>
      </c>
      <c r="AM45" s="20">
        <f t="shared" ref="AM45" si="39">IFERROR((J45-I45)*24,"")</f>
        <v>13.016666666666666</v>
      </c>
    </row>
    <row r="46" spans="1:39" x14ac:dyDescent="0.25">
      <c r="A46" s="125">
        <f>YEAR(Raw_Data[[#This Row],[Date]])+IF(MONTH(Raw_Data[[#This Row],[Date]])&gt;=4,1,0)</f>
        <v>2026</v>
      </c>
      <c r="B46" s="41">
        <v>2025</v>
      </c>
      <c r="C46" s="59" t="s">
        <v>4</v>
      </c>
      <c r="D46" s="59" t="s">
        <v>4</v>
      </c>
      <c r="E46" s="6" t="str">
        <f>TEXT(Raw_Data[[#This Row],[Date]],"mmm-yy")</f>
        <v>May-25</v>
      </c>
      <c r="F46" s="41">
        <f>DAY(EOMONTH(Raw_Data[[#This Row],[Month Year]],0))</f>
        <v>31</v>
      </c>
      <c r="G46" s="42">
        <f t="shared" si="4"/>
        <v>45787</v>
      </c>
      <c r="H46" s="11">
        <f>'Modelling New'!$AR$1</f>
        <v>7.0991999999999997</v>
      </c>
      <c r="I46" s="40">
        <v>0.23125000000000001</v>
      </c>
      <c r="J46" s="40">
        <v>0.76944444444444449</v>
      </c>
      <c r="K46" s="58">
        <v>2504.4</v>
      </c>
      <c r="L46" s="58">
        <v>2488.5</v>
      </c>
      <c r="M46" s="58">
        <v>2564.5</v>
      </c>
      <c r="N46" s="58">
        <v>2483.3000000000002</v>
      </c>
      <c r="O46" s="58">
        <v>2561.5</v>
      </c>
      <c r="P46" s="58">
        <v>2466.6</v>
      </c>
      <c r="Q46" s="58">
        <v>2469.3000000000002</v>
      </c>
      <c r="R46" s="58">
        <v>2484.1</v>
      </c>
      <c r="S46" s="58">
        <v>2467.8000000000002</v>
      </c>
      <c r="T46" s="58">
        <v>2479.4</v>
      </c>
      <c r="U46" s="58">
        <v>2468.1999999999998</v>
      </c>
      <c r="V46" s="58">
        <v>2466.6</v>
      </c>
      <c r="W46" s="58">
        <v>10040.700000000001</v>
      </c>
      <c r="X46" s="58">
        <v>9981.5</v>
      </c>
      <c r="Y46" s="58">
        <v>9882</v>
      </c>
      <c r="Z46" s="59">
        <v>3227</v>
      </c>
      <c r="AA46" s="59">
        <v>22.6</v>
      </c>
      <c r="AB46" s="59"/>
      <c r="AC46" s="59">
        <v>5.39</v>
      </c>
      <c r="AD46" s="59">
        <v>0</v>
      </c>
      <c r="AE46" s="59">
        <v>50.6</v>
      </c>
      <c r="AF46" s="59">
        <v>0</v>
      </c>
      <c r="AG46" s="59">
        <v>0</v>
      </c>
      <c r="AH46" s="59"/>
      <c r="AI46" s="10">
        <f>SUM(Raw_Data[[#This Row],[Inv1]:[Inv3]])</f>
        <v>29904.2</v>
      </c>
      <c r="AJ46" s="10">
        <f>(Raw_Data[[#This Row],[33 kV Outgoinng Export Reading]]-Z45)*1000</f>
        <v>29599.999999999909</v>
      </c>
      <c r="AK46" s="10">
        <f>(Raw_Data[[#This Row],[33 kV Outgoinng Import Reading]]-AA45)*1000</f>
        <v>200.00000000000284</v>
      </c>
      <c r="AL46" s="10">
        <f>Raw_Data[[#This Row],[Export  (kWh)]]-Raw_Data[[#This Row],[Import (kWh)]]</f>
        <v>29399.999999999905</v>
      </c>
      <c r="AM46" s="20">
        <f t="shared" ref="AM46" si="40">IFERROR((J46-I46)*24,"")</f>
        <v>12.916666666666666</v>
      </c>
    </row>
    <row r="47" spans="1:39" x14ac:dyDescent="0.25">
      <c r="A47" s="125">
        <f>YEAR(Raw_Data[[#This Row],[Date]])+IF(MONTH(Raw_Data[[#This Row],[Date]])&gt;=4,1,0)</f>
        <v>2026</v>
      </c>
      <c r="B47" s="41">
        <v>2025</v>
      </c>
      <c r="C47" s="59" t="s">
        <v>4</v>
      </c>
      <c r="D47" s="59" t="s">
        <v>4</v>
      </c>
      <c r="E47" s="6" t="str">
        <f>TEXT(Raw_Data[[#This Row],[Date]],"mmm-yy")</f>
        <v>May-25</v>
      </c>
      <c r="F47" s="41">
        <f>DAY(EOMONTH(Raw_Data[[#This Row],[Month Year]],0))</f>
        <v>31</v>
      </c>
      <c r="G47" s="42">
        <f t="shared" si="4"/>
        <v>45788</v>
      </c>
      <c r="H47" s="11">
        <f>'Modelling New'!$AR$1</f>
        <v>7.0991999999999997</v>
      </c>
      <c r="I47" s="40">
        <v>0.22638888888888889</v>
      </c>
      <c r="J47" s="40">
        <v>0.76597222222222228</v>
      </c>
      <c r="K47" s="58">
        <v>2703.2</v>
      </c>
      <c r="L47" s="58">
        <v>2687.1</v>
      </c>
      <c r="M47" s="58">
        <v>2682.8</v>
      </c>
      <c r="N47" s="58">
        <v>2772.6</v>
      </c>
      <c r="O47" s="58">
        <v>2701.2</v>
      </c>
      <c r="P47" s="58">
        <v>2782.2</v>
      </c>
      <c r="Q47" s="58">
        <v>2692.3</v>
      </c>
      <c r="R47" s="58">
        <v>2707.3</v>
      </c>
      <c r="S47" s="58">
        <v>2656.7</v>
      </c>
      <c r="T47" s="58">
        <v>2670.7</v>
      </c>
      <c r="U47" s="58">
        <v>2656.8</v>
      </c>
      <c r="V47" s="58">
        <v>2654.5</v>
      </c>
      <c r="W47" s="58">
        <v>10845.7</v>
      </c>
      <c r="X47" s="58">
        <v>10883</v>
      </c>
      <c r="Y47" s="58">
        <v>10638.7</v>
      </c>
      <c r="Z47" s="59">
        <v>3259.2</v>
      </c>
      <c r="AA47" s="59">
        <v>22.7</v>
      </c>
      <c r="AB47" s="59"/>
      <c r="AC47" s="59">
        <v>5.52</v>
      </c>
      <c r="AD47" s="59">
        <v>0</v>
      </c>
      <c r="AE47" s="59">
        <v>51.61</v>
      </c>
      <c r="AF47" s="59">
        <v>0</v>
      </c>
      <c r="AG47" s="59">
        <v>0</v>
      </c>
      <c r="AH47" s="59"/>
      <c r="AI47" s="10">
        <f>SUM(Raw_Data[[#This Row],[Inv1]:[Inv3]])</f>
        <v>32367.4</v>
      </c>
      <c r="AJ47" s="10">
        <f>(Raw_Data[[#This Row],[33 kV Outgoinng Export Reading]]-Z46)*1000</f>
        <v>32199.999999999818</v>
      </c>
      <c r="AK47" s="10">
        <f>(Raw_Data[[#This Row],[33 kV Outgoinng Import Reading]]-AA46)*1000</f>
        <v>99.999999999997868</v>
      </c>
      <c r="AL47" s="10">
        <f>Raw_Data[[#This Row],[Export  (kWh)]]-Raw_Data[[#This Row],[Import (kWh)]]</f>
        <v>32099.999999999822</v>
      </c>
      <c r="AM47" s="20">
        <f t="shared" ref="AM47" si="41">IFERROR((J47-I47)*24,"")</f>
        <v>12.950000000000003</v>
      </c>
    </row>
    <row r="48" spans="1:39" x14ac:dyDescent="0.25">
      <c r="A48" s="125">
        <f>YEAR(Raw_Data[[#This Row],[Date]])+IF(MONTH(Raw_Data[[#This Row],[Date]])&gt;=4,1,0)</f>
        <v>2026</v>
      </c>
      <c r="B48" s="41">
        <v>2025</v>
      </c>
      <c r="C48" s="59" t="s">
        <v>4</v>
      </c>
      <c r="D48" s="59" t="s">
        <v>4</v>
      </c>
      <c r="E48" s="6" t="str">
        <f>TEXT(Raw_Data[[#This Row],[Date]],"mmm-yy")</f>
        <v>May-25</v>
      </c>
      <c r="F48" s="41">
        <f>DAY(EOMONTH(Raw_Data[[#This Row],[Month Year]],0))</f>
        <v>31</v>
      </c>
      <c r="G48" s="42">
        <f t="shared" si="4"/>
        <v>45789</v>
      </c>
      <c r="H48" s="11">
        <f>'Modelling New'!$AR$1</f>
        <v>7.0991999999999997</v>
      </c>
      <c r="I48" s="40">
        <v>0.23472222222222222</v>
      </c>
      <c r="J48" s="40">
        <v>0.7729166666666667</v>
      </c>
      <c r="K48" s="58">
        <v>2887.1</v>
      </c>
      <c r="L48" s="58">
        <v>2786.2</v>
      </c>
      <c r="M48" s="58">
        <v>2781.1</v>
      </c>
      <c r="N48" s="58">
        <v>2778.4</v>
      </c>
      <c r="O48" s="58">
        <v>2847</v>
      </c>
      <c r="P48" s="58">
        <v>2832.1</v>
      </c>
      <c r="Q48" s="58">
        <v>2917.7</v>
      </c>
      <c r="R48" s="58">
        <v>2851.2</v>
      </c>
      <c r="S48" s="58">
        <v>2844.7</v>
      </c>
      <c r="T48" s="58">
        <v>2860.1</v>
      </c>
      <c r="U48" s="58">
        <v>2843.6</v>
      </c>
      <c r="V48" s="58">
        <v>2841.4</v>
      </c>
      <c r="W48" s="58">
        <v>11232.8</v>
      </c>
      <c r="X48" s="58">
        <v>11448</v>
      </c>
      <c r="Y48" s="58">
        <v>11389.8</v>
      </c>
      <c r="Z48" s="59">
        <v>3293</v>
      </c>
      <c r="AA48" s="59">
        <v>22.9</v>
      </c>
      <c r="AB48" s="59"/>
      <c r="AC48" s="59">
        <v>6.3</v>
      </c>
      <c r="AD48" s="59">
        <v>0</v>
      </c>
      <c r="AE48" s="59">
        <v>51.06</v>
      </c>
      <c r="AF48" s="59">
        <v>0</v>
      </c>
      <c r="AG48" s="59">
        <v>0</v>
      </c>
      <c r="AH48" s="59"/>
      <c r="AI48" s="10">
        <f>SUM(Raw_Data[[#This Row],[Inv1]:[Inv3]])</f>
        <v>34070.6</v>
      </c>
      <c r="AJ48" s="10">
        <f>(Raw_Data[[#This Row],[33 kV Outgoinng Export Reading]]-Z47)*1000</f>
        <v>33800.000000000182</v>
      </c>
      <c r="AK48" s="10">
        <f>(Raw_Data[[#This Row],[33 kV Outgoinng Import Reading]]-AA47)*1000</f>
        <v>199.99999999999929</v>
      </c>
      <c r="AL48" s="10">
        <f>Raw_Data[[#This Row],[Export  (kWh)]]-Raw_Data[[#This Row],[Import (kWh)]]</f>
        <v>33600.000000000182</v>
      </c>
      <c r="AM48" s="20">
        <f t="shared" ref="AM48" si="42">IFERROR((J48-I48)*24,"")</f>
        <v>12.916666666666666</v>
      </c>
    </row>
    <row r="49" spans="1:39" x14ac:dyDescent="0.25">
      <c r="A49" s="125">
        <f>YEAR(Raw_Data[[#This Row],[Date]])+IF(MONTH(Raw_Data[[#This Row],[Date]])&gt;=4,1,0)</f>
        <v>2026</v>
      </c>
      <c r="B49" s="41">
        <v>2025</v>
      </c>
      <c r="C49" s="59" t="s">
        <v>4</v>
      </c>
      <c r="D49" s="59" t="s">
        <v>4</v>
      </c>
      <c r="E49" s="6" t="str">
        <f>TEXT(Raw_Data[[#This Row],[Date]],"mmm-yy")</f>
        <v>May-25</v>
      </c>
      <c r="F49" s="41">
        <f>DAY(EOMONTH(Raw_Data[[#This Row],[Month Year]],0))</f>
        <v>31</v>
      </c>
      <c r="G49" s="42">
        <f t="shared" si="4"/>
        <v>45790</v>
      </c>
      <c r="H49" s="11">
        <f>'Modelling New'!$AR$1</f>
        <v>7.0991999999999997</v>
      </c>
      <c r="I49" s="40">
        <v>0.2361111111111111</v>
      </c>
      <c r="J49" s="40">
        <v>0.7680555555555556</v>
      </c>
      <c r="K49" s="58">
        <v>2671.9</v>
      </c>
      <c r="L49" s="58">
        <v>2692.1</v>
      </c>
      <c r="M49" s="58">
        <v>2649.8</v>
      </c>
      <c r="N49" s="58">
        <v>2648</v>
      </c>
      <c r="O49" s="58">
        <v>2668.8</v>
      </c>
      <c r="P49" s="58">
        <v>2655.1</v>
      </c>
      <c r="Q49" s="58">
        <v>2659</v>
      </c>
      <c r="R49" s="58">
        <v>2711</v>
      </c>
      <c r="S49" s="58">
        <v>2642.3</v>
      </c>
      <c r="T49" s="58">
        <v>2656</v>
      </c>
      <c r="U49" s="58">
        <v>2640.8</v>
      </c>
      <c r="V49" s="58">
        <v>2638.8</v>
      </c>
      <c r="W49" s="58">
        <v>10661.8</v>
      </c>
      <c r="X49" s="58">
        <v>10693.9</v>
      </c>
      <c r="Y49" s="58">
        <v>10577.9</v>
      </c>
      <c r="Z49" s="59">
        <v>3324.7</v>
      </c>
      <c r="AA49" s="59">
        <v>23.1</v>
      </c>
      <c r="AB49" s="59"/>
      <c r="AC49" s="59">
        <v>5.91</v>
      </c>
      <c r="AD49" s="59">
        <v>0</v>
      </c>
      <c r="AE49" s="59">
        <v>49.15</v>
      </c>
      <c r="AF49" s="59">
        <v>0</v>
      </c>
      <c r="AG49" s="59">
        <v>0</v>
      </c>
      <c r="AH49" s="59"/>
      <c r="AI49" s="10">
        <f>SUM(Raw_Data[[#This Row],[Inv1]:[Inv3]])</f>
        <v>31933.599999999999</v>
      </c>
      <c r="AJ49" s="10">
        <f>(Raw_Data[[#This Row],[33 kV Outgoinng Export Reading]]-Z48)*1000</f>
        <v>31699.999999999818</v>
      </c>
      <c r="AK49" s="10">
        <f>(Raw_Data[[#This Row],[33 kV Outgoinng Import Reading]]-AA48)*1000</f>
        <v>200.00000000000284</v>
      </c>
      <c r="AL49" s="10">
        <f>Raw_Data[[#This Row],[Export  (kWh)]]-Raw_Data[[#This Row],[Import (kWh)]]</f>
        <v>31499.999999999814</v>
      </c>
      <c r="AM49" s="20">
        <f t="shared" ref="AM49" si="43">IFERROR((J49-I49)*24,"")</f>
        <v>12.766666666666669</v>
      </c>
    </row>
    <row r="50" spans="1:39" x14ac:dyDescent="0.25">
      <c r="A50" s="125">
        <f>YEAR(Raw_Data[[#This Row],[Date]])+IF(MONTH(Raw_Data[[#This Row],[Date]])&gt;=4,1,0)</f>
        <v>2026</v>
      </c>
      <c r="B50" s="41">
        <v>2025</v>
      </c>
      <c r="C50" s="59" t="s">
        <v>4</v>
      </c>
      <c r="D50" s="59" t="s">
        <v>4</v>
      </c>
      <c r="E50" s="6" t="str">
        <f>TEXT(Raw_Data[[#This Row],[Date]],"mmm-yy")</f>
        <v>May-25</v>
      </c>
      <c r="F50" s="41">
        <f>DAY(EOMONTH(Raw_Data[[#This Row],[Month Year]],0))</f>
        <v>31</v>
      </c>
      <c r="G50" s="42">
        <f t="shared" si="4"/>
        <v>45791</v>
      </c>
      <c r="H50" s="11">
        <f>'Modelling New'!$AR$1</f>
        <v>7.0991999999999997</v>
      </c>
      <c r="I50" s="40">
        <v>0.23958333333333334</v>
      </c>
      <c r="J50" s="40">
        <v>0.75972222222222219</v>
      </c>
      <c r="K50" s="58">
        <v>2859.7</v>
      </c>
      <c r="L50" s="58">
        <v>2842.7</v>
      </c>
      <c r="M50" s="58">
        <v>2902.4</v>
      </c>
      <c r="N50" s="58">
        <v>2837.5</v>
      </c>
      <c r="O50" s="58">
        <v>2943.4</v>
      </c>
      <c r="P50" s="58">
        <v>2864.7</v>
      </c>
      <c r="Q50" s="58">
        <v>2868.7</v>
      </c>
      <c r="R50" s="58">
        <v>2885.1</v>
      </c>
      <c r="S50" s="58">
        <v>2870.7</v>
      </c>
      <c r="T50" s="58">
        <v>2886.9</v>
      </c>
      <c r="U50" s="58">
        <v>2870</v>
      </c>
      <c r="V50" s="58">
        <v>2868.5</v>
      </c>
      <c r="W50" s="58">
        <v>11442.3</v>
      </c>
      <c r="X50" s="58">
        <v>11561.9</v>
      </c>
      <c r="Y50" s="58">
        <v>11496.1</v>
      </c>
      <c r="Z50" s="59">
        <v>3359</v>
      </c>
      <c r="AA50" s="59">
        <v>23.3</v>
      </c>
      <c r="AB50" s="59"/>
      <c r="AC50" s="59">
        <v>6.3</v>
      </c>
      <c r="AD50" s="59">
        <v>0</v>
      </c>
      <c r="AE50" s="59">
        <v>51.6</v>
      </c>
      <c r="AF50" s="59">
        <v>0</v>
      </c>
      <c r="AG50" s="59">
        <v>0</v>
      </c>
      <c r="AH50" s="59"/>
      <c r="AI50" s="10">
        <f>SUM(Raw_Data[[#This Row],[Inv1]:[Inv3]])</f>
        <v>34500.299999999996</v>
      </c>
      <c r="AJ50" s="10">
        <f>(Raw_Data[[#This Row],[33 kV Outgoinng Export Reading]]-Z49)*1000</f>
        <v>34300.000000000182</v>
      </c>
      <c r="AK50" s="10">
        <f>(Raw_Data[[#This Row],[33 kV Outgoinng Import Reading]]-AA49)*1000</f>
        <v>199.99999999999929</v>
      </c>
      <c r="AL50" s="10">
        <f>Raw_Data[[#This Row],[Export  (kWh)]]-Raw_Data[[#This Row],[Import (kWh)]]</f>
        <v>34100.000000000182</v>
      </c>
      <c r="AM50" s="20">
        <f t="shared" ref="AM50" si="44">IFERROR((J50-I50)*24,"")</f>
        <v>12.483333333333331</v>
      </c>
    </row>
    <row r="51" spans="1:39" x14ac:dyDescent="0.25">
      <c r="A51" s="125">
        <f>YEAR(Raw_Data[[#This Row],[Date]])+IF(MONTH(Raw_Data[[#This Row],[Date]])&gt;=4,1,0)</f>
        <v>2026</v>
      </c>
      <c r="B51" s="41">
        <v>2025</v>
      </c>
      <c r="C51" s="59" t="s">
        <v>4</v>
      </c>
      <c r="D51" s="59" t="s">
        <v>4</v>
      </c>
      <c r="E51" s="6" t="str">
        <f>TEXT(Raw_Data[[#This Row],[Date]],"mmm-yy")</f>
        <v>May-25</v>
      </c>
      <c r="F51" s="41">
        <f>DAY(EOMONTH(Raw_Data[[#This Row],[Month Year]],0))</f>
        <v>31</v>
      </c>
      <c r="G51" s="42">
        <f t="shared" si="4"/>
        <v>45792</v>
      </c>
      <c r="H51" s="11">
        <f>'Modelling New'!$AR$1</f>
        <v>7.0991999999999997</v>
      </c>
      <c r="I51" s="40">
        <v>0.24930555555555556</v>
      </c>
      <c r="J51" s="40">
        <v>0.78333333333333333</v>
      </c>
      <c r="K51" s="58">
        <v>2208.4</v>
      </c>
      <c r="L51" s="58">
        <v>2194.6</v>
      </c>
      <c r="M51" s="58">
        <v>2190.8000000000002</v>
      </c>
      <c r="N51" s="58">
        <v>2186.6</v>
      </c>
      <c r="O51" s="58">
        <v>2246.4</v>
      </c>
      <c r="P51" s="58">
        <v>2232.9</v>
      </c>
      <c r="Q51" s="58">
        <v>2236.9</v>
      </c>
      <c r="R51" s="58">
        <v>2250.1999999999998</v>
      </c>
      <c r="S51" s="58">
        <v>2237.8000000000002</v>
      </c>
      <c r="T51" s="58">
        <v>2247.3000000000002</v>
      </c>
      <c r="U51" s="58">
        <v>2235.3000000000002</v>
      </c>
      <c r="V51" s="58">
        <v>2232.6</v>
      </c>
      <c r="W51" s="58">
        <v>8780.4</v>
      </c>
      <c r="X51" s="58">
        <v>8966.4</v>
      </c>
      <c r="Y51" s="58">
        <v>8953</v>
      </c>
      <c r="Z51" s="59">
        <v>3385.5</v>
      </c>
      <c r="AA51" s="59">
        <v>23.5</v>
      </c>
      <c r="AB51" s="59"/>
      <c r="AC51" s="59">
        <v>5.5</v>
      </c>
      <c r="AD51" s="59">
        <v>0</v>
      </c>
      <c r="AE51" s="59">
        <v>44.88</v>
      </c>
      <c r="AF51" s="59">
        <v>0</v>
      </c>
      <c r="AG51" s="59">
        <v>0</v>
      </c>
      <c r="AH51" s="59"/>
      <c r="AI51" s="10">
        <f>SUM(Raw_Data[[#This Row],[Inv1]:[Inv3]])</f>
        <v>26699.8</v>
      </c>
      <c r="AJ51" s="10">
        <f>(Raw_Data[[#This Row],[33 kV Outgoinng Export Reading]]-Z50)*1000</f>
        <v>26500</v>
      </c>
      <c r="AK51" s="10">
        <f>(Raw_Data[[#This Row],[33 kV Outgoinng Import Reading]]-AA50)*1000</f>
        <v>199.99999999999929</v>
      </c>
      <c r="AL51" s="10">
        <f>Raw_Data[[#This Row],[Export  (kWh)]]-Raw_Data[[#This Row],[Import (kWh)]]</f>
        <v>26300</v>
      </c>
      <c r="AM51" s="20">
        <f t="shared" ref="AM51" si="45">IFERROR((J51-I51)*24,"")</f>
        <v>12.816666666666666</v>
      </c>
    </row>
    <row r="52" spans="1:39" x14ac:dyDescent="0.25">
      <c r="A52" s="125">
        <f>YEAR(Raw_Data[[#This Row],[Date]])+IF(MONTH(Raw_Data[[#This Row],[Date]])&gt;=4,1,0)</f>
        <v>2026</v>
      </c>
      <c r="B52" s="41">
        <v>2025</v>
      </c>
      <c r="C52" s="59" t="s">
        <v>4</v>
      </c>
      <c r="D52" s="59" t="s">
        <v>4</v>
      </c>
      <c r="E52" s="6" t="str">
        <f>TEXT(Raw_Data[[#This Row],[Date]],"mmm-yy")</f>
        <v>May-25</v>
      </c>
      <c r="F52" s="41">
        <f>DAY(EOMONTH(Raw_Data[[#This Row],[Month Year]],0))</f>
        <v>31</v>
      </c>
      <c r="G52" s="42">
        <f t="shared" si="4"/>
        <v>45793</v>
      </c>
      <c r="H52" s="11">
        <f>'Modelling New'!$AR$1</f>
        <v>7.0991999999999997</v>
      </c>
      <c r="I52" s="40">
        <v>0.23749999999999999</v>
      </c>
      <c r="J52" s="40">
        <v>0.79027777777777775</v>
      </c>
      <c r="K52" s="58">
        <v>2248.6999999999998</v>
      </c>
      <c r="L52" s="58">
        <v>2308.6999999999998</v>
      </c>
      <c r="M52" s="58">
        <v>2229.5</v>
      </c>
      <c r="N52" s="58">
        <v>2232.6</v>
      </c>
      <c r="O52" s="58">
        <v>2357.8000000000002</v>
      </c>
      <c r="P52" s="58">
        <v>2268.9</v>
      </c>
      <c r="Q52" s="58">
        <v>2270.1</v>
      </c>
      <c r="R52" s="58">
        <v>2286.6999999999998</v>
      </c>
      <c r="S52" s="58">
        <v>2301.1</v>
      </c>
      <c r="T52" s="58">
        <v>2307.8000000000002</v>
      </c>
      <c r="U52" s="58">
        <v>2299.6999999999998</v>
      </c>
      <c r="V52" s="58">
        <v>2297.9</v>
      </c>
      <c r="W52" s="58">
        <v>9019.5</v>
      </c>
      <c r="X52" s="58">
        <v>9183.5</v>
      </c>
      <c r="Y52" s="58">
        <v>9206.5</v>
      </c>
      <c r="Z52" s="59">
        <v>3412.6</v>
      </c>
      <c r="AA52" s="59">
        <v>23.6</v>
      </c>
      <c r="AB52" s="59"/>
      <c r="AC52" s="59">
        <v>5.04</v>
      </c>
      <c r="AD52" s="59">
        <v>0</v>
      </c>
      <c r="AE52" s="59">
        <v>45.79</v>
      </c>
      <c r="AF52" s="59">
        <v>0</v>
      </c>
      <c r="AG52" s="59">
        <v>0</v>
      </c>
      <c r="AH52" s="59"/>
      <c r="AI52" s="10">
        <f>SUM(Raw_Data[[#This Row],[Inv1]:[Inv3]])</f>
        <v>27409.5</v>
      </c>
      <c r="AJ52" s="10">
        <f>(Raw_Data[[#This Row],[33 kV Outgoinng Export Reading]]-Z51)*1000</f>
        <v>27099.999999999909</v>
      </c>
      <c r="AK52" s="10">
        <f>(Raw_Data[[#This Row],[33 kV Outgoinng Import Reading]]-AA51)*1000</f>
        <v>100.00000000000142</v>
      </c>
      <c r="AL52" s="10">
        <f>Raw_Data[[#This Row],[Export  (kWh)]]-Raw_Data[[#This Row],[Import (kWh)]]</f>
        <v>26999.999999999909</v>
      </c>
      <c r="AM52" s="20">
        <f t="shared" ref="AM52" si="46">IFERROR((J52-I52)*24,"")</f>
        <v>13.266666666666667</v>
      </c>
    </row>
    <row r="53" spans="1:39" x14ac:dyDescent="0.25">
      <c r="A53" s="125">
        <f>YEAR(Raw_Data[[#This Row],[Date]])+IF(MONTH(Raw_Data[[#This Row],[Date]])&gt;=4,1,0)</f>
        <v>2026</v>
      </c>
      <c r="B53" s="41">
        <v>2025</v>
      </c>
      <c r="C53" s="59" t="s">
        <v>4</v>
      </c>
      <c r="D53" s="59" t="s">
        <v>4</v>
      </c>
      <c r="E53" s="6" t="str">
        <f>TEXT(Raw_Data[[#This Row],[Date]],"mmm-yy")</f>
        <v>May-25</v>
      </c>
      <c r="F53" s="41">
        <f>DAY(EOMONTH(Raw_Data[[#This Row],[Month Year]],0))</f>
        <v>31</v>
      </c>
      <c r="G53" s="42">
        <f t="shared" si="4"/>
        <v>45794</v>
      </c>
      <c r="H53" s="11">
        <f>'Modelling New'!$AR$1</f>
        <v>7.0991999999999997</v>
      </c>
      <c r="I53" s="40">
        <v>0.23819444444444443</v>
      </c>
      <c r="J53" s="40">
        <v>0.78125</v>
      </c>
      <c r="K53" s="58">
        <v>2382.4</v>
      </c>
      <c r="L53" s="58">
        <v>2365.9</v>
      </c>
      <c r="M53" s="58">
        <v>2437.6</v>
      </c>
      <c r="N53" s="58">
        <v>2362.5</v>
      </c>
      <c r="O53" s="58">
        <v>2427.1999999999998</v>
      </c>
      <c r="P53" s="58">
        <v>2413.6</v>
      </c>
      <c r="Q53" s="58">
        <v>2489.8000000000002</v>
      </c>
      <c r="R53" s="58">
        <v>2430.6999999999998</v>
      </c>
      <c r="S53" s="58">
        <v>2287.6999999999998</v>
      </c>
      <c r="T53" s="58">
        <v>2297.6999999999998</v>
      </c>
      <c r="U53" s="58">
        <v>2288.8000000000002</v>
      </c>
      <c r="V53" s="58">
        <v>2287.5</v>
      </c>
      <c r="W53" s="58">
        <v>9548.4</v>
      </c>
      <c r="X53" s="58">
        <v>9761.2999999999993</v>
      </c>
      <c r="Y53" s="58">
        <v>9161.7000000000007</v>
      </c>
      <c r="Z53" s="59">
        <v>3440.9</v>
      </c>
      <c r="AA53" s="59">
        <v>23.8</v>
      </c>
      <c r="AB53" s="59"/>
      <c r="AC53" s="59">
        <v>5.16</v>
      </c>
      <c r="AD53" s="59">
        <v>0</v>
      </c>
      <c r="AE53" s="59">
        <v>47.8</v>
      </c>
      <c r="AF53" s="59">
        <v>0</v>
      </c>
      <c r="AG53" s="59">
        <v>0</v>
      </c>
      <c r="AH53" s="59"/>
      <c r="AI53" s="10">
        <f>SUM(Raw_Data[[#This Row],[Inv1]:[Inv3]])</f>
        <v>28471.399999999998</v>
      </c>
      <c r="AJ53" s="10">
        <f>(Raw_Data[[#This Row],[33 kV Outgoinng Export Reading]]-Z52)*1000</f>
        <v>28300.000000000182</v>
      </c>
      <c r="AK53" s="10">
        <f>(Raw_Data[[#This Row],[33 kV Outgoinng Import Reading]]-AA52)*1000</f>
        <v>199.99999999999929</v>
      </c>
      <c r="AL53" s="10">
        <f>Raw_Data[[#This Row],[Export  (kWh)]]-Raw_Data[[#This Row],[Import (kWh)]]</f>
        <v>28100.000000000182</v>
      </c>
      <c r="AM53" s="20">
        <f t="shared" ref="AM53" si="47">IFERROR((J53-I53)*24,"")</f>
        <v>13.033333333333335</v>
      </c>
    </row>
    <row r="54" spans="1:39" x14ac:dyDescent="0.25">
      <c r="A54" s="125">
        <f>YEAR(Raw_Data[[#This Row],[Date]])+IF(MONTH(Raw_Data[[#This Row],[Date]])&gt;=4,1,0)</f>
        <v>2026</v>
      </c>
      <c r="B54" s="41">
        <v>2025</v>
      </c>
      <c r="C54" s="59" t="s">
        <v>4</v>
      </c>
      <c r="D54" s="59" t="s">
        <v>4</v>
      </c>
      <c r="E54" s="6" t="str">
        <f>TEXT(Raw_Data[[#This Row],[Date]],"mmm-yy")</f>
        <v>May-25</v>
      </c>
      <c r="F54" s="41">
        <f>DAY(EOMONTH(Raw_Data[[#This Row],[Month Year]],0))</f>
        <v>31</v>
      </c>
      <c r="G54" s="42">
        <f t="shared" si="4"/>
        <v>45795</v>
      </c>
      <c r="H54" s="11">
        <f>'Modelling New'!$AR$1</f>
        <v>7.0991999999999997</v>
      </c>
      <c r="I54" s="40">
        <v>0.23402777777777778</v>
      </c>
      <c r="J54" s="40">
        <v>0.77986111111111112</v>
      </c>
      <c r="K54" s="58">
        <v>2474.3000000000002</v>
      </c>
      <c r="L54" s="58">
        <v>2528.5</v>
      </c>
      <c r="M54" s="58">
        <v>2453.3000000000002</v>
      </c>
      <c r="N54" s="58">
        <v>2454.4</v>
      </c>
      <c r="O54" s="58">
        <v>2513.6999999999998</v>
      </c>
      <c r="P54" s="58">
        <v>2513.6999999999998</v>
      </c>
      <c r="Q54" s="58">
        <v>2569.6</v>
      </c>
      <c r="R54" s="58">
        <v>2517.8000000000002</v>
      </c>
      <c r="S54" s="58">
        <v>2531.1999999999998</v>
      </c>
      <c r="T54" s="58">
        <v>2540.3000000000002</v>
      </c>
      <c r="U54" s="58">
        <v>2528</v>
      </c>
      <c r="V54" s="58">
        <v>2528.6</v>
      </c>
      <c r="W54" s="58">
        <v>9910.5</v>
      </c>
      <c r="X54" s="58">
        <v>10100.9</v>
      </c>
      <c r="Y54" s="58">
        <v>10128.1</v>
      </c>
      <c r="Z54" s="59">
        <v>3470.9</v>
      </c>
      <c r="AA54" s="59">
        <v>24</v>
      </c>
      <c r="AB54" s="59"/>
      <c r="AC54" s="59">
        <v>5.54</v>
      </c>
      <c r="AD54" s="59">
        <v>0</v>
      </c>
      <c r="AE54" s="59">
        <v>48.68</v>
      </c>
      <c r="AF54" s="59">
        <v>0</v>
      </c>
      <c r="AG54" s="59">
        <v>0</v>
      </c>
      <c r="AH54" s="59"/>
      <c r="AI54" s="10">
        <f>SUM(Raw_Data[[#This Row],[Inv1]:[Inv3]])</f>
        <v>30139.5</v>
      </c>
      <c r="AJ54" s="10">
        <f>(Raw_Data[[#This Row],[33 kV Outgoinng Export Reading]]-Z53)*1000</f>
        <v>30000</v>
      </c>
      <c r="AK54" s="10">
        <f>(Raw_Data[[#This Row],[33 kV Outgoinng Import Reading]]-AA53)*1000</f>
        <v>199.99999999999929</v>
      </c>
      <c r="AL54" s="10">
        <f>Raw_Data[[#This Row],[Export  (kWh)]]-Raw_Data[[#This Row],[Import (kWh)]]</f>
        <v>29800</v>
      </c>
      <c r="AM54" s="20">
        <f t="shared" ref="AM54" si="48">IFERROR((J54-I54)*24,"")</f>
        <v>13.100000000000001</v>
      </c>
    </row>
    <row r="55" spans="1:39" x14ac:dyDescent="0.25">
      <c r="A55" s="125">
        <f>YEAR(Raw_Data[[#This Row],[Date]])+IF(MONTH(Raw_Data[[#This Row],[Date]])&gt;=4,1,0)</f>
        <v>2026</v>
      </c>
      <c r="B55" s="41">
        <v>2025</v>
      </c>
      <c r="C55" s="59" t="s">
        <v>4</v>
      </c>
      <c r="D55" s="59" t="s">
        <v>4</v>
      </c>
      <c r="E55" s="6" t="str">
        <f>TEXT(Raw_Data[[#This Row],[Date]],"mmm-yy")</f>
        <v>May-25</v>
      </c>
      <c r="F55" s="41">
        <f>DAY(EOMONTH(Raw_Data[[#This Row],[Month Year]],0))</f>
        <v>31</v>
      </c>
      <c r="G55" s="42">
        <f t="shared" si="4"/>
        <v>45796</v>
      </c>
      <c r="H55" s="11">
        <f>'Modelling New'!$AR$1</f>
        <v>7.0991999999999997</v>
      </c>
      <c r="I55" s="40">
        <v>0.2361111111111111</v>
      </c>
      <c r="J55" s="40">
        <v>0.78125</v>
      </c>
      <c r="K55" s="58">
        <v>1684</v>
      </c>
      <c r="L55" s="58">
        <v>1673.4</v>
      </c>
      <c r="M55" s="58">
        <v>1671.1</v>
      </c>
      <c r="N55" s="58">
        <v>1857</v>
      </c>
      <c r="O55" s="58">
        <v>1711.8</v>
      </c>
      <c r="P55" s="58">
        <v>1702</v>
      </c>
      <c r="Q55" s="58">
        <v>1703.2</v>
      </c>
      <c r="R55" s="58">
        <v>1901.8</v>
      </c>
      <c r="S55" s="58">
        <v>1743.5</v>
      </c>
      <c r="T55" s="58">
        <v>1749.9</v>
      </c>
      <c r="U55" s="58">
        <v>1742</v>
      </c>
      <c r="V55" s="58">
        <v>1742.5</v>
      </c>
      <c r="W55" s="58">
        <v>6885.5</v>
      </c>
      <c r="X55" s="58">
        <v>7018.8</v>
      </c>
      <c r="Y55" s="58">
        <v>6977.9</v>
      </c>
      <c r="Z55" s="59">
        <v>3491.6</v>
      </c>
      <c r="AA55" s="59">
        <v>24.2</v>
      </c>
      <c r="AB55" s="59"/>
      <c r="AC55" s="59">
        <v>5.33</v>
      </c>
      <c r="AD55" s="59">
        <v>0</v>
      </c>
      <c r="AE55" s="59">
        <v>50.3</v>
      </c>
      <c r="AF55" s="59">
        <v>0</v>
      </c>
      <c r="AG55" s="59">
        <v>0</v>
      </c>
      <c r="AH55" s="59"/>
      <c r="AI55" s="10">
        <f>SUM(Raw_Data[[#This Row],[Inv1]:[Inv3]])</f>
        <v>20882.199999999997</v>
      </c>
      <c r="AJ55" s="10">
        <f>(Raw_Data[[#This Row],[33 kV Outgoinng Export Reading]]-Z54)*1000</f>
        <v>20699.999999999818</v>
      </c>
      <c r="AK55" s="10">
        <f>(Raw_Data[[#This Row],[33 kV Outgoinng Import Reading]]-AA54)*1000</f>
        <v>199.99999999999929</v>
      </c>
      <c r="AL55" s="10">
        <f>Raw_Data[[#This Row],[Export  (kWh)]]-Raw_Data[[#This Row],[Import (kWh)]]</f>
        <v>20499.999999999818</v>
      </c>
      <c r="AM55" s="20">
        <f t="shared" ref="AM55" si="49">IFERROR((J55-I55)*24,"")</f>
        <v>13.083333333333332</v>
      </c>
    </row>
    <row r="56" spans="1:39" x14ac:dyDescent="0.25">
      <c r="A56" s="125">
        <f>YEAR(Raw_Data[[#This Row],[Date]])+IF(MONTH(Raw_Data[[#This Row],[Date]])&gt;=4,1,0)</f>
        <v>2026</v>
      </c>
      <c r="B56" s="41">
        <v>2025</v>
      </c>
      <c r="C56" s="59" t="s">
        <v>4</v>
      </c>
      <c r="D56" s="59" t="s">
        <v>4</v>
      </c>
      <c r="E56" s="6" t="str">
        <f>TEXT(Raw_Data[[#This Row],[Date]],"mmm-yy")</f>
        <v>May-25</v>
      </c>
      <c r="F56" s="41">
        <f>DAY(EOMONTH(Raw_Data[[#This Row],[Month Year]],0))</f>
        <v>31</v>
      </c>
      <c r="G56" s="42">
        <f t="shared" si="4"/>
        <v>45797</v>
      </c>
      <c r="H56" s="11">
        <f>'Modelling New'!$AR$1</f>
        <v>7.0991999999999997</v>
      </c>
      <c r="I56" s="40">
        <v>0.23055555555555557</v>
      </c>
      <c r="J56" s="40">
        <v>0.78749999999999998</v>
      </c>
      <c r="K56" s="58">
        <v>2327.1</v>
      </c>
      <c r="L56" s="58">
        <v>2236.3000000000002</v>
      </c>
      <c r="M56" s="58">
        <v>2232.6999999999998</v>
      </c>
      <c r="N56" s="58">
        <v>2237.3000000000002</v>
      </c>
      <c r="O56" s="58">
        <v>2414.6999999999998</v>
      </c>
      <c r="P56" s="58">
        <v>2328.6999999999998</v>
      </c>
      <c r="Q56" s="58">
        <v>2329.5</v>
      </c>
      <c r="R56" s="58">
        <v>2346.1</v>
      </c>
      <c r="S56" s="58">
        <v>2366</v>
      </c>
      <c r="T56" s="58">
        <v>2373.8000000000002</v>
      </c>
      <c r="U56" s="58">
        <v>2364.5</v>
      </c>
      <c r="V56" s="58">
        <v>2364.1</v>
      </c>
      <c r="W56" s="58">
        <v>9033.4</v>
      </c>
      <c r="X56" s="58">
        <v>9419</v>
      </c>
      <c r="Y56" s="58">
        <v>9468.4</v>
      </c>
      <c r="Z56" s="59">
        <v>3519.4</v>
      </c>
      <c r="AA56" s="59">
        <v>24.3</v>
      </c>
      <c r="AB56" s="59"/>
      <c r="AC56" s="59">
        <v>5.1100000000000003</v>
      </c>
      <c r="AD56" s="59">
        <v>0</v>
      </c>
      <c r="AE56" s="59">
        <v>48.72</v>
      </c>
      <c r="AF56" s="59">
        <v>0</v>
      </c>
      <c r="AG56" s="59">
        <v>0</v>
      </c>
      <c r="AH56" s="59"/>
      <c r="AI56" s="10">
        <f>SUM(Raw_Data[[#This Row],[Inv1]:[Inv3]])</f>
        <v>27920.800000000003</v>
      </c>
      <c r="AJ56" s="10">
        <f>(Raw_Data[[#This Row],[33 kV Outgoinng Export Reading]]-Z55)*1000</f>
        <v>27800.000000000182</v>
      </c>
      <c r="AK56" s="10">
        <f>(Raw_Data[[#This Row],[33 kV Outgoinng Import Reading]]-AA55)*1000</f>
        <v>100.00000000000142</v>
      </c>
      <c r="AL56" s="10">
        <f>Raw_Data[[#This Row],[Export  (kWh)]]-Raw_Data[[#This Row],[Import (kWh)]]</f>
        <v>27700.000000000182</v>
      </c>
      <c r="AM56" s="20">
        <f t="shared" ref="AM56" si="50">IFERROR((J56-I56)*24,"")</f>
        <v>13.366666666666667</v>
      </c>
    </row>
    <row r="57" spans="1:39" x14ac:dyDescent="0.25">
      <c r="A57" s="125">
        <f>YEAR(Raw_Data[[#This Row],[Date]])+IF(MONTH(Raw_Data[[#This Row],[Date]])&gt;=4,1,0)</f>
        <v>2026</v>
      </c>
      <c r="B57" s="41">
        <v>2025</v>
      </c>
      <c r="C57" s="59" t="s">
        <v>4</v>
      </c>
      <c r="D57" s="59" t="s">
        <v>4</v>
      </c>
      <c r="E57" s="6" t="str">
        <f>TEXT(Raw_Data[[#This Row],[Date]],"mmm-yy")</f>
        <v>May-25</v>
      </c>
      <c r="F57" s="41">
        <f>DAY(EOMONTH(Raw_Data[[#This Row],[Month Year]],0))</f>
        <v>31</v>
      </c>
      <c r="G57" s="42">
        <f t="shared" si="4"/>
        <v>45798</v>
      </c>
      <c r="H57" s="11">
        <f>'Modelling New'!$AR$1</f>
        <v>7.0991999999999997</v>
      </c>
      <c r="I57" s="40">
        <v>0.24444444444444444</v>
      </c>
      <c r="J57" s="40">
        <v>0.77430555555555558</v>
      </c>
      <c r="K57" s="58">
        <v>1612.2</v>
      </c>
      <c r="L57" s="58">
        <v>1603.1</v>
      </c>
      <c r="M57" s="58">
        <v>1686.8</v>
      </c>
      <c r="N57" s="58">
        <v>1602.4</v>
      </c>
      <c r="O57" s="58">
        <v>1650.2</v>
      </c>
      <c r="P57" s="58">
        <v>1637.6</v>
      </c>
      <c r="Q57" s="58">
        <v>1732.7</v>
      </c>
      <c r="R57" s="58">
        <v>1656.5</v>
      </c>
      <c r="S57" s="58">
        <v>1672.9</v>
      </c>
      <c r="T57" s="58">
        <v>1677.4</v>
      </c>
      <c r="U57" s="58">
        <v>1670.8</v>
      </c>
      <c r="V57" s="58">
        <v>1671.2</v>
      </c>
      <c r="W57" s="58">
        <v>6504.5</v>
      </c>
      <c r="X57" s="58">
        <v>6677</v>
      </c>
      <c r="Y57" s="58">
        <v>6692.3</v>
      </c>
      <c r="Z57" s="59">
        <v>3539</v>
      </c>
      <c r="AA57" s="59">
        <v>24.5</v>
      </c>
      <c r="AB57" s="59"/>
      <c r="AC57" s="59">
        <v>3.54</v>
      </c>
      <c r="AD57" s="59">
        <v>0</v>
      </c>
      <c r="AE57" s="59">
        <v>42.45</v>
      </c>
      <c r="AF57" s="59">
        <v>0</v>
      </c>
      <c r="AG57" s="59">
        <v>0</v>
      </c>
      <c r="AH57" s="59"/>
      <c r="AI57" s="10">
        <f>SUM(Raw_Data[[#This Row],[Inv1]:[Inv3]])</f>
        <v>19873.8</v>
      </c>
      <c r="AJ57" s="10">
        <f>(Raw_Data[[#This Row],[33 kV Outgoinng Export Reading]]-Z56)*1000</f>
        <v>19599.999999999909</v>
      </c>
      <c r="AK57" s="10">
        <f>(Raw_Data[[#This Row],[33 kV Outgoinng Import Reading]]-AA56)*1000</f>
        <v>199.99999999999929</v>
      </c>
      <c r="AL57" s="10">
        <f>Raw_Data[[#This Row],[Export  (kWh)]]-Raw_Data[[#This Row],[Import (kWh)]]</f>
        <v>19399.999999999909</v>
      </c>
      <c r="AM57" s="20">
        <f t="shared" ref="AM57" si="51">IFERROR((J57-I57)*24,"")</f>
        <v>12.716666666666667</v>
      </c>
    </row>
    <row r="58" spans="1:39" x14ac:dyDescent="0.25">
      <c r="A58" s="125">
        <f>YEAR(Raw_Data[[#This Row],[Date]])+IF(MONTH(Raw_Data[[#This Row],[Date]])&gt;=4,1,0)</f>
        <v>2026</v>
      </c>
      <c r="B58" s="41">
        <v>2025</v>
      </c>
      <c r="C58" s="59" t="s">
        <v>4</v>
      </c>
      <c r="D58" s="59" t="s">
        <v>4</v>
      </c>
      <c r="E58" s="6" t="str">
        <f>TEXT(Raw_Data[[#This Row],[Date]],"mmm-yy")</f>
        <v>May-25</v>
      </c>
      <c r="F58" s="41">
        <f>DAY(EOMONTH(Raw_Data[[#This Row],[Month Year]],0))</f>
        <v>31</v>
      </c>
      <c r="G58" s="42">
        <f t="shared" si="4"/>
        <v>45799</v>
      </c>
      <c r="H58" s="11">
        <f>'Modelling New'!$AR$1</f>
        <v>7.0991999999999997</v>
      </c>
      <c r="I58" s="40">
        <v>0.23749999999999999</v>
      </c>
      <c r="J58" s="40">
        <v>0.78611111111111109</v>
      </c>
      <c r="K58" s="58">
        <v>2197.4</v>
      </c>
      <c r="L58" s="58">
        <v>2184</v>
      </c>
      <c r="M58" s="58">
        <v>2178.8000000000002</v>
      </c>
      <c r="N58" s="58">
        <v>2293</v>
      </c>
      <c r="O58" s="58">
        <v>2206.5</v>
      </c>
      <c r="P58" s="58">
        <v>2194.1999999999998</v>
      </c>
      <c r="Q58" s="58">
        <v>2196.9</v>
      </c>
      <c r="R58" s="58">
        <v>2342.1999999999998</v>
      </c>
      <c r="S58" s="58">
        <v>2126.6</v>
      </c>
      <c r="T58" s="58">
        <v>2133.1</v>
      </c>
      <c r="U58" s="58">
        <v>2124.8000000000002</v>
      </c>
      <c r="V58" s="58">
        <v>2125.5</v>
      </c>
      <c r="W58" s="58">
        <v>8853.2000000000007</v>
      </c>
      <c r="X58" s="58">
        <v>8939.7999999999993</v>
      </c>
      <c r="Y58" s="58">
        <v>8510</v>
      </c>
      <c r="Z58" s="59">
        <v>3565.1</v>
      </c>
      <c r="AA58" s="59">
        <v>24.8</v>
      </c>
      <c r="AB58" s="59"/>
      <c r="AC58" s="59">
        <v>4.88</v>
      </c>
      <c r="AD58" s="59">
        <v>0</v>
      </c>
      <c r="AE58" s="59">
        <v>42.14</v>
      </c>
      <c r="AF58" s="59">
        <v>0</v>
      </c>
      <c r="AG58" s="59">
        <v>0</v>
      </c>
      <c r="AH58" s="59"/>
      <c r="AI58" s="10">
        <f>SUM(Raw_Data[[#This Row],[Inv1]:[Inv3]])</f>
        <v>26303</v>
      </c>
      <c r="AJ58" s="10">
        <f>(Raw_Data[[#This Row],[33 kV Outgoinng Export Reading]]-Z57)*1000</f>
        <v>26099.999999999909</v>
      </c>
      <c r="AK58" s="10">
        <f>(Raw_Data[[#This Row],[33 kV Outgoinng Import Reading]]-AA57)*1000</f>
        <v>300.00000000000068</v>
      </c>
      <c r="AL58" s="10">
        <f>Raw_Data[[#This Row],[Export  (kWh)]]-Raw_Data[[#This Row],[Import (kWh)]]</f>
        <v>25799.999999999909</v>
      </c>
      <c r="AM58" s="20">
        <f t="shared" ref="AM58" si="52">IFERROR((J58-I58)*24,"")</f>
        <v>13.166666666666668</v>
      </c>
    </row>
    <row r="59" spans="1:39" x14ac:dyDescent="0.25">
      <c r="A59" s="125">
        <f>YEAR(Raw_Data[[#This Row],[Date]])+IF(MONTH(Raw_Data[[#This Row],[Date]])&gt;=4,1,0)</f>
        <v>2026</v>
      </c>
      <c r="B59" s="41">
        <v>2025</v>
      </c>
      <c r="C59" s="59" t="s">
        <v>4</v>
      </c>
      <c r="D59" s="59" t="s">
        <v>4</v>
      </c>
      <c r="E59" s="6" t="str">
        <f>TEXT(Raw_Data[[#This Row],[Date]],"mmm-yy")</f>
        <v>May-25</v>
      </c>
      <c r="F59" s="41">
        <f>DAY(EOMONTH(Raw_Data[[#This Row],[Month Year]],0))</f>
        <v>31</v>
      </c>
      <c r="G59" s="42">
        <f t="shared" si="4"/>
        <v>45800</v>
      </c>
      <c r="H59" s="11">
        <f>'Modelling New'!$AR$1</f>
        <v>7.0991999999999997</v>
      </c>
      <c r="I59" s="40">
        <v>0.24305555555555555</v>
      </c>
      <c r="J59" s="40">
        <v>0.78680555555555554</v>
      </c>
      <c r="K59" s="58">
        <v>2537.4</v>
      </c>
      <c r="L59" s="58">
        <v>2447.6</v>
      </c>
      <c r="M59" s="58">
        <v>2441</v>
      </c>
      <c r="N59" s="58">
        <v>2445</v>
      </c>
      <c r="O59" s="58">
        <v>2537.1</v>
      </c>
      <c r="P59" s="58">
        <v>2445.1999999999998</v>
      </c>
      <c r="Q59" s="58">
        <v>2447.6</v>
      </c>
      <c r="R59" s="58">
        <v>2466.3000000000002</v>
      </c>
      <c r="S59" s="58">
        <v>2388.8000000000002</v>
      </c>
      <c r="T59" s="58">
        <v>2395.6999999999998</v>
      </c>
      <c r="U59" s="58">
        <v>2386.6</v>
      </c>
      <c r="V59" s="58">
        <v>2387.3000000000002</v>
      </c>
      <c r="W59" s="58">
        <v>9871</v>
      </c>
      <c r="X59" s="58">
        <v>9896.2000000000007</v>
      </c>
      <c r="Y59" s="58">
        <v>9558.4</v>
      </c>
      <c r="Z59" s="59">
        <v>3594.2</v>
      </c>
      <c r="AA59" s="59">
        <v>25</v>
      </c>
      <c r="AB59" s="59"/>
      <c r="AC59" s="59">
        <v>5.12</v>
      </c>
      <c r="AD59" s="59">
        <v>0</v>
      </c>
      <c r="AE59" s="59">
        <v>43.48</v>
      </c>
      <c r="AF59" s="59">
        <v>0</v>
      </c>
      <c r="AG59" s="59">
        <v>0</v>
      </c>
      <c r="AH59" s="59"/>
      <c r="AI59" s="10">
        <f>SUM(Raw_Data[[#This Row],[Inv1]:[Inv3]])</f>
        <v>29325.599999999999</v>
      </c>
      <c r="AJ59" s="10">
        <f>(Raw_Data[[#This Row],[33 kV Outgoinng Export Reading]]-Z58)*1000</f>
        <v>29099.999999999909</v>
      </c>
      <c r="AK59" s="10">
        <f>(Raw_Data[[#This Row],[33 kV Outgoinng Import Reading]]-AA58)*1000</f>
        <v>199.99999999999929</v>
      </c>
      <c r="AL59" s="10">
        <f>Raw_Data[[#This Row],[Export  (kWh)]]-Raw_Data[[#This Row],[Import (kWh)]]</f>
        <v>28899.999999999909</v>
      </c>
      <c r="AM59" s="20">
        <f t="shared" ref="AM59" si="53">IFERROR((J59-I59)*24,"")</f>
        <v>13.049999999999999</v>
      </c>
    </row>
    <row r="60" spans="1:39" x14ac:dyDescent="0.25">
      <c r="A60" s="125">
        <f>YEAR(Raw_Data[[#This Row],[Date]])+IF(MONTH(Raw_Data[[#This Row],[Date]])&gt;=4,1,0)</f>
        <v>2026</v>
      </c>
      <c r="B60" s="41">
        <v>2025</v>
      </c>
      <c r="C60" s="59" t="s">
        <v>4</v>
      </c>
      <c r="D60" s="59" t="s">
        <v>4</v>
      </c>
      <c r="E60" s="6" t="str">
        <f>TEXT(Raw_Data[[#This Row],[Date]],"mmm-yy")</f>
        <v>May-25</v>
      </c>
      <c r="F60" s="41">
        <f>DAY(EOMONTH(Raw_Data[[#This Row],[Month Year]],0))</f>
        <v>31</v>
      </c>
      <c r="G60" s="42">
        <f t="shared" si="4"/>
        <v>45801</v>
      </c>
      <c r="H60" s="11">
        <f>'Modelling New'!$AR$1</f>
        <v>7.0991999999999997</v>
      </c>
      <c r="I60" s="40">
        <v>0.25277777777777777</v>
      </c>
      <c r="J60" s="40">
        <v>0.76527777777777772</v>
      </c>
      <c r="K60" s="58">
        <v>1561.3</v>
      </c>
      <c r="L60" s="58">
        <v>1622</v>
      </c>
      <c r="M60" s="58">
        <v>1543</v>
      </c>
      <c r="N60" s="58">
        <v>1549.9</v>
      </c>
      <c r="O60" s="58">
        <v>1578.7</v>
      </c>
      <c r="P60" s="58">
        <v>1639.5</v>
      </c>
      <c r="Q60" s="58">
        <v>1567.5</v>
      </c>
      <c r="R60" s="58">
        <v>1583.6</v>
      </c>
      <c r="S60" s="58">
        <v>1592.4</v>
      </c>
      <c r="T60" s="58">
        <v>1595.5</v>
      </c>
      <c r="U60" s="58">
        <v>1590.9</v>
      </c>
      <c r="V60" s="58">
        <v>1591.4</v>
      </c>
      <c r="W60" s="58">
        <f>SUM(Raw_Data[[#This Row],[Inv1_U1]:[Inv1_U4]])</f>
        <v>6276.2000000000007</v>
      </c>
      <c r="X60" s="58">
        <f>SUM(Raw_Data[[#This Row],[Inv2_U1]:[Inv2_U4]])</f>
        <v>6369.2999999999993</v>
      </c>
      <c r="Y60" s="58">
        <f>SUM(Raw_Data[[#This Row],[Inv3_U1]:[Inv3_U4]])</f>
        <v>6370.2000000000007</v>
      </c>
      <c r="Z60" s="59">
        <v>3613.1</v>
      </c>
      <c r="AA60" s="59">
        <v>25.2</v>
      </c>
      <c r="AB60" s="59"/>
      <c r="AC60" s="59">
        <v>3.39</v>
      </c>
      <c r="AD60" s="59">
        <v>0</v>
      </c>
      <c r="AE60" s="59">
        <v>35.119999999999997</v>
      </c>
      <c r="AF60" s="59">
        <v>0</v>
      </c>
      <c r="AG60" s="59">
        <v>0</v>
      </c>
      <c r="AH60" s="59"/>
      <c r="AI60" s="10">
        <f>SUM(Raw_Data[[#This Row],[Inv1]:[Inv3]])</f>
        <v>19015.7</v>
      </c>
      <c r="AJ60" s="10">
        <f>(Raw_Data[[#This Row],[33 kV Outgoinng Export Reading]]-Z59)*1000</f>
        <v>18900.000000000091</v>
      </c>
      <c r="AK60" s="10">
        <f>(Raw_Data[[#This Row],[33 kV Outgoinng Import Reading]]-AA59)*1000</f>
        <v>199.99999999999929</v>
      </c>
      <c r="AL60" s="10">
        <f>Raw_Data[[#This Row],[Export  (kWh)]]-Raw_Data[[#This Row],[Import (kWh)]]</f>
        <v>18700.000000000091</v>
      </c>
      <c r="AM60" s="20">
        <f t="shared" ref="AM60:AM71" si="54">IFERROR((J60-I60)*24,"")</f>
        <v>12.299999999999999</v>
      </c>
    </row>
    <row r="61" spans="1:39" x14ac:dyDescent="0.25">
      <c r="A61" s="125">
        <f>YEAR(Raw_Data[[#This Row],[Date]])+IF(MONTH(Raw_Data[[#This Row],[Date]])&gt;=4,1,0)</f>
        <v>2026</v>
      </c>
      <c r="B61" s="41">
        <v>2025</v>
      </c>
      <c r="C61" s="59" t="s">
        <v>4</v>
      </c>
      <c r="D61" s="59" t="s">
        <v>4</v>
      </c>
      <c r="E61" s="6" t="str">
        <f>TEXT(Raw_Data[[#This Row],[Date]],"mmm-yy")</f>
        <v>May-25</v>
      </c>
      <c r="F61" s="41">
        <f>DAY(EOMONTH(Raw_Data[[#This Row],[Month Year]],0))</f>
        <v>31</v>
      </c>
      <c r="G61" s="42">
        <f t="shared" si="4"/>
        <v>45802</v>
      </c>
      <c r="H61" s="11">
        <f>'Modelling New'!$AR$1</f>
        <v>7.0991999999999997</v>
      </c>
      <c r="I61" s="40">
        <v>0.24305555555555555</v>
      </c>
      <c r="J61" s="40">
        <v>0.78680555555555554</v>
      </c>
      <c r="K61" s="58">
        <v>1960.8</v>
      </c>
      <c r="L61" s="58">
        <v>1948.5</v>
      </c>
      <c r="M61" s="58">
        <v>2038.3</v>
      </c>
      <c r="N61" s="58">
        <v>1946.2</v>
      </c>
      <c r="O61" s="58">
        <v>1967.3</v>
      </c>
      <c r="P61" s="58">
        <v>1955.5</v>
      </c>
      <c r="Q61" s="58">
        <v>2051.8000000000002</v>
      </c>
      <c r="R61" s="58">
        <v>1972</v>
      </c>
      <c r="S61" s="58">
        <v>1998</v>
      </c>
      <c r="T61" s="58">
        <v>2004</v>
      </c>
      <c r="U61" s="58">
        <v>1997.6</v>
      </c>
      <c r="V61" s="58">
        <v>1998.2</v>
      </c>
      <c r="W61" s="58">
        <f>SUM(Raw_Data[[#This Row],[Inv1_U1]:[Inv1_U4]])</f>
        <v>7893.8</v>
      </c>
      <c r="X61" s="58">
        <f>SUM(Raw_Data[[#This Row],[Inv2_U1]:[Inv2_U4]])</f>
        <v>7946.6</v>
      </c>
      <c r="Y61" s="58">
        <f>SUM(Raw_Data[[#This Row],[Inv3_U1]:[Inv3_U4]])</f>
        <v>7997.8</v>
      </c>
      <c r="Z61" s="59">
        <v>3636.9</v>
      </c>
      <c r="AA61" s="59">
        <v>25.4</v>
      </c>
      <c r="AB61" s="59"/>
      <c r="AC61" s="59">
        <v>4.22</v>
      </c>
      <c r="AD61" s="59">
        <v>0</v>
      </c>
      <c r="AE61" s="59">
        <v>41.49</v>
      </c>
      <c r="AF61" s="59">
        <v>0</v>
      </c>
      <c r="AG61" s="59">
        <v>0</v>
      </c>
      <c r="AH61" s="59"/>
      <c r="AI61" s="10">
        <f>SUM(Raw_Data[[#This Row],[Inv1]:[Inv3]])</f>
        <v>23838.2</v>
      </c>
      <c r="AJ61" s="10">
        <f>(Raw_Data[[#This Row],[33 kV Outgoinng Export Reading]]-Z60)*1000</f>
        <v>23800.000000000182</v>
      </c>
      <c r="AK61" s="10">
        <f>(Raw_Data[[#This Row],[33 kV Outgoinng Import Reading]]-AA60)*1000</f>
        <v>199.99999999999929</v>
      </c>
      <c r="AL61" s="10">
        <f>Raw_Data[[#This Row],[Export  (kWh)]]-Raw_Data[[#This Row],[Import (kWh)]]</f>
        <v>23600.000000000182</v>
      </c>
      <c r="AM61" s="20">
        <f t="shared" si="54"/>
        <v>13.049999999999999</v>
      </c>
    </row>
    <row r="62" spans="1:39" x14ac:dyDescent="0.25">
      <c r="A62" s="125">
        <f>YEAR(Raw_Data[[#This Row],[Date]])+IF(MONTH(Raw_Data[[#This Row],[Date]])&gt;=4,1,0)</f>
        <v>2026</v>
      </c>
      <c r="B62" s="41">
        <v>2025</v>
      </c>
      <c r="C62" s="59" t="s">
        <v>4</v>
      </c>
      <c r="D62" s="59" t="s">
        <v>4</v>
      </c>
      <c r="E62" s="6" t="str">
        <f>TEXT(Raw_Data[[#This Row],[Date]],"mmm-yy")</f>
        <v>May-25</v>
      </c>
      <c r="F62" s="41">
        <f>DAY(EOMONTH(Raw_Data[[#This Row],[Month Year]],0))</f>
        <v>31</v>
      </c>
      <c r="G62" s="42">
        <f t="shared" si="4"/>
        <v>45803</v>
      </c>
      <c r="H62" s="11">
        <f>'Modelling New'!$AR$1</f>
        <v>7.0991999999999997</v>
      </c>
      <c r="I62" s="40">
        <v>0.24652777777777779</v>
      </c>
      <c r="J62" s="40">
        <v>0.78472222222222221</v>
      </c>
      <c r="K62" s="58">
        <v>1105.3</v>
      </c>
      <c r="L62" s="58">
        <v>1098.5</v>
      </c>
      <c r="M62" s="58">
        <v>1089.7</v>
      </c>
      <c r="N62" s="58">
        <v>1245.3</v>
      </c>
      <c r="O62" s="58">
        <v>1112.4000000000001</v>
      </c>
      <c r="P62" s="58">
        <v>1105.3</v>
      </c>
      <c r="Q62" s="58">
        <v>1103.5999999999999</v>
      </c>
      <c r="R62" s="58">
        <v>1272.3</v>
      </c>
      <c r="S62" s="58">
        <v>1147.7</v>
      </c>
      <c r="T62" s="58">
        <v>1147.4000000000001</v>
      </c>
      <c r="U62" s="58">
        <v>1144.5999999999999</v>
      </c>
      <c r="V62" s="58">
        <v>1145</v>
      </c>
      <c r="W62" s="58">
        <f>SUM(Raw_Data[[#This Row],[Inv1_U1]:[Inv1_U4]])</f>
        <v>4538.8</v>
      </c>
      <c r="X62" s="58">
        <f>SUM(Raw_Data[[#This Row],[Inv2_U1]:[Inv2_U4]])</f>
        <v>4593.5999999999995</v>
      </c>
      <c r="Y62" s="58">
        <f>SUM(Raw_Data[[#This Row],[Inv3_U1]:[Inv3_U4]])</f>
        <v>4584.7000000000007</v>
      </c>
      <c r="Z62" s="59">
        <v>3650.4</v>
      </c>
      <c r="AA62" s="59">
        <v>25.6</v>
      </c>
      <c r="AB62" s="59"/>
      <c r="AC62" s="59">
        <v>2.2799999999999998</v>
      </c>
      <c r="AD62" s="59">
        <v>0</v>
      </c>
      <c r="AE62" s="59">
        <v>36.86</v>
      </c>
      <c r="AF62" s="59">
        <v>0</v>
      </c>
      <c r="AG62" s="59">
        <v>0</v>
      </c>
      <c r="AH62" s="59"/>
      <c r="AI62" s="10">
        <f>SUM(Raw_Data[[#This Row],[Inv1]:[Inv3]])</f>
        <v>13717.1</v>
      </c>
      <c r="AJ62" s="10">
        <f>(Raw_Data[[#This Row],[33 kV Outgoinng Export Reading]]-Z61)*1000</f>
        <v>13500</v>
      </c>
      <c r="AK62" s="10">
        <f>(Raw_Data[[#This Row],[33 kV Outgoinng Import Reading]]-AA61)*1000</f>
        <v>200.00000000000284</v>
      </c>
      <c r="AL62" s="10">
        <f>Raw_Data[[#This Row],[Export  (kWh)]]-Raw_Data[[#This Row],[Import (kWh)]]</f>
        <v>13299.999999999996</v>
      </c>
      <c r="AM62" s="20">
        <f t="shared" si="54"/>
        <v>12.916666666666666</v>
      </c>
    </row>
    <row r="63" spans="1:39" x14ac:dyDescent="0.25">
      <c r="A63" s="125">
        <f>YEAR(Raw_Data[[#This Row],[Date]])+IF(MONTH(Raw_Data[[#This Row],[Date]])&gt;=4,1,0)</f>
        <v>2026</v>
      </c>
      <c r="B63" s="41">
        <v>2025</v>
      </c>
      <c r="C63" s="59" t="s">
        <v>4</v>
      </c>
      <c r="D63" s="59" t="s">
        <v>4</v>
      </c>
      <c r="E63" s="6" t="str">
        <f>TEXT(Raw_Data[[#This Row],[Date]],"mmm-yy")</f>
        <v>May-25</v>
      </c>
      <c r="F63" s="41">
        <f>DAY(EOMONTH(Raw_Data[[#This Row],[Month Year]],0))</f>
        <v>31</v>
      </c>
      <c r="G63" s="42">
        <f t="shared" si="4"/>
        <v>45804</v>
      </c>
      <c r="H63" s="11">
        <f>'Modelling New'!$AR$1</f>
        <v>7.0991999999999997</v>
      </c>
      <c r="I63" s="40">
        <v>0.23749999999999999</v>
      </c>
      <c r="J63" s="40">
        <v>0.78125</v>
      </c>
      <c r="K63" s="58">
        <v>1990.2</v>
      </c>
      <c r="L63" s="58">
        <v>1886.4</v>
      </c>
      <c r="M63" s="58">
        <v>1879.1</v>
      </c>
      <c r="N63" s="58">
        <v>1884.1</v>
      </c>
      <c r="O63" s="58">
        <v>2037</v>
      </c>
      <c r="P63" s="58">
        <v>1923.6</v>
      </c>
      <c r="Q63" s="58">
        <v>1923.4</v>
      </c>
      <c r="R63" s="58">
        <v>1938.8</v>
      </c>
      <c r="S63" s="58">
        <v>1976.6</v>
      </c>
      <c r="T63" s="58">
        <v>1982.6</v>
      </c>
      <c r="U63" s="58">
        <v>1974.6</v>
      </c>
      <c r="V63" s="58">
        <v>1974.8</v>
      </c>
      <c r="W63" s="58">
        <v>7639.8</v>
      </c>
      <c r="X63" s="58">
        <v>7822.8</v>
      </c>
      <c r="Y63" s="58">
        <v>7908.6</v>
      </c>
      <c r="Z63" s="59">
        <v>3673.6</v>
      </c>
      <c r="AA63" s="59">
        <v>25.9</v>
      </c>
      <c r="AB63" s="59"/>
      <c r="AC63" s="59">
        <v>4.37</v>
      </c>
      <c r="AD63" s="59">
        <v>0</v>
      </c>
      <c r="AE63" s="59">
        <v>41.68</v>
      </c>
      <c r="AF63" s="59">
        <v>0</v>
      </c>
      <c r="AG63" s="59">
        <v>0</v>
      </c>
      <c r="AH63" s="59"/>
      <c r="AI63" s="10">
        <f>SUM(Raw_Data[[#This Row],[Inv1]:[Inv3]])</f>
        <v>23371.200000000001</v>
      </c>
      <c r="AJ63" s="10">
        <f>(Raw_Data[[#This Row],[33 kV Outgoinng Export Reading]]-Z62)*1000</f>
        <v>23199.999999999818</v>
      </c>
      <c r="AK63" s="10">
        <f>(Raw_Data[[#This Row],[33 kV Outgoinng Import Reading]]-AA62)*1000</f>
        <v>299.99999999999716</v>
      </c>
      <c r="AL63" s="10">
        <f>Raw_Data[[#This Row],[Export  (kWh)]]-Raw_Data[[#This Row],[Import (kWh)]]</f>
        <v>22899.999999999822</v>
      </c>
      <c r="AM63" s="20">
        <f t="shared" ref="AM63" si="55">IFERROR((J63-I63)*24,"")</f>
        <v>13.049999999999999</v>
      </c>
    </row>
    <row r="64" spans="1:39" x14ac:dyDescent="0.25">
      <c r="A64" s="125">
        <f>YEAR(Raw_Data[[#This Row],[Date]])+IF(MONTH(Raw_Data[[#This Row],[Date]])&gt;=4,1,0)</f>
        <v>2026</v>
      </c>
      <c r="B64" s="41">
        <v>2025</v>
      </c>
      <c r="C64" s="59" t="s">
        <v>4</v>
      </c>
      <c r="D64" s="59" t="s">
        <v>4</v>
      </c>
      <c r="E64" s="6" t="str">
        <f>TEXT(Raw_Data[[#This Row],[Date]],"mmm-yy")</f>
        <v>May-25</v>
      </c>
      <c r="F64" s="41">
        <f>DAY(EOMONTH(Raw_Data[[#This Row],[Month Year]],0))</f>
        <v>31</v>
      </c>
      <c r="G64" s="42">
        <f t="shared" si="4"/>
        <v>45805</v>
      </c>
      <c r="H64" s="11">
        <f>'Modelling New'!$AR$1</f>
        <v>7.0991999999999997</v>
      </c>
      <c r="I64" s="40">
        <v>0.23958333333333334</v>
      </c>
      <c r="J64" s="40">
        <v>0.78333333333333333</v>
      </c>
      <c r="K64" s="58">
        <v>1756.4</v>
      </c>
      <c r="L64" s="58">
        <v>1825</v>
      </c>
      <c r="M64" s="58">
        <v>1736.2</v>
      </c>
      <c r="N64" s="58">
        <v>1742.9</v>
      </c>
      <c r="O64" s="58">
        <v>1777.3</v>
      </c>
      <c r="P64" s="58">
        <v>1846.1</v>
      </c>
      <c r="Q64" s="58">
        <v>1764.2</v>
      </c>
      <c r="R64" s="58">
        <v>1780</v>
      </c>
      <c r="S64" s="58">
        <v>1782.9</v>
      </c>
      <c r="T64" s="58">
        <v>1786.6</v>
      </c>
      <c r="U64" s="58">
        <v>1779.1</v>
      </c>
      <c r="V64" s="58">
        <v>1779.8</v>
      </c>
      <c r="W64" s="58">
        <v>7060.5</v>
      </c>
      <c r="X64" s="58">
        <v>7167.6</v>
      </c>
      <c r="Y64" s="58">
        <v>7128.4</v>
      </c>
      <c r="Z64" s="59">
        <v>3694.9</v>
      </c>
      <c r="AA64" s="59">
        <v>26.1</v>
      </c>
      <c r="AB64" s="59"/>
      <c r="AC64" s="59">
        <v>3.63</v>
      </c>
      <c r="AD64" s="59">
        <v>0</v>
      </c>
      <c r="AE64" s="59">
        <v>39.14</v>
      </c>
      <c r="AF64" s="59">
        <v>0</v>
      </c>
      <c r="AG64" s="59">
        <v>0</v>
      </c>
      <c r="AH64" s="59"/>
      <c r="AI64" s="10">
        <f>SUM(Raw_Data[[#This Row],[Inv1]:[Inv3]])</f>
        <v>21356.5</v>
      </c>
      <c r="AJ64" s="10">
        <f>(Raw_Data[[#This Row],[33 kV Outgoinng Export Reading]]-Z63)*1000</f>
        <v>21300.000000000182</v>
      </c>
      <c r="AK64" s="10">
        <f>(Raw_Data[[#This Row],[33 kV Outgoinng Import Reading]]-AA63)*1000</f>
        <v>200.00000000000284</v>
      </c>
      <c r="AL64" s="10">
        <f>Raw_Data[[#This Row],[Export  (kWh)]]-Raw_Data[[#This Row],[Import (kWh)]]</f>
        <v>21100.000000000178</v>
      </c>
      <c r="AM64" s="20">
        <f t="shared" ref="AM64" si="56">IFERROR((J64-I64)*24,"")</f>
        <v>13.049999999999999</v>
      </c>
    </row>
    <row r="65" spans="1:39" x14ac:dyDescent="0.25">
      <c r="A65" s="125">
        <f>YEAR(Raw_Data[[#This Row],[Date]])+IF(MONTH(Raw_Data[[#This Row],[Date]])&gt;=4,1,0)</f>
        <v>2026</v>
      </c>
      <c r="B65" s="41">
        <v>2025</v>
      </c>
      <c r="C65" s="59" t="s">
        <v>4</v>
      </c>
      <c r="D65" s="59" t="s">
        <v>4</v>
      </c>
      <c r="E65" s="6" t="str">
        <f>TEXT(Raw_Data[[#This Row],[Date]],"mmm-yy")</f>
        <v>May-25</v>
      </c>
      <c r="F65" s="41">
        <f>DAY(EOMONTH(Raw_Data[[#This Row],[Month Year]],0))</f>
        <v>31</v>
      </c>
      <c r="G65" s="42">
        <f t="shared" si="4"/>
        <v>45806</v>
      </c>
      <c r="H65" s="11">
        <f>'Modelling New'!$AR$1</f>
        <v>7.0991999999999997</v>
      </c>
      <c r="I65" s="40">
        <v>0.2361111111111111</v>
      </c>
      <c r="J65" s="40">
        <v>0.77083333333333337</v>
      </c>
      <c r="K65" s="58">
        <v>1375</v>
      </c>
      <c r="L65" s="58">
        <v>1364.5</v>
      </c>
      <c r="M65" s="58">
        <v>1434.1</v>
      </c>
      <c r="N65" s="58">
        <v>1362.5</v>
      </c>
      <c r="O65" s="58">
        <v>1387</v>
      </c>
      <c r="P65" s="58">
        <v>1365.3</v>
      </c>
      <c r="Q65" s="58">
        <v>1465.3</v>
      </c>
      <c r="R65" s="58">
        <v>1390.5</v>
      </c>
      <c r="S65" s="58">
        <v>1401.6</v>
      </c>
      <c r="T65" s="58">
        <v>1403.6</v>
      </c>
      <c r="U65" s="58">
        <v>1398.5</v>
      </c>
      <c r="V65" s="58">
        <v>1399.1</v>
      </c>
      <c r="W65" s="58">
        <v>5534.1</v>
      </c>
      <c r="X65" s="58">
        <v>5608.1</v>
      </c>
      <c r="Y65" s="58">
        <v>5602.8</v>
      </c>
      <c r="Z65" s="59">
        <v>3711.5</v>
      </c>
      <c r="AA65" s="59">
        <v>26.3</v>
      </c>
      <c r="AB65" s="59"/>
      <c r="AC65" s="59">
        <v>2.85</v>
      </c>
      <c r="AD65" s="59">
        <v>0</v>
      </c>
      <c r="AE65" s="59">
        <v>37.99</v>
      </c>
      <c r="AF65" s="59">
        <v>0</v>
      </c>
      <c r="AG65" s="59">
        <v>0</v>
      </c>
      <c r="AH65" s="59"/>
      <c r="AI65" s="10">
        <f>SUM(Raw_Data[[#This Row],[Inv1]:[Inv3]])</f>
        <v>16745</v>
      </c>
      <c r="AJ65" s="10">
        <f>(Raw_Data[[#This Row],[33 kV Outgoinng Export Reading]]-Z64)*1000</f>
        <v>16599.999999999909</v>
      </c>
      <c r="AK65" s="10">
        <f>(Raw_Data[[#This Row],[33 kV Outgoinng Import Reading]]-AA64)*1000</f>
        <v>199.99999999999929</v>
      </c>
      <c r="AL65" s="10">
        <f>Raw_Data[[#This Row],[Export  (kWh)]]-Raw_Data[[#This Row],[Import (kWh)]]</f>
        <v>16399.999999999909</v>
      </c>
      <c r="AM65" s="20">
        <f t="shared" ref="AM65" si="57">IFERROR((J65-I65)*24,"")</f>
        <v>12.833333333333336</v>
      </c>
    </row>
    <row r="66" spans="1:39" x14ac:dyDescent="0.25">
      <c r="A66" s="125">
        <f>YEAR(Raw_Data[[#This Row],[Date]])+IF(MONTH(Raw_Data[[#This Row],[Date]])&gt;=4,1,0)</f>
        <v>2026</v>
      </c>
      <c r="B66" s="41">
        <v>2025</v>
      </c>
      <c r="C66" s="59" t="s">
        <v>4</v>
      </c>
      <c r="D66" s="59" t="s">
        <v>4</v>
      </c>
      <c r="E66" s="6" t="str">
        <f>TEXT(Raw_Data[[#This Row],[Date]],"mmm-yy")</f>
        <v>May-25</v>
      </c>
      <c r="F66" s="41">
        <f>DAY(EOMONTH(Raw_Data[[#This Row],[Month Year]],0))</f>
        <v>31</v>
      </c>
      <c r="G66" s="42">
        <f t="shared" si="4"/>
        <v>45807</v>
      </c>
      <c r="H66" s="11">
        <f>'Modelling New'!$AR$1</f>
        <v>7.0991999999999997</v>
      </c>
      <c r="I66" s="40">
        <v>0.23541666666666666</v>
      </c>
      <c r="J66" s="40">
        <v>0.79374999999999996</v>
      </c>
      <c r="K66" s="58">
        <v>2183.9</v>
      </c>
      <c r="L66" s="58">
        <v>2171</v>
      </c>
      <c r="M66" s="58">
        <v>2164.3000000000002</v>
      </c>
      <c r="N66" s="58">
        <v>2243.6</v>
      </c>
      <c r="O66" s="58">
        <v>2216.8000000000002</v>
      </c>
      <c r="P66" s="58">
        <v>2203.6</v>
      </c>
      <c r="Q66" s="58">
        <v>2206.5</v>
      </c>
      <c r="R66" s="58">
        <v>2295.4</v>
      </c>
      <c r="S66" s="58">
        <v>2245</v>
      </c>
      <c r="T66" s="58">
        <v>2253.3000000000002</v>
      </c>
      <c r="U66" s="58">
        <v>2243.5</v>
      </c>
      <c r="V66" s="58">
        <v>2244.1999999999998</v>
      </c>
      <c r="W66" s="58">
        <v>8762.7999999999993</v>
      </c>
      <c r="X66" s="58">
        <v>8922.2999999999993</v>
      </c>
      <c r="Y66" s="58">
        <v>8986</v>
      </c>
      <c r="Z66" s="59">
        <v>3737.9</v>
      </c>
      <c r="AA66" s="59">
        <v>26.5</v>
      </c>
      <c r="AB66" s="59"/>
      <c r="AC66" s="59">
        <v>5.2</v>
      </c>
      <c r="AD66" s="59">
        <v>0</v>
      </c>
      <c r="AE66" s="59">
        <v>43.55</v>
      </c>
      <c r="AF66" s="59">
        <v>0</v>
      </c>
      <c r="AG66" s="59">
        <v>0</v>
      </c>
      <c r="AH66" s="59"/>
      <c r="AI66" s="10">
        <f>SUM(Raw_Data[[#This Row],[Inv1]:[Inv3]])</f>
        <v>26671.1</v>
      </c>
      <c r="AJ66" s="10">
        <f>(Raw_Data[[#This Row],[33 kV Outgoinng Export Reading]]-Z65)*1000</f>
        <v>26400.000000000091</v>
      </c>
      <c r="AK66" s="10">
        <f>(Raw_Data[[#This Row],[33 kV Outgoinng Import Reading]]-AA65)*1000</f>
        <v>199.99999999999929</v>
      </c>
      <c r="AL66" s="10">
        <f>Raw_Data[[#This Row],[Export  (kWh)]]-Raw_Data[[#This Row],[Import (kWh)]]</f>
        <v>26200.000000000091</v>
      </c>
      <c r="AM66" s="20">
        <f t="shared" ref="AM66" si="58">IFERROR((J66-I66)*24,"")</f>
        <v>13.4</v>
      </c>
    </row>
    <row r="67" spans="1:39" x14ac:dyDescent="0.25">
      <c r="A67" s="125">
        <f>YEAR(Raw_Data[[#This Row],[Date]])+IF(MONTH(Raw_Data[[#This Row],[Date]])&gt;=4,1,0)</f>
        <v>2026</v>
      </c>
      <c r="B67" s="41">
        <v>2025</v>
      </c>
      <c r="C67" s="59" t="s">
        <v>4</v>
      </c>
      <c r="D67" s="59" t="s">
        <v>4</v>
      </c>
      <c r="E67" s="6" t="str">
        <f>TEXT(Raw_Data[[#This Row],[Date]],"mmm-yy")</f>
        <v>May-25</v>
      </c>
      <c r="F67" s="41">
        <f>DAY(EOMONTH(Raw_Data[[#This Row],[Month Year]],0))</f>
        <v>31</v>
      </c>
      <c r="G67" s="42">
        <f t="shared" si="4"/>
        <v>45808</v>
      </c>
      <c r="H67" s="11">
        <f>'Modelling New'!$AR$1</f>
        <v>7.0991999999999997</v>
      </c>
      <c r="I67" s="40">
        <v>0.23333333333333334</v>
      </c>
      <c r="J67" s="40">
        <v>0.78888888888888886</v>
      </c>
      <c r="K67" s="58">
        <v>2962.3</v>
      </c>
      <c r="L67" s="58">
        <v>2855.9</v>
      </c>
      <c r="M67" s="58">
        <v>2852.2</v>
      </c>
      <c r="N67" s="58">
        <v>2852.1</v>
      </c>
      <c r="O67" s="58">
        <v>3001.1</v>
      </c>
      <c r="P67" s="58">
        <v>2898.6</v>
      </c>
      <c r="Q67" s="58">
        <v>2903.8</v>
      </c>
      <c r="R67" s="58">
        <v>2918.9</v>
      </c>
      <c r="S67" s="58">
        <v>2933.1</v>
      </c>
      <c r="T67" s="58">
        <v>2942.6</v>
      </c>
      <c r="U67" s="58">
        <v>2929.8</v>
      </c>
      <c r="V67" s="58">
        <v>2929.6</v>
      </c>
      <c r="W67" s="58">
        <v>11522.5</v>
      </c>
      <c r="X67" s="58">
        <v>11722.4</v>
      </c>
      <c r="Y67" s="58">
        <v>11735.1</v>
      </c>
      <c r="Z67" s="59">
        <v>3772.7</v>
      </c>
      <c r="AA67" s="59">
        <v>26.7</v>
      </c>
      <c r="AB67" s="59"/>
      <c r="AC67" s="59">
        <v>6.6</v>
      </c>
      <c r="AD67" s="59">
        <v>0</v>
      </c>
      <c r="AE67" s="59">
        <v>46.55</v>
      </c>
      <c r="AF67" s="59">
        <v>0</v>
      </c>
      <c r="AG67" s="59">
        <v>0</v>
      </c>
      <c r="AH67" s="59"/>
      <c r="AI67" s="10">
        <f>SUM(Raw_Data[[#This Row],[Inv1]:[Inv3]])</f>
        <v>34980</v>
      </c>
      <c r="AJ67" s="10">
        <f>(Raw_Data[[#This Row],[33 kV Outgoinng Export Reading]]-Z66)*1000</f>
        <v>34799.999999999724</v>
      </c>
      <c r="AK67" s="10">
        <f>(Raw_Data[[#This Row],[33 kV Outgoinng Import Reading]]-AA66)*1000</f>
        <v>199.99999999999929</v>
      </c>
      <c r="AL67" s="10">
        <f>Raw_Data[[#This Row],[Export  (kWh)]]-Raw_Data[[#This Row],[Import (kWh)]]</f>
        <v>34599.999999999724</v>
      </c>
      <c r="AM67" s="20">
        <f t="shared" ref="AM67" si="59">IFERROR((J67-I67)*24,"")</f>
        <v>13.333333333333334</v>
      </c>
    </row>
    <row r="68" spans="1:39" x14ac:dyDescent="0.25">
      <c r="A68" s="125">
        <f>YEAR(Raw_Data[[#This Row],[Date]])+IF(MONTH(Raw_Data[[#This Row],[Date]])&gt;=4,1,0)</f>
        <v>2026</v>
      </c>
      <c r="B68" s="41">
        <v>2025</v>
      </c>
      <c r="C68" s="59" t="s">
        <v>4</v>
      </c>
      <c r="D68" s="59" t="s">
        <v>4</v>
      </c>
      <c r="E68" s="6" t="str">
        <f>TEXT(Raw_Data[[#This Row],[Date]],"mmm-yy")</f>
        <v>Jun-25</v>
      </c>
      <c r="F68" s="41">
        <f>DAY(EOMONTH(Raw_Data[[#This Row],[Month Year]],0))</f>
        <v>30</v>
      </c>
      <c r="G68" s="42">
        <f t="shared" si="4"/>
        <v>45809</v>
      </c>
      <c r="H68" s="11">
        <f>'Modelling New'!$AR$1</f>
        <v>7.0991999999999997</v>
      </c>
      <c r="I68" s="40">
        <v>0.22847222222222222</v>
      </c>
      <c r="J68" s="40">
        <v>0.78055555555555556</v>
      </c>
      <c r="K68" s="58">
        <v>3030.6</v>
      </c>
      <c r="L68" s="58">
        <v>3012</v>
      </c>
      <c r="M68" s="58">
        <v>3096.8</v>
      </c>
      <c r="N68" s="58">
        <v>3008.6</v>
      </c>
      <c r="O68" s="58">
        <v>3070.5</v>
      </c>
      <c r="P68" s="58">
        <v>3053.7</v>
      </c>
      <c r="Q68" s="58">
        <v>3145.2</v>
      </c>
      <c r="R68" s="58">
        <v>3075.7</v>
      </c>
      <c r="S68" s="58">
        <v>3086.3</v>
      </c>
      <c r="T68" s="58">
        <v>3097.8</v>
      </c>
      <c r="U68" s="58">
        <v>3085.2</v>
      </c>
      <c r="V68" s="58">
        <v>3084.9</v>
      </c>
      <c r="W68" s="58">
        <v>12148</v>
      </c>
      <c r="X68" s="58">
        <v>12345.1</v>
      </c>
      <c r="Y68" s="58">
        <v>12354.2</v>
      </c>
      <c r="Z68" s="59">
        <v>3809.3</v>
      </c>
      <c r="AA68" s="59">
        <v>26.9</v>
      </c>
      <c r="AB68" s="59"/>
      <c r="AC68" s="59">
        <v>6.69</v>
      </c>
      <c r="AD68" s="59">
        <v>0</v>
      </c>
      <c r="AE68" s="59">
        <v>46.2</v>
      </c>
      <c r="AF68" s="59">
        <v>0</v>
      </c>
      <c r="AG68" s="59">
        <v>0</v>
      </c>
      <c r="AH68" s="59"/>
      <c r="AI68" s="10">
        <f>SUM(Raw_Data[[#This Row],[Inv1]:[Inv3]])</f>
        <v>36847.300000000003</v>
      </c>
      <c r="AJ68" s="10">
        <f>(Raw_Data[[#This Row],[33 kV Outgoinng Export Reading]]-Z67)*1000</f>
        <v>36600.000000000364</v>
      </c>
      <c r="AK68" s="10">
        <f>(Raw_Data[[#This Row],[33 kV Outgoinng Import Reading]]-AA67)*1000</f>
        <v>199.99999999999929</v>
      </c>
      <c r="AL68" s="10">
        <f>Raw_Data[[#This Row],[Export  (kWh)]]-Raw_Data[[#This Row],[Import (kWh)]]</f>
        <v>36400.000000000364</v>
      </c>
      <c r="AM68" s="20">
        <f t="shared" ref="AM68" si="60">IFERROR((J68-I68)*24,"")</f>
        <v>13.25</v>
      </c>
    </row>
    <row r="69" spans="1:39" x14ac:dyDescent="0.25">
      <c r="A69" s="125">
        <f>YEAR(Raw_Data[[#This Row],[Date]])+IF(MONTH(Raw_Data[[#This Row],[Date]])&gt;=4,1,0)</f>
        <v>2026</v>
      </c>
      <c r="B69" s="41">
        <v>2025</v>
      </c>
      <c r="C69" s="59" t="s">
        <v>4</v>
      </c>
      <c r="D69" s="59" t="s">
        <v>4</v>
      </c>
      <c r="E69" s="6" t="str">
        <f>TEXT(Raw_Data[[#This Row],[Date]],"mmm-yy")</f>
        <v>Jun-25</v>
      </c>
      <c r="F69" s="41">
        <f>DAY(EOMONTH(Raw_Data[[#This Row],[Month Year]],0))</f>
        <v>30</v>
      </c>
      <c r="G69" s="42">
        <f t="shared" ref="G69:G132" si="61">G68+1</f>
        <v>45810</v>
      </c>
      <c r="H69" s="11">
        <f>'Modelling New'!$AR$1</f>
        <v>7.0991999999999997</v>
      </c>
      <c r="I69" s="40">
        <v>0.22847222222222222</v>
      </c>
      <c r="J69" s="40">
        <v>0.78819444444444442</v>
      </c>
      <c r="K69" s="58">
        <v>2460.1999999999998</v>
      </c>
      <c r="L69" s="58">
        <v>2443.3000000000002</v>
      </c>
      <c r="M69" s="58">
        <v>2438</v>
      </c>
      <c r="N69" s="58">
        <v>2525.1</v>
      </c>
      <c r="O69" s="58">
        <v>2476.6</v>
      </c>
      <c r="P69" s="58">
        <v>2461.1999999999998</v>
      </c>
      <c r="Q69" s="58">
        <v>2464.6</v>
      </c>
      <c r="R69" s="58">
        <v>2566.4</v>
      </c>
      <c r="S69" s="58">
        <v>2501.1999999999998</v>
      </c>
      <c r="T69" s="58">
        <v>2507.6999999999998</v>
      </c>
      <c r="U69" s="58">
        <v>2498.1999999999998</v>
      </c>
      <c r="V69" s="58">
        <v>2497.6999999999998</v>
      </c>
      <c r="W69" s="58">
        <v>9866.6</v>
      </c>
      <c r="X69" s="58">
        <v>9968.7999999999993</v>
      </c>
      <c r="Y69" s="58">
        <v>10004.799999999999</v>
      </c>
      <c r="Z69" s="59">
        <v>3839</v>
      </c>
      <c r="AA69" s="59">
        <v>27.1</v>
      </c>
      <c r="AB69" s="59"/>
      <c r="AC69" s="59">
        <v>5.36</v>
      </c>
      <c r="AD69" s="59">
        <v>0</v>
      </c>
      <c r="AE69" s="59">
        <v>42.2</v>
      </c>
      <c r="AF69" s="59">
        <v>0</v>
      </c>
      <c r="AG69" s="59">
        <v>0</v>
      </c>
      <c r="AH69" s="59"/>
      <c r="AI69" s="10">
        <f>SUM(Raw_Data[[#This Row],[Inv1]:[Inv3]])</f>
        <v>29840.2</v>
      </c>
      <c r="AJ69" s="10">
        <f>(Raw_Data[[#This Row],[33 kV Outgoinng Export Reading]]-Z68)*1000</f>
        <v>29699.999999999818</v>
      </c>
      <c r="AK69" s="10">
        <f>(Raw_Data[[#This Row],[33 kV Outgoinng Import Reading]]-AA68)*1000</f>
        <v>200.00000000000284</v>
      </c>
      <c r="AL69" s="10">
        <f>Raw_Data[[#This Row],[Export  (kWh)]]-Raw_Data[[#This Row],[Import (kWh)]]</f>
        <v>29499.999999999814</v>
      </c>
      <c r="AM69" s="20">
        <f t="shared" ref="AM69" si="62">IFERROR((J69-I69)*24,"")</f>
        <v>13.433333333333334</v>
      </c>
    </row>
    <row r="70" spans="1:39" x14ac:dyDescent="0.25">
      <c r="A70" s="125">
        <f>YEAR(Raw_Data[[#This Row],[Date]])+IF(MONTH(Raw_Data[[#This Row],[Date]])&gt;=4,1,0)</f>
        <v>2026</v>
      </c>
      <c r="B70" s="41">
        <v>2025</v>
      </c>
      <c r="C70" s="59" t="s">
        <v>4</v>
      </c>
      <c r="D70" s="59" t="s">
        <v>4</v>
      </c>
      <c r="E70" s="6" t="str">
        <f>TEXT(Raw_Data[[#This Row],[Date]],"mmm-yy")</f>
        <v>Jun-25</v>
      </c>
      <c r="F70" s="41">
        <f>DAY(EOMONTH(Raw_Data[[#This Row],[Month Year]],0))</f>
        <v>30</v>
      </c>
      <c r="G70" s="42">
        <f t="shared" si="61"/>
        <v>45811</v>
      </c>
      <c r="H70" s="11">
        <f>'Modelling New'!$AR$1</f>
        <v>7.0991999999999997</v>
      </c>
      <c r="I70" s="40">
        <v>0.22916666666666666</v>
      </c>
      <c r="J70" s="40">
        <v>0.78472222222222221</v>
      </c>
      <c r="K70" s="58">
        <v>2842.7</v>
      </c>
      <c r="L70" s="58">
        <v>2903.6</v>
      </c>
      <c r="M70" s="58">
        <v>2819.9</v>
      </c>
      <c r="N70" s="58">
        <v>2819.2</v>
      </c>
      <c r="O70" s="58">
        <v>2862.6</v>
      </c>
      <c r="P70" s="58">
        <v>2924.9</v>
      </c>
      <c r="Q70" s="58">
        <v>2851.7</v>
      </c>
      <c r="R70" s="58">
        <v>2868.7</v>
      </c>
      <c r="S70" s="58">
        <v>2864.1</v>
      </c>
      <c r="T70" s="58">
        <v>2873.2</v>
      </c>
      <c r="U70" s="58">
        <v>2861.5</v>
      </c>
      <c r="V70" s="58">
        <v>2861</v>
      </c>
      <c r="W70" s="58">
        <v>11385.4</v>
      </c>
      <c r="X70" s="58">
        <v>11507.9</v>
      </c>
      <c r="Y70" s="58">
        <v>11459.8</v>
      </c>
      <c r="Z70" s="59">
        <v>3873</v>
      </c>
      <c r="AA70" s="59">
        <v>27.3</v>
      </c>
      <c r="AB70" s="59"/>
      <c r="AC70" s="59">
        <v>6.29</v>
      </c>
      <c r="AD70" s="59">
        <v>0</v>
      </c>
      <c r="AE70" s="59">
        <v>45.79</v>
      </c>
      <c r="AF70" s="59">
        <v>0</v>
      </c>
      <c r="AG70" s="59">
        <v>0</v>
      </c>
      <c r="AH70" s="59"/>
      <c r="AI70" s="10">
        <f>SUM(Raw_Data[[#This Row],[Inv1]:[Inv3]])</f>
        <v>34353.1</v>
      </c>
      <c r="AJ70" s="10">
        <f>(Raw_Data[[#This Row],[33 kV Outgoinng Export Reading]]-Z69)*1000</f>
        <v>34000</v>
      </c>
      <c r="AK70" s="10">
        <f>(Raw_Data[[#This Row],[33 kV Outgoinng Import Reading]]-AA69)*1000</f>
        <v>199.99999999999929</v>
      </c>
      <c r="AL70" s="10">
        <f>Raw_Data[[#This Row],[Export  (kWh)]]-Raw_Data[[#This Row],[Import (kWh)]]</f>
        <v>33800</v>
      </c>
      <c r="AM70" s="20">
        <f t="shared" ref="AM70" si="63">IFERROR((J70-I70)*24,"")</f>
        <v>13.333333333333334</v>
      </c>
    </row>
    <row r="71" spans="1:39" x14ac:dyDescent="0.25">
      <c r="A71" s="125">
        <f>YEAR(Raw_Data[[#This Row],[Date]])+IF(MONTH(Raw_Data[[#This Row],[Date]])&gt;=4,1,0)</f>
        <v>2026</v>
      </c>
      <c r="B71" s="41">
        <v>2025</v>
      </c>
      <c r="C71" s="59" t="s">
        <v>4</v>
      </c>
      <c r="D71" s="59" t="s">
        <v>4</v>
      </c>
      <c r="E71" s="6" t="str">
        <f>TEXT(Raw_Data[[#This Row],[Date]],"mmm-yy")</f>
        <v>Jun-25</v>
      </c>
      <c r="F71" s="41">
        <f>DAY(EOMONTH(Raw_Data[[#This Row],[Month Year]],0))</f>
        <v>30</v>
      </c>
      <c r="G71" s="42">
        <f t="shared" si="61"/>
        <v>45812</v>
      </c>
      <c r="H71" s="11">
        <f>'Modelling New'!$AR$1</f>
        <v>7.0991999999999997</v>
      </c>
      <c r="I71" s="40">
        <v>0.22847222222222222</v>
      </c>
      <c r="J71" s="40">
        <v>0.79513888888888884</v>
      </c>
      <c r="K71" s="58">
        <v>2796.1</v>
      </c>
      <c r="L71" s="58">
        <v>2779.2</v>
      </c>
      <c r="M71" s="58">
        <v>2865.5</v>
      </c>
      <c r="N71" s="58">
        <v>2773.3</v>
      </c>
      <c r="O71" s="58">
        <v>2830.4</v>
      </c>
      <c r="P71" s="58">
        <v>2815.6</v>
      </c>
      <c r="Q71" s="58">
        <v>2909.2</v>
      </c>
      <c r="R71" s="58">
        <v>2835.5</v>
      </c>
      <c r="S71" s="58">
        <v>2841.2</v>
      </c>
      <c r="T71" s="58">
        <v>2852.4</v>
      </c>
      <c r="U71" s="58">
        <v>2840.5</v>
      </c>
      <c r="V71" s="58">
        <v>2839.3</v>
      </c>
      <c r="W71" s="58">
        <v>11214.1</v>
      </c>
      <c r="X71" s="58">
        <v>11390.7</v>
      </c>
      <c r="Y71" s="58">
        <v>11373.4</v>
      </c>
      <c r="Z71" s="59">
        <v>3906.8</v>
      </c>
      <c r="AA71" s="59">
        <v>27.5</v>
      </c>
      <c r="AB71" s="59"/>
      <c r="AC71" s="59">
        <v>6.26</v>
      </c>
      <c r="AD71" s="59">
        <v>0</v>
      </c>
      <c r="AE71" s="59">
        <v>46.95</v>
      </c>
      <c r="AF71" s="59">
        <v>0</v>
      </c>
      <c r="AG71" s="59">
        <v>0</v>
      </c>
      <c r="AH71" s="59"/>
      <c r="AI71" s="10">
        <f>SUM(Raw_Data[[#This Row],[Inv1]:[Inv3]])</f>
        <v>33978.200000000004</v>
      </c>
      <c r="AJ71" s="10">
        <f>(Raw_Data[[#This Row],[33 kV Outgoinng Export Reading]]-Z70)*1000</f>
        <v>33800.000000000182</v>
      </c>
      <c r="AK71" s="10">
        <f>(Raw_Data[[#This Row],[33 kV Outgoinng Import Reading]]-AA70)*1000</f>
        <v>199.99999999999929</v>
      </c>
      <c r="AL71" s="10">
        <f>Raw_Data[[#This Row],[Export  (kWh)]]-Raw_Data[[#This Row],[Import (kWh)]]</f>
        <v>33600.000000000182</v>
      </c>
      <c r="AM71" s="20">
        <f t="shared" si="54"/>
        <v>13.6</v>
      </c>
    </row>
    <row r="72" spans="1:39" x14ac:dyDescent="0.25">
      <c r="A72" s="125">
        <f>YEAR(Raw_Data[[#This Row],[Date]])+IF(MONTH(Raw_Data[[#This Row],[Date]])&gt;=4,1,0)</f>
        <v>2026</v>
      </c>
      <c r="B72" s="41">
        <v>2025</v>
      </c>
      <c r="C72" s="59" t="s">
        <v>4</v>
      </c>
      <c r="D72" s="59" t="s">
        <v>4</v>
      </c>
      <c r="E72" s="6" t="str">
        <f>TEXT(Raw_Data[[#This Row],[Date]],"mmm-yy")</f>
        <v>Jun-25</v>
      </c>
      <c r="F72" s="41">
        <f>DAY(EOMONTH(Raw_Data[[#This Row],[Month Year]],0))</f>
        <v>30</v>
      </c>
      <c r="G72" s="42">
        <f t="shared" si="61"/>
        <v>45813</v>
      </c>
      <c r="H72" s="11">
        <f>'Modelling New'!$AR$1</f>
        <v>7.0991999999999997</v>
      </c>
      <c r="I72" s="40">
        <v>0.23055555555555557</v>
      </c>
      <c r="J72" s="40">
        <v>0.78125</v>
      </c>
      <c r="K72" s="58">
        <v>2423.4</v>
      </c>
      <c r="L72" s="58">
        <v>2409</v>
      </c>
      <c r="M72" s="58">
        <v>2403.3000000000002</v>
      </c>
      <c r="N72" s="58">
        <v>2483.9</v>
      </c>
      <c r="O72" s="58">
        <v>2445.3000000000002</v>
      </c>
      <c r="P72" s="58">
        <v>2431.9</v>
      </c>
      <c r="Q72" s="58">
        <v>2434.6999999999998</v>
      </c>
      <c r="R72" s="58">
        <v>2527.8000000000002</v>
      </c>
      <c r="S72" s="58">
        <v>2478.6999999999998</v>
      </c>
      <c r="T72" s="58">
        <v>2487.6999999999998</v>
      </c>
      <c r="U72" s="58">
        <v>2477.4</v>
      </c>
      <c r="V72" s="58">
        <v>2476.5</v>
      </c>
      <c r="W72" s="58">
        <v>9719.6</v>
      </c>
      <c r="X72" s="58">
        <v>9839.7000000000007</v>
      </c>
      <c r="Y72" s="58">
        <v>9920.2999999999993</v>
      </c>
      <c r="Z72" s="59">
        <v>3936.1</v>
      </c>
      <c r="AA72" s="59">
        <v>27.7</v>
      </c>
      <c r="AB72" s="59"/>
      <c r="AC72" s="59">
        <v>5.32</v>
      </c>
      <c r="AD72" s="59">
        <v>0</v>
      </c>
      <c r="AE72" s="59">
        <v>47.14</v>
      </c>
      <c r="AF72" s="59">
        <v>0</v>
      </c>
      <c r="AG72" s="59">
        <v>0</v>
      </c>
      <c r="AH72" s="59"/>
      <c r="AI72" s="10">
        <f>SUM(Raw_Data[[#This Row],[Inv1]:[Inv3]])</f>
        <v>29479.600000000002</v>
      </c>
      <c r="AJ72" s="10">
        <f>(Raw_Data[[#This Row],[33 kV Outgoinng Export Reading]]-Z71)*1000</f>
        <v>29299.999999999727</v>
      </c>
      <c r="AK72" s="10">
        <f>(Raw_Data[[#This Row],[33 kV Outgoinng Import Reading]]-AA71)*1000</f>
        <v>199.99999999999929</v>
      </c>
      <c r="AL72" s="10">
        <f>Raw_Data[[#This Row],[Export  (kWh)]]-Raw_Data[[#This Row],[Import (kWh)]]</f>
        <v>29099.999999999727</v>
      </c>
      <c r="AM72" s="20">
        <f t="shared" ref="AM72" si="64">IFERROR((J72-I72)*24,"")</f>
        <v>13.216666666666665</v>
      </c>
    </row>
    <row r="73" spans="1:39" x14ac:dyDescent="0.25">
      <c r="A73" s="125">
        <f>YEAR(Raw_Data[[#This Row],[Date]])+IF(MONTH(Raw_Data[[#This Row],[Date]])&gt;=4,1,0)</f>
        <v>2026</v>
      </c>
      <c r="B73" s="41">
        <v>2025</v>
      </c>
      <c r="C73" s="59" t="s">
        <v>4</v>
      </c>
      <c r="D73" s="59" t="s">
        <v>4</v>
      </c>
      <c r="E73" s="6" t="str">
        <f>TEXT(Raw_Data[[#This Row],[Date]],"mmm-yy")</f>
        <v>Jun-25</v>
      </c>
      <c r="F73" s="41">
        <f>DAY(EOMONTH(Raw_Data[[#This Row],[Month Year]],0))</f>
        <v>30</v>
      </c>
      <c r="G73" s="42">
        <f t="shared" si="61"/>
        <v>45814</v>
      </c>
      <c r="H73" s="11">
        <f>'Modelling New'!$AR$1</f>
        <v>7.0991999999999997</v>
      </c>
      <c r="I73" s="40">
        <v>0.22569444444444445</v>
      </c>
      <c r="J73" s="40">
        <v>0.7895833333333333</v>
      </c>
      <c r="K73" s="58">
        <v>2955.9</v>
      </c>
      <c r="L73" s="58">
        <v>2853.5</v>
      </c>
      <c r="M73" s="58">
        <v>2848.2</v>
      </c>
      <c r="N73" s="58">
        <v>2845.2</v>
      </c>
      <c r="O73" s="58">
        <v>2973.5</v>
      </c>
      <c r="P73" s="58">
        <v>2875.2</v>
      </c>
      <c r="Q73" s="58">
        <v>2880.6</v>
      </c>
      <c r="R73" s="58">
        <v>2896.1</v>
      </c>
      <c r="S73" s="58">
        <v>2900.5</v>
      </c>
      <c r="T73" s="58">
        <v>2913</v>
      </c>
      <c r="U73" s="58">
        <v>2900.8</v>
      </c>
      <c r="V73" s="58">
        <v>2898.7</v>
      </c>
      <c r="W73" s="58">
        <v>11502.8</v>
      </c>
      <c r="X73" s="58">
        <v>11625.4</v>
      </c>
      <c r="Y73" s="58">
        <v>11613</v>
      </c>
      <c r="Z73" s="59">
        <v>3970.6</v>
      </c>
      <c r="AA73" s="59">
        <v>27.9</v>
      </c>
      <c r="AB73" s="59"/>
      <c r="AC73" s="59">
        <v>6.47</v>
      </c>
      <c r="AD73" s="59">
        <v>0</v>
      </c>
      <c r="AE73" s="59">
        <v>50.87</v>
      </c>
      <c r="AF73" s="59">
        <v>0</v>
      </c>
      <c r="AG73" s="59">
        <v>0</v>
      </c>
      <c r="AH73" s="59"/>
      <c r="AI73" s="10">
        <f>SUM(Raw_Data[[#This Row],[Inv1]:[Inv3]])</f>
        <v>34741.199999999997</v>
      </c>
      <c r="AJ73" s="10">
        <f>(Raw_Data[[#This Row],[33 kV Outgoinng Export Reading]]-Z72)*1000</f>
        <v>34500</v>
      </c>
      <c r="AK73" s="10">
        <f>(Raw_Data[[#This Row],[33 kV Outgoinng Import Reading]]-AA72)*1000</f>
        <v>199.99999999999929</v>
      </c>
      <c r="AL73" s="10">
        <f>Raw_Data[[#This Row],[Export  (kWh)]]-Raw_Data[[#This Row],[Import (kWh)]]</f>
        <v>34300</v>
      </c>
      <c r="AM73" s="20">
        <f t="shared" ref="AM73" si="65">IFERROR((J73-I73)*24,"")</f>
        <v>13.533333333333333</v>
      </c>
    </row>
    <row r="74" spans="1:39" x14ac:dyDescent="0.25">
      <c r="A74" s="125">
        <f>YEAR(Raw_Data[[#This Row],[Date]])+IF(MONTH(Raw_Data[[#This Row],[Date]])&gt;=4,1,0)</f>
        <v>2026</v>
      </c>
      <c r="B74" s="41">
        <v>2025</v>
      </c>
      <c r="C74" s="59" t="s">
        <v>4</v>
      </c>
      <c r="D74" s="59" t="s">
        <v>4</v>
      </c>
      <c r="E74" s="6" t="str">
        <f>TEXT(Raw_Data[[#This Row],[Date]],"mmm-yy")</f>
        <v>Jun-25</v>
      </c>
      <c r="F74" s="41">
        <f>DAY(EOMONTH(Raw_Data[[#This Row],[Month Year]],0))</f>
        <v>30</v>
      </c>
      <c r="G74" s="42">
        <f t="shared" si="61"/>
        <v>45815</v>
      </c>
      <c r="H74" s="11">
        <f>'Modelling New'!$AR$1</f>
        <v>7.0991999999999997</v>
      </c>
      <c r="I74" s="40">
        <v>0.22916666666666666</v>
      </c>
      <c r="J74" s="40">
        <v>0.78749999999999998</v>
      </c>
      <c r="K74" s="58">
        <v>2580.8000000000002</v>
      </c>
      <c r="L74" s="58">
        <v>2647.3</v>
      </c>
      <c r="M74" s="58">
        <v>2558.8000000000002</v>
      </c>
      <c r="N74" s="58">
        <v>2558.8000000000002</v>
      </c>
      <c r="O74" s="58">
        <v>2593.9</v>
      </c>
      <c r="P74" s="58">
        <v>2659.3</v>
      </c>
      <c r="Q74" s="58">
        <v>2583.4</v>
      </c>
      <c r="R74" s="58">
        <v>2598.5</v>
      </c>
      <c r="S74" s="58">
        <v>2599.8000000000002</v>
      </c>
      <c r="T74" s="58">
        <v>2609.8000000000002</v>
      </c>
      <c r="U74" s="58">
        <v>2597.8000000000002</v>
      </c>
      <c r="V74" s="58">
        <v>2596.6999999999998</v>
      </c>
      <c r="W74" s="58">
        <v>10345.700000000001</v>
      </c>
      <c r="X74" s="58">
        <v>10435.1</v>
      </c>
      <c r="Y74" s="58">
        <v>10404.1</v>
      </c>
      <c r="Z74" s="59">
        <v>4001.5</v>
      </c>
      <c r="AA74" s="59">
        <v>28.1</v>
      </c>
      <c r="AB74" s="59"/>
      <c r="AC74" s="59">
        <v>5.68</v>
      </c>
      <c r="AD74" s="59">
        <v>0</v>
      </c>
      <c r="AE74" s="59">
        <v>47.78</v>
      </c>
      <c r="AF74" s="59">
        <v>0</v>
      </c>
      <c r="AG74" s="59">
        <v>0</v>
      </c>
      <c r="AH74" s="59"/>
      <c r="AI74" s="10">
        <f>SUM(Raw_Data[[#This Row],[Inv1]:[Inv3]])</f>
        <v>31184.9</v>
      </c>
      <c r="AJ74" s="10">
        <f>(Raw_Data[[#This Row],[33 kV Outgoinng Export Reading]]-Z73)*1000</f>
        <v>30900.000000000091</v>
      </c>
      <c r="AK74" s="10">
        <f>(Raw_Data[[#This Row],[33 kV Outgoinng Import Reading]]-AA73)*1000</f>
        <v>200.00000000000284</v>
      </c>
      <c r="AL74" s="10">
        <f>Raw_Data[[#This Row],[Export  (kWh)]]-Raw_Data[[#This Row],[Import (kWh)]]</f>
        <v>30700.000000000087</v>
      </c>
      <c r="AM74" s="20">
        <f t="shared" ref="AM74" si="66">IFERROR((J74-I74)*24,"")</f>
        <v>13.4</v>
      </c>
    </row>
    <row r="75" spans="1:39" x14ac:dyDescent="0.25">
      <c r="A75" s="125">
        <f>YEAR(Raw_Data[[#This Row],[Date]])+IF(MONTH(Raw_Data[[#This Row],[Date]])&gt;=4,1,0)</f>
        <v>2026</v>
      </c>
      <c r="B75" s="41">
        <v>2025</v>
      </c>
      <c r="C75" s="59" t="s">
        <v>4</v>
      </c>
      <c r="D75" s="59" t="s">
        <v>4</v>
      </c>
      <c r="E75" s="6" t="str">
        <f>TEXT(Raw_Data[[#This Row],[Date]],"mmm-yy")</f>
        <v>Jun-25</v>
      </c>
      <c r="F75" s="41">
        <f>DAY(EOMONTH(Raw_Data[[#This Row],[Month Year]],0))</f>
        <v>30</v>
      </c>
      <c r="G75" s="42">
        <f t="shared" si="61"/>
        <v>45816</v>
      </c>
      <c r="H75" s="11">
        <f>'Modelling New'!$AR$1</f>
        <v>7.0991999999999997</v>
      </c>
      <c r="I75" s="40">
        <v>0.22847222222222222</v>
      </c>
      <c r="J75" s="40">
        <v>0.7895833333333333</v>
      </c>
      <c r="K75" s="58">
        <v>2613.1999999999998</v>
      </c>
      <c r="L75" s="58">
        <v>2597.4</v>
      </c>
      <c r="M75" s="58">
        <v>2673.7</v>
      </c>
      <c r="N75" s="58">
        <v>2595.1999999999998</v>
      </c>
      <c r="O75" s="58">
        <v>2633.2</v>
      </c>
      <c r="P75" s="58">
        <v>2619.9</v>
      </c>
      <c r="Q75" s="58">
        <v>2704.7</v>
      </c>
      <c r="R75" s="58">
        <v>2638.4</v>
      </c>
      <c r="S75" s="58">
        <v>2636.7</v>
      </c>
      <c r="T75" s="58">
        <v>2645.9</v>
      </c>
      <c r="U75" s="58">
        <v>2633.8</v>
      </c>
      <c r="V75" s="58">
        <v>2633.2</v>
      </c>
      <c r="W75" s="58">
        <v>10479.5</v>
      </c>
      <c r="X75" s="58">
        <v>10596.2</v>
      </c>
      <c r="Y75" s="58">
        <v>10549.6</v>
      </c>
      <c r="Z75" s="59">
        <v>4032.8</v>
      </c>
      <c r="AA75" s="59">
        <v>28.3</v>
      </c>
      <c r="AB75" s="59"/>
      <c r="AC75" s="59">
        <v>5.74</v>
      </c>
      <c r="AD75" s="59">
        <v>0</v>
      </c>
      <c r="AE75" s="59">
        <v>47.05</v>
      </c>
      <c r="AF75" s="59">
        <v>0</v>
      </c>
      <c r="AG75" s="59">
        <v>0</v>
      </c>
      <c r="AH75" s="59"/>
      <c r="AI75" s="10">
        <f>SUM(Raw_Data[[#This Row],[Inv1]:[Inv3]])</f>
        <v>31625.300000000003</v>
      </c>
      <c r="AJ75" s="10">
        <f>(Raw_Data[[#This Row],[33 kV Outgoinng Export Reading]]-Z74)*1000</f>
        <v>31300.000000000182</v>
      </c>
      <c r="AK75" s="10">
        <f>(Raw_Data[[#This Row],[33 kV Outgoinng Import Reading]]-AA74)*1000</f>
        <v>199.99999999999929</v>
      </c>
      <c r="AL75" s="10">
        <f>Raw_Data[[#This Row],[Export  (kWh)]]-Raw_Data[[#This Row],[Import (kWh)]]</f>
        <v>31100.000000000182</v>
      </c>
      <c r="AM75" s="20">
        <f t="shared" ref="AM75" si="67">IFERROR((J75-I75)*24,"")</f>
        <v>13.466666666666667</v>
      </c>
    </row>
    <row r="76" spans="1:39" x14ac:dyDescent="0.25">
      <c r="A76" s="125">
        <f>YEAR(Raw_Data[[#This Row],[Date]])+IF(MONTH(Raw_Data[[#This Row],[Date]])&gt;=4,1,0)</f>
        <v>2026</v>
      </c>
      <c r="B76" s="41">
        <v>2025</v>
      </c>
      <c r="C76" s="59" t="s">
        <v>4</v>
      </c>
      <c r="D76" s="59" t="s">
        <v>4</v>
      </c>
      <c r="E76" s="6" t="str">
        <f>TEXT(Raw_Data[[#This Row],[Date]],"mmm-yy")</f>
        <v>Jun-25</v>
      </c>
      <c r="F76" s="41">
        <f>DAY(EOMONTH(Raw_Data[[#This Row],[Month Year]],0))</f>
        <v>30</v>
      </c>
      <c r="G76" s="42">
        <f t="shared" si="61"/>
        <v>45817</v>
      </c>
      <c r="H76" s="11">
        <f>'Modelling New'!$AR$1</f>
        <v>7.0991999999999997</v>
      </c>
      <c r="I76" s="40">
        <v>0.23194444444444445</v>
      </c>
      <c r="J76" s="40">
        <v>0.79236111111111107</v>
      </c>
      <c r="K76" s="58">
        <v>932.4</v>
      </c>
      <c r="L76" s="58">
        <v>926.6</v>
      </c>
      <c r="M76" s="58">
        <v>918</v>
      </c>
      <c r="N76" s="58">
        <v>1080.5999999999999</v>
      </c>
      <c r="O76" s="58">
        <v>945.7</v>
      </c>
      <c r="P76" s="58">
        <v>939.9</v>
      </c>
      <c r="Q76" s="58">
        <v>937.3</v>
      </c>
      <c r="R76" s="58">
        <v>1108.5</v>
      </c>
      <c r="S76" s="58">
        <v>984.5</v>
      </c>
      <c r="T76" s="58">
        <v>981.8</v>
      </c>
      <c r="U76" s="58">
        <v>978.7</v>
      </c>
      <c r="V76" s="58">
        <v>979.9</v>
      </c>
      <c r="W76" s="58">
        <v>3857.6</v>
      </c>
      <c r="X76" s="58">
        <v>3931.4</v>
      </c>
      <c r="Y76" s="58">
        <v>3924.9</v>
      </c>
      <c r="Z76" s="59">
        <v>4044.5</v>
      </c>
      <c r="AA76" s="59">
        <v>28.5</v>
      </c>
      <c r="AB76" s="59"/>
      <c r="AC76" s="59">
        <v>1.97</v>
      </c>
      <c r="AD76" s="59">
        <v>0</v>
      </c>
      <c r="AE76" s="59">
        <v>34.79</v>
      </c>
      <c r="AF76" s="59">
        <v>0</v>
      </c>
      <c r="AG76" s="59">
        <v>0</v>
      </c>
      <c r="AH76" s="59"/>
      <c r="AI76" s="10">
        <f>SUM(Raw_Data[[#This Row],[Inv1]:[Inv3]])</f>
        <v>11713.9</v>
      </c>
      <c r="AJ76" s="10">
        <f>(Raw_Data[[#This Row],[33 kV Outgoinng Export Reading]]-Z75)*1000</f>
        <v>11699.999999999818</v>
      </c>
      <c r="AK76" s="10">
        <f>(Raw_Data[[#This Row],[33 kV Outgoinng Import Reading]]-AA75)*1000</f>
        <v>199.99999999999929</v>
      </c>
      <c r="AL76" s="10">
        <f>Raw_Data[[#This Row],[Export  (kWh)]]-Raw_Data[[#This Row],[Import (kWh)]]</f>
        <v>11499.999999999818</v>
      </c>
      <c r="AM76" s="20">
        <f t="shared" ref="AM76" si="68">IFERROR((J76-I76)*24,"")</f>
        <v>13.449999999999998</v>
      </c>
    </row>
    <row r="77" spans="1:39" x14ac:dyDescent="0.25">
      <c r="A77" s="125">
        <f>YEAR(Raw_Data[[#This Row],[Date]])+IF(MONTH(Raw_Data[[#This Row],[Date]])&gt;=4,1,0)</f>
        <v>2026</v>
      </c>
      <c r="B77" s="41">
        <v>2025</v>
      </c>
      <c r="C77" s="59" t="s">
        <v>4</v>
      </c>
      <c r="D77" s="59" t="s">
        <v>4</v>
      </c>
      <c r="E77" s="6" t="str">
        <f>TEXT(Raw_Data[[#This Row],[Date]],"mmm-yy")</f>
        <v>Jun-25</v>
      </c>
      <c r="F77" s="41">
        <f>DAY(EOMONTH(Raw_Data[[#This Row],[Month Year]],0))</f>
        <v>30</v>
      </c>
      <c r="G77" s="42">
        <f t="shared" si="61"/>
        <v>45818</v>
      </c>
      <c r="H77" s="11">
        <f>'Modelling New'!$AR$1</f>
        <v>7.0991999999999997</v>
      </c>
      <c r="I77" s="40">
        <v>0.23125000000000001</v>
      </c>
      <c r="J77" s="40">
        <v>0.78263888888888888</v>
      </c>
      <c r="K77" s="58">
        <v>1231.7</v>
      </c>
      <c r="L77" s="58">
        <v>1053.0999999999999</v>
      </c>
      <c r="M77" s="58">
        <v>1043.0999999999999</v>
      </c>
      <c r="N77" s="58">
        <v>1051.7</v>
      </c>
      <c r="O77" s="58">
        <v>1221</v>
      </c>
      <c r="P77" s="58">
        <v>1076.0999999999999</v>
      </c>
      <c r="Q77" s="58">
        <v>1073.3</v>
      </c>
      <c r="R77" s="58">
        <v>1086.5</v>
      </c>
      <c r="S77" s="58">
        <v>1107.5999999999999</v>
      </c>
      <c r="T77" s="58">
        <v>1106.0999999999999</v>
      </c>
      <c r="U77" s="58">
        <v>1102.7</v>
      </c>
      <c r="V77" s="58">
        <v>1103.5</v>
      </c>
      <c r="W77" s="58">
        <v>4379.6000000000004</v>
      </c>
      <c r="X77" s="58">
        <v>4456.8999999999996</v>
      </c>
      <c r="Y77" s="58">
        <v>4419.8999999999996</v>
      </c>
      <c r="Z77" s="59">
        <v>4057.7</v>
      </c>
      <c r="AA77" s="59">
        <v>28.7</v>
      </c>
      <c r="AB77" s="59"/>
      <c r="AC77" s="59">
        <v>2.29</v>
      </c>
      <c r="AD77" s="59">
        <v>0</v>
      </c>
      <c r="AE77" s="59">
        <v>36.049999999999997</v>
      </c>
      <c r="AF77" s="59">
        <v>0</v>
      </c>
      <c r="AG77" s="59">
        <v>0</v>
      </c>
      <c r="AH77" s="59"/>
      <c r="AI77" s="10">
        <f>SUM(Raw_Data[[#This Row],[Inv1]:[Inv3]])</f>
        <v>13256.4</v>
      </c>
      <c r="AJ77" s="10">
        <f>(Raw_Data[[#This Row],[33 kV Outgoinng Export Reading]]-Z76)*1000</f>
        <v>13199.999999999818</v>
      </c>
      <c r="AK77" s="10">
        <f>(Raw_Data[[#This Row],[33 kV Outgoinng Import Reading]]-AA76)*1000</f>
        <v>199.99999999999929</v>
      </c>
      <c r="AL77" s="10">
        <f>Raw_Data[[#This Row],[Export  (kWh)]]-Raw_Data[[#This Row],[Import (kWh)]]</f>
        <v>12999.999999999818</v>
      </c>
      <c r="AM77" s="20">
        <f t="shared" ref="AM77" si="69">IFERROR((J77-I77)*24,"")</f>
        <v>13.233333333333334</v>
      </c>
    </row>
    <row r="78" spans="1:39" x14ac:dyDescent="0.25">
      <c r="A78" s="125">
        <f>YEAR(Raw_Data[[#This Row],[Date]])+IF(MONTH(Raw_Data[[#This Row],[Date]])&gt;=4,1,0)</f>
        <v>2026</v>
      </c>
      <c r="B78" s="41">
        <v>2025</v>
      </c>
      <c r="C78" s="59" t="s">
        <v>4</v>
      </c>
      <c r="D78" s="59" t="s">
        <v>4</v>
      </c>
      <c r="E78" s="6" t="str">
        <f>TEXT(Raw_Data[[#This Row],[Date]],"mmm-yy")</f>
        <v>Jun-25</v>
      </c>
      <c r="F78" s="41">
        <f>DAY(EOMONTH(Raw_Data[[#This Row],[Month Year]],0))</f>
        <v>30</v>
      </c>
      <c r="G78" s="42">
        <f t="shared" si="61"/>
        <v>45819</v>
      </c>
      <c r="H78" s="11">
        <f>'Modelling New'!$AR$1</f>
        <v>7.0991999999999997</v>
      </c>
      <c r="I78" s="40">
        <v>0.24097222222222223</v>
      </c>
      <c r="J78" s="40">
        <v>0.78749999999999998</v>
      </c>
      <c r="K78" s="58">
        <v>2038.1</v>
      </c>
      <c r="L78" s="58">
        <v>2074.3000000000002</v>
      </c>
      <c r="M78" s="58">
        <v>2017.6</v>
      </c>
      <c r="N78" s="58">
        <v>2024</v>
      </c>
      <c r="O78" s="58">
        <v>2092.1</v>
      </c>
      <c r="P78" s="58">
        <v>2126.1</v>
      </c>
      <c r="Q78" s="58">
        <v>2079.1999999999998</v>
      </c>
      <c r="R78" s="58">
        <v>2095.1</v>
      </c>
      <c r="S78" s="58">
        <v>1875.3</v>
      </c>
      <c r="T78" s="58">
        <v>1881.8</v>
      </c>
      <c r="U78" s="58">
        <v>1871.8</v>
      </c>
      <c r="V78" s="58">
        <v>1873.1</v>
      </c>
      <c r="W78" s="58">
        <v>8154</v>
      </c>
      <c r="X78" s="58">
        <v>8392.5</v>
      </c>
      <c r="Y78" s="58">
        <v>7502</v>
      </c>
      <c r="Z78" s="59">
        <v>4081.5</v>
      </c>
      <c r="AA78" s="59">
        <v>28.9</v>
      </c>
      <c r="AB78" s="59"/>
      <c r="AC78" s="59">
        <v>4.46</v>
      </c>
      <c r="AD78" s="59">
        <v>0</v>
      </c>
      <c r="AE78" s="59">
        <v>41.06</v>
      </c>
      <c r="AF78" s="59">
        <v>0</v>
      </c>
      <c r="AG78" s="59">
        <v>0</v>
      </c>
      <c r="AH78" s="59"/>
      <c r="AI78" s="10">
        <f>SUM(Raw_Data[[#This Row],[Inv1]:[Inv3]])</f>
        <v>24048.5</v>
      </c>
      <c r="AJ78" s="10">
        <f>(Raw_Data[[#This Row],[33 kV Outgoinng Export Reading]]-Z77)*1000</f>
        <v>23800.000000000182</v>
      </c>
      <c r="AK78" s="10">
        <f>(Raw_Data[[#This Row],[33 kV Outgoinng Import Reading]]-AA77)*1000</f>
        <v>199.99999999999929</v>
      </c>
      <c r="AL78" s="10">
        <f>Raw_Data[[#This Row],[Export  (kWh)]]-Raw_Data[[#This Row],[Import (kWh)]]</f>
        <v>23600.000000000182</v>
      </c>
      <c r="AM78" s="20">
        <f t="shared" ref="AM78" si="70">IFERROR((J78-I78)*24,"")</f>
        <v>13.116666666666665</v>
      </c>
    </row>
    <row r="79" spans="1:39" x14ac:dyDescent="0.25">
      <c r="A79" s="125">
        <f>YEAR(Raw_Data[[#This Row],[Date]])+IF(MONTH(Raw_Data[[#This Row],[Date]])&gt;=4,1,0)</f>
        <v>2026</v>
      </c>
      <c r="B79" s="41">
        <v>2025</v>
      </c>
      <c r="C79" s="59" t="s">
        <v>4</v>
      </c>
      <c r="D79" s="59" t="s">
        <v>4</v>
      </c>
      <c r="E79" s="6" t="str">
        <f>TEXT(Raw_Data[[#This Row],[Date]],"mmm-yy")</f>
        <v>Jun-25</v>
      </c>
      <c r="F79" s="41">
        <f>DAY(EOMONTH(Raw_Data[[#This Row],[Month Year]],0))</f>
        <v>30</v>
      </c>
      <c r="G79" s="42">
        <f t="shared" si="61"/>
        <v>45820</v>
      </c>
      <c r="H79" s="11">
        <f>'Modelling New'!$AR$1</f>
        <v>7.0991999999999997</v>
      </c>
      <c r="I79" s="40">
        <v>0.24305555555555555</v>
      </c>
      <c r="J79" s="40">
        <v>0.78888888888888886</v>
      </c>
      <c r="K79" s="58">
        <v>1508</v>
      </c>
      <c r="L79" s="58">
        <v>1499.2</v>
      </c>
      <c r="M79" s="58">
        <v>1601.1</v>
      </c>
      <c r="N79" s="58">
        <v>1498</v>
      </c>
      <c r="O79" s="58">
        <v>1531.8</v>
      </c>
      <c r="P79" s="58">
        <v>1521.9</v>
      </c>
      <c r="Q79" s="58">
        <v>1632.8</v>
      </c>
      <c r="R79" s="58">
        <v>1535</v>
      </c>
      <c r="S79" s="58">
        <v>1392.2</v>
      </c>
      <c r="T79" s="58">
        <v>1396</v>
      </c>
      <c r="U79" s="58">
        <v>1389.8</v>
      </c>
      <c r="V79" s="58">
        <v>1390.5</v>
      </c>
      <c r="W79" s="58">
        <v>6106.3</v>
      </c>
      <c r="X79" s="58">
        <v>6221.5</v>
      </c>
      <c r="Y79" s="58">
        <v>5568.5</v>
      </c>
      <c r="Z79" s="59">
        <v>4099.3</v>
      </c>
      <c r="AA79" s="59">
        <v>29.1</v>
      </c>
      <c r="AB79" s="59"/>
      <c r="AC79" s="59">
        <v>3.21</v>
      </c>
      <c r="AD79" s="59">
        <v>0</v>
      </c>
      <c r="AE79" s="59">
        <v>39.76</v>
      </c>
      <c r="AF79" s="59">
        <v>0</v>
      </c>
      <c r="AG79" s="59">
        <v>0</v>
      </c>
      <c r="AH79" s="59"/>
      <c r="AI79" s="10">
        <f>SUM(Raw_Data[[#This Row],[Inv1]:[Inv3]])</f>
        <v>17896.3</v>
      </c>
      <c r="AJ79" s="10">
        <f>(Raw_Data[[#This Row],[33 kV Outgoinng Export Reading]]-Z78)*1000</f>
        <v>17800.000000000182</v>
      </c>
      <c r="AK79" s="10">
        <f>(Raw_Data[[#This Row],[33 kV Outgoinng Import Reading]]-AA78)*1000</f>
        <v>200.00000000000284</v>
      </c>
      <c r="AL79" s="10">
        <f>Raw_Data[[#This Row],[Export  (kWh)]]-Raw_Data[[#This Row],[Import (kWh)]]</f>
        <v>17600.000000000178</v>
      </c>
      <c r="AM79" s="20">
        <f t="shared" ref="AM79" si="71">IFERROR((J79-I79)*24,"")</f>
        <v>13.099999999999998</v>
      </c>
    </row>
    <row r="80" spans="1:39" x14ac:dyDescent="0.25">
      <c r="A80" s="125">
        <f>YEAR(Raw_Data[[#This Row],[Date]])+IF(MONTH(Raw_Data[[#This Row],[Date]])&gt;=4,1,0)</f>
        <v>2026</v>
      </c>
      <c r="B80" s="41">
        <v>2025</v>
      </c>
      <c r="C80" s="59" t="s">
        <v>4</v>
      </c>
      <c r="D80" s="59" t="s">
        <v>4</v>
      </c>
      <c r="E80" s="6" t="str">
        <f>TEXT(Raw_Data[[#This Row],[Date]],"mmm-yy")</f>
        <v>Jun-25</v>
      </c>
      <c r="F80" s="41">
        <f>DAY(EOMONTH(Raw_Data[[#This Row],[Month Year]],0))</f>
        <v>30</v>
      </c>
      <c r="G80" s="42">
        <f t="shared" si="61"/>
        <v>45821</v>
      </c>
      <c r="H80" s="11">
        <f>'Modelling New'!$AR$1</f>
        <v>7.0991999999999997</v>
      </c>
      <c r="I80" s="40">
        <v>0.22569444444444445</v>
      </c>
      <c r="J80" s="40">
        <v>0.7895833333333333</v>
      </c>
      <c r="K80" s="58">
        <v>1704.4</v>
      </c>
      <c r="L80" s="58">
        <v>1694.5</v>
      </c>
      <c r="M80" s="58">
        <v>1686.7</v>
      </c>
      <c r="N80" s="58">
        <v>1798.7</v>
      </c>
      <c r="O80" s="58">
        <v>1720.1</v>
      </c>
      <c r="P80" s="58">
        <v>1709.9</v>
      </c>
      <c r="Q80" s="58">
        <v>1709.4</v>
      </c>
      <c r="R80" s="58">
        <v>1831.2</v>
      </c>
      <c r="S80" s="58">
        <v>1573.8</v>
      </c>
      <c r="T80" s="58">
        <v>1578.7</v>
      </c>
      <c r="U80" s="58">
        <v>1572.4</v>
      </c>
      <c r="V80" s="58">
        <v>1572.9</v>
      </c>
      <c r="W80" s="58">
        <v>6884.3</v>
      </c>
      <c r="X80" s="58">
        <v>6970.6</v>
      </c>
      <c r="Y80" s="58">
        <v>6297.8</v>
      </c>
      <c r="Z80" s="59">
        <v>4119.3</v>
      </c>
      <c r="AA80" s="59">
        <v>29.3</v>
      </c>
      <c r="AB80" s="59"/>
      <c r="AC80" s="59">
        <v>3.61</v>
      </c>
      <c r="AD80" s="59">
        <v>0</v>
      </c>
      <c r="AE80" s="59">
        <v>42.78</v>
      </c>
      <c r="AF80" s="59">
        <v>0</v>
      </c>
      <c r="AG80" s="59">
        <v>0</v>
      </c>
      <c r="AH80" s="59"/>
      <c r="AI80" s="10">
        <f>SUM(Raw_Data[[#This Row],[Inv1]:[Inv3]])</f>
        <v>20152.7</v>
      </c>
      <c r="AJ80" s="10">
        <f>(Raw_Data[[#This Row],[33 kV Outgoinng Export Reading]]-Z79)*1000</f>
        <v>20000</v>
      </c>
      <c r="AK80" s="10">
        <f>(Raw_Data[[#This Row],[33 kV Outgoinng Import Reading]]-AA79)*1000</f>
        <v>199.99999999999929</v>
      </c>
      <c r="AL80" s="10">
        <f>Raw_Data[[#This Row],[Export  (kWh)]]-Raw_Data[[#This Row],[Import (kWh)]]</f>
        <v>19800</v>
      </c>
      <c r="AM80" s="20">
        <f t="shared" ref="AM80" si="72">IFERROR((J80-I80)*24,"")</f>
        <v>13.533333333333333</v>
      </c>
    </row>
    <row r="81" spans="1:39" x14ac:dyDescent="0.25">
      <c r="A81" s="125">
        <f>YEAR(Raw_Data[[#This Row],[Date]])+IF(MONTH(Raw_Data[[#This Row],[Date]])&gt;=4,1,0)</f>
        <v>2026</v>
      </c>
      <c r="B81" s="41">
        <v>2025</v>
      </c>
      <c r="C81" s="59" t="s">
        <v>4</v>
      </c>
      <c r="D81" s="59" t="s">
        <v>4</v>
      </c>
      <c r="E81" s="6" t="str">
        <f>TEXT(Raw_Data[[#This Row],[Date]],"mmm-yy")</f>
        <v>Jun-25</v>
      </c>
      <c r="F81" s="41">
        <f>DAY(EOMONTH(Raw_Data[[#This Row],[Month Year]],0))</f>
        <v>30</v>
      </c>
      <c r="G81" s="42">
        <f t="shared" si="61"/>
        <v>45822</v>
      </c>
      <c r="H81" s="11">
        <f>'Modelling New'!$AR$1</f>
        <v>7.0991999999999997</v>
      </c>
      <c r="I81" s="40">
        <v>0.21249999999999999</v>
      </c>
      <c r="J81" s="40">
        <v>0.79236111111111107</v>
      </c>
      <c r="K81" s="58">
        <v>2015.9</v>
      </c>
      <c r="L81" s="58">
        <v>1932.8</v>
      </c>
      <c r="M81" s="58">
        <v>1926.4</v>
      </c>
      <c r="N81" s="58">
        <v>1931.5</v>
      </c>
      <c r="O81" s="58">
        <v>2044.3</v>
      </c>
      <c r="P81" s="58">
        <v>1959</v>
      </c>
      <c r="Q81" s="58">
        <v>1959.9</v>
      </c>
      <c r="R81" s="58">
        <v>1975.1</v>
      </c>
      <c r="S81" s="58">
        <v>1936.5</v>
      </c>
      <c r="T81" s="58">
        <v>1943.4</v>
      </c>
      <c r="U81" s="58">
        <v>1935.4</v>
      </c>
      <c r="V81" s="58">
        <v>1934.8</v>
      </c>
      <c r="W81" s="58">
        <v>7806.6</v>
      </c>
      <c r="X81" s="58">
        <v>7938.3</v>
      </c>
      <c r="Y81" s="58">
        <v>7750.1</v>
      </c>
      <c r="Z81" s="59">
        <v>4142.7</v>
      </c>
      <c r="AA81" s="59">
        <v>29.5</v>
      </c>
      <c r="AB81" s="59"/>
      <c r="AC81" s="59">
        <v>4.47</v>
      </c>
      <c r="AD81" s="59">
        <v>0</v>
      </c>
      <c r="AE81" s="59">
        <v>42.33</v>
      </c>
      <c r="AF81" s="59">
        <v>0</v>
      </c>
      <c r="AG81" s="59">
        <v>0</v>
      </c>
      <c r="AH81" s="59"/>
      <c r="AI81" s="10">
        <f>SUM(Raw_Data[[#This Row],[Inv1]:[Inv3]])</f>
        <v>23495</v>
      </c>
      <c r="AJ81" s="10">
        <f>(Raw_Data[[#This Row],[33 kV Outgoinng Export Reading]]-Z80)*1000</f>
        <v>23399.999999999636</v>
      </c>
      <c r="AK81" s="10">
        <f>(Raw_Data[[#This Row],[33 kV Outgoinng Import Reading]]-AA80)*1000</f>
        <v>199.99999999999929</v>
      </c>
      <c r="AL81" s="10">
        <f>Raw_Data[[#This Row],[Export  (kWh)]]-Raw_Data[[#This Row],[Import (kWh)]]</f>
        <v>23199.999999999636</v>
      </c>
      <c r="AM81" s="20">
        <f t="shared" ref="AM81" si="73">IFERROR((J81-I81)*24,"")</f>
        <v>13.916666666666664</v>
      </c>
    </row>
    <row r="82" spans="1:39" x14ac:dyDescent="0.25">
      <c r="A82" s="125">
        <f>YEAR(Raw_Data[[#This Row],[Date]])+IF(MONTH(Raw_Data[[#This Row],[Date]])&gt;=4,1,0)</f>
        <v>2026</v>
      </c>
      <c r="B82" s="41">
        <v>2025</v>
      </c>
      <c r="C82" s="59" t="s">
        <v>4</v>
      </c>
      <c r="D82" s="59" t="s">
        <v>4</v>
      </c>
      <c r="E82" s="6" t="str">
        <f>TEXT(Raw_Data[[#This Row],[Date]],"mmm-yy")</f>
        <v>Jun-25</v>
      </c>
      <c r="F82" s="41">
        <f>DAY(EOMONTH(Raw_Data[[#This Row],[Month Year]],0))</f>
        <v>30</v>
      </c>
      <c r="G82" s="42">
        <f t="shared" si="61"/>
        <v>45823</v>
      </c>
      <c r="H82" s="11">
        <f>'Modelling New'!$AR$1</f>
        <v>7.0991999999999997</v>
      </c>
      <c r="I82" s="40">
        <v>0.22638888888888889</v>
      </c>
      <c r="J82" s="40">
        <v>0.78333333333333333</v>
      </c>
      <c r="K82" s="58">
        <v>1334.8</v>
      </c>
      <c r="L82" s="58">
        <v>1467.6</v>
      </c>
      <c r="M82" s="58">
        <v>1322.8</v>
      </c>
      <c r="N82" s="58">
        <v>1325.1</v>
      </c>
      <c r="O82" s="58">
        <v>1362.2</v>
      </c>
      <c r="P82" s="58">
        <v>1497.6</v>
      </c>
      <c r="Q82" s="58">
        <v>1352.4</v>
      </c>
      <c r="R82" s="58">
        <v>1366.9</v>
      </c>
      <c r="S82" s="58">
        <v>1390.2</v>
      </c>
      <c r="T82" s="58">
        <v>1391.1</v>
      </c>
      <c r="U82" s="58">
        <v>1387.3</v>
      </c>
      <c r="V82" s="58">
        <v>1387.3</v>
      </c>
      <c r="W82" s="58">
        <v>5450.3</v>
      </c>
      <c r="X82" s="58">
        <v>5579.1</v>
      </c>
      <c r="Y82" s="58">
        <v>5555.9</v>
      </c>
      <c r="Z82" s="59">
        <v>4159.1000000000004</v>
      </c>
      <c r="AA82" s="59">
        <v>29.7</v>
      </c>
      <c r="AB82" s="59"/>
      <c r="AC82" s="59">
        <v>2.87</v>
      </c>
      <c r="AD82" s="59">
        <v>0</v>
      </c>
      <c r="AE82" s="59">
        <v>38.17</v>
      </c>
      <c r="AF82" s="59">
        <v>0</v>
      </c>
      <c r="AG82" s="59">
        <v>0</v>
      </c>
      <c r="AH82" s="59"/>
      <c r="AI82" s="10">
        <f>SUM(Raw_Data[[#This Row],[Inv1]:[Inv3]])</f>
        <v>16585.300000000003</v>
      </c>
      <c r="AJ82" s="10">
        <f>(Raw_Data[[#This Row],[33 kV Outgoinng Export Reading]]-Z81)*1000</f>
        <v>16400.000000000546</v>
      </c>
      <c r="AK82" s="10">
        <f>(Raw_Data[[#This Row],[33 kV Outgoinng Import Reading]]-AA81)*1000</f>
        <v>199.99999999999929</v>
      </c>
      <c r="AL82" s="10">
        <f>Raw_Data[[#This Row],[Export  (kWh)]]-Raw_Data[[#This Row],[Import (kWh)]]</f>
        <v>16200.000000000546</v>
      </c>
      <c r="AM82" s="20">
        <f t="shared" ref="AM82" si="74">IFERROR((J82-I82)*24,"")</f>
        <v>13.366666666666667</v>
      </c>
    </row>
    <row r="83" spans="1:39" x14ac:dyDescent="0.25">
      <c r="A83" s="125">
        <f>YEAR(Raw_Data[[#This Row],[Date]])+IF(MONTH(Raw_Data[[#This Row],[Date]])&gt;=4,1,0)</f>
        <v>2026</v>
      </c>
      <c r="B83" s="41">
        <v>2025</v>
      </c>
      <c r="C83" s="59" t="s">
        <v>4</v>
      </c>
      <c r="D83" s="59" t="s">
        <v>4</v>
      </c>
      <c r="E83" s="6" t="str">
        <f>TEXT(Raw_Data[[#This Row],[Date]],"mmm-yy")</f>
        <v>Jun-25</v>
      </c>
      <c r="F83" s="41">
        <f>DAY(EOMONTH(Raw_Data[[#This Row],[Month Year]],0))</f>
        <v>30</v>
      </c>
      <c r="G83" s="42">
        <f t="shared" si="61"/>
        <v>45824</v>
      </c>
      <c r="H83" s="11">
        <f>'Modelling New'!$AR$1</f>
        <v>7.0991999999999997</v>
      </c>
      <c r="I83" s="40">
        <v>0.22777777777777777</v>
      </c>
      <c r="J83" s="40">
        <v>0.77083333333333337</v>
      </c>
      <c r="K83" s="58">
        <v>1663.2</v>
      </c>
      <c r="L83" s="58">
        <v>1631.9</v>
      </c>
      <c r="M83" s="58">
        <v>1624.6</v>
      </c>
      <c r="N83" s="58">
        <v>1725.4</v>
      </c>
      <c r="O83" s="58">
        <v>1769.6</v>
      </c>
      <c r="P83" s="58">
        <v>1684.6</v>
      </c>
      <c r="Q83" s="58">
        <v>1663.3</v>
      </c>
      <c r="R83" s="58">
        <v>1678.2</v>
      </c>
      <c r="S83" s="58">
        <v>1702.1</v>
      </c>
      <c r="T83" s="58">
        <v>1704.3</v>
      </c>
      <c r="U83" s="58">
        <v>1698.7</v>
      </c>
      <c r="V83" s="58">
        <v>1698.8</v>
      </c>
      <c r="W83" s="58">
        <v>6645.1</v>
      </c>
      <c r="X83" s="58">
        <v>6795.7</v>
      </c>
      <c r="Y83" s="58">
        <v>6803.9</v>
      </c>
      <c r="Z83" s="59">
        <v>4179.2</v>
      </c>
      <c r="AA83" s="59">
        <v>29.8</v>
      </c>
      <c r="AB83" s="59"/>
      <c r="AC83" s="59">
        <v>3.67</v>
      </c>
      <c r="AD83" s="59">
        <v>0</v>
      </c>
      <c r="AE83" s="59">
        <v>39.25</v>
      </c>
      <c r="AF83" s="59">
        <v>0</v>
      </c>
      <c r="AG83" s="59">
        <v>0</v>
      </c>
      <c r="AH83" s="59"/>
      <c r="AI83" s="10">
        <f>SUM(Raw_Data[[#This Row],[Inv1]:[Inv3]])</f>
        <v>20244.699999999997</v>
      </c>
      <c r="AJ83" s="10">
        <f>(Raw_Data[[#This Row],[33 kV Outgoinng Export Reading]]-Z82)*1000</f>
        <v>20099.999999999454</v>
      </c>
      <c r="AK83" s="10">
        <f>(Raw_Data[[#This Row],[33 kV Outgoinng Import Reading]]-AA82)*1000</f>
        <v>100.00000000000142</v>
      </c>
      <c r="AL83" s="10">
        <f>Raw_Data[[#This Row],[Export  (kWh)]]-Raw_Data[[#This Row],[Import (kWh)]]</f>
        <v>19999.999999999454</v>
      </c>
      <c r="AM83" s="20">
        <f t="shared" ref="AM83" si="75">IFERROR((J83-I83)*24,"")</f>
        <v>13.033333333333335</v>
      </c>
    </row>
    <row r="84" spans="1:39" x14ac:dyDescent="0.25">
      <c r="A84" s="125">
        <f>YEAR(Raw_Data[[#This Row],[Date]])+IF(MONTH(Raw_Data[[#This Row],[Date]])&gt;=4,1,0)</f>
        <v>2026</v>
      </c>
      <c r="B84" s="41">
        <v>2025</v>
      </c>
      <c r="C84" s="59" t="s">
        <v>4</v>
      </c>
      <c r="D84" s="59" t="s">
        <v>4</v>
      </c>
      <c r="E84" s="6" t="str">
        <f>TEXT(Raw_Data[[#This Row],[Date]],"mmm-yy")</f>
        <v>Jun-25</v>
      </c>
      <c r="F84" s="41">
        <f>DAY(EOMONTH(Raw_Data[[#This Row],[Month Year]],0))</f>
        <v>30</v>
      </c>
      <c r="G84" s="42">
        <f t="shared" si="61"/>
        <v>45825</v>
      </c>
      <c r="H84" s="11">
        <f>'Modelling New'!$AR$1</f>
        <v>7.0991999999999997</v>
      </c>
      <c r="I84" s="40">
        <v>0.23333333333333334</v>
      </c>
      <c r="J84" s="40">
        <v>0.79722222222222228</v>
      </c>
      <c r="K84" s="58">
        <v>2490.9499999999998</v>
      </c>
      <c r="L84" s="58">
        <v>2490.9499999999998</v>
      </c>
      <c r="M84" s="58">
        <v>2490.9499999999998</v>
      </c>
      <c r="N84" s="58">
        <v>2490.9499999999998</v>
      </c>
      <c r="O84" s="58">
        <v>2525.5</v>
      </c>
      <c r="P84" s="58">
        <v>2510.1999999999998</v>
      </c>
      <c r="Q84" s="58">
        <v>2575.5</v>
      </c>
      <c r="R84" s="58">
        <v>2531.4</v>
      </c>
      <c r="S84" s="58">
        <v>2504.6999999999998</v>
      </c>
      <c r="T84" s="58">
        <v>2512</v>
      </c>
      <c r="U84" s="58">
        <v>2500.9</v>
      </c>
      <c r="V84" s="58">
        <v>2499.6999999999998</v>
      </c>
      <c r="W84" s="58">
        <v>9963.7999999999993</v>
      </c>
      <c r="X84" s="58">
        <v>10142.6</v>
      </c>
      <c r="Y84" s="58">
        <v>10017.299999999999</v>
      </c>
      <c r="Z84" s="59">
        <v>4209.3</v>
      </c>
      <c r="AA84" s="59">
        <v>29.9</v>
      </c>
      <c r="AB84" s="59"/>
      <c r="AC84" s="59">
        <v>5.56</v>
      </c>
      <c r="AD84" s="59">
        <v>0</v>
      </c>
      <c r="AE84" s="59">
        <v>43.52</v>
      </c>
      <c r="AF84" s="59">
        <v>0</v>
      </c>
      <c r="AG84" s="59">
        <v>0</v>
      </c>
      <c r="AH84" s="59"/>
      <c r="AI84" s="10">
        <f>SUM(Raw_Data[[#This Row],[Inv1]:[Inv3]])</f>
        <v>30123.7</v>
      </c>
      <c r="AJ84" s="10">
        <f>(Raw_Data[[#This Row],[33 kV Outgoinng Export Reading]]-Z83)*1000</f>
        <v>30100.000000000364</v>
      </c>
      <c r="AK84" s="10">
        <f>(Raw_Data[[#This Row],[33 kV Outgoinng Import Reading]]-AA83)*1000</f>
        <v>99.999999999997868</v>
      </c>
      <c r="AL84" s="10">
        <f>Raw_Data[[#This Row],[Export  (kWh)]]-Raw_Data[[#This Row],[Import (kWh)]]</f>
        <v>30000.000000000367</v>
      </c>
      <c r="AM84" s="20">
        <f t="shared" ref="AM84" si="76">IFERROR((J84-I84)*24,"")</f>
        <v>13.533333333333333</v>
      </c>
    </row>
    <row r="85" spans="1:39" x14ac:dyDescent="0.25">
      <c r="A85" s="125">
        <f>YEAR(Raw_Data[[#This Row],[Date]])+IF(MONTH(Raw_Data[[#This Row],[Date]])&gt;=4,1,0)</f>
        <v>2026</v>
      </c>
      <c r="B85" s="41">
        <v>2025</v>
      </c>
      <c r="C85" s="59" t="s">
        <v>4</v>
      </c>
      <c r="D85" s="59" t="s">
        <v>4</v>
      </c>
      <c r="E85" s="6" t="str">
        <f>TEXT(Raw_Data[[#This Row],[Date]],"mmm-yy")</f>
        <v>Jun-25</v>
      </c>
      <c r="F85" s="41">
        <f>DAY(EOMONTH(Raw_Data[[#This Row],[Month Year]],0))</f>
        <v>30</v>
      </c>
      <c r="G85" s="42">
        <f t="shared" si="61"/>
        <v>45826</v>
      </c>
      <c r="H85" s="11">
        <f>'Modelling New'!$AR$1</f>
        <v>7.0991999999999997</v>
      </c>
      <c r="I85" s="40">
        <v>0.23125000000000001</v>
      </c>
      <c r="J85" s="40">
        <v>0.79861111111111116</v>
      </c>
      <c r="K85" s="58">
        <v>2636.4</v>
      </c>
      <c r="L85" s="58">
        <v>2618.4</v>
      </c>
      <c r="M85" s="58">
        <v>2614.1</v>
      </c>
      <c r="N85" s="58">
        <v>2711.1</v>
      </c>
      <c r="O85" s="58">
        <v>2767.7</v>
      </c>
      <c r="P85" s="58">
        <v>2655.2</v>
      </c>
      <c r="Q85" s="58">
        <v>2659.8</v>
      </c>
      <c r="R85" s="58">
        <v>2676.9</v>
      </c>
      <c r="S85" s="58">
        <v>2697</v>
      </c>
      <c r="T85" s="58">
        <v>2703.8</v>
      </c>
      <c r="U85" s="58">
        <v>2693.5</v>
      </c>
      <c r="V85" s="58">
        <v>2692.9</v>
      </c>
      <c r="W85" s="58">
        <v>10580</v>
      </c>
      <c r="X85" s="58">
        <v>10759.6</v>
      </c>
      <c r="Y85" s="58">
        <v>10787.2</v>
      </c>
      <c r="Z85" s="59">
        <v>4242.7</v>
      </c>
      <c r="AA85" s="59">
        <v>30</v>
      </c>
      <c r="AB85" s="59"/>
      <c r="AC85" s="59">
        <v>5.8</v>
      </c>
      <c r="AD85" s="59">
        <v>0</v>
      </c>
      <c r="AE85" s="59">
        <v>43.87</v>
      </c>
      <c r="AF85" s="59">
        <v>0</v>
      </c>
      <c r="AG85" s="59">
        <v>0</v>
      </c>
      <c r="AH85" s="59"/>
      <c r="AI85" s="10">
        <f>SUM(Raw_Data[[#This Row],[Inv1]:[Inv3]])</f>
        <v>32126.799999999999</v>
      </c>
      <c r="AJ85" s="10">
        <f>(Raw_Data[[#This Row],[33 kV Outgoinng Export Reading]]-Z84)*1000</f>
        <v>33399.999999999636</v>
      </c>
      <c r="AK85" s="10">
        <f>(Raw_Data[[#This Row],[33 kV Outgoinng Import Reading]]-AA84)*1000</f>
        <v>100.00000000000142</v>
      </c>
      <c r="AL85" s="10">
        <f>Raw_Data[[#This Row],[Export  (kWh)]]-Raw_Data[[#This Row],[Import (kWh)]]</f>
        <v>33299.999999999636</v>
      </c>
      <c r="AM85" s="20">
        <f t="shared" ref="AM85" si="77">IFERROR((J85-I85)*24,"")</f>
        <v>13.616666666666669</v>
      </c>
    </row>
    <row r="86" spans="1:39" x14ac:dyDescent="0.25">
      <c r="A86" s="125">
        <f>YEAR(Raw_Data[[#This Row],[Date]])+IF(MONTH(Raw_Data[[#This Row],[Date]])&gt;=4,1,0)</f>
        <v>2026</v>
      </c>
      <c r="B86" s="41">
        <v>2025</v>
      </c>
      <c r="C86" s="59" t="s">
        <v>4</v>
      </c>
      <c r="D86" s="59" t="s">
        <v>4</v>
      </c>
      <c r="E86" s="6" t="str">
        <f>TEXT(Raw_Data[[#This Row],[Date]],"mmm-yy")</f>
        <v>Jun-25</v>
      </c>
      <c r="F86" s="41">
        <f>DAY(EOMONTH(Raw_Data[[#This Row],[Month Year]],0))</f>
        <v>30</v>
      </c>
      <c r="G86" s="42">
        <f t="shared" si="61"/>
        <v>45827</v>
      </c>
      <c r="H86" s="11">
        <f>'Modelling New'!$AR$1</f>
        <v>7.0991999999999997</v>
      </c>
      <c r="I86" s="40">
        <v>0.23333333333333334</v>
      </c>
      <c r="J86" s="40">
        <v>0.79027777777777775</v>
      </c>
      <c r="K86" s="58">
        <v>1969.2</v>
      </c>
      <c r="L86" s="58">
        <v>2099</v>
      </c>
      <c r="M86" s="58">
        <v>1949.1</v>
      </c>
      <c r="N86" s="58">
        <v>1956</v>
      </c>
      <c r="O86" s="58">
        <v>1967.4</v>
      </c>
      <c r="P86" s="58">
        <v>1954.7</v>
      </c>
      <c r="Q86" s="58">
        <v>2098.1</v>
      </c>
      <c r="R86" s="58">
        <v>1971.4</v>
      </c>
      <c r="S86" s="58">
        <v>1996</v>
      </c>
      <c r="T86" s="58">
        <v>1999</v>
      </c>
      <c r="U86" s="58">
        <v>1992.6</v>
      </c>
      <c r="V86" s="58">
        <v>1992.2</v>
      </c>
      <c r="W86" s="58">
        <v>7973.3</v>
      </c>
      <c r="X86" s="58">
        <v>7991.6</v>
      </c>
      <c r="Y86" s="58">
        <v>7979.8</v>
      </c>
      <c r="Z86" s="59">
        <v>4265.1000000000004</v>
      </c>
      <c r="AA86" s="59">
        <v>30.2</v>
      </c>
      <c r="AB86" s="59"/>
      <c r="AC86" s="59">
        <v>4.1500000000000004</v>
      </c>
      <c r="AD86" s="59">
        <v>0</v>
      </c>
      <c r="AE86" s="59">
        <v>41.12</v>
      </c>
      <c r="AF86" s="59">
        <v>0</v>
      </c>
      <c r="AG86" s="59">
        <v>0</v>
      </c>
      <c r="AH86" s="59"/>
      <c r="AI86" s="10">
        <f>SUM(Raw_Data[[#This Row],[Inv1]:[Inv3]])</f>
        <v>23944.7</v>
      </c>
      <c r="AJ86" s="10">
        <f>(Raw_Data[[#This Row],[33 kV Outgoinng Export Reading]]-Z85)*1000</f>
        <v>22400.000000000546</v>
      </c>
      <c r="AK86" s="10">
        <f>(Raw_Data[[#This Row],[33 kV Outgoinng Import Reading]]-AA85)*1000</f>
        <v>199.99999999999929</v>
      </c>
      <c r="AL86" s="10">
        <f>Raw_Data[[#This Row],[Export  (kWh)]]-Raw_Data[[#This Row],[Import (kWh)]]</f>
        <v>22200.000000000546</v>
      </c>
      <c r="AM86" s="20">
        <f t="shared" ref="AM86" si="78">IFERROR((J86-I86)*24,"")</f>
        <v>13.366666666666667</v>
      </c>
    </row>
    <row r="87" spans="1:39" x14ac:dyDescent="0.25">
      <c r="A87" s="125">
        <f>YEAR(Raw_Data[[#This Row],[Date]])+IF(MONTH(Raw_Data[[#This Row],[Date]])&gt;=4,1,0)</f>
        <v>2026</v>
      </c>
      <c r="B87" s="41">
        <v>2025</v>
      </c>
      <c r="C87" s="59" t="s">
        <v>4</v>
      </c>
      <c r="D87" s="59" t="s">
        <v>4</v>
      </c>
      <c r="E87" s="6" t="str">
        <f>TEXT(Raw_Data[[#This Row],[Date]],"mmm-yy")</f>
        <v>Jun-25</v>
      </c>
      <c r="F87" s="41">
        <f>DAY(EOMONTH(Raw_Data[[#This Row],[Month Year]],0))</f>
        <v>30</v>
      </c>
      <c r="G87" s="42">
        <f t="shared" si="61"/>
        <v>45828</v>
      </c>
      <c r="H87" s="11">
        <f>'Modelling New'!$AR$1</f>
        <v>7.0991999999999997</v>
      </c>
      <c r="I87" s="40">
        <v>0.23194444444444445</v>
      </c>
      <c r="J87" s="40">
        <v>0.79305555555555551</v>
      </c>
      <c r="K87" s="58">
        <v>2409.8000000000002</v>
      </c>
      <c r="L87" s="58">
        <v>2395.6</v>
      </c>
      <c r="M87" s="58">
        <v>2469.1</v>
      </c>
      <c r="N87" s="58">
        <v>2393.4</v>
      </c>
      <c r="O87" s="58">
        <v>2418.1</v>
      </c>
      <c r="P87" s="58">
        <v>2404.1</v>
      </c>
      <c r="Q87" s="58">
        <v>2407.1999999999998</v>
      </c>
      <c r="R87" s="58">
        <v>2504</v>
      </c>
      <c r="S87" s="58">
        <v>2430.8000000000002</v>
      </c>
      <c r="T87" s="58">
        <v>2436.4</v>
      </c>
      <c r="U87" s="58">
        <v>2426.8000000000002</v>
      </c>
      <c r="V87" s="58">
        <v>2426.6</v>
      </c>
      <c r="W87" s="58">
        <v>9667.9</v>
      </c>
      <c r="X87" s="58">
        <v>9733.4</v>
      </c>
      <c r="Y87" s="58">
        <v>9720.6</v>
      </c>
      <c r="Z87" s="59">
        <v>4293.8999999999996</v>
      </c>
      <c r="AA87" s="59">
        <v>30.4</v>
      </c>
      <c r="AB87" s="59"/>
      <c r="AC87" s="59">
        <v>5.25</v>
      </c>
      <c r="AD87" s="59">
        <v>0</v>
      </c>
      <c r="AE87" s="59">
        <v>42.9</v>
      </c>
      <c r="AF87" s="59">
        <v>0</v>
      </c>
      <c r="AG87" s="59">
        <v>0</v>
      </c>
      <c r="AH87" s="59"/>
      <c r="AI87" s="10">
        <f>SUM(Raw_Data[[#This Row],[Inv1]:[Inv3]])</f>
        <v>29121.9</v>
      </c>
      <c r="AJ87" s="10">
        <f>(Raw_Data[[#This Row],[33 kV Outgoinng Export Reading]]-Z86)*1000</f>
        <v>28799.999999999272</v>
      </c>
      <c r="AK87" s="10">
        <f>(Raw_Data[[#This Row],[33 kV Outgoinng Import Reading]]-AA86)*1000</f>
        <v>199.99999999999929</v>
      </c>
      <c r="AL87" s="10">
        <f>Raw_Data[[#This Row],[Export  (kWh)]]-Raw_Data[[#This Row],[Import (kWh)]]</f>
        <v>28599.999999999272</v>
      </c>
      <c r="AM87" s="20">
        <f t="shared" ref="AM87" si="79">IFERROR((J87-I87)*24,"")</f>
        <v>13.466666666666667</v>
      </c>
    </row>
    <row r="88" spans="1:39" x14ac:dyDescent="0.25">
      <c r="A88" s="125">
        <f>YEAR(Raw_Data[[#This Row],[Date]])+IF(MONTH(Raw_Data[[#This Row],[Date]])&gt;=4,1,0)</f>
        <v>2026</v>
      </c>
      <c r="B88" s="41">
        <v>2025</v>
      </c>
      <c r="C88" s="59" t="s">
        <v>4</v>
      </c>
      <c r="D88" s="59" t="s">
        <v>4</v>
      </c>
      <c r="E88" s="6" t="str">
        <f>TEXT(Raw_Data[[#This Row],[Date]],"mmm-yy")</f>
        <v>Jun-25</v>
      </c>
      <c r="F88" s="41">
        <f>DAY(EOMONTH(Raw_Data[[#This Row],[Month Year]],0))</f>
        <v>30</v>
      </c>
      <c r="G88" s="42">
        <f t="shared" si="61"/>
        <v>45829</v>
      </c>
      <c r="H88" s="11">
        <f>'Modelling New'!$AR$1</f>
        <v>7.0991999999999997</v>
      </c>
      <c r="I88" s="40">
        <v>0.2298611111111111</v>
      </c>
      <c r="J88" s="40">
        <v>0.79583333333333328</v>
      </c>
      <c r="K88" s="58">
        <v>4741.8999999999996</v>
      </c>
      <c r="L88" s="58">
        <v>4675.2</v>
      </c>
      <c r="M88" s="58">
        <v>2671.2</v>
      </c>
      <c r="N88" s="58">
        <v>2749.1</v>
      </c>
      <c r="O88" s="58">
        <v>2727.3</v>
      </c>
      <c r="P88" s="58">
        <v>2727.3</v>
      </c>
      <c r="Q88" s="58">
        <v>2727.3</v>
      </c>
      <c r="R88" s="58">
        <v>2727.3</v>
      </c>
      <c r="S88" s="58">
        <v>2715.2</v>
      </c>
      <c r="T88" s="58">
        <v>2722</v>
      </c>
      <c r="U88" s="58">
        <v>2711.3</v>
      </c>
      <c r="V88" s="58">
        <v>2710.3</v>
      </c>
      <c r="W88" s="58">
        <v>10837.4</v>
      </c>
      <c r="X88" s="58">
        <v>10909.5</v>
      </c>
      <c r="Y88" s="58">
        <v>10858.8</v>
      </c>
      <c r="Z88" s="59">
        <v>4326.3999999999996</v>
      </c>
      <c r="AA88" s="59">
        <v>30.6</v>
      </c>
      <c r="AB88" s="59"/>
      <c r="AC88" s="59">
        <v>5.99</v>
      </c>
      <c r="AD88" s="59">
        <v>0</v>
      </c>
      <c r="AE88" s="59">
        <v>45.15</v>
      </c>
      <c r="AF88" s="59">
        <v>0</v>
      </c>
      <c r="AG88" s="59">
        <v>0</v>
      </c>
      <c r="AH88" s="59"/>
      <c r="AI88" s="10">
        <f>SUM(Raw_Data[[#This Row],[Inv1]:[Inv3]])</f>
        <v>32605.7</v>
      </c>
      <c r="AJ88" s="10">
        <f>(Raw_Data[[#This Row],[33 kV Outgoinng Export Reading]]-Z87)*1000</f>
        <v>32500</v>
      </c>
      <c r="AK88" s="10">
        <f>(Raw_Data[[#This Row],[33 kV Outgoinng Import Reading]]-AA87)*1000</f>
        <v>200.00000000000284</v>
      </c>
      <c r="AL88" s="10">
        <f>Raw_Data[[#This Row],[Export  (kWh)]]-Raw_Data[[#This Row],[Import (kWh)]]</f>
        <v>32299.999999999996</v>
      </c>
      <c r="AM88" s="20">
        <f t="shared" ref="AM88" si="80">IFERROR((J88-I88)*24,"")</f>
        <v>13.583333333333332</v>
      </c>
    </row>
    <row r="89" spans="1:39" x14ac:dyDescent="0.25">
      <c r="A89" s="125">
        <f>YEAR(Raw_Data[[#This Row],[Date]])+IF(MONTH(Raw_Data[[#This Row],[Date]])&gt;=4,1,0)</f>
        <v>2026</v>
      </c>
      <c r="B89" s="41">
        <v>2025</v>
      </c>
      <c r="C89" s="59" t="s">
        <v>4</v>
      </c>
      <c r="D89" s="59" t="s">
        <v>4</v>
      </c>
      <c r="E89" s="6" t="str">
        <f>TEXT(Raw_Data[[#This Row],[Date]],"mmm-yy")</f>
        <v>Jun-25</v>
      </c>
      <c r="F89" s="41">
        <f>DAY(EOMONTH(Raw_Data[[#This Row],[Month Year]],0))</f>
        <v>30</v>
      </c>
      <c r="G89" s="42">
        <f t="shared" si="61"/>
        <v>45830</v>
      </c>
      <c r="H89" s="11">
        <f>'Modelling New'!$AR$1</f>
        <v>7.0991999999999997</v>
      </c>
      <c r="I89" s="40">
        <v>0.23125000000000001</v>
      </c>
      <c r="J89" s="40">
        <v>0.79513888888888884</v>
      </c>
      <c r="K89" s="58">
        <v>2334.6</v>
      </c>
      <c r="L89" s="58">
        <v>2396.4</v>
      </c>
      <c r="M89" s="58">
        <v>2314.1</v>
      </c>
      <c r="N89" s="58">
        <v>2318.1999999999998</v>
      </c>
      <c r="O89" s="58">
        <v>2364.1999999999998</v>
      </c>
      <c r="P89" s="58">
        <v>2426</v>
      </c>
      <c r="Q89" s="58">
        <v>2350.6999999999998</v>
      </c>
      <c r="R89" s="58">
        <v>2368.6</v>
      </c>
      <c r="S89" s="58">
        <v>2137.4</v>
      </c>
      <c r="T89" s="58">
        <v>2145.1</v>
      </c>
      <c r="U89" s="58">
        <v>2137.5</v>
      </c>
      <c r="V89" s="58">
        <v>2137.1</v>
      </c>
      <c r="W89" s="58">
        <v>9363.2999999999993</v>
      </c>
      <c r="X89" s="58">
        <v>9509.5</v>
      </c>
      <c r="Y89" s="58">
        <v>8557.1</v>
      </c>
      <c r="Z89" s="59">
        <v>4353.8</v>
      </c>
      <c r="AA89" s="59">
        <v>30.8</v>
      </c>
      <c r="AB89" s="59"/>
      <c r="AC89" s="59">
        <v>5.12</v>
      </c>
      <c r="AD89" s="59">
        <v>0</v>
      </c>
      <c r="AE89" s="59">
        <v>43.41</v>
      </c>
      <c r="AF89" s="59">
        <v>0</v>
      </c>
      <c r="AG89" s="59">
        <v>0</v>
      </c>
      <c r="AH89" s="59"/>
      <c r="AI89" s="10">
        <f>SUM(Raw_Data[[#This Row],[Inv1]:[Inv3]])</f>
        <v>27429.9</v>
      </c>
      <c r="AJ89" s="10">
        <f>(Raw_Data[[#This Row],[33 kV Outgoinng Export Reading]]-Z88)*1000</f>
        <v>27400.000000000546</v>
      </c>
      <c r="AK89" s="10">
        <f>(Raw_Data[[#This Row],[33 kV Outgoinng Import Reading]]-AA88)*1000</f>
        <v>199.99999999999929</v>
      </c>
      <c r="AL89" s="10">
        <f>Raw_Data[[#This Row],[Export  (kWh)]]-Raw_Data[[#This Row],[Import (kWh)]]</f>
        <v>27200.000000000546</v>
      </c>
      <c r="AM89" s="20">
        <f t="shared" ref="AM89" si="81">IFERROR((J89-I89)*24,"")</f>
        <v>13.533333333333333</v>
      </c>
    </row>
    <row r="90" spans="1:39" x14ac:dyDescent="0.25">
      <c r="A90" s="125">
        <f>YEAR(Raw_Data[[#This Row],[Date]])+IF(MONTH(Raw_Data[[#This Row],[Date]])&gt;=4,1,0)</f>
        <v>2026</v>
      </c>
      <c r="B90" s="41">
        <v>2025</v>
      </c>
      <c r="C90" s="59" t="s">
        <v>4</v>
      </c>
      <c r="D90" s="59" t="s">
        <v>4</v>
      </c>
      <c r="E90" s="6" t="str">
        <f>TEXT(Raw_Data[[#This Row],[Date]],"mmm-yy")</f>
        <v>Jun-25</v>
      </c>
      <c r="F90" s="41">
        <f>DAY(EOMONTH(Raw_Data[[#This Row],[Month Year]],0))</f>
        <v>30</v>
      </c>
      <c r="G90" s="42">
        <f t="shared" si="61"/>
        <v>45831</v>
      </c>
      <c r="H90" s="11">
        <f>'Modelling New'!$AR$1</f>
        <v>7.0991999999999997</v>
      </c>
      <c r="I90" s="40">
        <v>0.23333333333333334</v>
      </c>
      <c r="J90" s="40">
        <v>0.79374999999999996</v>
      </c>
      <c r="K90" s="58">
        <v>1251.5</v>
      </c>
      <c r="L90" s="58">
        <v>1243.7</v>
      </c>
      <c r="M90" s="58">
        <v>1346</v>
      </c>
      <c r="N90" s="58">
        <v>1242.3</v>
      </c>
      <c r="O90" s="58">
        <v>1271.5</v>
      </c>
      <c r="P90" s="58">
        <v>1263.2</v>
      </c>
      <c r="Q90" s="58">
        <v>1368.3</v>
      </c>
      <c r="R90" s="58">
        <v>1275.0999999999999</v>
      </c>
      <c r="S90" s="58">
        <v>1269.2</v>
      </c>
      <c r="T90" s="58">
        <v>1274.5</v>
      </c>
      <c r="U90" s="58">
        <v>1271.5999999999999</v>
      </c>
      <c r="V90" s="58">
        <v>1271.5999999999999</v>
      </c>
      <c r="W90" s="58">
        <v>5083.5</v>
      </c>
      <c r="X90" s="58">
        <v>5178.1000000000004</v>
      </c>
      <c r="Y90" s="58">
        <v>5086.8999999999996</v>
      </c>
      <c r="Z90" s="59">
        <v>4369.1000000000004</v>
      </c>
      <c r="AA90" s="59">
        <v>31</v>
      </c>
      <c r="AB90" s="59"/>
      <c r="AC90" s="59">
        <v>2.73</v>
      </c>
      <c r="AD90" s="59">
        <v>0</v>
      </c>
      <c r="AE90" s="59">
        <v>37.479999999999997</v>
      </c>
      <c r="AF90" s="59">
        <v>0</v>
      </c>
      <c r="AG90" s="59">
        <v>0</v>
      </c>
      <c r="AH90" s="59"/>
      <c r="AI90" s="10">
        <f>SUM(Raw_Data[[#This Row],[Inv1]:[Inv3]])</f>
        <v>15348.5</v>
      </c>
      <c r="AJ90" s="10">
        <f>(Raw_Data[[#This Row],[33 kV Outgoinng Export Reading]]-Z89)*1000</f>
        <v>15300.000000000182</v>
      </c>
      <c r="AK90" s="10">
        <f>(Raw_Data[[#This Row],[33 kV Outgoinng Import Reading]]-AA89)*1000</f>
        <v>199.99999999999929</v>
      </c>
      <c r="AL90" s="10">
        <f>Raw_Data[[#This Row],[Export  (kWh)]]-Raw_Data[[#This Row],[Import (kWh)]]</f>
        <v>15100.000000000182</v>
      </c>
      <c r="AM90" s="20">
        <f t="shared" ref="AM90" si="82">IFERROR((J90-I90)*24,"")</f>
        <v>13.449999999999998</v>
      </c>
    </row>
    <row r="91" spans="1:39" x14ac:dyDescent="0.25">
      <c r="A91" s="125">
        <f>YEAR(Raw_Data[[#This Row],[Date]])+IF(MONTH(Raw_Data[[#This Row],[Date]])&gt;=4,1,0)</f>
        <v>2026</v>
      </c>
      <c r="B91" s="41">
        <v>2025</v>
      </c>
      <c r="C91" s="59" t="s">
        <v>4</v>
      </c>
      <c r="D91" s="59" t="s">
        <v>4</v>
      </c>
      <c r="E91" s="6" t="str">
        <f>TEXT(Raw_Data[[#This Row],[Date]],"mmm-yy")</f>
        <v>Jun-25</v>
      </c>
      <c r="F91" s="41">
        <f>DAY(EOMONTH(Raw_Data[[#This Row],[Month Year]],0))</f>
        <v>30</v>
      </c>
      <c r="G91" s="42">
        <f t="shared" si="61"/>
        <v>45832</v>
      </c>
      <c r="H91" s="11">
        <f>'Modelling New'!$AR$1</f>
        <v>7.0991999999999997</v>
      </c>
      <c r="I91" s="40">
        <v>0.23402777777777778</v>
      </c>
      <c r="J91" s="40">
        <v>0.78472222222222221</v>
      </c>
      <c r="K91" s="58">
        <v>1233.8</v>
      </c>
      <c r="L91" s="58">
        <v>1226.0999999999999</v>
      </c>
      <c r="M91" s="58">
        <v>1216.9000000000001</v>
      </c>
      <c r="N91" s="58">
        <v>1338.6</v>
      </c>
      <c r="O91" s="58">
        <v>1359.1</v>
      </c>
      <c r="P91" s="58">
        <v>1236.3</v>
      </c>
      <c r="Q91" s="58">
        <v>1235.0999999999999</v>
      </c>
      <c r="R91" s="58">
        <v>1248.5</v>
      </c>
      <c r="S91" s="58">
        <v>1268</v>
      </c>
      <c r="T91" s="58">
        <v>1266.7</v>
      </c>
      <c r="U91" s="58">
        <v>1263.9000000000001</v>
      </c>
      <c r="V91" s="58">
        <v>1264.3</v>
      </c>
      <c r="W91" s="58">
        <v>5015.3999999999996</v>
      </c>
      <c r="X91" s="58">
        <v>5079</v>
      </c>
      <c r="Y91" s="58">
        <v>5062.8999999999996</v>
      </c>
      <c r="Z91" s="59">
        <v>4384.1000000000004</v>
      </c>
      <c r="AA91" s="59">
        <v>31.2</v>
      </c>
      <c r="AB91" s="59"/>
      <c r="AC91" s="59">
        <v>2.5499999999999998</v>
      </c>
      <c r="AD91" s="59">
        <v>0</v>
      </c>
      <c r="AE91" s="59">
        <v>35.549999999999997</v>
      </c>
      <c r="AF91" s="59">
        <v>0</v>
      </c>
      <c r="AG91" s="59">
        <v>0</v>
      </c>
      <c r="AH91" s="59"/>
      <c r="AI91" s="10">
        <f>SUM(Raw_Data[[#This Row],[Inv1]:[Inv3]])</f>
        <v>15157.3</v>
      </c>
      <c r="AJ91" s="10">
        <f>(Raw_Data[[#This Row],[33 kV Outgoinng Export Reading]]-Z90)*1000</f>
        <v>15000</v>
      </c>
      <c r="AK91" s="10">
        <f>(Raw_Data[[#This Row],[33 kV Outgoinng Import Reading]]-AA90)*1000</f>
        <v>199.99999999999929</v>
      </c>
      <c r="AL91" s="10">
        <f>Raw_Data[[#This Row],[Export  (kWh)]]-Raw_Data[[#This Row],[Import (kWh)]]</f>
        <v>14800</v>
      </c>
      <c r="AM91" s="20">
        <f t="shared" ref="AM91" si="83">IFERROR((J91-I91)*24,"")</f>
        <v>13.216666666666665</v>
      </c>
    </row>
    <row r="92" spans="1:39" x14ac:dyDescent="0.25">
      <c r="A92" s="125">
        <f>YEAR(Raw_Data[[#This Row],[Date]])+IF(MONTH(Raw_Data[[#This Row],[Date]])&gt;=4,1,0)</f>
        <v>2026</v>
      </c>
      <c r="B92" s="41">
        <v>2025</v>
      </c>
      <c r="C92" s="59" t="s">
        <v>4</v>
      </c>
      <c r="D92" s="59" t="s">
        <v>4</v>
      </c>
      <c r="E92" s="6" t="str">
        <f>TEXT(Raw_Data[[#This Row],[Date]],"mmm-yy")</f>
        <v>Jun-25</v>
      </c>
      <c r="F92" s="41">
        <f>DAY(EOMONTH(Raw_Data[[#This Row],[Month Year]],0))</f>
        <v>30</v>
      </c>
      <c r="G92" s="42">
        <f t="shared" si="61"/>
        <v>45833</v>
      </c>
      <c r="H92" s="11">
        <f>'Modelling New'!$AR$1</f>
        <v>7.0991999999999997</v>
      </c>
      <c r="I92" s="40">
        <v>0.23333333333333334</v>
      </c>
      <c r="J92" s="40">
        <v>0.78611111111111109</v>
      </c>
      <c r="K92" s="58">
        <v>2110</v>
      </c>
      <c r="L92" s="58">
        <v>1972.3</v>
      </c>
      <c r="M92" s="58">
        <v>1964.9</v>
      </c>
      <c r="N92" s="58">
        <v>1970.1</v>
      </c>
      <c r="O92" s="58">
        <v>1896.4</v>
      </c>
      <c r="P92" s="58">
        <v>2005.2</v>
      </c>
      <c r="Q92" s="58">
        <v>1885.7</v>
      </c>
      <c r="R92" s="58">
        <v>1900.1</v>
      </c>
      <c r="S92" s="58">
        <v>1807.9</v>
      </c>
      <c r="T92" s="58">
        <v>1813.5</v>
      </c>
      <c r="U92" s="58">
        <v>1807.6</v>
      </c>
      <c r="V92" s="58">
        <v>1807.1</v>
      </c>
      <c r="W92" s="58">
        <v>8017.3</v>
      </c>
      <c r="X92" s="58">
        <v>7687.4</v>
      </c>
      <c r="Y92" s="58">
        <v>7236.1</v>
      </c>
      <c r="Z92" s="59">
        <v>4406.8</v>
      </c>
      <c r="AA92" s="59">
        <v>31.4</v>
      </c>
      <c r="AB92" s="59"/>
      <c r="AC92" s="59">
        <v>4.24</v>
      </c>
      <c r="AD92" s="59">
        <v>0</v>
      </c>
      <c r="AE92" s="59">
        <v>40.1</v>
      </c>
      <c r="AF92" s="59">
        <v>0</v>
      </c>
      <c r="AG92" s="59">
        <v>0</v>
      </c>
      <c r="AH92" s="59"/>
      <c r="AI92" s="10">
        <f>SUM(Raw_Data[[#This Row],[Inv1]:[Inv3]])</f>
        <v>22940.800000000003</v>
      </c>
      <c r="AJ92" s="10">
        <f>(Raw_Data[[#This Row],[33 kV Outgoinng Export Reading]]-Z91)*1000</f>
        <v>22699.999999999818</v>
      </c>
      <c r="AK92" s="10">
        <f>(Raw_Data[[#This Row],[33 kV Outgoinng Import Reading]]-AA91)*1000</f>
        <v>199.99999999999929</v>
      </c>
      <c r="AL92" s="10">
        <f>Raw_Data[[#This Row],[Export  (kWh)]]-Raw_Data[[#This Row],[Import (kWh)]]</f>
        <v>22499.999999999818</v>
      </c>
      <c r="AM92" s="20">
        <f t="shared" ref="AM92" si="84">IFERROR((J92-I92)*24,"")</f>
        <v>13.266666666666667</v>
      </c>
    </row>
    <row r="93" spans="1:39" x14ac:dyDescent="0.25">
      <c r="A93" s="125">
        <f>YEAR(Raw_Data[[#This Row],[Date]])+IF(MONTH(Raw_Data[[#This Row],[Date]])&gt;=4,1,0)</f>
        <v>2026</v>
      </c>
      <c r="B93" s="41">
        <v>2025</v>
      </c>
      <c r="C93" s="59" t="s">
        <v>4</v>
      </c>
      <c r="D93" s="59" t="s">
        <v>4</v>
      </c>
      <c r="E93" s="6" t="str">
        <f>TEXT(Raw_Data[[#This Row],[Date]],"mmm-yy")</f>
        <v>Jun-25</v>
      </c>
      <c r="F93" s="41">
        <f>DAY(EOMONTH(Raw_Data[[#This Row],[Month Year]],0))</f>
        <v>30</v>
      </c>
      <c r="G93" s="42">
        <f t="shared" si="61"/>
        <v>45834</v>
      </c>
      <c r="H93" s="11">
        <f>'Modelling New'!$AR$1</f>
        <v>7.0991999999999997</v>
      </c>
      <c r="I93" s="40">
        <v>0.23055555555555557</v>
      </c>
      <c r="J93" s="40">
        <v>0.79583333333333328</v>
      </c>
      <c r="K93" s="58">
        <v>1569.8</v>
      </c>
      <c r="L93" s="58">
        <v>1683.5</v>
      </c>
      <c r="M93" s="58">
        <v>1551.5</v>
      </c>
      <c r="N93" s="58">
        <v>1558.5</v>
      </c>
      <c r="O93" s="58">
        <v>1500.4</v>
      </c>
      <c r="P93" s="58">
        <v>1490.4</v>
      </c>
      <c r="Q93" s="58">
        <v>1608.3</v>
      </c>
      <c r="R93" s="58">
        <v>1503.3</v>
      </c>
      <c r="S93" s="58">
        <v>1589.5</v>
      </c>
      <c r="T93" s="58">
        <v>1591.5</v>
      </c>
      <c r="U93" s="58">
        <v>1586.7</v>
      </c>
      <c r="V93" s="58">
        <v>1586.3</v>
      </c>
      <c r="W93" s="58">
        <v>6363.3</v>
      </c>
      <c r="X93" s="58">
        <v>6102.4</v>
      </c>
      <c r="Y93" s="58">
        <v>6354</v>
      </c>
      <c r="Z93" s="59">
        <v>4425.6000000000004</v>
      </c>
      <c r="AA93" s="59">
        <v>31.6</v>
      </c>
      <c r="AB93" s="59"/>
      <c r="AC93" s="59">
        <v>3.26</v>
      </c>
      <c r="AD93" s="59">
        <v>0</v>
      </c>
      <c r="AE93" s="59">
        <v>37.950000000000003</v>
      </c>
      <c r="AF93" s="59">
        <v>0</v>
      </c>
      <c r="AG93" s="59">
        <v>0</v>
      </c>
      <c r="AH93" s="59"/>
      <c r="AI93" s="10">
        <f>SUM(Raw_Data[[#This Row],[Inv1]:[Inv3]])</f>
        <v>18819.7</v>
      </c>
      <c r="AJ93" s="10">
        <f>(Raw_Data[[#This Row],[33 kV Outgoinng Export Reading]]-Z92)*1000</f>
        <v>18800.000000000182</v>
      </c>
      <c r="AK93" s="10">
        <f>(Raw_Data[[#This Row],[33 kV Outgoinng Import Reading]]-AA92)*1000</f>
        <v>200.00000000000284</v>
      </c>
      <c r="AL93" s="10">
        <f>Raw_Data[[#This Row],[Export  (kWh)]]-Raw_Data[[#This Row],[Import (kWh)]]</f>
        <v>18600.000000000178</v>
      </c>
      <c r="AM93" s="20">
        <f t="shared" ref="AM93" si="85">IFERROR((J93-I93)*24,"")</f>
        <v>13.566666666666666</v>
      </c>
    </row>
    <row r="94" spans="1:39" x14ac:dyDescent="0.25">
      <c r="A94" s="125">
        <f>YEAR(Raw_Data[[#This Row],[Date]])+IF(MONTH(Raw_Data[[#This Row],[Date]])&gt;=4,1,0)</f>
        <v>2026</v>
      </c>
      <c r="B94" s="41">
        <v>2025</v>
      </c>
      <c r="C94" s="59" t="s">
        <v>4</v>
      </c>
      <c r="D94" s="59" t="s">
        <v>4</v>
      </c>
      <c r="E94" s="6" t="str">
        <f>TEXT(Raw_Data[[#This Row],[Date]],"mmm-yy")</f>
        <v>Jun-25</v>
      </c>
      <c r="F94" s="41">
        <f>DAY(EOMONTH(Raw_Data[[#This Row],[Month Year]],0))</f>
        <v>30</v>
      </c>
      <c r="G94" s="42">
        <f t="shared" si="61"/>
        <v>45835</v>
      </c>
      <c r="H94" s="11">
        <f>'Modelling New'!$AR$1</f>
        <v>7.0991999999999997</v>
      </c>
      <c r="I94" s="40">
        <v>0.22916666666666666</v>
      </c>
      <c r="J94" s="40">
        <v>0.78541666666666665</v>
      </c>
      <c r="K94" s="58">
        <v>2201.1999999999998</v>
      </c>
      <c r="L94" s="58">
        <v>2188.3000000000002</v>
      </c>
      <c r="M94" s="58">
        <v>2278.5</v>
      </c>
      <c r="N94" s="58">
        <v>2208.3000000000002</v>
      </c>
      <c r="O94" s="58">
        <v>2198.1</v>
      </c>
      <c r="P94" s="58">
        <v>2185.1999999999998</v>
      </c>
      <c r="Q94" s="58">
        <v>2187.9</v>
      </c>
      <c r="R94" s="58">
        <v>2327.8000000000002</v>
      </c>
      <c r="S94" s="58">
        <v>2215.9</v>
      </c>
      <c r="T94" s="58">
        <v>2220.9</v>
      </c>
      <c r="U94" s="58">
        <v>2213.1999999999998</v>
      </c>
      <c r="V94" s="58">
        <v>2212.3000000000002</v>
      </c>
      <c r="W94" s="58">
        <v>8876.2999999999993</v>
      </c>
      <c r="X94" s="58">
        <v>8899</v>
      </c>
      <c r="Y94" s="58">
        <v>8862.2999999999993</v>
      </c>
      <c r="Z94" s="59">
        <v>4452.1000000000004</v>
      </c>
      <c r="AA94" s="59">
        <v>31.9</v>
      </c>
      <c r="AB94" s="59"/>
      <c r="AC94" s="59">
        <v>4.8099999999999996</v>
      </c>
      <c r="AD94" s="59">
        <v>0</v>
      </c>
      <c r="AE94" s="59">
        <v>41.49</v>
      </c>
      <c r="AF94" s="59">
        <v>0</v>
      </c>
      <c r="AG94" s="59">
        <v>0</v>
      </c>
      <c r="AH94" s="59"/>
      <c r="AI94" s="10">
        <f>SUM(Raw_Data[[#This Row],[Inv1]:[Inv3]])</f>
        <v>26637.599999999999</v>
      </c>
      <c r="AJ94" s="10">
        <f>(Raw_Data[[#This Row],[33 kV Outgoinng Export Reading]]-Z93)*1000</f>
        <v>26500</v>
      </c>
      <c r="AK94" s="10">
        <f>(Raw_Data[[#This Row],[33 kV Outgoinng Import Reading]]-AA93)*1000</f>
        <v>299.99999999999716</v>
      </c>
      <c r="AL94" s="10">
        <f>Raw_Data[[#This Row],[Export  (kWh)]]-Raw_Data[[#This Row],[Import (kWh)]]</f>
        <v>26200.000000000004</v>
      </c>
      <c r="AM94" s="20">
        <f t="shared" ref="AM94" si="86">IFERROR((J94-I94)*24,"")</f>
        <v>13.350000000000001</v>
      </c>
    </row>
    <row r="95" spans="1:39" x14ac:dyDescent="0.25">
      <c r="A95" s="125">
        <f>YEAR(Raw_Data[[#This Row],[Date]])+IF(MONTH(Raw_Data[[#This Row],[Date]])&gt;=4,1,0)</f>
        <v>2026</v>
      </c>
      <c r="B95" s="41">
        <v>2025</v>
      </c>
      <c r="C95" s="59" t="s">
        <v>4</v>
      </c>
      <c r="D95" s="59" t="s">
        <v>4</v>
      </c>
      <c r="E95" s="6" t="str">
        <f>TEXT(Raw_Data[[#This Row],[Date]],"mmm-yy")</f>
        <v>Jun-25</v>
      </c>
      <c r="F95" s="41">
        <f>DAY(EOMONTH(Raw_Data[[#This Row],[Month Year]],0))</f>
        <v>30</v>
      </c>
      <c r="G95" s="42">
        <f t="shared" si="61"/>
        <v>45836</v>
      </c>
      <c r="H95" s="11">
        <f>'Modelling New'!$AR$1</f>
        <v>7.0991999999999997</v>
      </c>
      <c r="I95" s="40">
        <v>0.23333333333333334</v>
      </c>
      <c r="J95" s="40">
        <v>0.79166666666666663</v>
      </c>
      <c r="K95" s="58">
        <v>2505.9</v>
      </c>
      <c r="L95" s="58">
        <v>2491.8000000000002</v>
      </c>
      <c r="M95" s="58">
        <v>2485</v>
      </c>
      <c r="N95" s="58">
        <v>2574</v>
      </c>
      <c r="O95" s="58">
        <v>2525.6</v>
      </c>
      <c r="P95" s="58">
        <v>2596.5</v>
      </c>
      <c r="Q95" s="58">
        <v>2514.1</v>
      </c>
      <c r="R95" s="58">
        <v>2529.5</v>
      </c>
      <c r="S95" s="58">
        <v>2542.6999999999998</v>
      </c>
      <c r="T95" s="58">
        <v>2549.8000000000002</v>
      </c>
      <c r="U95" s="58">
        <v>2539.9</v>
      </c>
      <c r="V95" s="58">
        <v>2538.6</v>
      </c>
      <c r="W95" s="58">
        <v>10056.700000000001</v>
      </c>
      <c r="X95" s="58">
        <v>10165.700000000001</v>
      </c>
      <c r="Y95" s="58">
        <v>10171</v>
      </c>
      <c r="Z95" s="59">
        <v>4482.3</v>
      </c>
      <c r="AA95" s="59">
        <v>32.1</v>
      </c>
      <c r="AB95" s="59"/>
      <c r="AC95" s="59">
        <v>5.48</v>
      </c>
      <c r="AD95" s="59">
        <v>0</v>
      </c>
      <c r="AE95" s="59">
        <v>43.1</v>
      </c>
      <c r="AF95" s="59">
        <v>0</v>
      </c>
      <c r="AG95" s="59">
        <v>0</v>
      </c>
      <c r="AH95" s="59"/>
      <c r="AI95" s="10">
        <f>SUM(Raw_Data[[#This Row],[Inv1]:[Inv3]])</f>
        <v>30393.4</v>
      </c>
      <c r="AJ95" s="10">
        <f>(Raw_Data[[#This Row],[33 kV Outgoinng Export Reading]]-Z94)*1000</f>
        <v>30199.999999999818</v>
      </c>
      <c r="AK95" s="10">
        <f>(Raw_Data[[#This Row],[33 kV Outgoinng Import Reading]]-AA94)*1000</f>
        <v>200.00000000000284</v>
      </c>
      <c r="AL95" s="10">
        <f>Raw_Data[[#This Row],[Export  (kWh)]]-Raw_Data[[#This Row],[Import (kWh)]]</f>
        <v>29999.999999999814</v>
      </c>
      <c r="AM95" s="20">
        <f t="shared" ref="AM95" si="87">IFERROR((J95-I95)*24,"")</f>
        <v>13.4</v>
      </c>
    </row>
    <row r="96" spans="1:39" x14ac:dyDescent="0.25">
      <c r="A96" s="125">
        <f>YEAR(Raw_Data[[#This Row],[Date]])+IF(MONTH(Raw_Data[[#This Row],[Date]])&gt;=4,1,0)</f>
        <v>2026</v>
      </c>
      <c r="B96" s="41">
        <v>2025</v>
      </c>
      <c r="C96" s="59" t="s">
        <v>4</v>
      </c>
      <c r="D96" s="59" t="s">
        <v>4</v>
      </c>
      <c r="E96" s="6" t="str">
        <f>TEXT(Raw_Data[[#This Row],[Date]],"mmm-yy")</f>
        <v>Jun-25</v>
      </c>
      <c r="F96" s="41">
        <f>DAY(EOMONTH(Raw_Data[[#This Row],[Month Year]],0))</f>
        <v>30</v>
      </c>
      <c r="G96" s="42">
        <f t="shared" si="61"/>
        <v>45837</v>
      </c>
      <c r="H96" s="11">
        <f>'Modelling New'!$AR$1</f>
        <v>7.0991999999999997</v>
      </c>
      <c r="I96" s="40">
        <v>0.2326388888888889</v>
      </c>
      <c r="J96" s="40">
        <v>0.79236111111111107</v>
      </c>
      <c r="K96" s="58">
        <v>2064.6</v>
      </c>
      <c r="L96" s="58">
        <v>2112.5</v>
      </c>
      <c r="M96" s="58">
        <v>2043</v>
      </c>
      <c r="N96" s="58">
        <v>2049.1</v>
      </c>
      <c r="O96" s="58">
        <v>2092</v>
      </c>
      <c r="P96" s="58">
        <v>2079.6999999999998</v>
      </c>
      <c r="Q96" s="58">
        <v>2079.3000000000002</v>
      </c>
      <c r="R96" s="58">
        <v>2156</v>
      </c>
      <c r="S96" s="58">
        <v>2105.1999999999998</v>
      </c>
      <c r="T96" s="58">
        <v>2108.5</v>
      </c>
      <c r="U96" s="58">
        <v>2100.5</v>
      </c>
      <c r="V96" s="58">
        <v>2100.1</v>
      </c>
      <c r="W96" s="58">
        <v>8269.2000000000007</v>
      </c>
      <c r="X96" s="58">
        <v>8407</v>
      </c>
      <c r="Y96" s="58">
        <v>8414.2999999999993</v>
      </c>
      <c r="Z96" s="59">
        <v>4507.3</v>
      </c>
      <c r="AA96" s="59">
        <v>32.200000000000003</v>
      </c>
      <c r="AB96" s="59"/>
      <c r="AC96" s="59">
        <v>4.4400000000000004</v>
      </c>
      <c r="AD96" s="59">
        <v>0</v>
      </c>
      <c r="AE96" s="59">
        <v>39.97</v>
      </c>
      <c r="AF96" s="59">
        <v>0</v>
      </c>
      <c r="AG96" s="59">
        <v>0</v>
      </c>
      <c r="AH96" s="59"/>
      <c r="AI96" s="10">
        <f>SUM(Raw_Data[[#This Row],[Inv1]:[Inv3]])</f>
        <v>25090.5</v>
      </c>
      <c r="AJ96" s="10">
        <f>(Raw_Data[[#This Row],[33 kV Outgoinng Export Reading]]-Z95)*1000</f>
        <v>25000</v>
      </c>
      <c r="AK96" s="10">
        <f>(Raw_Data[[#This Row],[33 kV Outgoinng Import Reading]]-AA95)*1000</f>
        <v>100.00000000000142</v>
      </c>
      <c r="AL96" s="10">
        <f>Raw_Data[[#This Row],[Export  (kWh)]]-Raw_Data[[#This Row],[Import (kWh)]]</f>
        <v>24900</v>
      </c>
      <c r="AM96" s="20">
        <f t="shared" ref="AM96" si="88">IFERROR((J96-I96)*24,"")</f>
        <v>13.433333333333334</v>
      </c>
    </row>
    <row r="97" spans="1:39" x14ac:dyDescent="0.25">
      <c r="A97" s="125">
        <f>YEAR(Raw_Data[[#This Row],[Date]])+IF(MONTH(Raw_Data[[#This Row],[Date]])&gt;=4,1,0)</f>
        <v>2026</v>
      </c>
      <c r="B97" s="41">
        <v>2025</v>
      </c>
      <c r="C97" s="59" t="s">
        <v>4</v>
      </c>
      <c r="D97" s="59" t="s">
        <v>4</v>
      </c>
      <c r="E97" s="6" t="str">
        <f>TEXT(Raw_Data[[#This Row],[Date]],"mmm-yy")</f>
        <v>Jun-25</v>
      </c>
      <c r="F97" s="41">
        <f>DAY(EOMONTH(Raw_Data[[#This Row],[Month Year]],0))</f>
        <v>30</v>
      </c>
      <c r="G97" s="42">
        <f t="shared" si="61"/>
        <v>45838</v>
      </c>
      <c r="H97" s="11">
        <f>'Modelling New'!$AR$1</f>
        <v>7.0991999999999997</v>
      </c>
      <c r="I97" s="40">
        <v>0.23541666666666666</v>
      </c>
      <c r="J97" s="40">
        <v>0.78472222222222221</v>
      </c>
      <c r="K97" s="58">
        <v>1255.2</v>
      </c>
      <c r="L97" s="58">
        <v>1247.7</v>
      </c>
      <c r="M97" s="58">
        <v>1238.8</v>
      </c>
      <c r="N97" s="58">
        <v>1383.2</v>
      </c>
      <c r="O97" s="58">
        <v>1271.5999999999999</v>
      </c>
      <c r="P97" s="58">
        <v>1407.2</v>
      </c>
      <c r="Q97" s="58">
        <v>1262.0999999999999</v>
      </c>
      <c r="R97" s="58">
        <v>1274.8</v>
      </c>
      <c r="S97" s="58">
        <v>1307.8</v>
      </c>
      <c r="T97" s="58">
        <v>1306.9000000000001</v>
      </c>
      <c r="U97" s="58">
        <v>1303.5999999999999</v>
      </c>
      <c r="V97" s="58">
        <v>1303.3</v>
      </c>
      <c r="W97" s="58">
        <v>5124.8999999999996</v>
      </c>
      <c r="X97" s="58">
        <v>5215.7</v>
      </c>
      <c r="Y97" s="58">
        <v>5221.6000000000004</v>
      </c>
      <c r="Z97" s="59">
        <v>4522.8</v>
      </c>
      <c r="AA97" s="59">
        <v>32.4</v>
      </c>
      <c r="AB97" s="59"/>
      <c r="AC97" s="59">
        <v>2.59</v>
      </c>
      <c r="AD97" s="59">
        <v>0</v>
      </c>
      <c r="AE97" s="59">
        <v>35.799999999999997</v>
      </c>
      <c r="AF97" s="59">
        <v>0</v>
      </c>
      <c r="AG97" s="59">
        <v>0</v>
      </c>
      <c r="AH97" s="59"/>
      <c r="AI97" s="10">
        <f>SUM(Raw_Data[[#This Row],[Inv1]:[Inv3]])</f>
        <v>15562.199999999999</v>
      </c>
      <c r="AJ97" s="10">
        <f>(Raw_Data[[#This Row],[33 kV Outgoinng Export Reading]]-Z96)*1000</f>
        <v>15500</v>
      </c>
      <c r="AK97" s="10">
        <f>(Raw_Data[[#This Row],[33 kV Outgoinng Import Reading]]-AA96)*1000</f>
        <v>199.99999999999574</v>
      </c>
      <c r="AL97" s="10">
        <f>Raw_Data[[#This Row],[Export  (kWh)]]-Raw_Data[[#This Row],[Import (kWh)]]</f>
        <v>15300.000000000004</v>
      </c>
      <c r="AM97" s="20">
        <f t="shared" ref="AM97" si="89">IFERROR((J97-I97)*24,"")</f>
        <v>13.183333333333332</v>
      </c>
    </row>
    <row r="98" spans="1:39" x14ac:dyDescent="0.25">
      <c r="A98" s="125">
        <f>YEAR(Raw_Data[[#This Row],[Date]])+IF(MONTH(Raw_Data[[#This Row],[Date]])&gt;=4,1,0)</f>
        <v>2026</v>
      </c>
      <c r="B98" s="41">
        <v>2025</v>
      </c>
      <c r="C98" s="59" t="s">
        <v>4</v>
      </c>
      <c r="D98" s="59" t="s">
        <v>4</v>
      </c>
      <c r="E98" s="6" t="str">
        <f>TEXT(Raw_Data[[#This Row],[Date]],"mmm-yy")</f>
        <v>Jul-25</v>
      </c>
      <c r="F98" s="41">
        <f>DAY(EOMONTH(Raw_Data[[#This Row],[Month Year]],0))</f>
        <v>31</v>
      </c>
      <c r="G98" s="42">
        <f t="shared" si="61"/>
        <v>45839</v>
      </c>
      <c r="H98" s="11">
        <f>'Modelling New'!$AR$1</f>
        <v>7.0991999999999997</v>
      </c>
      <c r="I98" s="40">
        <v>0.23125000000000001</v>
      </c>
      <c r="J98" s="40">
        <v>0.78055555555555556</v>
      </c>
      <c r="K98" s="58">
        <v>1579</v>
      </c>
      <c r="L98" s="58">
        <v>1408.7</v>
      </c>
      <c r="M98" s="58">
        <v>1399.8</v>
      </c>
      <c r="N98" s="58">
        <v>1407.4</v>
      </c>
      <c r="O98" s="58">
        <v>1427.3</v>
      </c>
      <c r="P98" s="58">
        <v>1417.4</v>
      </c>
      <c r="Q98" s="58">
        <v>1577.3</v>
      </c>
      <c r="R98" s="58">
        <v>1429.3</v>
      </c>
      <c r="S98" s="58">
        <v>1455.4</v>
      </c>
      <c r="T98" s="58">
        <v>1455.7</v>
      </c>
      <c r="U98" s="58">
        <v>1451.6</v>
      </c>
      <c r="V98" s="58">
        <v>1450.9</v>
      </c>
      <c r="W98" s="58">
        <v>5794.9</v>
      </c>
      <c r="X98" s="58">
        <v>5851.3</v>
      </c>
      <c r="Y98" s="58">
        <v>5813.6</v>
      </c>
      <c r="Z98" s="59">
        <v>4540.2</v>
      </c>
      <c r="AA98" s="59">
        <v>32.6</v>
      </c>
      <c r="AB98" s="59"/>
      <c r="AC98" s="59">
        <v>2.9</v>
      </c>
      <c r="AD98" s="59">
        <v>0</v>
      </c>
      <c r="AE98" s="59">
        <v>35.43</v>
      </c>
      <c r="AF98" s="59">
        <v>0</v>
      </c>
      <c r="AG98" s="59">
        <v>0</v>
      </c>
      <c r="AH98" s="59"/>
      <c r="AI98" s="10">
        <f>SUM(Raw_Data[[#This Row],[Inv1]:[Inv3]])</f>
        <v>17459.800000000003</v>
      </c>
      <c r="AJ98" s="10">
        <f>(Raw_Data[[#This Row],[33 kV Outgoinng Export Reading]]-Z97)*1000</f>
        <v>17399.999999999636</v>
      </c>
      <c r="AK98" s="10">
        <f>(Raw_Data[[#This Row],[33 kV Outgoinng Import Reading]]-AA97)*1000</f>
        <v>200.00000000000284</v>
      </c>
      <c r="AL98" s="10">
        <f>Raw_Data[[#This Row],[Export  (kWh)]]-Raw_Data[[#This Row],[Import (kWh)]]</f>
        <v>17199.999999999633</v>
      </c>
      <c r="AM98" s="20">
        <f t="shared" ref="AM98" si="90">IFERROR((J98-I98)*24,"")</f>
        <v>13.183333333333332</v>
      </c>
    </row>
    <row r="99" spans="1:39" x14ac:dyDescent="0.25">
      <c r="A99" s="125">
        <f>YEAR(Raw_Data[[#This Row],[Date]])+IF(MONTH(Raw_Data[[#This Row],[Date]])&gt;=4,1,0)</f>
        <v>2026</v>
      </c>
      <c r="B99" s="41">
        <v>2025</v>
      </c>
      <c r="C99" s="59" t="s">
        <v>4</v>
      </c>
      <c r="D99" s="59" t="s">
        <v>4</v>
      </c>
      <c r="E99" s="6" t="str">
        <f>TEXT(Raw_Data[[#This Row],[Date]],"mmm-yy")</f>
        <v>Jul-25</v>
      </c>
      <c r="F99" s="41">
        <f>DAY(EOMONTH(Raw_Data[[#This Row],[Month Year]],0))</f>
        <v>31</v>
      </c>
      <c r="G99" s="42">
        <f t="shared" si="61"/>
        <v>45840</v>
      </c>
      <c r="H99" s="11">
        <f>'Modelling New'!$AR$1</f>
        <v>7.0991999999999997</v>
      </c>
      <c r="I99" s="40">
        <v>0.22916666666666666</v>
      </c>
      <c r="J99" s="40">
        <v>0.77777777777777779</v>
      </c>
      <c r="K99" s="58">
        <v>879</v>
      </c>
      <c r="L99" s="58">
        <v>988.9</v>
      </c>
      <c r="M99" s="58">
        <v>898</v>
      </c>
      <c r="N99" s="58">
        <v>872.1</v>
      </c>
      <c r="O99" s="58">
        <v>912</v>
      </c>
      <c r="P99" s="58">
        <v>912</v>
      </c>
      <c r="Q99" s="58">
        <v>912</v>
      </c>
      <c r="R99" s="58">
        <v>912</v>
      </c>
      <c r="S99" s="58">
        <v>911.8</v>
      </c>
      <c r="T99" s="58">
        <v>907.7</v>
      </c>
      <c r="U99" s="58">
        <v>907</v>
      </c>
      <c r="V99" s="58">
        <v>907.9</v>
      </c>
      <c r="W99" s="58">
        <v>3602.3</v>
      </c>
      <c r="X99" s="58">
        <v>3648</v>
      </c>
      <c r="Y99" s="58">
        <v>3634.4</v>
      </c>
      <c r="Z99" s="59">
        <v>4550.8999999999996</v>
      </c>
      <c r="AA99" s="59">
        <v>32.799999999999997</v>
      </c>
      <c r="AB99" s="59"/>
      <c r="AC99" s="59">
        <v>1.75</v>
      </c>
      <c r="AD99" s="59">
        <v>0</v>
      </c>
      <c r="AE99" s="59">
        <v>30.95</v>
      </c>
      <c r="AF99" s="59">
        <v>0</v>
      </c>
      <c r="AG99" s="59">
        <v>0</v>
      </c>
      <c r="AH99" s="59"/>
      <c r="AI99" s="10">
        <f>SUM(Raw_Data[[#This Row],[Inv1]:[Inv3]])</f>
        <v>10884.7</v>
      </c>
      <c r="AJ99" s="10">
        <f>(Raw_Data[[#This Row],[33 kV Outgoinng Export Reading]]-Z98)*1000</f>
        <v>10699.999999999818</v>
      </c>
      <c r="AK99" s="10">
        <f>(Raw_Data[[#This Row],[33 kV Outgoinng Import Reading]]-AA98)*1000</f>
        <v>199.99999999999574</v>
      </c>
      <c r="AL99" s="10">
        <f>Raw_Data[[#This Row],[Export  (kWh)]]-Raw_Data[[#This Row],[Import (kWh)]]</f>
        <v>10499.999999999822</v>
      </c>
      <c r="AM99" s="20">
        <f t="shared" ref="AM99" si="91">IFERROR((J99-I99)*24,"")</f>
        <v>13.166666666666668</v>
      </c>
    </row>
    <row r="100" spans="1:39" x14ac:dyDescent="0.25">
      <c r="A100" s="125">
        <f>YEAR(Raw_Data[[#This Row],[Date]])+IF(MONTH(Raw_Data[[#This Row],[Date]])&gt;=4,1,0)</f>
        <v>2026</v>
      </c>
      <c r="B100" s="41">
        <v>2025</v>
      </c>
      <c r="C100" s="59" t="s">
        <v>4</v>
      </c>
      <c r="D100" s="59" t="s">
        <v>4</v>
      </c>
      <c r="E100" s="6" t="str">
        <f>TEXT(Raw_Data[[#This Row],[Date]],"mmm-yy")</f>
        <v>Jul-25</v>
      </c>
      <c r="F100" s="41">
        <f>DAY(EOMONTH(Raw_Data[[#This Row],[Month Year]],0))</f>
        <v>31</v>
      </c>
      <c r="G100" s="42">
        <f t="shared" si="61"/>
        <v>45841</v>
      </c>
      <c r="H100" s="11">
        <f>'Modelling New'!$AR$1</f>
        <v>7.0991999999999997</v>
      </c>
      <c r="I100" s="40">
        <v>0.23472222222222222</v>
      </c>
      <c r="J100" s="40">
        <v>0.78125</v>
      </c>
      <c r="K100" s="58">
        <v>1519</v>
      </c>
      <c r="L100" s="58">
        <v>1510.6</v>
      </c>
      <c r="M100" s="58">
        <v>1569.7</v>
      </c>
      <c r="N100" s="58">
        <v>1509.2</v>
      </c>
      <c r="O100" s="58">
        <v>1611.1</v>
      </c>
      <c r="P100" s="58">
        <v>1533.8</v>
      </c>
      <c r="Q100" s="58">
        <v>1534.7</v>
      </c>
      <c r="R100" s="58">
        <v>1546.7</v>
      </c>
      <c r="S100" s="58">
        <v>1555.6</v>
      </c>
      <c r="T100" s="58">
        <v>1557.5</v>
      </c>
      <c r="U100" s="58">
        <v>1552.1</v>
      </c>
      <c r="V100" s="58">
        <v>1551.6</v>
      </c>
      <c r="W100" s="58">
        <v>6108.5</v>
      </c>
      <c r="X100" s="58">
        <v>6226.3</v>
      </c>
      <c r="Y100" s="58">
        <v>6216.8</v>
      </c>
      <c r="Z100" s="59">
        <v>4569.3</v>
      </c>
      <c r="AA100" s="59">
        <v>33</v>
      </c>
      <c r="AB100" s="59"/>
      <c r="AC100" s="59">
        <v>4.45</v>
      </c>
      <c r="AD100" s="59">
        <v>0</v>
      </c>
      <c r="AE100" s="59">
        <v>39.82</v>
      </c>
      <c r="AF100" s="59">
        <v>0</v>
      </c>
      <c r="AG100" s="59">
        <v>0</v>
      </c>
      <c r="AH100" s="59"/>
      <c r="AI100" s="10">
        <f>SUM(Raw_Data[[#This Row],[Inv1]:[Inv3]])</f>
        <v>18551.599999999999</v>
      </c>
      <c r="AJ100" s="10">
        <f>(Raw_Data[[#This Row],[33 kV Outgoinng Export Reading]]-Z99)*1000</f>
        <v>18400.000000000546</v>
      </c>
      <c r="AK100" s="10">
        <f>(Raw_Data[[#This Row],[33 kV Outgoinng Import Reading]]-AA99)*1000</f>
        <v>200.00000000000284</v>
      </c>
      <c r="AL100" s="10">
        <f>Raw_Data[[#This Row],[Export  (kWh)]]-Raw_Data[[#This Row],[Import (kWh)]]</f>
        <v>18200.000000000542</v>
      </c>
      <c r="AM100" s="20">
        <f t="shared" ref="AM100" si="92">IFERROR((J100-I100)*24,"")</f>
        <v>13.116666666666665</v>
      </c>
    </row>
    <row r="101" spans="1:39" x14ac:dyDescent="0.25">
      <c r="A101" s="125">
        <f>YEAR(Raw_Data[[#This Row],[Date]])+IF(MONTH(Raw_Data[[#This Row],[Date]])&gt;=4,1,0)</f>
        <v>2026</v>
      </c>
      <c r="B101" s="41">
        <v>2025</v>
      </c>
      <c r="C101" s="59" t="s">
        <v>4</v>
      </c>
      <c r="D101" s="59" t="s">
        <v>4</v>
      </c>
      <c r="E101" s="6" t="str">
        <f>TEXT(Raw_Data[[#This Row],[Date]],"mmm-yy")</f>
        <v>Jul-25</v>
      </c>
      <c r="F101" s="41">
        <f>DAY(EOMONTH(Raw_Data[[#This Row],[Month Year]],0))</f>
        <v>31</v>
      </c>
      <c r="G101" s="42">
        <f t="shared" si="61"/>
        <v>45842</v>
      </c>
      <c r="H101" s="11">
        <f>'Modelling New'!$AR$1</f>
        <v>7.0991999999999997</v>
      </c>
      <c r="I101" s="40">
        <v>0.22916666666666666</v>
      </c>
      <c r="J101" s="40">
        <v>0.78125</v>
      </c>
      <c r="K101" s="58">
        <v>2021.7</v>
      </c>
      <c r="L101" s="58">
        <v>2009.9</v>
      </c>
      <c r="M101" s="58">
        <v>2002</v>
      </c>
      <c r="N101" s="58">
        <v>2079.4</v>
      </c>
      <c r="O101" s="58">
        <v>2059.3000000000002</v>
      </c>
      <c r="P101" s="58">
        <v>2120.1</v>
      </c>
      <c r="Q101" s="58">
        <v>2048.4</v>
      </c>
      <c r="R101" s="58">
        <v>2062.6999999999998</v>
      </c>
      <c r="S101" s="58">
        <v>2069.8000000000002</v>
      </c>
      <c r="T101" s="58">
        <v>2073.8000000000002</v>
      </c>
      <c r="U101" s="58">
        <v>2066.1999999999998</v>
      </c>
      <c r="V101" s="58">
        <v>2065.1999999999998</v>
      </c>
      <c r="W101" s="58">
        <v>8113</v>
      </c>
      <c r="X101" s="58">
        <v>8290.5</v>
      </c>
      <c r="Y101" s="58">
        <v>8275</v>
      </c>
      <c r="Z101" s="59">
        <v>4595.5</v>
      </c>
      <c r="AA101" s="59">
        <v>33.299999999999997</v>
      </c>
      <c r="AB101" s="59"/>
      <c r="AC101" s="59">
        <v>4.62</v>
      </c>
      <c r="AD101" s="59">
        <v>0</v>
      </c>
      <c r="AE101" s="59">
        <v>40.15</v>
      </c>
      <c r="AF101" s="59">
        <v>0</v>
      </c>
      <c r="AG101" s="59">
        <v>0</v>
      </c>
      <c r="AH101" s="59"/>
      <c r="AI101" s="10">
        <f>SUM(Raw_Data[[#This Row],[Inv1]:[Inv3]])</f>
        <v>24678.5</v>
      </c>
      <c r="AJ101" s="10">
        <f>(Raw_Data[[#This Row],[33 kV Outgoinng Export Reading]]-Z100)*1000</f>
        <v>26199.999999999818</v>
      </c>
      <c r="AK101" s="10">
        <f>(Raw_Data[[#This Row],[33 kV Outgoinng Import Reading]]-AA100)*1000</f>
        <v>299.99999999999716</v>
      </c>
      <c r="AL101" s="10">
        <f>Raw_Data[[#This Row],[Export  (kWh)]]-Raw_Data[[#This Row],[Import (kWh)]]</f>
        <v>25899.999999999822</v>
      </c>
      <c r="AM101" s="20">
        <f t="shared" ref="AM101" si="93">IFERROR((J101-I101)*24,"")</f>
        <v>13.25</v>
      </c>
    </row>
    <row r="102" spans="1:39" x14ac:dyDescent="0.25">
      <c r="A102" s="125">
        <f>YEAR(Raw_Data[[#This Row],[Date]])+IF(MONTH(Raw_Data[[#This Row],[Date]])&gt;=4,1,0)</f>
        <v>2026</v>
      </c>
      <c r="B102" s="41">
        <v>2025</v>
      </c>
      <c r="C102" s="59" t="s">
        <v>4</v>
      </c>
      <c r="D102" s="59" t="s">
        <v>4</v>
      </c>
      <c r="E102" s="6" t="str">
        <f>TEXT(Raw_Data[[#This Row],[Date]],"mmm-yy")</f>
        <v>Jul-25</v>
      </c>
      <c r="F102" s="41">
        <f>DAY(EOMONTH(Raw_Data[[#This Row],[Month Year]],0))</f>
        <v>31</v>
      </c>
      <c r="G102" s="42">
        <f t="shared" si="61"/>
        <v>45843</v>
      </c>
      <c r="H102" s="11">
        <f>'Modelling New'!$AR$1</f>
        <v>7.0991999999999997</v>
      </c>
      <c r="I102" s="40">
        <v>0.23333333333333334</v>
      </c>
      <c r="J102" s="40">
        <v>0.77777777777777779</v>
      </c>
      <c r="K102" s="58">
        <v>2503.6999999999998</v>
      </c>
      <c r="L102" s="58">
        <v>2395.3000000000002</v>
      </c>
      <c r="M102" s="58">
        <v>2387.3000000000002</v>
      </c>
      <c r="N102" s="58">
        <v>2379.1999999999998</v>
      </c>
      <c r="O102" s="58">
        <v>2438.1999999999998</v>
      </c>
      <c r="P102" s="58">
        <v>2423.3000000000002</v>
      </c>
      <c r="Q102" s="58">
        <v>2522</v>
      </c>
      <c r="R102" s="58">
        <v>2442.1</v>
      </c>
      <c r="S102" s="58">
        <v>2461.1</v>
      </c>
      <c r="T102" s="58">
        <v>2466.1999999999998</v>
      </c>
      <c r="U102" s="58">
        <v>2457</v>
      </c>
      <c r="V102" s="58">
        <v>2456.3000000000002</v>
      </c>
      <c r="W102" s="58">
        <v>9679.5</v>
      </c>
      <c r="X102" s="58">
        <v>9825.6</v>
      </c>
      <c r="Y102" s="58">
        <v>9840.6</v>
      </c>
      <c r="Z102" s="59">
        <v>4623.2</v>
      </c>
      <c r="AA102" s="59">
        <v>33.5</v>
      </c>
      <c r="AB102" s="59"/>
      <c r="AC102" s="59">
        <v>5.26</v>
      </c>
      <c r="AD102" s="59">
        <v>0</v>
      </c>
      <c r="AE102" s="59">
        <v>40.950000000000003</v>
      </c>
      <c r="AF102" s="59">
        <v>0</v>
      </c>
      <c r="AG102" s="59">
        <v>0</v>
      </c>
      <c r="AH102" s="59"/>
      <c r="AI102" s="10">
        <f>SUM(Raw_Data[[#This Row],[Inv1]:[Inv3]])</f>
        <v>29345.699999999997</v>
      </c>
      <c r="AJ102" s="10">
        <f>(Raw_Data[[#This Row],[33 kV Outgoinng Export Reading]]-Z101)*1000</f>
        <v>27699.999999999818</v>
      </c>
      <c r="AK102" s="10">
        <f>(Raw_Data[[#This Row],[33 kV Outgoinng Import Reading]]-AA101)*1000</f>
        <v>200.00000000000284</v>
      </c>
      <c r="AL102" s="10">
        <f>Raw_Data[[#This Row],[Export  (kWh)]]-Raw_Data[[#This Row],[Import (kWh)]]</f>
        <v>27499.999999999814</v>
      </c>
      <c r="AM102" s="20">
        <f t="shared" ref="AM102" si="94">IFERROR((J102-I102)*24,"")</f>
        <v>13.066666666666668</v>
      </c>
    </row>
    <row r="103" spans="1:39" x14ac:dyDescent="0.25">
      <c r="A103" s="125">
        <f>YEAR(Raw_Data[[#This Row],[Date]])+IF(MONTH(Raw_Data[[#This Row],[Date]])&gt;=4,1,0)</f>
        <v>2026</v>
      </c>
      <c r="B103" s="41">
        <v>2025</v>
      </c>
      <c r="C103" s="59" t="s">
        <v>4</v>
      </c>
      <c r="D103" s="59" t="s">
        <v>4</v>
      </c>
      <c r="E103" s="6" t="str">
        <f>TEXT(Raw_Data[[#This Row],[Date]],"mmm-yy")</f>
        <v>Jul-25</v>
      </c>
      <c r="F103" s="41">
        <f>DAY(EOMONTH(Raw_Data[[#This Row],[Month Year]],0))</f>
        <v>31</v>
      </c>
      <c r="G103" s="42">
        <f t="shared" si="61"/>
        <v>45844</v>
      </c>
      <c r="H103" s="11">
        <f>'Modelling New'!$AR$1</f>
        <v>7.0991999999999997</v>
      </c>
      <c r="I103" s="40">
        <v>0.23958333333333334</v>
      </c>
      <c r="J103" s="40">
        <v>0.78472222222222221</v>
      </c>
      <c r="K103" s="58">
        <v>2294.5</v>
      </c>
      <c r="L103" s="58">
        <v>2373.1</v>
      </c>
      <c r="M103" s="58">
        <v>2273.8000000000002</v>
      </c>
      <c r="N103" s="58">
        <v>2279.1</v>
      </c>
      <c r="O103" s="58">
        <v>2329.3000000000002</v>
      </c>
      <c r="P103" s="58">
        <v>2315.8000000000002</v>
      </c>
      <c r="Q103" s="58">
        <v>2318.1999999999998</v>
      </c>
      <c r="R103" s="58">
        <v>2424.9</v>
      </c>
      <c r="S103" s="58">
        <v>2343.1999999999998</v>
      </c>
      <c r="T103" s="58">
        <v>2348.9</v>
      </c>
      <c r="U103" s="58">
        <v>2339.1</v>
      </c>
      <c r="V103" s="58">
        <v>2338.1999999999998</v>
      </c>
      <c r="W103" s="58">
        <v>9220.5</v>
      </c>
      <c r="X103" s="58">
        <v>9388.2000000000007</v>
      </c>
      <c r="Y103" s="58">
        <v>9369.4</v>
      </c>
      <c r="Z103" s="59">
        <v>4650.8999999999996</v>
      </c>
      <c r="AA103" s="59">
        <v>33.700000000000003</v>
      </c>
      <c r="AB103" s="59"/>
      <c r="AC103" s="59">
        <v>4.99</v>
      </c>
      <c r="AD103" s="59">
        <v>0</v>
      </c>
      <c r="AE103" s="59">
        <v>41.17</v>
      </c>
      <c r="AF103" s="59">
        <v>0</v>
      </c>
      <c r="AG103" s="59">
        <v>0</v>
      </c>
      <c r="AH103" s="59"/>
      <c r="AI103" s="10">
        <f>SUM(Raw_Data[[#This Row],[Inv1]:[Inv3]])</f>
        <v>27978.1</v>
      </c>
      <c r="AJ103" s="10">
        <f>(Raw_Data[[#This Row],[33 kV Outgoinng Export Reading]]-Z102)*1000</f>
        <v>27699.999999999818</v>
      </c>
      <c r="AK103" s="10">
        <f>(Raw_Data[[#This Row],[33 kV Outgoinng Import Reading]]-AA102)*1000</f>
        <v>200.00000000000284</v>
      </c>
      <c r="AL103" s="10">
        <f>Raw_Data[[#This Row],[Export  (kWh)]]-Raw_Data[[#This Row],[Import (kWh)]]</f>
        <v>27499.999999999814</v>
      </c>
      <c r="AM103" s="20">
        <f t="shared" ref="AM103" si="95">IFERROR((J103-I103)*24,"")</f>
        <v>13.083333333333332</v>
      </c>
    </row>
    <row r="104" spans="1:39" x14ac:dyDescent="0.25">
      <c r="A104" s="125">
        <f>YEAR(Raw_Data[[#This Row],[Date]])+IF(MONTH(Raw_Data[[#This Row],[Date]])&gt;=4,1,0)</f>
        <v>2026</v>
      </c>
      <c r="B104" s="41">
        <v>2025</v>
      </c>
      <c r="C104" s="59" t="s">
        <v>4</v>
      </c>
      <c r="D104" s="59" t="s">
        <v>4</v>
      </c>
      <c r="E104" s="6" t="str">
        <f>TEXT(Raw_Data[[#This Row],[Date]],"mmm-yy")</f>
        <v>Jul-25</v>
      </c>
      <c r="F104" s="41">
        <f>DAY(EOMONTH(Raw_Data[[#This Row],[Month Year]],0))</f>
        <v>31</v>
      </c>
      <c r="G104" s="42">
        <f t="shared" si="61"/>
        <v>45845</v>
      </c>
      <c r="H104" s="11">
        <f>'Modelling New'!$AR$1</f>
        <v>7.0991999999999997</v>
      </c>
      <c r="I104" s="40">
        <v>0.23819444444444443</v>
      </c>
      <c r="J104" s="40">
        <v>0.79027777777777775</v>
      </c>
      <c r="K104" s="58">
        <v>1617.2</v>
      </c>
      <c r="L104" s="58">
        <v>1607.8</v>
      </c>
      <c r="M104" s="58">
        <v>1680.8</v>
      </c>
      <c r="N104" s="58">
        <v>1606.1</v>
      </c>
      <c r="O104" s="58">
        <v>1719.1</v>
      </c>
      <c r="P104" s="58">
        <v>1626.4</v>
      </c>
      <c r="Q104" s="58">
        <v>1626</v>
      </c>
      <c r="R104" s="58">
        <v>1640.1</v>
      </c>
      <c r="S104" s="58">
        <v>1649.5</v>
      </c>
      <c r="T104" s="58">
        <v>1650.6</v>
      </c>
      <c r="U104" s="58">
        <v>1644.6</v>
      </c>
      <c r="V104" s="58">
        <v>1644.5</v>
      </c>
      <c r="W104" s="58">
        <v>6511.9</v>
      </c>
      <c r="X104" s="58">
        <v>6611.6</v>
      </c>
      <c r="Y104" s="58">
        <v>6589.2</v>
      </c>
      <c r="Z104" s="59">
        <v>4670.5</v>
      </c>
      <c r="AA104" s="59">
        <v>33.9</v>
      </c>
      <c r="AB104" s="59"/>
      <c r="AC104" s="59">
        <v>3.36</v>
      </c>
      <c r="AD104" s="59">
        <v>0</v>
      </c>
      <c r="AE104" s="59">
        <v>36.659999999999997</v>
      </c>
      <c r="AF104" s="59">
        <v>0</v>
      </c>
      <c r="AG104" s="59">
        <v>0</v>
      </c>
      <c r="AH104" s="59"/>
      <c r="AI104" s="10">
        <f>SUM(Raw_Data[[#This Row],[Inv1]:[Inv3]])</f>
        <v>19712.7</v>
      </c>
      <c r="AJ104" s="10">
        <f>(Raw_Data[[#This Row],[33 kV Outgoinng Export Reading]]-Z103)*1000</f>
        <v>19600.000000000364</v>
      </c>
      <c r="AK104" s="10">
        <f>(Raw_Data[[#This Row],[33 kV Outgoinng Import Reading]]-AA103)*1000</f>
        <v>199.99999999999574</v>
      </c>
      <c r="AL104" s="10">
        <f>Raw_Data[[#This Row],[Export  (kWh)]]-Raw_Data[[#This Row],[Import (kWh)]]</f>
        <v>19400.000000000367</v>
      </c>
      <c r="AM104" s="20">
        <f t="shared" ref="AM104" si="96">IFERROR((J104-I104)*24,"")</f>
        <v>13.249999999999998</v>
      </c>
    </row>
    <row r="105" spans="1:39" x14ac:dyDescent="0.25">
      <c r="A105" s="125">
        <f>YEAR(Raw_Data[[#This Row],[Date]])+IF(MONTH(Raw_Data[[#This Row],[Date]])&gt;=4,1,0)</f>
        <v>2026</v>
      </c>
      <c r="B105" s="41">
        <v>2025</v>
      </c>
      <c r="C105" s="59" t="s">
        <v>4</v>
      </c>
      <c r="D105" s="59" t="s">
        <v>4</v>
      </c>
      <c r="E105" s="6" t="str">
        <f>TEXT(Raw_Data[[#This Row],[Date]],"mmm-yy")</f>
        <v>Jul-25</v>
      </c>
      <c r="F105" s="41">
        <f>DAY(EOMONTH(Raw_Data[[#This Row],[Month Year]],0))</f>
        <v>31</v>
      </c>
      <c r="G105" s="42">
        <f t="shared" si="61"/>
        <v>45846</v>
      </c>
      <c r="H105" s="11">
        <f>'Modelling New'!$AR$1</f>
        <v>7.0991999999999997</v>
      </c>
      <c r="I105" s="40">
        <v>0.23333333333333334</v>
      </c>
      <c r="J105" s="40">
        <v>0.79513888888888884</v>
      </c>
      <c r="K105" s="58">
        <v>1992.1</v>
      </c>
      <c r="L105" s="58">
        <v>1980.6</v>
      </c>
      <c r="M105" s="58">
        <v>1971.7</v>
      </c>
      <c r="N105" s="58">
        <v>2047.8</v>
      </c>
      <c r="O105" s="58">
        <v>2024.1</v>
      </c>
      <c r="P105" s="58">
        <v>2083.4</v>
      </c>
      <c r="Q105" s="58">
        <v>2013.5</v>
      </c>
      <c r="R105" s="58">
        <v>2028.2</v>
      </c>
      <c r="S105" s="58">
        <v>2044.6</v>
      </c>
      <c r="T105" s="58">
        <v>2047.5</v>
      </c>
      <c r="U105" s="58">
        <v>2039.6</v>
      </c>
      <c r="V105" s="58">
        <v>2039.3</v>
      </c>
      <c r="W105" s="58">
        <v>7992.2</v>
      </c>
      <c r="X105" s="58">
        <v>8149.2</v>
      </c>
      <c r="Y105" s="58">
        <v>8171</v>
      </c>
      <c r="Z105" s="59">
        <v>4694.7</v>
      </c>
      <c r="AA105" s="59">
        <v>34.1</v>
      </c>
      <c r="AB105" s="59"/>
      <c r="AC105" s="59">
        <v>3.97</v>
      </c>
      <c r="AD105" s="59">
        <v>0</v>
      </c>
      <c r="AE105" s="59">
        <v>38.14</v>
      </c>
      <c r="AF105" s="59">
        <v>0</v>
      </c>
      <c r="AG105" s="59">
        <v>0</v>
      </c>
      <c r="AH105" s="59"/>
      <c r="AI105" s="10">
        <f>SUM(Raw_Data[[#This Row],[Inv1]:[Inv3]])</f>
        <v>24312.400000000001</v>
      </c>
      <c r="AJ105" s="10">
        <f>(Raw_Data[[#This Row],[33 kV Outgoinng Export Reading]]-Z104)*1000</f>
        <v>24199.999999999818</v>
      </c>
      <c r="AK105" s="10">
        <f>(Raw_Data[[#This Row],[33 kV Outgoinng Import Reading]]-AA104)*1000</f>
        <v>200.00000000000284</v>
      </c>
      <c r="AL105" s="10">
        <f>Raw_Data[[#This Row],[Export  (kWh)]]-Raw_Data[[#This Row],[Import (kWh)]]</f>
        <v>23999.999999999814</v>
      </c>
      <c r="AM105" s="20">
        <f t="shared" ref="AM105" si="97">IFERROR((J105-I105)*24,"")</f>
        <v>13.483333333333331</v>
      </c>
    </row>
    <row r="106" spans="1:39" x14ac:dyDescent="0.25">
      <c r="A106" s="125">
        <f>YEAR(Raw_Data[[#This Row],[Date]])+IF(MONTH(Raw_Data[[#This Row],[Date]])&gt;=4,1,0)</f>
        <v>2026</v>
      </c>
      <c r="B106" s="41">
        <v>2025</v>
      </c>
      <c r="C106" s="59" t="s">
        <v>4</v>
      </c>
      <c r="D106" s="59" t="s">
        <v>4</v>
      </c>
      <c r="E106" s="6" t="str">
        <f>TEXT(Raw_Data[[#This Row],[Date]],"mmm-yy")</f>
        <v>Jul-25</v>
      </c>
      <c r="F106" s="41">
        <f>DAY(EOMONTH(Raw_Data[[#This Row],[Month Year]],0))</f>
        <v>31</v>
      </c>
      <c r="G106" s="42">
        <f t="shared" si="61"/>
        <v>45847</v>
      </c>
      <c r="H106" s="11">
        <f>'Modelling New'!$AR$1</f>
        <v>7.0991999999999997</v>
      </c>
      <c r="I106" s="40">
        <v>0.2298611111111111</v>
      </c>
      <c r="J106" s="40">
        <v>0.79166666666666663</v>
      </c>
      <c r="K106" s="58">
        <v>1904</v>
      </c>
      <c r="L106" s="58">
        <v>1804.9</v>
      </c>
      <c r="M106" s="58">
        <v>1796.9</v>
      </c>
      <c r="N106" s="58">
        <v>1803.4</v>
      </c>
      <c r="O106" s="58">
        <v>1848.1</v>
      </c>
      <c r="P106" s="58">
        <v>1836.6</v>
      </c>
      <c r="Q106" s="58">
        <v>1924.3</v>
      </c>
      <c r="R106" s="58">
        <v>1851.6</v>
      </c>
      <c r="S106" s="58">
        <v>1880.8</v>
      </c>
      <c r="T106" s="58">
        <v>1883.4</v>
      </c>
      <c r="U106" s="58">
        <v>1875.9</v>
      </c>
      <c r="V106" s="58">
        <v>1875.7</v>
      </c>
      <c r="W106" s="58">
        <v>7309.2</v>
      </c>
      <c r="X106" s="58">
        <v>7460.6</v>
      </c>
      <c r="Y106" s="58">
        <v>7515</v>
      </c>
      <c r="Z106" s="59">
        <v>4716.8999999999996</v>
      </c>
      <c r="AA106" s="59">
        <v>34.4</v>
      </c>
      <c r="AB106" s="59"/>
      <c r="AC106" s="59">
        <v>4.0999999999999996</v>
      </c>
      <c r="AD106" s="59">
        <v>0</v>
      </c>
      <c r="AE106" s="59">
        <v>38.5</v>
      </c>
      <c r="AF106" s="59">
        <v>0</v>
      </c>
      <c r="AG106" s="59">
        <v>0</v>
      </c>
      <c r="AH106" s="59"/>
      <c r="AI106" s="10">
        <f>SUM(Raw_Data[[#This Row],[Inv1]:[Inv3]])</f>
        <v>22284.799999999999</v>
      </c>
      <c r="AJ106" s="10">
        <f>(Raw_Data[[#This Row],[33 kV Outgoinng Export Reading]]-Z105)*1000</f>
        <v>22199.999999999818</v>
      </c>
      <c r="AK106" s="10">
        <f>(Raw_Data[[#This Row],[33 kV Outgoinng Import Reading]]-AA105)*1000</f>
        <v>299.99999999999716</v>
      </c>
      <c r="AL106" s="10">
        <f>Raw_Data[[#This Row],[Export  (kWh)]]-Raw_Data[[#This Row],[Import (kWh)]]</f>
        <v>21899.999999999822</v>
      </c>
      <c r="AM106" s="20">
        <f t="shared" ref="AM106" si="98">IFERROR((J106-I106)*24,"")</f>
        <v>13.483333333333334</v>
      </c>
    </row>
    <row r="107" spans="1:39" x14ac:dyDescent="0.25">
      <c r="A107" s="125">
        <f>YEAR(Raw_Data[[#This Row],[Date]])+IF(MONTH(Raw_Data[[#This Row],[Date]])&gt;=4,1,0)</f>
        <v>2026</v>
      </c>
      <c r="B107" s="41">
        <v>2025</v>
      </c>
      <c r="C107" s="59" t="s">
        <v>4</v>
      </c>
      <c r="D107" s="59" t="s">
        <v>4</v>
      </c>
      <c r="E107" s="6" t="str">
        <f>TEXT(Raw_Data[[#This Row],[Date]],"mmm-yy")</f>
        <v>Jul-25</v>
      </c>
      <c r="F107" s="41">
        <f>DAY(EOMONTH(Raw_Data[[#This Row],[Month Year]],0))</f>
        <v>31</v>
      </c>
      <c r="G107" s="42">
        <f t="shared" si="61"/>
        <v>45848</v>
      </c>
      <c r="H107" s="11">
        <f>'Modelling New'!$AR$1</f>
        <v>7.0991999999999997</v>
      </c>
      <c r="I107" s="40">
        <v>0.23472222222222222</v>
      </c>
      <c r="J107" s="40">
        <v>0.79305555555555551</v>
      </c>
      <c r="K107" s="58">
        <v>2060.8000000000002</v>
      </c>
      <c r="L107" s="58">
        <v>2113.9</v>
      </c>
      <c r="M107" s="58">
        <v>2040</v>
      </c>
      <c r="N107" s="58">
        <v>2046.4</v>
      </c>
      <c r="O107" s="58">
        <v>2077.8000000000002</v>
      </c>
      <c r="P107" s="58">
        <v>2064.6</v>
      </c>
      <c r="Q107" s="58">
        <v>2064.3000000000002</v>
      </c>
      <c r="R107" s="58">
        <v>2146.5</v>
      </c>
      <c r="S107" s="58">
        <v>2081.8000000000002</v>
      </c>
      <c r="T107" s="58">
        <v>2086</v>
      </c>
      <c r="U107" s="58">
        <v>2076.5</v>
      </c>
      <c r="V107" s="58">
        <v>2075.5</v>
      </c>
      <c r="W107" s="58">
        <v>8261.1</v>
      </c>
      <c r="X107" s="58">
        <v>8353.2000000000007</v>
      </c>
      <c r="Y107" s="58">
        <v>8319.7999999999993</v>
      </c>
      <c r="Z107" s="59">
        <v>4741.6000000000004</v>
      </c>
      <c r="AA107" s="59">
        <v>34.6</v>
      </c>
      <c r="AB107" s="59"/>
      <c r="AC107" s="59">
        <v>4.41</v>
      </c>
      <c r="AD107" s="59">
        <v>0</v>
      </c>
      <c r="AE107" s="59">
        <v>40.86</v>
      </c>
      <c r="AF107" s="59">
        <v>0</v>
      </c>
      <c r="AG107" s="59">
        <v>0</v>
      </c>
      <c r="AH107" s="59"/>
      <c r="AI107" s="10">
        <f>SUM(Raw_Data[[#This Row],[Inv1]:[Inv3]])</f>
        <v>24934.100000000002</v>
      </c>
      <c r="AJ107" s="10">
        <f>(Raw_Data[[#This Row],[33 kV Outgoinng Export Reading]]-Z106)*1000</f>
        <v>24700.000000000728</v>
      </c>
      <c r="AK107" s="10">
        <f>(Raw_Data[[#This Row],[33 kV Outgoinng Import Reading]]-AA106)*1000</f>
        <v>200.00000000000284</v>
      </c>
      <c r="AL107" s="10">
        <f>Raw_Data[[#This Row],[Export  (kWh)]]-Raw_Data[[#This Row],[Import (kWh)]]</f>
        <v>24500.000000000724</v>
      </c>
      <c r="AM107" s="20">
        <f t="shared" ref="AM107" si="99">IFERROR((J107-I107)*24,"")</f>
        <v>13.4</v>
      </c>
    </row>
    <row r="108" spans="1:39" x14ac:dyDescent="0.25">
      <c r="A108" s="125">
        <f>YEAR(Raw_Data[[#This Row],[Date]])+IF(MONTH(Raw_Data[[#This Row],[Date]])&gt;=4,1,0)</f>
        <v>2026</v>
      </c>
      <c r="B108" s="41">
        <v>2025</v>
      </c>
      <c r="C108" s="59" t="s">
        <v>4</v>
      </c>
      <c r="D108" s="59" t="s">
        <v>4</v>
      </c>
      <c r="E108" s="6" t="str">
        <f>TEXT(Raw_Data[[#This Row],[Date]],"mmm-yy")</f>
        <v>Jul-25</v>
      </c>
      <c r="F108" s="41">
        <f>DAY(EOMONTH(Raw_Data[[#This Row],[Month Year]],0))</f>
        <v>31</v>
      </c>
      <c r="G108" s="42">
        <f t="shared" si="61"/>
        <v>45849</v>
      </c>
      <c r="H108" s="11">
        <f>'Modelling New'!$AR$1</f>
        <v>7.0991999999999997</v>
      </c>
      <c r="I108" s="40">
        <v>0.2298611111111111</v>
      </c>
      <c r="J108" s="40">
        <v>0.79652777777777772</v>
      </c>
      <c r="K108" s="58">
        <v>2423.9</v>
      </c>
      <c r="L108" s="58">
        <v>2409.9</v>
      </c>
      <c r="M108" s="58">
        <v>2517.8000000000002</v>
      </c>
      <c r="N108" s="58">
        <v>2405.6999999999998</v>
      </c>
      <c r="O108" s="58">
        <v>2561.3000000000002</v>
      </c>
      <c r="P108" s="58">
        <v>2429.4</v>
      </c>
      <c r="Q108" s="58">
        <v>2432.1999999999998</v>
      </c>
      <c r="R108" s="58">
        <v>2447.3000000000002</v>
      </c>
      <c r="S108" s="58">
        <v>2444.5</v>
      </c>
      <c r="T108" s="58">
        <v>2451</v>
      </c>
      <c r="U108" s="58">
        <v>2439.4</v>
      </c>
      <c r="V108" s="58">
        <v>2438.1</v>
      </c>
      <c r="W108" s="58">
        <v>9757.2999999999993</v>
      </c>
      <c r="X108" s="58">
        <v>9870.2000000000007</v>
      </c>
      <c r="Y108" s="58">
        <v>9773</v>
      </c>
      <c r="Z108" s="59">
        <v>4770.8</v>
      </c>
      <c r="AA108" s="59">
        <v>34.799999999999997</v>
      </c>
      <c r="AB108" s="59"/>
      <c r="AC108" s="59">
        <v>5.32</v>
      </c>
      <c r="AD108" s="59">
        <v>0</v>
      </c>
      <c r="AE108" s="59">
        <v>43.42</v>
      </c>
      <c r="AF108" s="59">
        <v>0</v>
      </c>
      <c r="AG108" s="59">
        <v>0</v>
      </c>
      <c r="AH108" s="59"/>
      <c r="AI108" s="10">
        <f>SUM(Raw_Data[[#This Row],[Inv1]:[Inv3]])</f>
        <v>29400.5</v>
      </c>
      <c r="AJ108" s="10">
        <f>(Raw_Data[[#This Row],[33 kV Outgoinng Export Reading]]-Z107)*1000</f>
        <v>29199.999999999818</v>
      </c>
      <c r="AK108" s="10">
        <f>(Raw_Data[[#This Row],[33 kV Outgoinng Import Reading]]-AA107)*1000</f>
        <v>199.99999999999574</v>
      </c>
      <c r="AL108" s="10">
        <f>Raw_Data[[#This Row],[Export  (kWh)]]-Raw_Data[[#This Row],[Import (kWh)]]</f>
        <v>28999.999999999822</v>
      </c>
      <c r="AM108" s="20">
        <f t="shared" ref="AM108" si="100">IFERROR((J108-I108)*24,"")</f>
        <v>13.6</v>
      </c>
    </row>
    <row r="109" spans="1:39" x14ac:dyDescent="0.25">
      <c r="A109" s="125">
        <f>YEAR(Raw_Data[[#This Row],[Date]])+IF(MONTH(Raw_Data[[#This Row],[Date]])&gt;=4,1,0)</f>
        <v>2026</v>
      </c>
      <c r="B109" s="41">
        <v>2025</v>
      </c>
      <c r="C109" s="59" t="s">
        <v>4</v>
      </c>
      <c r="D109" s="59" t="s">
        <v>4</v>
      </c>
      <c r="E109" s="6" t="str">
        <f>TEXT(Raw_Data[[#This Row],[Date]],"mmm-yy")</f>
        <v>Jul-25</v>
      </c>
      <c r="F109" s="41">
        <f>DAY(EOMONTH(Raw_Data[[#This Row],[Month Year]],0))</f>
        <v>31</v>
      </c>
      <c r="G109" s="42">
        <f t="shared" si="61"/>
        <v>45850</v>
      </c>
      <c r="H109" s="11">
        <f>'Modelling New'!$AR$1</f>
        <v>7.0991999999999997</v>
      </c>
      <c r="I109" s="40">
        <v>0.22847222222222222</v>
      </c>
      <c r="J109" s="40">
        <v>0.79236111111111107</v>
      </c>
      <c r="K109" s="58">
        <v>2045.2</v>
      </c>
      <c r="L109" s="58">
        <v>2033</v>
      </c>
      <c r="M109" s="58">
        <v>2025</v>
      </c>
      <c r="N109" s="58">
        <v>2108.6</v>
      </c>
      <c r="O109" s="58">
        <v>2033.9</v>
      </c>
      <c r="P109" s="58">
        <v>2102.4</v>
      </c>
      <c r="Q109" s="58">
        <v>2022.5</v>
      </c>
      <c r="R109" s="58">
        <v>2037.5</v>
      </c>
      <c r="S109" s="58">
        <v>2029.8</v>
      </c>
      <c r="T109" s="58">
        <v>2033.6</v>
      </c>
      <c r="U109" s="58">
        <v>2024.1</v>
      </c>
      <c r="V109" s="58">
        <v>2023.6</v>
      </c>
      <c r="W109" s="58">
        <v>8211.7999999999993</v>
      </c>
      <c r="X109" s="58">
        <v>8196.2999999999993</v>
      </c>
      <c r="Y109" s="58">
        <v>8111.1</v>
      </c>
      <c r="Z109" s="59">
        <v>4795.2</v>
      </c>
      <c r="AA109" s="59">
        <v>35</v>
      </c>
      <c r="AB109" s="59"/>
      <c r="AC109" s="59">
        <v>4.45</v>
      </c>
      <c r="AD109" s="59">
        <v>0</v>
      </c>
      <c r="AE109" s="59">
        <v>41.06</v>
      </c>
      <c r="AF109" s="59" t="s">
        <v>1098</v>
      </c>
      <c r="AG109" s="59">
        <v>0</v>
      </c>
      <c r="AH109" s="59"/>
      <c r="AI109" s="10">
        <f>SUM(Raw_Data[[#This Row],[Inv1]:[Inv3]])</f>
        <v>24519.199999999997</v>
      </c>
      <c r="AJ109" s="10">
        <f>(Raw_Data[[#This Row],[33 kV Outgoinng Export Reading]]-Z108)*1000</f>
        <v>24399.999999999636</v>
      </c>
      <c r="AK109" s="10">
        <f>(Raw_Data[[#This Row],[33 kV Outgoinng Import Reading]]-AA108)*1000</f>
        <v>200.00000000000284</v>
      </c>
      <c r="AL109" s="10">
        <f>Raw_Data[[#This Row],[Export  (kWh)]]-Raw_Data[[#This Row],[Import (kWh)]]</f>
        <v>24199.999999999633</v>
      </c>
      <c r="AM109" s="20">
        <f t="shared" ref="AM109" si="101">IFERROR((J109-I109)*24,"")</f>
        <v>13.533333333333333</v>
      </c>
    </row>
    <row r="110" spans="1:39" x14ac:dyDescent="0.25">
      <c r="A110" s="125">
        <f>YEAR(Raw_Data[[#This Row],[Date]])+IF(MONTH(Raw_Data[[#This Row],[Date]])&gt;=4,1,0)</f>
        <v>2026</v>
      </c>
      <c r="B110" s="41">
        <v>2025</v>
      </c>
      <c r="C110" s="59" t="s">
        <v>4</v>
      </c>
      <c r="D110" s="59" t="s">
        <v>4</v>
      </c>
      <c r="E110" s="6" t="str">
        <f>TEXT(Raw_Data[[#This Row],[Date]],"mmm-yy")</f>
        <v>Jul-25</v>
      </c>
      <c r="F110" s="41">
        <f>DAY(EOMONTH(Raw_Data[[#This Row],[Month Year]],0))</f>
        <v>31</v>
      </c>
      <c r="G110" s="42">
        <f t="shared" si="61"/>
        <v>45851</v>
      </c>
      <c r="H110" s="11">
        <f>'Modelling New'!$AR$1</f>
        <v>7.0991999999999997</v>
      </c>
      <c r="I110" s="40">
        <v>0.23472222222222222</v>
      </c>
      <c r="J110" s="40">
        <v>0.7944444444444444</v>
      </c>
      <c r="K110" s="58">
        <v>2427.8000000000002</v>
      </c>
      <c r="L110" s="58">
        <v>2309.6999999999998</v>
      </c>
      <c r="M110" s="58">
        <v>2301.9</v>
      </c>
      <c r="N110" s="58">
        <v>2306.5</v>
      </c>
      <c r="O110" s="58">
        <v>2347.1999999999998</v>
      </c>
      <c r="P110" s="58">
        <v>2333.6</v>
      </c>
      <c r="Q110" s="58">
        <v>2434.1999999999998</v>
      </c>
      <c r="R110" s="58">
        <v>2351</v>
      </c>
      <c r="S110" s="58">
        <v>2374.1</v>
      </c>
      <c r="T110" s="58">
        <v>2380.1</v>
      </c>
      <c r="U110" s="58">
        <v>2369.8000000000002</v>
      </c>
      <c r="V110" s="58">
        <v>2368.4</v>
      </c>
      <c r="W110" s="58">
        <v>9345.9</v>
      </c>
      <c r="X110" s="58">
        <v>9466</v>
      </c>
      <c r="Y110" s="58">
        <v>9492.4</v>
      </c>
      <c r="Z110" s="59">
        <v>4823.3</v>
      </c>
      <c r="AA110" s="59">
        <v>35.200000000000003</v>
      </c>
      <c r="AB110" s="59"/>
      <c r="AC110" s="59">
        <v>5.05</v>
      </c>
      <c r="AD110" s="59">
        <v>0</v>
      </c>
      <c r="AE110" s="59">
        <v>43.06</v>
      </c>
      <c r="AF110" s="59" t="s">
        <v>1098</v>
      </c>
      <c r="AG110" s="59">
        <v>0</v>
      </c>
      <c r="AH110" s="59"/>
      <c r="AI110" s="10">
        <f>SUM(Raw_Data[[#This Row],[Inv1]:[Inv3]])</f>
        <v>28304.300000000003</v>
      </c>
      <c r="AJ110" s="10">
        <f>(Raw_Data[[#This Row],[33 kV Outgoinng Export Reading]]-Z109)*1000</f>
        <v>28100.000000000364</v>
      </c>
      <c r="AK110" s="10">
        <f>(Raw_Data[[#This Row],[33 kV Outgoinng Import Reading]]-AA109)*1000</f>
        <v>200.00000000000284</v>
      </c>
      <c r="AL110" s="10">
        <f>Raw_Data[[#This Row],[Export  (kWh)]]-Raw_Data[[#This Row],[Import (kWh)]]</f>
        <v>27900.00000000036</v>
      </c>
      <c r="AM110" s="20">
        <f t="shared" ref="AM110:AM111" si="102">IFERROR((J110-I110)*24,"")</f>
        <v>13.433333333333334</v>
      </c>
    </row>
    <row r="111" spans="1:39" x14ac:dyDescent="0.25">
      <c r="A111" s="125">
        <f>YEAR(Raw_Data[[#This Row],[Date]])+IF(MONTH(Raw_Data[[#This Row],[Date]])&gt;=4,1,0)</f>
        <v>2026</v>
      </c>
      <c r="B111" s="41">
        <v>2025</v>
      </c>
      <c r="C111" s="59" t="s">
        <v>4</v>
      </c>
      <c r="D111" s="59" t="s">
        <v>4</v>
      </c>
      <c r="E111" s="6" t="str">
        <f>TEXT(Raw_Data[[#This Row],[Date]],"mmm-yy")</f>
        <v>Jul-25</v>
      </c>
      <c r="F111" s="41">
        <f>DAY(EOMONTH(Raw_Data[[#This Row],[Month Year]],0))</f>
        <v>31</v>
      </c>
      <c r="G111" s="42">
        <f t="shared" si="61"/>
        <v>45852</v>
      </c>
      <c r="H111" s="11">
        <f>'Modelling New'!$AR$1</f>
        <v>7.0991999999999997</v>
      </c>
      <c r="I111" s="40">
        <v>0.23472222222222222</v>
      </c>
      <c r="J111" s="40">
        <v>0.78194444444444444</v>
      </c>
      <c r="K111" s="58">
        <v>2586.9</v>
      </c>
      <c r="L111" s="58">
        <v>2655.6</v>
      </c>
      <c r="M111" s="58">
        <v>2565</v>
      </c>
      <c r="N111" s="58">
        <v>2566.1999999999998</v>
      </c>
      <c r="O111" s="58">
        <v>2605.6</v>
      </c>
      <c r="P111" s="58">
        <v>2590.6999999999998</v>
      </c>
      <c r="Q111" s="58">
        <v>2596</v>
      </c>
      <c r="R111" s="58">
        <v>2687.8</v>
      </c>
      <c r="S111" s="58">
        <v>2650.5</v>
      </c>
      <c r="T111" s="58">
        <v>2657.8</v>
      </c>
      <c r="U111" s="58">
        <v>2646</v>
      </c>
      <c r="V111" s="58">
        <v>2644.9</v>
      </c>
      <c r="W111" s="58">
        <v>10373.700000000001</v>
      </c>
      <c r="X111" s="58">
        <v>10480.1</v>
      </c>
      <c r="Y111" s="58">
        <v>10599.2</v>
      </c>
      <c r="Z111" s="59">
        <v>4854.5</v>
      </c>
      <c r="AA111" s="59">
        <v>35.4</v>
      </c>
      <c r="AB111" s="59"/>
      <c r="AC111" s="59">
        <v>5.69</v>
      </c>
      <c r="AD111" s="59">
        <v>0</v>
      </c>
      <c r="AE111" s="59">
        <v>44.79</v>
      </c>
      <c r="AF111" s="59" t="s">
        <v>1098</v>
      </c>
      <c r="AG111" s="59">
        <v>0</v>
      </c>
      <c r="AH111" s="59"/>
      <c r="AI111" s="10">
        <f>SUM(Raw_Data[[#This Row],[Inv1]:[Inv3]])</f>
        <v>31453.000000000004</v>
      </c>
      <c r="AJ111" s="10">
        <f>(Raw_Data[[#This Row],[33 kV Outgoinng Export Reading]]-Z110)*1000</f>
        <v>31199.999999999818</v>
      </c>
      <c r="AK111" s="10">
        <f>(Raw_Data[[#This Row],[33 kV Outgoinng Import Reading]]-AA110)*1000</f>
        <v>199.99999999999574</v>
      </c>
      <c r="AL111" s="10">
        <f>Raw_Data[[#This Row],[Export  (kWh)]]-Raw_Data[[#This Row],[Import (kWh)]]</f>
        <v>30999.999999999822</v>
      </c>
      <c r="AM111" s="20">
        <f t="shared" si="102"/>
        <v>13.133333333333335</v>
      </c>
    </row>
    <row r="112" spans="1:39" x14ac:dyDescent="0.25">
      <c r="A112" s="125">
        <f>YEAR(Raw_Data[[#This Row],[Date]])+IF(MONTH(Raw_Data[[#This Row],[Date]])&gt;=4,1,0)</f>
        <v>2026</v>
      </c>
      <c r="B112" s="41">
        <v>2025</v>
      </c>
      <c r="C112" s="59" t="s">
        <v>4</v>
      </c>
      <c r="D112" s="59" t="s">
        <v>4</v>
      </c>
      <c r="E112" s="6" t="str">
        <f>TEXT(Raw_Data[[#This Row],[Date]],"mmm-yy")</f>
        <v>Jul-25</v>
      </c>
      <c r="F112" s="41">
        <f>DAY(EOMONTH(Raw_Data[[#This Row],[Month Year]],0))</f>
        <v>31</v>
      </c>
      <c r="G112" s="42">
        <f t="shared" si="61"/>
        <v>45853</v>
      </c>
      <c r="H112" s="11">
        <f>'Modelling New'!$AR$1</f>
        <v>7.0991999999999997</v>
      </c>
      <c r="I112" s="40">
        <v>0.23541666666666666</v>
      </c>
      <c r="J112" s="40">
        <v>0.79652777777777772</v>
      </c>
      <c r="K112" s="58">
        <v>2178.1999999999998</v>
      </c>
      <c r="L112" s="58">
        <v>2163.9</v>
      </c>
      <c r="M112" s="58">
        <v>2245.9</v>
      </c>
      <c r="N112" s="58">
        <v>2162.1</v>
      </c>
      <c r="O112" s="58">
        <v>2281.6</v>
      </c>
      <c r="P112" s="58">
        <v>2183.3000000000002</v>
      </c>
      <c r="Q112" s="58">
        <v>2181.3000000000002</v>
      </c>
      <c r="R112" s="58">
        <v>2197.1</v>
      </c>
      <c r="S112" s="58">
        <v>2192.8000000000002</v>
      </c>
      <c r="T112" s="58">
        <v>2197.1999999999998</v>
      </c>
      <c r="U112" s="58">
        <v>2188.5</v>
      </c>
      <c r="V112" s="58">
        <v>2188</v>
      </c>
      <c r="W112" s="58">
        <v>8750.1</v>
      </c>
      <c r="X112" s="58">
        <v>8843.2999999999993</v>
      </c>
      <c r="Y112" s="58">
        <v>8766.5</v>
      </c>
      <c r="Z112" s="59">
        <v>4880.8</v>
      </c>
      <c r="AA112" s="59">
        <v>35.6</v>
      </c>
      <c r="AB112" s="59"/>
      <c r="AC112" s="59">
        <v>4.66</v>
      </c>
      <c r="AD112" s="59">
        <v>0</v>
      </c>
      <c r="AE112" s="59">
        <v>41.15</v>
      </c>
      <c r="AF112" s="59">
        <v>0</v>
      </c>
      <c r="AG112" s="59">
        <v>0</v>
      </c>
      <c r="AH112" s="59"/>
      <c r="AI112" s="10">
        <f>SUM(Raw_Data[[#This Row],[Inv1]:[Inv3]])</f>
        <v>26359.9</v>
      </c>
      <c r="AJ112" s="10">
        <f>(Raw_Data[[#This Row],[33 kV Outgoinng Export Reading]]-Z111)*1000</f>
        <v>26300.000000000182</v>
      </c>
      <c r="AK112" s="10">
        <f>(Raw_Data[[#This Row],[33 kV Outgoinng Import Reading]]-AA111)*1000</f>
        <v>200.00000000000284</v>
      </c>
      <c r="AL112" s="10">
        <f>Raw_Data[[#This Row],[Export  (kWh)]]-Raw_Data[[#This Row],[Import (kWh)]]</f>
        <v>26100.000000000178</v>
      </c>
      <c r="AM112" s="20">
        <f t="shared" ref="AM112" si="103">IFERROR((J112-I112)*24,"")</f>
        <v>13.466666666666667</v>
      </c>
    </row>
    <row r="113" spans="1:39" x14ac:dyDescent="0.25">
      <c r="A113" s="125">
        <f>YEAR(Raw_Data[[#This Row],[Date]])+IF(MONTH(Raw_Data[[#This Row],[Date]])&gt;=4,1,0)</f>
        <v>2026</v>
      </c>
      <c r="B113" s="41">
        <v>2025</v>
      </c>
      <c r="C113" s="59" t="s">
        <v>4</v>
      </c>
      <c r="D113" s="59" t="s">
        <v>4</v>
      </c>
      <c r="E113" s="6" t="str">
        <f>TEXT(Raw_Data[[#This Row],[Date]],"mmm-yy")</f>
        <v>Jul-25</v>
      </c>
      <c r="F113" s="41">
        <f>DAY(EOMONTH(Raw_Data[[#This Row],[Month Year]],0))</f>
        <v>31</v>
      </c>
      <c r="G113" s="42">
        <f t="shared" si="61"/>
        <v>45854</v>
      </c>
      <c r="H113" s="11">
        <f>'Modelling New'!$AR$1</f>
        <v>7.0991999999999997</v>
      </c>
      <c r="I113" s="40">
        <v>0.2361111111111111</v>
      </c>
      <c r="J113" s="40">
        <v>0.7944444444444444</v>
      </c>
      <c r="K113" s="58">
        <v>2284.6</v>
      </c>
      <c r="L113" s="58">
        <v>2206.9</v>
      </c>
      <c r="M113" s="58">
        <v>2192.1</v>
      </c>
      <c r="N113" s="58">
        <v>2193.5</v>
      </c>
      <c r="O113" s="58">
        <v>2259.4</v>
      </c>
      <c r="P113" s="58">
        <v>2245.5</v>
      </c>
      <c r="Q113" s="58">
        <v>2318.3000000000002</v>
      </c>
      <c r="R113" s="58">
        <v>2262.6999999999998</v>
      </c>
      <c r="S113" s="58">
        <v>2273.6999999999998</v>
      </c>
      <c r="T113" s="58">
        <v>2280</v>
      </c>
      <c r="U113" s="58">
        <v>2269.3000000000002</v>
      </c>
      <c r="V113" s="58">
        <v>2268.4</v>
      </c>
      <c r="W113" s="58">
        <v>8877.1</v>
      </c>
      <c r="X113" s="58">
        <v>9085.9</v>
      </c>
      <c r="Y113" s="58">
        <v>9091.4</v>
      </c>
      <c r="Z113" s="59">
        <v>4907.5</v>
      </c>
      <c r="AA113" s="59">
        <v>35.700000000000003</v>
      </c>
      <c r="AB113" s="59"/>
      <c r="AC113" s="59">
        <v>4.93</v>
      </c>
      <c r="AD113" s="59">
        <v>0</v>
      </c>
      <c r="AE113" s="59">
        <v>43.78</v>
      </c>
      <c r="AF113" s="59">
        <v>0</v>
      </c>
      <c r="AG113" s="59">
        <v>0</v>
      </c>
      <c r="AH113" s="59"/>
      <c r="AI113" s="10">
        <f>SUM(Raw_Data[[#This Row],[Inv1]:[Inv3]])</f>
        <v>27054.400000000001</v>
      </c>
      <c r="AJ113" s="10">
        <f>(Raw_Data[[#This Row],[33 kV Outgoinng Export Reading]]-Z112)*1000</f>
        <v>26699.999999999818</v>
      </c>
      <c r="AK113" s="10">
        <f>(Raw_Data[[#This Row],[33 kV Outgoinng Import Reading]]-AA112)*1000</f>
        <v>100.00000000000142</v>
      </c>
      <c r="AL113" s="10">
        <f>Raw_Data[[#This Row],[Export  (kWh)]]-Raw_Data[[#This Row],[Import (kWh)]]</f>
        <v>26599.999999999818</v>
      </c>
      <c r="AM113" s="20">
        <f t="shared" ref="AM113" si="104">IFERROR((J113-I113)*24,"")</f>
        <v>13.4</v>
      </c>
    </row>
    <row r="114" spans="1:39" x14ac:dyDescent="0.25">
      <c r="A114" s="125">
        <f>YEAR(Raw_Data[[#This Row],[Date]])+IF(MONTH(Raw_Data[[#This Row],[Date]])&gt;=4,1,0)</f>
        <v>2026</v>
      </c>
      <c r="B114" s="41">
        <v>2025</v>
      </c>
      <c r="C114" s="59" t="s">
        <v>4</v>
      </c>
      <c r="D114" s="59" t="s">
        <v>4</v>
      </c>
      <c r="E114" s="6" t="str">
        <f>TEXT(Raw_Data[[#This Row],[Date]],"mmm-yy")</f>
        <v>Jul-25</v>
      </c>
      <c r="F114" s="41">
        <f>DAY(EOMONTH(Raw_Data[[#This Row],[Month Year]],0))</f>
        <v>31</v>
      </c>
      <c r="G114" s="42">
        <f t="shared" si="61"/>
        <v>45855</v>
      </c>
      <c r="H114" s="11">
        <f>'Modelling New'!$AR$1</f>
        <v>7.0991999999999997</v>
      </c>
      <c r="I114" s="40">
        <v>0.2361111111111111</v>
      </c>
      <c r="J114" s="40">
        <v>0.78472222222222221</v>
      </c>
      <c r="K114" s="58">
        <v>2115.4</v>
      </c>
      <c r="L114" s="58">
        <v>2101.5</v>
      </c>
      <c r="M114" s="58">
        <v>2175.9</v>
      </c>
      <c r="N114" s="58">
        <v>2099.5</v>
      </c>
      <c r="O114" s="58">
        <v>2230.5</v>
      </c>
      <c r="P114" s="58">
        <v>2138.6</v>
      </c>
      <c r="Q114" s="58">
        <v>2139.4</v>
      </c>
      <c r="R114" s="58">
        <v>2154</v>
      </c>
      <c r="S114" s="58">
        <v>2179.4</v>
      </c>
      <c r="T114" s="58">
        <v>2184.9</v>
      </c>
      <c r="U114" s="58">
        <v>2175.6</v>
      </c>
      <c r="V114" s="58">
        <v>2174.1999999999998</v>
      </c>
      <c r="W114" s="58">
        <v>8492.2999999999993</v>
      </c>
      <c r="X114" s="58">
        <v>8662.5</v>
      </c>
      <c r="Y114" s="58">
        <v>8714.1</v>
      </c>
      <c r="Z114" s="59">
        <v>4933.3</v>
      </c>
      <c r="AA114" s="59">
        <v>35.9</v>
      </c>
      <c r="AB114" s="59"/>
      <c r="AC114" s="59">
        <v>4.57</v>
      </c>
      <c r="AD114" s="59">
        <v>0</v>
      </c>
      <c r="AE114" s="59">
        <v>44</v>
      </c>
      <c r="AF114" s="59">
        <v>0</v>
      </c>
      <c r="AG114" s="59">
        <v>0</v>
      </c>
      <c r="AH114" s="59"/>
      <c r="AI114" s="10">
        <f>SUM(Raw_Data[[#This Row],[Inv1]:[Inv3]])</f>
        <v>25868.9</v>
      </c>
      <c r="AJ114" s="10">
        <f>(Raw_Data[[#This Row],[33 kV Outgoinng Export Reading]]-Z113)*1000</f>
        <v>25800.000000000182</v>
      </c>
      <c r="AK114" s="10">
        <f>(Raw_Data[[#This Row],[33 kV Outgoinng Import Reading]]-AA113)*1000</f>
        <v>199.99999999999574</v>
      </c>
      <c r="AL114" s="10">
        <f>Raw_Data[[#This Row],[Export  (kWh)]]-Raw_Data[[#This Row],[Import (kWh)]]</f>
        <v>25600.000000000186</v>
      </c>
      <c r="AM114" s="20">
        <f t="shared" ref="AM114" si="105">IFERROR((J114-I114)*24,"")</f>
        <v>13.166666666666668</v>
      </c>
    </row>
    <row r="115" spans="1:39" x14ac:dyDescent="0.25">
      <c r="A115" s="125">
        <f>YEAR(Raw_Data[[#This Row],[Date]])+IF(MONTH(Raw_Data[[#This Row],[Date]])&gt;=4,1,0)</f>
        <v>2026</v>
      </c>
      <c r="B115" s="41">
        <v>2025</v>
      </c>
      <c r="C115" s="59" t="s">
        <v>4</v>
      </c>
      <c r="D115" s="59" t="s">
        <v>4</v>
      </c>
      <c r="E115" s="6" t="str">
        <f>TEXT(Raw_Data[[#This Row],[Date]],"mmm-yy")</f>
        <v>Jul-25</v>
      </c>
      <c r="F115" s="41">
        <f>DAY(EOMONTH(Raw_Data[[#This Row],[Month Year]],0))</f>
        <v>31</v>
      </c>
      <c r="G115" s="42">
        <f t="shared" si="61"/>
        <v>45856</v>
      </c>
      <c r="H115" s="11">
        <f>'Modelling New'!$AR$1</f>
        <v>7.0991999999999997</v>
      </c>
      <c r="I115" s="40">
        <v>0.23541666666666666</v>
      </c>
      <c r="J115" s="40">
        <v>0.7895833333333333</v>
      </c>
      <c r="K115" s="58">
        <v>1908.4</v>
      </c>
      <c r="L115" s="58">
        <v>1872.6</v>
      </c>
      <c r="M115" s="58">
        <v>1868.9</v>
      </c>
      <c r="N115" s="58">
        <v>1925</v>
      </c>
      <c r="O115" s="58">
        <v>1909.7</v>
      </c>
      <c r="P115" s="58">
        <v>1954.2</v>
      </c>
      <c r="Q115" s="58">
        <v>1924</v>
      </c>
      <c r="R115" s="58">
        <v>1912.9</v>
      </c>
      <c r="S115" s="58">
        <v>1753</v>
      </c>
      <c r="T115" s="58">
        <v>1759.4</v>
      </c>
      <c r="U115" s="58">
        <v>1752.4</v>
      </c>
      <c r="V115" s="58">
        <v>1751.6</v>
      </c>
      <c r="W115" s="58">
        <v>7574.9</v>
      </c>
      <c r="X115" s="58">
        <v>7700.8</v>
      </c>
      <c r="Y115" s="58">
        <v>7016.4</v>
      </c>
      <c r="Z115" s="59">
        <v>4955.3999999999996</v>
      </c>
      <c r="AA115" s="59">
        <v>36.1</v>
      </c>
      <c r="AB115" s="59"/>
      <c r="AC115" s="59">
        <v>4.16</v>
      </c>
      <c r="AD115" s="59">
        <v>0</v>
      </c>
      <c r="AE115" s="59">
        <v>41.85</v>
      </c>
      <c r="AF115" s="59">
        <v>0</v>
      </c>
      <c r="AG115" s="59">
        <v>0</v>
      </c>
      <c r="AH115" s="59"/>
      <c r="AI115" s="10">
        <f>SUM(Raw_Data[[#This Row],[Inv1]:[Inv3]])</f>
        <v>22292.1</v>
      </c>
      <c r="AJ115" s="10">
        <f>(Raw_Data[[#This Row],[33 kV Outgoinng Export Reading]]-Z114)*1000</f>
        <v>22099.999999999454</v>
      </c>
      <c r="AK115" s="10">
        <f>(Raw_Data[[#This Row],[33 kV Outgoinng Import Reading]]-AA114)*1000</f>
        <v>200.00000000000284</v>
      </c>
      <c r="AL115" s="10">
        <f>Raw_Data[[#This Row],[Export  (kWh)]]-Raw_Data[[#This Row],[Import (kWh)]]</f>
        <v>21899.999999999451</v>
      </c>
      <c r="AM115" s="20">
        <f t="shared" ref="AM115" si="106">IFERROR((J115-I115)*24,"")</f>
        <v>13.3</v>
      </c>
    </row>
    <row r="116" spans="1:39" x14ac:dyDescent="0.25">
      <c r="A116" s="125">
        <f>YEAR(Raw_Data[[#This Row],[Date]])+IF(MONTH(Raw_Data[[#This Row],[Date]])&gt;=4,1,0)</f>
        <v>2026</v>
      </c>
      <c r="B116" s="41">
        <v>2025</v>
      </c>
      <c r="C116" s="59" t="s">
        <v>4</v>
      </c>
      <c r="D116" s="59" t="s">
        <v>4</v>
      </c>
      <c r="E116" s="6" t="str">
        <f>TEXT(Raw_Data[[#This Row],[Date]],"mmm-yy")</f>
        <v>Jul-25</v>
      </c>
      <c r="F116" s="41">
        <f>DAY(EOMONTH(Raw_Data[[#This Row],[Month Year]],0))</f>
        <v>31</v>
      </c>
      <c r="G116" s="42">
        <f t="shared" si="61"/>
        <v>45857</v>
      </c>
      <c r="H116" s="11">
        <f>'Modelling New'!$AR$1</f>
        <v>7.0991999999999997</v>
      </c>
      <c r="I116" s="40">
        <v>0.23055555555555557</v>
      </c>
      <c r="J116" s="40">
        <v>0.77777777777777779</v>
      </c>
      <c r="K116" s="58">
        <v>1923.9</v>
      </c>
      <c r="L116" s="58">
        <v>1976.3</v>
      </c>
      <c r="M116" s="58">
        <v>1868.4</v>
      </c>
      <c r="N116" s="58">
        <v>1909.3</v>
      </c>
      <c r="O116" s="58">
        <v>1963.6</v>
      </c>
      <c r="P116" s="58">
        <v>1952.9</v>
      </c>
      <c r="Q116" s="58">
        <v>1953.8</v>
      </c>
      <c r="R116" s="58">
        <v>2031.2</v>
      </c>
      <c r="S116" s="58">
        <v>1931.2</v>
      </c>
      <c r="T116" s="58">
        <v>1935.6</v>
      </c>
      <c r="U116" s="58">
        <v>1927.5</v>
      </c>
      <c r="V116" s="58">
        <v>1926.6</v>
      </c>
      <c r="W116" s="58">
        <v>7677.9</v>
      </c>
      <c r="X116" s="58">
        <v>7901.5</v>
      </c>
      <c r="Y116" s="58">
        <v>7720.9</v>
      </c>
      <c r="Z116" s="59">
        <v>4978.6000000000004</v>
      </c>
      <c r="AA116" s="59">
        <v>36.299999999999997</v>
      </c>
      <c r="AB116" s="59"/>
      <c r="AC116" s="59">
        <v>4.13</v>
      </c>
      <c r="AD116" s="59">
        <v>0</v>
      </c>
      <c r="AE116" s="59">
        <v>40.92</v>
      </c>
      <c r="AF116" s="59">
        <v>0</v>
      </c>
      <c r="AG116" s="59">
        <v>0</v>
      </c>
      <c r="AH116" s="59"/>
      <c r="AI116" s="10">
        <f>SUM(Raw_Data[[#This Row],[Inv1]:[Inv3]])</f>
        <v>23300.3</v>
      </c>
      <c r="AJ116" s="10">
        <f>(Raw_Data[[#This Row],[33 kV Outgoinng Export Reading]]-Z115)*1000</f>
        <v>23200.000000000728</v>
      </c>
      <c r="AK116" s="10">
        <f>(Raw_Data[[#This Row],[33 kV Outgoinng Import Reading]]-AA115)*1000</f>
        <v>199.99999999999574</v>
      </c>
      <c r="AL116" s="10">
        <f>Raw_Data[[#This Row],[Export  (kWh)]]-Raw_Data[[#This Row],[Import (kWh)]]</f>
        <v>23000.000000000731</v>
      </c>
      <c r="AM116" s="20">
        <f t="shared" ref="AM116" si="107">IFERROR((J116-I116)*24,"")</f>
        <v>13.133333333333335</v>
      </c>
    </row>
    <row r="117" spans="1:39" x14ac:dyDescent="0.25">
      <c r="A117" s="125">
        <f>YEAR(Raw_Data[[#This Row],[Date]])+IF(MONTH(Raw_Data[[#This Row],[Date]])&gt;=4,1,0)</f>
        <v>2026</v>
      </c>
      <c r="B117" s="41">
        <v>2025</v>
      </c>
      <c r="C117" s="59" t="s">
        <v>4</v>
      </c>
      <c r="D117" s="59" t="s">
        <v>4</v>
      </c>
      <c r="E117" s="6" t="str">
        <f>TEXT(Raw_Data[[#This Row],[Date]],"mmm-yy")</f>
        <v>Jul-25</v>
      </c>
      <c r="F117" s="41">
        <f>DAY(EOMONTH(Raw_Data[[#This Row],[Month Year]],0))</f>
        <v>31</v>
      </c>
      <c r="G117" s="42">
        <f t="shared" si="61"/>
        <v>45858</v>
      </c>
      <c r="H117" s="11">
        <f>'Modelling New'!$AR$1</f>
        <v>7.0991999999999997</v>
      </c>
      <c r="I117" s="40">
        <v>0.2361111111111111</v>
      </c>
      <c r="J117" s="40">
        <v>0.78680555555555554</v>
      </c>
      <c r="K117" s="58">
        <v>2208.8000000000002</v>
      </c>
      <c r="L117" s="58">
        <v>2195.5</v>
      </c>
      <c r="M117" s="58">
        <v>2257.6</v>
      </c>
      <c r="N117" s="58">
        <v>2193</v>
      </c>
      <c r="O117" s="58">
        <v>2294.5</v>
      </c>
      <c r="P117" s="58">
        <v>2211.1</v>
      </c>
      <c r="Q117" s="58">
        <v>2210.9</v>
      </c>
      <c r="R117" s="58">
        <v>2227.4</v>
      </c>
      <c r="S117" s="58">
        <v>2205</v>
      </c>
      <c r="T117" s="58">
        <v>2210.6999999999998</v>
      </c>
      <c r="U117" s="58">
        <v>2200.6999999999998</v>
      </c>
      <c r="V117" s="58">
        <v>2199.1999999999998</v>
      </c>
      <c r="W117" s="58">
        <v>8854.9</v>
      </c>
      <c r="X117" s="58">
        <v>8943.9</v>
      </c>
      <c r="Y117" s="58">
        <v>8815.4</v>
      </c>
      <c r="Z117" s="59">
        <v>5004.8999999999996</v>
      </c>
      <c r="AA117" s="59">
        <v>36.5</v>
      </c>
      <c r="AB117" s="59"/>
      <c r="AC117" s="59">
        <v>4.63</v>
      </c>
      <c r="AD117" s="59">
        <v>0</v>
      </c>
      <c r="AE117" s="59">
        <v>42.28</v>
      </c>
      <c r="AF117" s="59">
        <v>0</v>
      </c>
      <c r="AG117" s="59">
        <v>0</v>
      </c>
      <c r="AH117" s="59"/>
      <c r="AI117" s="10">
        <f>SUM(Raw_Data[[#This Row],[Inv1]:[Inv3]])</f>
        <v>26614.199999999997</v>
      </c>
      <c r="AJ117" s="10">
        <f>(Raw_Data[[#This Row],[33 kV Outgoinng Export Reading]]-Z116)*1000</f>
        <v>26299.999999999272</v>
      </c>
      <c r="AK117" s="10">
        <f>(Raw_Data[[#This Row],[33 kV Outgoinng Import Reading]]-AA116)*1000</f>
        <v>200.00000000000284</v>
      </c>
      <c r="AL117" s="10">
        <f>Raw_Data[[#This Row],[Export  (kWh)]]-Raw_Data[[#This Row],[Import (kWh)]]</f>
        <v>26099.999999999269</v>
      </c>
      <c r="AM117" s="20">
        <f t="shared" ref="AM117" si="108">IFERROR((J117-I117)*24,"")</f>
        <v>13.216666666666665</v>
      </c>
    </row>
    <row r="118" spans="1:39" x14ac:dyDescent="0.25">
      <c r="A118" s="125">
        <f>YEAR(Raw_Data[[#This Row],[Date]])+IF(MONTH(Raw_Data[[#This Row],[Date]])&gt;=4,1,0)</f>
        <v>2026</v>
      </c>
      <c r="B118" s="41">
        <v>2025</v>
      </c>
      <c r="C118" s="59" t="s">
        <v>4</v>
      </c>
      <c r="D118" s="59" t="s">
        <v>4</v>
      </c>
      <c r="E118" s="6" t="str">
        <f>TEXT(Raw_Data[[#This Row],[Date]],"mmm-yy")</f>
        <v>Jul-25</v>
      </c>
      <c r="F118" s="41">
        <f>DAY(EOMONTH(Raw_Data[[#This Row],[Month Year]],0))</f>
        <v>31</v>
      </c>
      <c r="G118" s="42">
        <f t="shared" si="61"/>
        <v>45859</v>
      </c>
      <c r="H118" s="11">
        <f>'Modelling New'!$AR$1</f>
        <v>7.0991999999999997</v>
      </c>
      <c r="I118" s="40">
        <v>0.23472222222222222</v>
      </c>
      <c r="J118" s="40">
        <v>0.77777777777777779</v>
      </c>
      <c r="K118" s="58">
        <v>1702.8</v>
      </c>
      <c r="L118" s="58">
        <v>1692.9</v>
      </c>
      <c r="M118" s="58">
        <v>1684.5</v>
      </c>
      <c r="N118" s="58">
        <v>1780.3</v>
      </c>
      <c r="O118" s="58">
        <v>1709.3</v>
      </c>
      <c r="P118" s="58">
        <v>1789.2</v>
      </c>
      <c r="Q118" s="58">
        <v>1698.7</v>
      </c>
      <c r="R118" s="58">
        <v>1712.9</v>
      </c>
      <c r="S118" s="58">
        <v>1728.2</v>
      </c>
      <c r="T118" s="58">
        <v>1730.3</v>
      </c>
      <c r="U118" s="58">
        <v>1723.3</v>
      </c>
      <c r="V118" s="58">
        <v>1722.5</v>
      </c>
      <c r="W118" s="58">
        <v>6860.5</v>
      </c>
      <c r="X118" s="58">
        <v>6910.1</v>
      </c>
      <c r="Y118" s="58">
        <v>6904.3</v>
      </c>
      <c r="Z118" s="59">
        <v>5025.5</v>
      </c>
      <c r="AA118" s="59">
        <v>36.700000000000003</v>
      </c>
      <c r="AB118" s="59"/>
      <c r="AC118" s="59">
        <v>3.56</v>
      </c>
      <c r="AD118" s="59">
        <v>0</v>
      </c>
      <c r="AE118" s="59">
        <v>38.99</v>
      </c>
      <c r="AF118" s="59">
        <v>0</v>
      </c>
      <c r="AG118" s="59">
        <v>0</v>
      </c>
      <c r="AH118" s="59"/>
      <c r="AI118" s="10">
        <f>SUM(Raw_Data[[#This Row],[Inv1]:[Inv3]])</f>
        <v>20674.900000000001</v>
      </c>
      <c r="AJ118" s="10">
        <f>(Raw_Data[[#This Row],[33 kV Outgoinng Export Reading]]-Z117)*1000</f>
        <v>20600.000000000364</v>
      </c>
      <c r="AK118" s="10">
        <f>(Raw_Data[[#This Row],[33 kV Outgoinng Import Reading]]-AA117)*1000</f>
        <v>200.00000000000284</v>
      </c>
      <c r="AL118" s="10">
        <f>Raw_Data[[#This Row],[Export  (kWh)]]-Raw_Data[[#This Row],[Import (kWh)]]</f>
        <v>20400.00000000036</v>
      </c>
      <c r="AM118" s="20">
        <f t="shared" ref="AM118" si="109">IFERROR((J118-I118)*24,"")</f>
        <v>13.033333333333335</v>
      </c>
    </row>
    <row r="119" spans="1:39" x14ac:dyDescent="0.25">
      <c r="A119" s="125">
        <f>YEAR(Raw_Data[[#This Row],[Date]])+IF(MONTH(Raw_Data[[#This Row],[Date]])&gt;=4,1,0)</f>
        <v>2026</v>
      </c>
      <c r="B119" s="41">
        <v>2025</v>
      </c>
      <c r="C119" s="59" t="s">
        <v>4</v>
      </c>
      <c r="D119" s="59" t="s">
        <v>4</v>
      </c>
      <c r="E119" s="6" t="str">
        <f>TEXT(Raw_Data[[#This Row],[Date]],"mmm-yy")</f>
        <v>Jul-25</v>
      </c>
      <c r="F119" s="41">
        <f>DAY(EOMONTH(Raw_Data[[#This Row],[Month Year]],0))</f>
        <v>31</v>
      </c>
      <c r="G119" s="42">
        <f t="shared" si="61"/>
        <v>45860</v>
      </c>
      <c r="H119" s="11">
        <f>'Modelling New'!$AR$1</f>
        <v>7.0991999999999997</v>
      </c>
      <c r="I119" s="40">
        <v>0.2326388888888889</v>
      </c>
      <c r="J119" s="40">
        <v>0.78611111111111109</v>
      </c>
      <c r="K119" s="58">
        <v>2169.8000000000002</v>
      </c>
      <c r="L119" s="58">
        <v>2070.1</v>
      </c>
      <c r="M119" s="58">
        <v>2062.4</v>
      </c>
      <c r="N119" s="58">
        <v>2067.8000000000002</v>
      </c>
      <c r="O119" s="58">
        <v>2117</v>
      </c>
      <c r="P119" s="58">
        <v>2104.6</v>
      </c>
      <c r="Q119" s="58">
        <v>2195.6999999999998</v>
      </c>
      <c r="R119" s="58">
        <v>2120.3000000000002</v>
      </c>
      <c r="S119" s="58">
        <v>2164.8000000000002</v>
      </c>
      <c r="T119" s="58">
        <v>2169.1999999999998</v>
      </c>
      <c r="U119" s="58">
        <v>2158.9</v>
      </c>
      <c r="V119" s="58">
        <v>2158.5</v>
      </c>
      <c r="W119" s="58">
        <v>8370.1</v>
      </c>
      <c r="X119" s="58">
        <v>8537.6</v>
      </c>
      <c r="Y119" s="58">
        <v>8651.4</v>
      </c>
      <c r="Z119" s="59">
        <v>5050.8999999999996</v>
      </c>
      <c r="AA119" s="59">
        <v>36.9</v>
      </c>
      <c r="AB119" s="59"/>
      <c r="AC119" s="59">
        <v>4.5599999999999996</v>
      </c>
      <c r="AD119" s="59">
        <v>0</v>
      </c>
      <c r="AE119" s="59">
        <v>41</v>
      </c>
      <c r="AF119" s="59">
        <v>0</v>
      </c>
      <c r="AG119" s="59">
        <v>0</v>
      </c>
      <c r="AH119" s="59"/>
      <c r="AI119" s="10">
        <f>SUM(Raw_Data[[#This Row],[Inv1]:[Inv3]])</f>
        <v>25559.1</v>
      </c>
      <c r="AJ119" s="10">
        <f>(Raw_Data[[#This Row],[33 kV Outgoinng Export Reading]]-Z118)*1000</f>
        <v>25399.999999999636</v>
      </c>
      <c r="AK119" s="10">
        <f>(Raw_Data[[#This Row],[33 kV Outgoinng Import Reading]]-AA118)*1000</f>
        <v>199.99999999999574</v>
      </c>
      <c r="AL119" s="10">
        <f>Raw_Data[[#This Row],[Export  (kWh)]]-Raw_Data[[#This Row],[Import (kWh)]]</f>
        <v>25199.99999999964</v>
      </c>
      <c r="AM119" s="20">
        <f t="shared" ref="AM119" si="110">IFERROR((J119-I119)*24,"")</f>
        <v>13.283333333333331</v>
      </c>
    </row>
    <row r="120" spans="1:39" x14ac:dyDescent="0.25">
      <c r="A120" s="125">
        <f>YEAR(Raw_Data[[#This Row],[Date]])+IF(MONTH(Raw_Data[[#This Row],[Date]])&gt;=4,1,0)</f>
        <v>2026</v>
      </c>
      <c r="B120" s="41">
        <v>2025</v>
      </c>
      <c r="C120" s="59" t="s">
        <v>4</v>
      </c>
      <c r="D120" s="59" t="s">
        <v>4</v>
      </c>
      <c r="E120" s="6" t="str">
        <f>TEXT(Raw_Data[[#This Row],[Date]],"mmm-yy")</f>
        <v>Jul-25</v>
      </c>
      <c r="F120" s="41">
        <f>DAY(EOMONTH(Raw_Data[[#This Row],[Month Year]],0))</f>
        <v>31</v>
      </c>
      <c r="G120" s="42">
        <f t="shared" si="61"/>
        <v>45861</v>
      </c>
      <c r="H120" s="11">
        <f>'Modelling New'!$AR$1</f>
        <v>7.0991999999999997</v>
      </c>
      <c r="I120" s="40">
        <v>0.24166666666666667</v>
      </c>
      <c r="J120" s="40">
        <v>0.77777777777777779</v>
      </c>
      <c r="K120" s="58">
        <v>876.2</v>
      </c>
      <c r="L120" s="58">
        <v>995.8</v>
      </c>
      <c r="M120" s="58">
        <v>862.6</v>
      </c>
      <c r="N120" s="58">
        <v>869.8</v>
      </c>
      <c r="O120" s="58">
        <v>902</v>
      </c>
      <c r="P120" s="58">
        <v>896.2</v>
      </c>
      <c r="Q120" s="58">
        <v>894.2</v>
      </c>
      <c r="R120" s="58">
        <v>1032.5</v>
      </c>
      <c r="S120" s="58">
        <v>943.3</v>
      </c>
      <c r="T120" s="58">
        <v>940.7</v>
      </c>
      <c r="U120" s="58">
        <v>938.6</v>
      </c>
      <c r="V120" s="58">
        <v>938.5</v>
      </c>
      <c r="W120" s="58">
        <v>3604.4</v>
      </c>
      <c r="X120" s="58">
        <v>3724.9</v>
      </c>
      <c r="Y120" s="58">
        <v>3761.1</v>
      </c>
      <c r="Z120" s="59">
        <v>5061.8</v>
      </c>
      <c r="AA120" s="59">
        <v>37.1</v>
      </c>
      <c r="AB120" s="59"/>
      <c r="AC120" s="59">
        <v>1.82</v>
      </c>
      <c r="AD120" s="59">
        <v>0</v>
      </c>
      <c r="AE120" s="59">
        <v>32.479999999999997</v>
      </c>
      <c r="AF120" s="59">
        <v>0</v>
      </c>
      <c r="AG120" s="59">
        <v>0</v>
      </c>
      <c r="AH120" s="59"/>
      <c r="AI120" s="10">
        <f>SUM(Raw_Data[[#This Row],[Inv1]:[Inv3]])</f>
        <v>11090.4</v>
      </c>
      <c r="AJ120" s="10">
        <f>(Raw_Data[[#This Row],[33 kV Outgoinng Export Reading]]-Z119)*1000</f>
        <v>10900.000000000546</v>
      </c>
      <c r="AK120" s="10">
        <f>(Raw_Data[[#This Row],[33 kV Outgoinng Import Reading]]-AA119)*1000</f>
        <v>200.00000000000284</v>
      </c>
      <c r="AL120" s="10">
        <f>Raw_Data[[#This Row],[Export  (kWh)]]-Raw_Data[[#This Row],[Import (kWh)]]</f>
        <v>10700.000000000542</v>
      </c>
      <c r="AM120" s="20">
        <f t="shared" ref="AM120" si="111">IFERROR((J120-I120)*24,"")</f>
        <v>12.866666666666667</v>
      </c>
    </row>
    <row r="121" spans="1:39" x14ac:dyDescent="0.25">
      <c r="A121" s="125">
        <f>YEAR(Raw_Data[[#This Row],[Date]])+IF(MONTH(Raw_Data[[#This Row],[Date]])&gt;=4,1,0)</f>
        <v>2026</v>
      </c>
      <c r="B121" s="41">
        <v>2025</v>
      </c>
      <c r="C121" s="59" t="s">
        <v>4</v>
      </c>
      <c r="D121" s="59" t="s">
        <v>4</v>
      </c>
      <c r="E121" s="6" t="str">
        <f>TEXT(Raw_Data[[#This Row],[Date]],"mmm-yy")</f>
        <v>Jul-25</v>
      </c>
      <c r="F121" s="41">
        <f>DAY(EOMONTH(Raw_Data[[#This Row],[Month Year]],0))</f>
        <v>31</v>
      </c>
      <c r="G121" s="42">
        <f t="shared" si="61"/>
        <v>45862</v>
      </c>
      <c r="H121" s="11">
        <f>'Modelling New'!$AR$1</f>
        <v>7.0991999999999997</v>
      </c>
      <c r="I121" s="40">
        <v>0.2361111111111111</v>
      </c>
      <c r="J121" s="40">
        <v>0.77916666666666667</v>
      </c>
      <c r="K121" s="58">
        <v>673.3</v>
      </c>
      <c r="L121" s="58">
        <v>669.4</v>
      </c>
      <c r="M121" s="58">
        <v>786.5</v>
      </c>
      <c r="N121" s="58">
        <v>668.1</v>
      </c>
      <c r="O121" s="58">
        <v>974.4</v>
      </c>
      <c r="P121" s="58">
        <v>844.6</v>
      </c>
      <c r="Q121" s="58">
        <v>842.6</v>
      </c>
      <c r="R121" s="58">
        <v>854</v>
      </c>
      <c r="S121" s="58">
        <v>880.5</v>
      </c>
      <c r="T121" s="58">
        <v>877.1</v>
      </c>
      <c r="U121" s="58">
        <v>875.7</v>
      </c>
      <c r="V121" s="58">
        <v>876.2</v>
      </c>
      <c r="W121" s="58">
        <v>2797.3</v>
      </c>
      <c r="X121" s="58">
        <v>3515.6</v>
      </c>
      <c r="Y121" s="58">
        <v>3509.5</v>
      </c>
      <c r="Z121" s="59">
        <v>5071.6000000000004</v>
      </c>
      <c r="AA121" s="59">
        <v>37.4</v>
      </c>
      <c r="AB121" s="59"/>
      <c r="AC121" s="59">
        <v>1.68</v>
      </c>
      <c r="AD121" s="59">
        <v>0</v>
      </c>
      <c r="AE121" s="59">
        <v>29.95</v>
      </c>
      <c r="AF121" s="59">
        <v>0</v>
      </c>
      <c r="AG121" s="59">
        <v>0</v>
      </c>
      <c r="AH121" s="59"/>
      <c r="AI121" s="10">
        <f>SUM(Raw_Data[[#This Row],[Inv1]:[Inv3]])</f>
        <v>9822.4</v>
      </c>
      <c r="AJ121" s="10">
        <f>(Raw_Data[[#This Row],[33 kV Outgoinng Export Reading]]-Z120)*1000</f>
        <v>9800.0000000001819</v>
      </c>
      <c r="AK121" s="10">
        <f>(Raw_Data[[#This Row],[33 kV Outgoinng Import Reading]]-AA120)*1000</f>
        <v>299.99999999999716</v>
      </c>
      <c r="AL121" s="10">
        <f>Raw_Data[[#This Row],[Export  (kWh)]]-Raw_Data[[#This Row],[Import (kWh)]]</f>
        <v>9500.0000000001855</v>
      </c>
      <c r="AM121" s="20">
        <f t="shared" ref="AM121" si="112">IFERROR((J121-I121)*24,"")</f>
        <v>13.033333333333335</v>
      </c>
    </row>
    <row r="122" spans="1:39" x14ac:dyDescent="0.25">
      <c r="A122" s="125">
        <f>YEAR(Raw_Data[[#This Row],[Date]])+IF(MONTH(Raw_Data[[#This Row],[Date]])&gt;=4,1,0)</f>
        <v>2026</v>
      </c>
      <c r="B122" s="41">
        <v>2025</v>
      </c>
      <c r="C122" s="59" t="s">
        <v>4</v>
      </c>
      <c r="D122" s="59" t="s">
        <v>4</v>
      </c>
      <c r="E122" s="6" t="str">
        <f>TEXT(Raw_Data[[#This Row],[Date]],"mmm-yy")</f>
        <v>Jul-25</v>
      </c>
      <c r="F122" s="41">
        <f>DAY(EOMONTH(Raw_Data[[#This Row],[Month Year]],0))</f>
        <v>31</v>
      </c>
      <c r="G122" s="42">
        <f t="shared" si="61"/>
        <v>45863</v>
      </c>
      <c r="H122" s="11">
        <f>'Modelling New'!$AR$1</f>
        <v>7.0991999999999997</v>
      </c>
      <c r="I122" s="40">
        <v>0.2361111111111111</v>
      </c>
      <c r="J122" s="40">
        <v>0.77083333333333337</v>
      </c>
      <c r="K122" s="58">
        <v>1018.3</v>
      </c>
      <c r="L122" s="58">
        <v>1094.7</v>
      </c>
      <c r="M122" s="58">
        <v>1002.7</v>
      </c>
      <c r="N122" s="58">
        <v>1010.6</v>
      </c>
      <c r="O122" s="58">
        <v>1041.2</v>
      </c>
      <c r="P122" s="58">
        <v>1118.4000000000001</v>
      </c>
      <c r="Q122" s="58">
        <v>1032.5999999999999</v>
      </c>
      <c r="R122" s="58">
        <v>1944.5</v>
      </c>
      <c r="S122" s="58">
        <v>1062.3</v>
      </c>
      <c r="T122" s="58">
        <v>1060.5</v>
      </c>
      <c r="U122" s="58">
        <v>1058.2</v>
      </c>
      <c r="V122" s="58">
        <v>1058.3</v>
      </c>
      <c r="W122" s="58">
        <v>4126.3</v>
      </c>
      <c r="X122" s="58">
        <v>4236.7</v>
      </c>
      <c r="Y122" s="58">
        <v>4239.3</v>
      </c>
      <c r="Z122" s="59">
        <v>5084.1000000000004</v>
      </c>
      <c r="AA122" s="59">
        <v>37.6</v>
      </c>
      <c r="AB122" s="59"/>
      <c r="AC122" s="59">
        <v>2.06</v>
      </c>
      <c r="AD122" s="59">
        <v>0</v>
      </c>
      <c r="AE122" s="59">
        <v>31.81</v>
      </c>
      <c r="AF122" s="59">
        <v>0</v>
      </c>
      <c r="AG122" s="59">
        <v>0</v>
      </c>
      <c r="AH122" s="59"/>
      <c r="AI122" s="10">
        <f>SUM(Raw_Data[[#This Row],[Inv1]:[Inv3]])</f>
        <v>12602.3</v>
      </c>
      <c r="AJ122" s="10">
        <f>(Raw_Data[[#This Row],[33 kV Outgoinng Export Reading]]-Z121)*1000</f>
        <v>12500</v>
      </c>
      <c r="AK122" s="10">
        <f>(Raw_Data[[#This Row],[33 kV Outgoinng Import Reading]]-AA121)*1000</f>
        <v>200.00000000000284</v>
      </c>
      <c r="AL122" s="10">
        <f>Raw_Data[[#This Row],[Export  (kWh)]]-Raw_Data[[#This Row],[Import (kWh)]]</f>
        <v>12299.999999999996</v>
      </c>
      <c r="AM122" s="20">
        <f t="shared" ref="AM122" si="113">IFERROR((J122-I122)*24,"")</f>
        <v>12.833333333333336</v>
      </c>
    </row>
    <row r="123" spans="1:39" x14ac:dyDescent="0.25">
      <c r="A123" s="125">
        <f>YEAR(Raw_Data[[#This Row],[Date]])+IF(MONTH(Raw_Data[[#This Row],[Date]])&gt;=4,1,0)</f>
        <v>2026</v>
      </c>
      <c r="B123" s="41">
        <v>2025</v>
      </c>
      <c r="C123" s="59" t="s">
        <v>4</v>
      </c>
      <c r="D123" s="59" t="s">
        <v>4</v>
      </c>
      <c r="E123" s="6" t="str">
        <f>TEXT(Raw_Data[[#This Row],[Date]],"mmm-yy")</f>
        <v>Jul-25</v>
      </c>
      <c r="F123" s="41">
        <f>DAY(EOMONTH(Raw_Data[[#This Row],[Month Year]],0))</f>
        <v>31</v>
      </c>
      <c r="G123" s="42">
        <f t="shared" si="61"/>
        <v>45864</v>
      </c>
      <c r="H123" s="11">
        <f>'Modelling New'!$AR$1</f>
        <v>7.0991999999999997</v>
      </c>
      <c r="I123" s="40">
        <v>0.23472222222222222</v>
      </c>
      <c r="J123" s="40">
        <v>0.77222222222222225</v>
      </c>
      <c r="K123" s="58">
        <v>509.3</v>
      </c>
      <c r="L123" s="58">
        <v>506.4</v>
      </c>
      <c r="M123" s="58">
        <v>665.6</v>
      </c>
      <c r="N123" s="58">
        <v>505.7</v>
      </c>
      <c r="O123" s="58">
        <v>517</v>
      </c>
      <c r="P123" s="58">
        <v>513.20000000000005</v>
      </c>
      <c r="Q123" s="58">
        <v>657.2</v>
      </c>
      <c r="R123" s="58">
        <v>521.29999999999995</v>
      </c>
      <c r="S123" s="58">
        <v>549.79999999999995</v>
      </c>
      <c r="T123" s="58">
        <v>544.4</v>
      </c>
      <c r="U123" s="58">
        <v>545.29999999999995</v>
      </c>
      <c r="V123" s="58">
        <v>546</v>
      </c>
      <c r="W123" s="58">
        <v>2187</v>
      </c>
      <c r="X123" s="58">
        <v>2208.6999999999998</v>
      </c>
      <c r="Y123" s="58">
        <v>2185.5</v>
      </c>
      <c r="Z123" s="59">
        <v>5090.6000000000004</v>
      </c>
      <c r="AA123" s="59">
        <v>37.799999999999997</v>
      </c>
      <c r="AB123" s="59"/>
      <c r="AC123" s="59">
        <v>1.06</v>
      </c>
      <c r="AD123" s="59">
        <v>0</v>
      </c>
      <c r="AE123" s="59">
        <v>30.23</v>
      </c>
      <c r="AF123" s="59">
        <v>0</v>
      </c>
      <c r="AG123" s="59">
        <v>0</v>
      </c>
      <c r="AH123" s="59"/>
      <c r="AI123" s="10">
        <f>SUM(Raw_Data[[#This Row],[Inv1]:[Inv3]])</f>
        <v>6581.2</v>
      </c>
      <c r="AJ123" s="10">
        <f>(Raw_Data[[#This Row],[33 kV Outgoinng Export Reading]]-Z122)*1000</f>
        <v>6500</v>
      </c>
      <c r="AK123" s="10">
        <f>(Raw_Data[[#This Row],[33 kV Outgoinng Import Reading]]-AA122)*1000</f>
        <v>199.99999999999574</v>
      </c>
      <c r="AL123" s="10">
        <f>Raw_Data[[#This Row],[Export  (kWh)]]-Raw_Data[[#This Row],[Import (kWh)]]</f>
        <v>6300.0000000000045</v>
      </c>
      <c r="AM123" s="20">
        <f t="shared" ref="AM123" si="114">IFERROR((J123-I123)*24,"")</f>
        <v>12.900000000000002</v>
      </c>
    </row>
    <row r="124" spans="1:39" x14ac:dyDescent="0.25">
      <c r="A124" s="125">
        <f>YEAR(Raw_Data[[#This Row],[Date]])+IF(MONTH(Raw_Data[[#This Row],[Date]])&gt;=4,1,0)</f>
        <v>2026</v>
      </c>
      <c r="B124" s="41">
        <v>2025</v>
      </c>
      <c r="C124" s="59" t="s">
        <v>4</v>
      </c>
      <c r="D124" s="59" t="s">
        <v>4</v>
      </c>
      <c r="E124" s="6" t="str">
        <f>TEXT(Raw_Data[[#This Row],[Date]],"mmm-yy")</f>
        <v>Jul-25</v>
      </c>
      <c r="F124" s="41">
        <f>DAY(EOMONTH(Raw_Data[[#This Row],[Month Year]],0))</f>
        <v>31</v>
      </c>
      <c r="G124" s="42">
        <f t="shared" si="61"/>
        <v>45865</v>
      </c>
      <c r="H124" s="11">
        <f>'Modelling New'!$AR$1</f>
        <v>7.0991999999999997</v>
      </c>
      <c r="I124" s="40">
        <v>0.23402777777777778</v>
      </c>
      <c r="J124" s="40">
        <v>0.77083333333333337</v>
      </c>
      <c r="K124" s="58">
        <v>1777.4</v>
      </c>
      <c r="L124" s="58" t="s">
        <v>1104</v>
      </c>
      <c r="M124" s="58">
        <v>1759.3</v>
      </c>
      <c r="N124" s="58">
        <v>1765.6</v>
      </c>
      <c r="O124" s="58">
        <v>1838.7</v>
      </c>
      <c r="P124" s="58">
        <v>1900.9</v>
      </c>
      <c r="Q124" s="58">
        <v>1827.7</v>
      </c>
      <c r="R124" s="58" t="s">
        <v>1105</v>
      </c>
      <c r="S124" s="58">
        <v>1830.3</v>
      </c>
      <c r="T124" s="58">
        <v>1834.4</v>
      </c>
      <c r="U124" s="58">
        <v>1827.5</v>
      </c>
      <c r="V124" s="58">
        <v>1826.6</v>
      </c>
      <c r="W124" s="58">
        <v>7144</v>
      </c>
      <c r="X124" s="58">
        <v>7408.6</v>
      </c>
      <c r="Y124" s="58">
        <v>7318.8</v>
      </c>
      <c r="Z124" s="59">
        <v>5112.3999999999996</v>
      </c>
      <c r="AA124" s="59">
        <v>38</v>
      </c>
      <c r="AB124" s="59"/>
      <c r="AC124" s="59">
        <v>4.91</v>
      </c>
      <c r="AD124" s="59">
        <v>0</v>
      </c>
      <c r="AE124" s="59">
        <v>40.340000000000003</v>
      </c>
      <c r="AF124" s="59">
        <v>0</v>
      </c>
      <c r="AG124" s="59">
        <v>0</v>
      </c>
      <c r="AH124" s="59"/>
      <c r="AI124" s="10">
        <f>SUM(Raw_Data[[#This Row],[Inv1]:[Inv3]])</f>
        <v>21871.4</v>
      </c>
      <c r="AJ124" s="10">
        <f>(Raw_Data[[#This Row],[33 kV Outgoinng Export Reading]]-Z123)*1000</f>
        <v>21799.999999999272</v>
      </c>
      <c r="AK124" s="10">
        <f>(Raw_Data[[#This Row],[33 kV Outgoinng Import Reading]]-AA123)*1000</f>
        <v>200.00000000000284</v>
      </c>
      <c r="AL124" s="10">
        <f>Raw_Data[[#This Row],[Export  (kWh)]]-Raw_Data[[#This Row],[Import (kWh)]]</f>
        <v>21599.999999999269</v>
      </c>
      <c r="AM124" s="20">
        <f t="shared" ref="AM124" si="115">IFERROR((J124-I124)*24,"")</f>
        <v>12.883333333333333</v>
      </c>
    </row>
    <row r="125" spans="1:39" x14ac:dyDescent="0.25">
      <c r="A125" s="125">
        <f>YEAR(Raw_Data[[#This Row],[Date]])+IF(MONTH(Raw_Data[[#This Row],[Date]])&gt;=4,1,0)</f>
        <v>2026</v>
      </c>
      <c r="B125" s="41">
        <v>2025</v>
      </c>
      <c r="C125" s="59" t="s">
        <v>4</v>
      </c>
      <c r="D125" s="59" t="s">
        <v>4</v>
      </c>
      <c r="E125" s="6" t="str">
        <f>TEXT(Raw_Data[[#This Row],[Date]],"mmm-yy")</f>
        <v>Jul-25</v>
      </c>
      <c r="F125" s="41">
        <f>DAY(EOMONTH(Raw_Data[[#This Row],[Month Year]],0))</f>
        <v>31</v>
      </c>
      <c r="G125" s="42">
        <f t="shared" si="61"/>
        <v>45866</v>
      </c>
      <c r="H125" s="11">
        <f>'Modelling New'!$AR$1</f>
        <v>7.0991999999999997</v>
      </c>
      <c r="I125" s="40">
        <v>0.24097222222222223</v>
      </c>
      <c r="J125" s="40">
        <v>0.7895833333333333</v>
      </c>
      <c r="K125" s="58">
        <v>2307.4</v>
      </c>
      <c r="L125" s="58">
        <v>2293.9</v>
      </c>
      <c r="M125" s="58">
        <v>2286.3000000000002</v>
      </c>
      <c r="N125" s="58">
        <v>2358.4</v>
      </c>
      <c r="O125" s="58">
        <v>2299.9</v>
      </c>
      <c r="P125" s="58">
        <v>2285.6</v>
      </c>
      <c r="Q125" s="58">
        <v>2354.1999999999998</v>
      </c>
      <c r="R125" s="58">
        <v>2302.9</v>
      </c>
      <c r="S125" s="58">
        <v>2316</v>
      </c>
      <c r="T125" s="58">
        <v>2323</v>
      </c>
      <c r="U125" s="58">
        <v>2312.9</v>
      </c>
      <c r="V125" s="58">
        <v>2311.6999999999998</v>
      </c>
      <c r="W125" s="58">
        <v>9246</v>
      </c>
      <c r="X125" s="58">
        <v>9242.6</v>
      </c>
      <c r="Y125" s="58">
        <v>9263.6</v>
      </c>
      <c r="Z125" s="59">
        <v>5140</v>
      </c>
      <c r="AA125" s="59">
        <v>38.299999999999997</v>
      </c>
      <c r="AB125" s="59"/>
      <c r="AC125" s="59">
        <v>4.9800000000000004</v>
      </c>
      <c r="AD125" s="59">
        <v>0</v>
      </c>
      <c r="AE125" s="59">
        <v>39.79</v>
      </c>
      <c r="AF125" s="59">
        <v>0</v>
      </c>
      <c r="AG125" s="59">
        <v>0</v>
      </c>
      <c r="AH125" s="59"/>
      <c r="AI125" s="10">
        <f>SUM(Raw_Data[[#This Row],[Inv1]:[Inv3]])</f>
        <v>27752.199999999997</v>
      </c>
      <c r="AJ125" s="10">
        <f>(Raw_Data[[#This Row],[33 kV Outgoinng Export Reading]]-Z124)*1000</f>
        <v>27600.000000000364</v>
      </c>
      <c r="AK125" s="10">
        <f>(Raw_Data[[#This Row],[33 kV Outgoinng Import Reading]]-AA124)*1000</f>
        <v>299.99999999999716</v>
      </c>
      <c r="AL125" s="10">
        <f>Raw_Data[[#This Row],[Export  (kWh)]]-Raw_Data[[#This Row],[Import (kWh)]]</f>
        <v>27300.000000000367</v>
      </c>
      <c r="AM125" s="20">
        <f t="shared" ref="AM125" si="116">IFERROR((J125-I125)*24,"")</f>
        <v>13.166666666666664</v>
      </c>
    </row>
    <row r="126" spans="1:39" x14ac:dyDescent="0.25">
      <c r="A126" s="125">
        <f>YEAR(Raw_Data[[#This Row],[Date]])+IF(MONTH(Raw_Data[[#This Row],[Date]])&gt;=4,1,0)</f>
        <v>2026</v>
      </c>
      <c r="B126" s="41">
        <v>2025</v>
      </c>
      <c r="C126" s="59" t="s">
        <v>4</v>
      </c>
      <c r="D126" s="59" t="s">
        <v>4</v>
      </c>
      <c r="E126" s="6" t="str">
        <f>TEXT(Raw_Data[[#This Row],[Date]],"mmm-yy")</f>
        <v>Jul-25</v>
      </c>
      <c r="F126" s="41">
        <f>DAY(EOMONTH(Raw_Data[[#This Row],[Month Year]],0))</f>
        <v>31</v>
      </c>
      <c r="G126" s="42">
        <f t="shared" si="61"/>
        <v>45867</v>
      </c>
      <c r="H126" s="11">
        <f>'Modelling New'!$AR$1</f>
        <v>7.0991999999999997</v>
      </c>
      <c r="I126" s="40">
        <v>0.23541666666666666</v>
      </c>
      <c r="J126" s="40">
        <v>0.78055555555555556</v>
      </c>
      <c r="K126" s="58">
        <v>2049.8000000000002</v>
      </c>
      <c r="L126" s="58">
        <v>2005.6</v>
      </c>
      <c r="M126" s="58">
        <v>1997.9</v>
      </c>
      <c r="N126" s="58">
        <v>2004.2</v>
      </c>
      <c r="O126" s="58">
        <v>2032.5</v>
      </c>
      <c r="P126" s="58">
        <v>2019.6</v>
      </c>
      <c r="Q126" s="58">
        <v>2019.5</v>
      </c>
      <c r="R126" s="58">
        <v>2067</v>
      </c>
      <c r="S126" s="58">
        <v>2036.8</v>
      </c>
      <c r="T126" s="58">
        <v>2041</v>
      </c>
      <c r="U126" s="58">
        <v>2031.5</v>
      </c>
      <c r="V126" s="58">
        <v>2031.6</v>
      </c>
      <c r="W126" s="58">
        <v>8057.5</v>
      </c>
      <c r="X126" s="58">
        <v>8138.6</v>
      </c>
      <c r="Y126" s="58">
        <v>8140.9</v>
      </c>
      <c r="Z126" s="59">
        <v>5164.3999999999996</v>
      </c>
      <c r="AA126" s="59">
        <v>38.4</v>
      </c>
      <c r="AB126" s="59"/>
      <c r="AC126" s="59">
        <v>4.32</v>
      </c>
      <c r="AD126" s="59">
        <v>0</v>
      </c>
      <c r="AE126" s="59">
        <v>39.08</v>
      </c>
      <c r="AF126" s="59">
        <v>0</v>
      </c>
      <c r="AG126" s="59">
        <v>0</v>
      </c>
      <c r="AH126" s="59"/>
      <c r="AI126" s="10">
        <f>SUM(Raw_Data[[#This Row],[Inv1]:[Inv3]])</f>
        <v>24337</v>
      </c>
      <c r="AJ126" s="10">
        <f>(Raw_Data[[#This Row],[33 kV Outgoinng Export Reading]]-Z125)*1000</f>
        <v>24399.999999999636</v>
      </c>
      <c r="AK126" s="10">
        <f>(Raw_Data[[#This Row],[33 kV Outgoinng Import Reading]]-AA125)*1000</f>
        <v>100.00000000000142</v>
      </c>
      <c r="AL126" s="10">
        <f>Raw_Data[[#This Row],[Export  (kWh)]]-Raw_Data[[#This Row],[Import (kWh)]]</f>
        <v>24299.999999999636</v>
      </c>
      <c r="AM126" s="20">
        <f t="shared" ref="AM126" si="117">IFERROR((J126-I126)*24,"")</f>
        <v>13.083333333333332</v>
      </c>
    </row>
    <row r="127" spans="1:39" x14ac:dyDescent="0.25">
      <c r="A127" s="125">
        <f>YEAR(Raw_Data[[#This Row],[Date]])+IF(MONTH(Raw_Data[[#This Row],[Date]])&gt;=4,1,0)</f>
        <v>2026</v>
      </c>
      <c r="B127" s="41">
        <v>2025</v>
      </c>
      <c r="C127" s="59" t="s">
        <v>4</v>
      </c>
      <c r="D127" s="59" t="s">
        <v>4</v>
      </c>
      <c r="E127" s="6" t="str">
        <f>TEXT(Raw_Data[[#This Row],[Date]],"mmm-yy")</f>
        <v>Jul-25</v>
      </c>
      <c r="F127" s="41">
        <f>DAY(EOMONTH(Raw_Data[[#This Row],[Month Year]],0))</f>
        <v>31</v>
      </c>
      <c r="G127" s="42">
        <f t="shared" si="61"/>
        <v>45868</v>
      </c>
      <c r="H127" s="11">
        <f>'Modelling New'!$AR$1</f>
        <v>7.0991999999999997</v>
      </c>
      <c r="I127" s="40">
        <v>0.24305555555555555</v>
      </c>
      <c r="J127" s="40">
        <v>0.78125</v>
      </c>
      <c r="K127" s="58">
        <v>1880.9</v>
      </c>
      <c r="L127" s="58">
        <v>1869.3</v>
      </c>
      <c r="M127" s="58">
        <v>1861.3</v>
      </c>
      <c r="N127" s="58">
        <v>1919.9</v>
      </c>
      <c r="O127" s="58">
        <v>1883.6</v>
      </c>
      <c r="P127" s="58">
        <v>1871.4</v>
      </c>
      <c r="Q127" s="58">
        <v>1922.9</v>
      </c>
      <c r="R127" s="58">
        <v>1887.3</v>
      </c>
      <c r="S127" s="58">
        <v>1926.6</v>
      </c>
      <c r="T127" s="58">
        <v>1930.8</v>
      </c>
      <c r="U127" s="58">
        <v>1922.7</v>
      </c>
      <c r="V127" s="58">
        <v>1922.2</v>
      </c>
      <c r="W127" s="58">
        <v>7531.4</v>
      </c>
      <c r="X127" s="58">
        <v>7565.2</v>
      </c>
      <c r="Y127" s="58">
        <v>7702.3</v>
      </c>
      <c r="Z127" s="59">
        <v>5187</v>
      </c>
      <c r="AA127" s="59">
        <v>38.6</v>
      </c>
      <c r="AB127" s="59"/>
      <c r="AC127" s="59">
        <v>4.05</v>
      </c>
      <c r="AD127" s="59">
        <v>0</v>
      </c>
      <c r="AE127" s="59">
        <v>37.78</v>
      </c>
      <c r="AF127" s="59">
        <v>0</v>
      </c>
      <c r="AG127" s="59">
        <v>0</v>
      </c>
      <c r="AH127" s="59"/>
      <c r="AI127" s="10">
        <f>SUM(Raw_Data[[#This Row],[Inv1]:[Inv3]])</f>
        <v>22798.899999999998</v>
      </c>
      <c r="AJ127" s="10">
        <f>(Raw_Data[[#This Row],[33 kV Outgoinng Export Reading]]-Z126)*1000</f>
        <v>22600.000000000364</v>
      </c>
      <c r="AK127" s="10">
        <f>(Raw_Data[[#This Row],[33 kV Outgoinng Import Reading]]-AA126)*1000</f>
        <v>200.00000000000284</v>
      </c>
      <c r="AL127" s="10">
        <f>Raw_Data[[#This Row],[Export  (kWh)]]-Raw_Data[[#This Row],[Import (kWh)]]</f>
        <v>22400.00000000036</v>
      </c>
      <c r="AM127" s="20">
        <f t="shared" ref="AM127" si="118">IFERROR((J127-I127)*24,"")</f>
        <v>12.916666666666666</v>
      </c>
    </row>
    <row r="128" spans="1:39" x14ac:dyDescent="0.25">
      <c r="A128" s="125">
        <f>YEAR(Raw_Data[[#This Row],[Date]])+IF(MONTH(Raw_Data[[#This Row],[Date]])&gt;=4,1,0)</f>
        <v>2026</v>
      </c>
      <c r="B128" s="41">
        <v>2025</v>
      </c>
      <c r="C128" s="59" t="s">
        <v>4</v>
      </c>
      <c r="D128" s="59" t="s">
        <v>4</v>
      </c>
      <c r="E128" s="6" t="str">
        <f>TEXT(Raw_Data[[#This Row],[Date]],"mmm-yy")</f>
        <v>Jul-25</v>
      </c>
      <c r="F128" s="41">
        <f>DAY(EOMONTH(Raw_Data[[#This Row],[Month Year]],0))</f>
        <v>31</v>
      </c>
      <c r="G128" s="42">
        <f t="shared" si="61"/>
        <v>45869</v>
      </c>
      <c r="H128" s="11">
        <f>'Modelling New'!$AR$1</f>
        <v>7.0991999999999997</v>
      </c>
      <c r="I128" s="40">
        <v>0.23541666666666666</v>
      </c>
      <c r="J128" s="40">
        <v>0.78125</v>
      </c>
      <c r="K128" s="58">
        <v>2077.6</v>
      </c>
      <c r="L128" s="58">
        <v>1977.9</v>
      </c>
      <c r="M128" s="58">
        <v>1971</v>
      </c>
      <c r="N128" s="58">
        <v>1976.1</v>
      </c>
      <c r="O128" s="58">
        <v>1989.3</v>
      </c>
      <c r="P128" s="58">
        <v>1977.1</v>
      </c>
      <c r="Q128" s="58">
        <v>1977.9</v>
      </c>
      <c r="R128" s="58">
        <v>2078.1999999999998</v>
      </c>
      <c r="S128" s="58">
        <v>2010.2</v>
      </c>
      <c r="T128" s="58">
        <v>2016.2</v>
      </c>
      <c r="U128" s="58">
        <v>2006.8</v>
      </c>
      <c r="V128" s="58">
        <v>2006.1</v>
      </c>
      <c r="W128" s="58">
        <v>8002.6</v>
      </c>
      <c r="X128" s="58">
        <v>8022.5</v>
      </c>
      <c r="Y128" s="58">
        <v>8039.3</v>
      </c>
      <c r="Z128" s="59">
        <v>5210.8999999999996</v>
      </c>
      <c r="AA128" s="59">
        <v>38.799999999999997</v>
      </c>
      <c r="AB128" s="59"/>
      <c r="AC128" s="59">
        <v>4.7300000000000004</v>
      </c>
      <c r="AD128" s="59">
        <v>0</v>
      </c>
      <c r="AE128" s="59">
        <v>41.05</v>
      </c>
      <c r="AF128" s="59">
        <v>0</v>
      </c>
      <c r="AG128" s="59">
        <v>0</v>
      </c>
      <c r="AH128" s="59"/>
      <c r="AI128" s="10">
        <f>SUM(Raw_Data[[#This Row],[Inv1]:[Inv3]])</f>
        <v>24064.400000000001</v>
      </c>
      <c r="AJ128" s="10">
        <f>(Raw_Data[[#This Row],[33 kV Outgoinng Export Reading]]-Z127)*1000</f>
        <v>23899.999999999636</v>
      </c>
      <c r="AK128" s="10">
        <f>(Raw_Data[[#This Row],[33 kV Outgoinng Import Reading]]-AA127)*1000</f>
        <v>199.99999999999574</v>
      </c>
      <c r="AL128" s="10">
        <f>Raw_Data[[#This Row],[Export  (kWh)]]-Raw_Data[[#This Row],[Import (kWh)]]</f>
        <v>23699.99999999964</v>
      </c>
      <c r="AM128" s="20">
        <f t="shared" ref="AM128:AM134" si="119">IFERROR((J128-I128)*24,"")</f>
        <v>13.100000000000001</v>
      </c>
    </row>
    <row r="129" spans="1:39" x14ac:dyDescent="0.25">
      <c r="A129" s="125">
        <f>YEAR(Raw_Data[[#This Row],[Date]])+IF(MONTH(Raw_Data[[#This Row],[Date]])&gt;=4,1,0)</f>
        <v>2026</v>
      </c>
      <c r="B129" s="41">
        <v>2025</v>
      </c>
      <c r="C129" s="59" t="s">
        <v>4</v>
      </c>
      <c r="D129" s="59" t="s">
        <v>4</v>
      </c>
      <c r="E129" s="6" t="str">
        <f>TEXT(Raw_Data[[#This Row],[Date]],"mmm-yy")</f>
        <v>Aug-25</v>
      </c>
      <c r="F129" s="41">
        <f>DAY(EOMONTH(Raw_Data[[#This Row],[Month Year]],0))</f>
        <v>31</v>
      </c>
      <c r="G129" s="42">
        <f t="shared" si="61"/>
        <v>45870</v>
      </c>
      <c r="H129" s="11">
        <f>'Modelling New'!$AR$1</f>
        <v>7.0991999999999997</v>
      </c>
      <c r="I129" s="40">
        <v>0.23680555555555555</v>
      </c>
      <c r="J129" s="40">
        <v>0.78194444444444444</v>
      </c>
      <c r="K129" s="58">
        <v>1738.6</v>
      </c>
      <c r="L129" s="58">
        <v>1820.8</v>
      </c>
      <c r="M129" s="58">
        <v>1722.4</v>
      </c>
      <c r="N129" s="58">
        <v>1726</v>
      </c>
      <c r="O129" s="58">
        <v>1849.6</v>
      </c>
      <c r="P129" s="58">
        <v>1746.2</v>
      </c>
      <c r="Q129" s="58">
        <v>1747.8</v>
      </c>
      <c r="R129" s="58">
        <v>1759.9</v>
      </c>
      <c r="S129" s="58">
        <v>1824.8</v>
      </c>
      <c r="T129" s="58">
        <v>1830.8</v>
      </c>
      <c r="U129" s="58">
        <v>1821.7</v>
      </c>
      <c r="V129" s="58">
        <v>1820.9</v>
      </c>
      <c r="W129" s="58">
        <v>7007.8</v>
      </c>
      <c r="X129" s="58">
        <v>7103.5</v>
      </c>
      <c r="Y129" s="58">
        <v>7298.2</v>
      </c>
      <c r="Z129" s="59">
        <v>5232.2</v>
      </c>
      <c r="AA129" s="59">
        <v>39</v>
      </c>
      <c r="AB129" s="59"/>
      <c r="AC129" s="59">
        <v>5.42</v>
      </c>
      <c r="AD129" s="59">
        <v>0</v>
      </c>
      <c r="AE129" s="59">
        <v>43.73</v>
      </c>
      <c r="AF129" s="59">
        <v>0</v>
      </c>
      <c r="AG129" s="59">
        <v>0</v>
      </c>
      <c r="AH129" s="59"/>
      <c r="AI129" s="10">
        <f>SUM(Raw_Data[[#This Row],[Inv1]:[Inv3]])</f>
        <v>21409.5</v>
      </c>
      <c r="AJ129" s="10">
        <f>(Raw_Data[[#This Row],[33 kV Outgoinng Export Reading]]-Z128)*1000</f>
        <v>21300.000000000182</v>
      </c>
      <c r="AK129" s="10">
        <f>(Raw_Data[[#This Row],[33 kV Outgoinng Import Reading]]-AA128)*1000</f>
        <v>200.00000000000284</v>
      </c>
      <c r="AL129" s="10">
        <f>Raw_Data[[#This Row],[Export  (kWh)]]-Raw_Data[[#This Row],[Import (kWh)]]</f>
        <v>21100.000000000178</v>
      </c>
      <c r="AM129" s="20">
        <f t="shared" si="119"/>
        <v>13.083333333333332</v>
      </c>
    </row>
    <row r="130" spans="1:39" x14ac:dyDescent="0.25">
      <c r="A130" s="125">
        <f>YEAR(Raw_Data[[#This Row],[Date]])+IF(MONTH(Raw_Data[[#This Row],[Date]])&gt;=4,1,0)</f>
        <v>2026</v>
      </c>
      <c r="B130" s="41">
        <v>2025</v>
      </c>
      <c r="C130" s="59" t="s">
        <v>4</v>
      </c>
      <c r="D130" s="59" t="s">
        <v>4</v>
      </c>
      <c r="E130" s="6" t="str">
        <f>TEXT(Raw_Data[[#This Row],[Date]],"mmm-yy")</f>
        <v>Aug-25</v>
      </c>
      <c r="F130" s="41">
        <f>DAY(EOMONTH(Raw_Data[[#This Row],[Month Year]],0))</f>
        <v>31</v>
      </c>
      <c r="G130" s="42">
        <f t="shared" si="61"/>
        <v>45871</v>
      </c>
      <c r="H130" s="11">
        <f>'Modelling New'!$AR$1</f>
        <v>7.0991999999999997</v>
      </c>
      <c r="I130" s="40">
        <v>0.26041666666666669</v>
      </c>
      <c r="J130" s="40">
        <v>0.77083333333333337</v>
      </c>
      <c r="K130" s="58">
        <v>2706.6</v>
      </c>
      <c r="L130" s="58">
        <v>2690.8</v>
      </c>
      <c r="M130" s="58">
        <v>2758.6</v>
      </c>
      <c r="N130" s="58">
        <v>2685.7</v>
      </c>
      <c r="O130" s="58">
        <v>2710.4</v>
      </c>
      <c r="P130" s="58">
        <v>2769.6</v>
      </c>
      <c r="Q130" s="58">
        <v>2699.3</v>
      </c>
      <c r="R130" s="58">
        <v>2714.4</v>
      </c>
      <c r="S130" s="58">
        <v>2763</v>
      </c>
      <c r="T130" s="58">
        <v>2774.7</v>
      </c>
      <c r="U130" s="58">
        <v>2758.9</v>
      </c>
      <c r="V130" s="58">
        <v>2757.2</v>
      </c>
      <c r="W130" s="58">
        <f>SUM(Raw_Data[[#This Row],[Inv1_U1]:[Inv1_U4]])</f>
        <v>10841.7</v>
      </c>
      <c r="X130" s="58">
        <f>SUM(Raw_Data[[#This Row],[Inv2_U1]:[Inv2_U4]])</f>
        <v>10893.7</v>
      </c>
      <c r="Y130" s="58">
        <f>SUM(Raw_Data[[#This Row],[Inv3_U1]:[Inv3_U4]])</f>
        <v>11053.8</v>
      </c>
      <c r="Z130" s="59">
        <v>5264.8</v>
      </c>
      <c r="AA130" s="59">
        <v>39.200000000000003</v>
      </c>
      <c r="AB130" s="59"/>
      <c r="AC130" s="59">
        <v>6.03</v>
      </c>
      <c r="AD130" s="59">
        <v>0</v>
      </c>
      <c r="AE130" s="59">
        <v>37.380000000000003</v>
      </c>
      <c r="AF130" s="59">
        <v>0</v>
      </c>
      <c r="AG130" s="59">
        <v>0</v>
      </c>
      <c r="AH130" s="59"/>
      <c r="AI130" s="10">
        <f>SUM(Raw_Data[[#This Row],[Inv1]:[Inv3]])</f>
        <v>32789.199999999997</v>
      </c>
      <c r="AJ130" s="10">
        <f>(Raw_Data[[#This Row],[33 kV Outgoinng Export Reading]]-Z129)*1000</f>
        <v>32600.000000000364</v>
      </c>
      <c r="AK130" s="10">
        <f>(Raw_Data[[#This Row],[33 kV Outgoinng Import Reading]]-AA129)*1000</f>
        <v>200.00000000000284</v>
      </c>
      <c r="AL130" s="10">
        <f>Raw_Data[[#This Row],[Export  (kWh)]]-Raw_Data[[#This Row],[Import (kWh)]]</f>
        <v>32400.00000000036</v>
      </c>
      <c r="AM130" s="20">
        <f t="shared" si="119"/>
        <v>12.250000000000002</v>
      </c>
    </row>
    <row r="131" spans="1:39" x14ac:dyDescent="0.25">
      <c r="A131" s="125">
        <f>YEAR(Raw_Data[[#This Row],[Date]])+IF(MONTH(Raw_Data[[#This Row],[Date]])&gt;=4,1,0)</f>
        <v>2026</v>
      </c>
      <c r="B131" s="41">
        <v>2025</v>
      </c>
      <c r="C131" s="59" t="s">
        <v>4</v>
      </c>
      <c r="D131" s="59" t="s">
        <v>4</v>
      </c>
      <c r="E131" s="6" t="str">
        <f>TEXT(Raw_Data[[#This Row],[Date]],"mmm-yy")</f>
        <v>Aug-25</v>
      </c>
      <c r="F131" s="41">
        <f>DAY(EOMONTH(Raw_Data[[#This Row],[Month Year]],0))</f>
        <v>31</v>
      </c>
      <c r="G131" s="42">
        <f t="shared" si="61"/>
        <v>45872</v>
      </c>
      <c r="H131" s="11">
        <f>'Modelling New'!$AR$1</f>
        <v>7.0991999999999997</v>
      </c>
      <c r="I131" s="40">
        <v>0.23749999999999999</v>
      </c>
      <c r="J131" s="40">
        <v>0.78125</v>
      </c>
      <c r="K131" s="58">
        <v>2623.3</v>
      </c>
      <c r="L131" s="58">
        <v>2608.1</v>
      </c>
      <c r="M131" s="58">
        <v>2601.3000000000002</v>
      </c>
      <c r="N131" s="58">
        <v>2673.9</v>
      </c>
      <c r="O131" s="58">
        <v>2659.3</v>
      </c>
      <c r="P131" s="58">
        <v>2645.5</v>
      </c>
      <c r="Q131" s="58">
        <v>2720.6</v>
      </c>
      <c r="R131" s="58">
        <v>2664.5</v>
      </c>
      <c r="S131" s="58">
        <v>2684.2</v>
      </c>
      <c r="T131" s="58">
        <v>2696.6</v>
      </c>
      <c r="U131" s="58">
        <v>2681.4</v>
      </c>
      <c r="V131" s="58">
        <v>2679.4</v>
      </c>
      <c r="W131" s="58">
        <v>10506.6</v>
      </c>
      <c r="X131" s="58">
        <v>10689.9</v>
      </c>
      <c r="Y131" s="58">
        <v>10741.6</v>
      </c>
      <c r="Z131" s="59">
        <v>5298.3</v>
      </c>
      <c r="AA131" s="59">
        <v>39.5</v>
      </c>
      <c r="AB131" s="59"/>
      <c r="AC131" s="59">
        <v>6.04</v>
      </c>
      <c r="AD131" s="59">
        <v>0</v>
      </c>
      <c r="AE131" s="59">
        <v>46.32</v>
      </c>
      <c r="AF131" s="59">
        <v>0</v>
      </c>
      <c r="AG131" s="59">
        <v>0</v>
      </c>
      <c r="AH131" s="59"/>
      <c r="AI131" s="10">
        <f>SUM(Raw_Data[[#This Row],[Inv1]:[Inv3]])</f>
        <v>31938.1</v>
      </c>
      <c r="AJ131" s="10">
        <f>(Raw_Data[[#This Row],[33 kV Outgoinng Export Reading]]-Z130)*1000</f>
        <v>33500</v>
      </c>
      <c r="AK131" s="10">
        <f>(Raw_Data[[#This Row],[33 kV Outgoinng Import Reading]]-AA130)*1000</f>
        <v>299.99999999999716</v>
      </c>
      <c r="AL131" s="10">
        <f>Raw_Data[[#This Row],[Export  (kWh)]]-Raw_Data[[#This Row],[Import (kWh)]]</f>
        <v>33200</v>
      </c>
      <c r="AM131" s="20">
        <f t="shared" ref="AM131" si="120">IFERROR((J131-I131)*24,"")</f>
        <v>13.049999999999999</v>
      </c>
    </row>
    <row r="132" spans="1:39" x14ac:dyDescent="0.25">
      <c r="A132" s="125">
        <f>YEAR(Raw_Data[[#This Row],[Date]])+IF(MONTH(Raw_Data[[#This Row],[Date]])&gt;=4,1,0)</f>
        <v>2026</v>
      </c>
      <c r="B132" s="41">
        <v>2025</v>
      </c>
      <c r="C132" s="59" t="s">
        <v>4</v>
      </c>
      <c r="D132" s="59" t="s">
        <v>4</v>
      </c>
      <c r="E132" s="6" t="str">
        <f>TEXT(Raw_Data[[#This Row],[Date]],"mmm-yy")</f>
        <v>Aug-25</v>
      </c>
      <c r="F132" s="41">
        <f>DAY(EOMONTH(Raw_Data[[#This Row],[Month Year]],0))</f>
        <v>31</v>
      </c>
      <c r="G132" s="42">
        <f t="shared" si="61"/>
        <v>45873</v>
      </c>
      <c r="H132" s="11">
        <f>'Modelling New'!$AR$1</f>
        <v>7.0991999999999997</v>
      </c>
      <c r="I132" s="40">
        <v>0.24305555555555555</v>
      </c>
      <c r="J132" s="40">
        <v>0.78055555555555556</v>
      </c>
      <c r="K132" s="58">
        <v>1819.2</v>
      </c>
      <c r="L132" s="58">
        <v>1703.9</v>
      </c>
      <c r="M132" s="58">
        <v>1699.1</v>
      </c>
      <c r="N132" s="58">
        <v>1700.3</v>
      </c>
      <c r="O132" s="58">
        <v>1704.7</v>
      </c>
      <c r="P132" s="58">
        <v>1695.1</v>
      </c>
      <c r="Q132" s="58">
        <v>1697.1</v>
      </c>
      <c r="R132" s="58">
        <v>1810.7</v>
      </c>
      <c r="S132" s="58">
        <v>1725.5</v>
      </c>
      <c r="T132" s="58">
        <v>1731.9</v>
      </c>
      <c r="U132" s="58">
        <v>1721.9</v>
      </c>
      <c r="V132" s="58">
        <v>1721</v>
      </c>
      <c r="W132" s="58">
        <v>6922.5</v>
      </c>
      <c r="X132" s="58">
        <v>6907.6</v>
      </c>
      <c r="Y132" s="58">
        <v>6900.3</v>
      </c>
      <c r="Z132" s="59">
        <v>5318.9</v>
      </c>
      <c r="AA132" s="59">
        <v>39.700000000000003</v>
      </c>
      <c r="AB132" s="59"/>
      <c r="AC132" s="59">
        <v>3.73</v>
      </c>
      <c r="AD132" s="59">
        <v>0</v>
      </c>
      <c r="AE132" s="59">
        <v>40.729999999999997</v>
      </c>
      <c r="AF132" s="59">
        <v>0</v>
      </c>
      <c r="AG132" s="59">
        <v>0</v>
      </c>
      <c r="AH132" s="59"/>
      <c r="AI132" s="10">
        <f>SUM(Raw_Data[[#This Row],[Inv1]:[Inv3]])</f>
        <v>20730.400000000001</v>
      </c>
      <c r="AJ132" s="10">
        <f>(Raw_Data[[#This Row],[33 kV Outgoinng Export Reading]]-Z131)*1000</f>
        <v>20599.999999999454</v>
      </c>
      <c r="AK132" s="10">
        <f>(Raw_Data[[#This Row],[33 kV Outgoinng Import Reading]]-AA131)*1000</f>
        <v>200.00000000000284</v>
      </c>
      <c r="AL132" s="10">
        <f>Raw_Data[[#This Row],[Export  (kWh)]]-Raw_Data[[#This Row],[Import (kWh)]]</f>
        <v>20399.999999999451</v>
      </c>
      <c r="AM132" s="20">
        <f t="shared" ref="AM132" si="121">IFERROR((J132-I132)*24,"")</f>
        <v>12.899999999999999</v>
      </c>
    </row>
    <row r="133" spans="1:39" x14ac:dyDescent="0.25">
      <c r="A133" s="125">
        <f>YEAR(Raw_Data[[#This Row],[Date]])+IF(MONTH(Raw_Data[[#This Row],[Date]])&gt;=4,1,0)</f>
        <v>2026</v>
      </c>
      <c r="B133" s="41"/>
      <c r="C133" s="59"/>
      <c r="D133" s="59"/>
      <c r="E133" s="6" t="str">
        <f>TEXT(Raw_Data[[#This Row],[Date]],"mmm-yy")</f>
        <v>Aug-25</v>
      </c>
      <c r="F133" s="41">
        <f>DAY(EOMONTH(Raw_Data[[#This Row],[Month Year]],0))</f>
        <v>31</v>
      </c>
      <c r="G133" s="42">
        <f t="shared" ref="G133:G134" si="122">G132+1</f>
        <v>45874</v>
      </c>
      <c r="H133" s="11">
        <f>'Modelling New'!$AR$1</f>
        <v>7.0991999999999997</v>
      </c>
      <c r="I133" s="40"/>
      <c r="J133" s="4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9"/>
      <c r="AA133" s="59"/>
      <c r="AB133" s="59"/>
      <c r="AC133" s="59"/>
      <c r="AD133" s="59"/>
      <c r="AE133" s="59"/>
      <c r="AF133" s="59"/>
      <c r="AG133" s="59"/>
      <c r="AH133" s="59"/>
      <c r="AI133" s="10">
        <f>SUM(Raw_Data[[#This Row],[Inv1]:[Inv3]])</f>
        <v>0</v>
      </c>
      <c r="AJ133" s="10">
        <v>0</v>
      </c>
      <c r="AK133" s="10"/>
      <c r="AL133" s="10">
        <f>Raw_Data[[#This Row],[Export  (kWh)]]-Raw_Data[[#This Row],[Import (kWh)]]</f>
        <v>0</v>
      </c>
      <c r="AM133" s="20">
        <f t="shared" si="119"/>
        <v>0</v>
      </c>
    </row>
    <row r="134" spans="1:39" x14ac:dyDescent="0.25">
      <c r="A134" s="125">
        <f>YEAR(Raw_Data[[#This Row],[Date]])+IF(MONTH(Raw_Data[[#This Row],[Date]])&gt;=4,1,0)</f>
        <v>2026</v>
      </c>
      <c r="B134" s="41"/>
      <c r="C134" s="59"/>
      <c r="D134" s="59"/>
      <c r="E134" s="6" t="str">
        <f>TEXT(Raw_Data[[#This Row],[Date]],"mmm-yy")</f>
        <v>Aug-25</v>
      </c>
      <c r="F134" s="41">
        <f>DAY(EOMONTH(Raw_Data[[#This Row],[Month Year]],0))</f>
        <v>31</v>
      </c>
      <c r="G134" s="42">
        <f t="shared" si="122"/>
        <v>45875</v>
      </c>
      <c r="H134" s="11">
        <f>'Modelling New'!$AR$1</f>
        <v>7.0991999999999997</v>
      </c>
      <c r="I134" s="40"/>
      <c r="J134" s="40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9"/>
      <c r="AA134" s="59"/>
      <c r="AB134" s="59"/>
      <c r="AC134" s="59"/>
      <c r="AD134" s="59"/>
      <c r="AE134" s="59"/>
      <c r="AF134" s="59"/>
      <c r="AG134" s="59"/>
      <c r="AH134" s="59"/>
      <c r="AI134" s="10">
        <f>SUM(Raw_Data[[#This Row],[Inv1]:[Inv3]])</f>
        <v>0</v>
      </c>
      <c r="AJ134" s="10">
        <v>0</v>
      </c>
      <c r="AK134" s="10"/>
      <c r="AL134" s="10">
        <f>Raw_Data[[#This Row],[Export  (kWh)]]-Raw_Data[[#This Row],[Import (kWh)]]</f>
        <v>0</v>
      </c>
      <c r="AM134" s="20">
        <f t="shared" si="119"/>
        <v>0</v>
      </c>
    </row>
    <row r="135" spans="1:39" x14ac:dyDescent="0.25"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 spans="1:39" x14ac:dyDescent="0.25"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 spans="1:39" x14ac:dyDescent="0.25"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 spans="1:39" x14ac:dyDescent="0.25"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 spans="1:39" x14ac:dyDescent="0.25"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5"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5"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5"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5"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 spans="1:39" x14ac:dyDescent="0.25"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 spans="9:39" x14ac:dyDescent="0.25"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9:39" x14ac:dyDescent="0.25"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9:39" x14ac:dyDescent="0.25"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2B73-89E7-4A8F-9471-ACC1E0FAC28A}">
  <dimension ref="A1:J6"/>
  <sheetViews>
    <sheetView workbookViewId="0">
      <selection activeCell="A7" sqref="A7"/>
    </sheetView>
  </sheetViews>
  <sheetFormatPr defaultColWidth="8.7109375" defaultRowHeight="15" x14ac:dyDescent="0.25"/>
  <cols>
    <col min="1" max="2" width="10.85546875" style="7" customWidth="1"/>
    <col min="3" max="3" width="11.85546875" style="7" customWidth="1"/>
    <col min="4" max="4" width="12.140625" style="7" customWidth="1"/>
    <col min="5" max="5" width="19.140625" style="7" customWidth="1"/>
    <col min="6" max="6" width="11.140625" style="7" customWidth="1"/>
    <col min="7" max="7" width="21.42578125" style="7" customWidth="1"/>
    <col min="8" max="8" width="9.85546875" style="7" customWidth="1"/>
    <col min="9" max="9" width="27.140625" style="7" customWidth="1"/>
    <col min="10" max="16384" width="8.7109375" style="7"/>
  </cols>
  <sheetData>
    <row r="1" spans="1:10" ht="24" customHeight="1" x14ac:dyDescent="0.25">
      <c r="A1" s="197" t="s">
        <v>86</v>
      </c>
      <c r="B1" s="97" t="s">
        <v>1111</v>
      </c>
      <c r="C1" s="97" t="s">
        <v>1112</v>
      </c>
      <c r="D1" s="97" t="s">
        <v>174</v>
      </c>
      <c r="E1" s="97" t="s">
        <v>1113</v>
      </c>
      <c r="F1" s="97" t="s">
        <v>1114</v>
      </c>
      <c r="G1" s="97" t="s">
        <v>1115</v>
      </c>
      <c r="H1" s="97" t="s">
        <v>35</v>
      </c>
      <c r="I1" s="97" t="s">
        <v>1116</v>
      </c>
      <c r="J1" s="97" t="s">
        <v>1117</v>
      </c>
    </row>
    <row r="2" spans="1:10" x14ac:dyDescent="0.25">
      <c r="A2" s="198">
        <v>45748</v>
      </c>
      <c r="B2" s="199"/>
      <c r="C2" s="199"/>
      <c r="D2" s="199"/>
      <c r="E2" s="199">
        <f>JMR[[#This Row],[Export (kWh)]]</f>
        <v>0</v>
      </c>
      <c r="F2" s="199"/>
      <c r="G2" s="199">
        <f>SUMIF('Daily KPI'!$D:$D,$A2,'Daily KPI'!$Y:$Y)-SUMIF('Daily KPI'!$D:$D,$A2,'Daily KPI'!$Z:$Z)</f>
        <v>922500</v>
      </c>
      <c r="H2" s="199">
        <f>IF(C2="",0,JMR[[#This Row],[Net Export (JMR) (kWh)]]-JMR[[#This Row],[Net Export (Manual) (kWh)]])</f>
        <v>0</v>
      </c>
      <c r="I2" s="200">
        <f>SUMIF('Daily KPI'!$D:$D,$A2,'Daily KPI'!$AA:$AA)</f>
        <v>922500</v>
      </c>
      <c r="J2" s="201">
        <f>IF(C2="",0,(JMR[[#This Row],[Difference]]/JMR[[#This Row],[Net Export (Manual) (kWh)]]))</f>
        <v>0</v>
      </c>
    </row>
    <row r="3" spans="1:10" x14ac:dyDescent="0.25">
      <c r="A3" s="198">
        <v>45778</v>
      </c>
      <c r="B3" s="199"/>
      <c r="C3" s="199"/>
      <c r="D3" s="199"/>
      <c r="E3" s="199">
        <f>JMR[[#This Row],[Export (kWh)]]</f>
        <v>0</v>
      </c>
      <c r="F3" s="199"/>
      <c r="G3" s="199">
        <f>SUMIF('Daily KPI'!$D:$D,$A3,'Daily KPI'!$Y:$Y)-SUMIF('Daily KPI'!$D:$D,$A3,'Daily KPI'!$Z:$Z)</f>
        <v>859599.99999999988</v>
      </c>
      <c r="H3" s="199">
        <f>IF(C3="",0,JMR[[#This Row],[Net Export (JMR) (kWh)]]-JMR[[#This Row],[Net Export (Manual) (kWh)]])</f>
        <v>0</v>
      </c>
      <c r="I3" s="200">
        <f>SUMIF('Daily KPI'!$D:$D,$A3,'Daily KPI'!$AA:$AA)</f>
        <v>859599.99999999988</v>
      </c>
      <c r="J3" s="201">
        <f>IF(C3="",0,(JMR[[#This Row],[Difference]]/JMR[[#This Row],[Net Export (Manual) (kWh)]]))</f>
        <v>0</v>
      </c>
    </row>
    <row r="4" spans="1:10" x14ac:dyDescent="0.25">
      <c r="A4" s="202">
        <v>45809</v>
      </c>
      <c r="B4" s="203"/>
      <c r="C4" s="203"/>
      <c r="D4" s="203"/>
      <c r="E4" s="203">
        <f>JMR[[#This Row],[Export (kWh)]]</f>
        <v>0</v>
      </c>
      <c r="F4" s="203"/>
      <c r="G4" s="203">
        <f>SUMIF('Daily KPI'!$D:$D,$A4,'Daily KPI'!$Y:$Y)-SUMIF('Daily KPI'!$D:$D,$A4,'Daily KPI'!$Z:$Z)</f>
        <v>744400.00000000035</v>
      </c>
      <c r="H4" s="203">
        <f>IF(C4="",0,JMR[[#This Row],[Net Export (JMR) (kWh)]]-JMR[[#This Row],[Net Export (Manual) (kWh)]])</f>
        <v>0</v>
      </c>
      <c r="I4" s="204">
        <f>SUMIF('Daily KPI'!$D:$D,$A4,'Daily KPI'!$AA:$AA)</f>
        <v>744400.00000000035</v>
      </c>
      <c r="J4" s="205">
        <f>IF(C4="",0,(JMR[[#This Row],[Difference]]/JMR[[#This Row],[Net Export (Manual) (kWh)]]))</f>
        <v>0</v>
      </c>
    </row>
    <row r="5" spans="1:10" x14ac:dyDescent="0.25">
      <c r="A5" s="202">
        <v>45839</v>
      </c>
      <c r="E5" s="7">
        <f>JMR[[#This Row],[Export (kWh)]]</f>
        <v>0</v>
      </c>
      <c r="G5" s="7">
        <f>SUMIF('Daily KPI'!$D:$D,$A5,'Daily KPI'!$Y:$Y)-SUMIF('Daily KPI'!$D:$D,$A5,'Daily KPI'!$Z:$Z)</f>
        <v>681699.99999999965</v>
      </c>
      <c r="H5" s="7">
        <f>IF(C5="",0,JMR[[#This Row],[Net Export (JMR) (kWh)]]-JMR[[#This Row],[Net Export (Manual) (kWh)]])</f>
        <v>0</v>
      </c>
      <c r="I5" s="86">
        <f>SUMIF('Daily KPI'!$D:$D,$A5,'Daily KPI'!$AA:$AA)</f>
        <v>681699.99999999953</v>
      </c>
      <c r="J5" s="206">
        <f>IF(C5="",0,(JMR[[#This Row],[Difference]]/JMR[[#This Row],[Net Export (Manual) (kWh)]]))</f>
        <v>0</v>
      </c>
    </row>
    <row r="6" spans="1:10" x14ac:dyDescent="0.25">
      <c r="A6" s="202">
        <v>45870</v>
      </c>
      <c r="E6" s="7">
        <f>JMR[[#This Row],[Export (kWh)]]</f>
        <v>0</v>
      </c>
      <c r="G6" s="7">
        <f>SUMIF('Daily KPI'!$D:$D,$A6,'Daily KPI'!$Y:$Y)-SUMIF('Daily KPI'!$D:$D,$A6,'Daily KPI'!$Z:$Z)</f>
        <v>107100</v>
      </c>
      <c r="H6" s="7">
        <f>IF(C6="",0,JMR[[#This Row],[Net Export (JMR) (kWh)]]-JMR[[#This Row],[Net Export (Manual) (kWh)]])</f>
        <v>0</v>
      </c>
      <c r="I6" s="86">
        <f>SUMIF('Daily KPI'!$D:$D,$A6,'Daily KPI'!$AA:$AA)</f>
        <v>107099.99999999999</v>
      </c>
      <c r="J6" s="206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R97"/>
  <sheetViews>
    <sheetView workbookViewId="0">
      <pane xSplit="4" ySplit="1" topLeftCell="AH2" activePane="bottomRight" state="frozen"/>
      <selection pane="topRight" activeCell="C1" sqref="C1"/>
      <selection pane="bottomLeft" activeCell="C1" sqref="C1"/>
      <selection pane="bottomRight" activeCell="AO2" sqref="AO2"/>
    </sheetView>
  </sheetViews>
  <sheetFormatPr defaultColWidth="8.7109375" defaultRowHeight="15" x14ac:dyDescent="0.25"/>
  <cols>
    <col min="1" max="2" width="9.28515625" style="7" customWidth="1"/>
    <col min="3" max="3" width="15.85546875" style="7" customWidth="1"/>
    <col min="4" max="6" width="8.7109375" style="7"/>
    <col min="7" max="7" width="20.5703125" style="7" customWidth="1"/>
    <col min="8" max="8" width="8.7109375" style="7"/>
    <col min="9" max="9" width="9.42578125" style="7" bestFit="1" customWidth="1"/>
    <col min="10" max="14" width="8.7109375" style="7"/>
    <col min="15" max="15" width="9.85546875" style="7" bestFit="1" customWidth="1"/>
    <col min="16" max="16" width="11" style="7" customWidth="1"/>
    <col min="17" max="17" width="15.28515625" style="7" customWidth="1"/>
    <col min="18" max="19" width="10.85546875" style="7" customWidth="1"/>
    <col min="20" max="20" width="13" style="7" customWidth="1"/>
    <col min="21" max="25" width="12.85546875" style="7" customWidth="1"/>
    <col min="26" max="27" width="14.5703125" style="7" customWidth="1"/>
    <col min="28" max="29" width="15.5703125" style="7" customWidth="1"/>
    <col min="30" max="38" width="9.85546875" style="7" customWidth="1"/>
    <col min="39" max="39" width="12" style="7" bestFit="1" customWidth="1"/>
    <col min="40" max="40" width="27.5703125" style="7" bestFit="1" customWidth="1"/>
    <col min="41" max="41" width="10.85546875" style="7" customWidth="1"/>
    <col min="42" max="16384" width="8.7109375" style="7"/>
  </cols>
  <sheetData>
    <row r="1" spans="1:44" ht="45" x14ac:dyDescent="0.25">
      <c r="A1" s="99" t="s">
        <v>7</v>
      </c>
      <c r="B1" s="99" t="s">
        <v>918</v>
      </c>
      <c r="C1" s="99" t="s">
        <v>919</v>
      </c>
      <c r="D1" s="99" t="s">
        <v>77</v>
      </c>
      <c r="E1" s="99" t="s">
        <v>920</v>
      </c>
      <c r="F1" s="99" t="s">
        <v>921</v>
      </c>
      <c r="G1" s="99" t="s">
        <v>922</v>
      </c>
      <c r="H1" s="99" t="s">
        <v>923</v>
      </c>
      <c r="I1" s="99" t="s">
        <v>58</v>
      </c>
      <c r="J1" s="99" t="s">
        <v>924</v>
      </c>
      <c r="K1" s="99" t="s">
        <v>925</v>
      </c>
      <c r="L1" s="99" t="s">
        <v>926</v>
      </c>
      <c r="M1" s="99" t="s">
        <v>927</v>
      </c>
      <c r="N1" s="99" t="s">
        <v>928</v>
      </c>
      <c r="O1" s="99" t="s">
        <v>57</v>
      </c>
      <c r="P1" s="99" t="s">
        <v>929</v>
      </c>
      <c r="Q1" s="99" t="s">
        <v>930</v>
      </c>
      <c r="R1" s="99" t="s">
        <v>931</v>
      </c>
      <c r="S1" s="99" t="s">
        <v>932</v>
      </c>
      <c r="T1" s="99" t="s">
        <v>933</v>
      </c>
      <c r="U1" s="99" t="s">
        <v>934</v>
      </c>
      <c r="V1" s="99" t="s">
        <v>935</v>
      </c>
      <c r="W1" s="99" t="s">
        <v>936</v>
      </c>
      <c r="X1" s="99" t="s">
        <v>937</v>
      </c>
      <c r="Y1" s="99" t="s">
        <v>938</v>
      </c>
      <c r="Z1" s="99" t="s">
        <v>939</v>
      </c>
      <c r="AA1" s="99" t="s">
        <v>940</v>
      </c>
      <c r="AB1" s="99" t="s">
        <v>941</v>
      </c>
      <c r="AC1" s="99" t="s">
        <v>942</v>
      </c>
      <c r="AD1" s="99" t="s">
        <v>943</v>
      </c>
      <c r="AE1" s="99" t="s">
        <v>944</v>
      </c>
      <c r="AF1" s="99" t="s">
        <v>945</v>
      </c>
      <c r="AG1" s="99" t="s">
        <v>946</v>
      </c>
      <c r="AH1" s="99" t="s">
        <v>947</v>
      </c>
      <c r="AI1" s="99" t="s">
        <v>948</v>
      </c>
      <c r="AJ1" s="99" t="s">
        <v>949</v>
      </c>
      <c r="AK1" s="99" t="s">
        <v>950</v>
      </c>
      <c r="AL1" s="99" t="s">
        <v>951</v>
      </c>
      <c r="AM1" s="99" t="s">
        <v>1063</v>
      </c>
      <c r="AN1" s="129" t="s">
        <v>1064</v>
      </c>
      <c r="AO1" s="99" t="s">
        <v>1108</v>
      </c>
      <c r="AQ1" s="7" t="s">
        <v>1107</v>
      </c>
      <c r="AR1" s="100">
        <v>7.0991999999999997</v>
      </c>
    </row>
    <row r="2" spans="1:44" x14ac:dyDescent="0.25">
      <c r="A2" s="101">
        <v>1</v>
      </c>
      <c r="B2" s="102" t="s">
        <v>952</v>
      </c>
      <c r="C2" s="101">
        <v>4</v>
      </c>
      <c r="D2" s="103">
        <v>43191</v>
      </c>
      <c r="E2" s="104">
        <f t="shared" ref="E2:E3" si="0">YEAR(D2)</f>
        <v>2018</v>
      </c>
      <c r="F2" s="104" t="s">
        <v>953</v>
      </c>
      <c r="G2" s="105">
        <f t="shared" ref="G2:G3" si="1">DAY(EOMONTH(D2,0))</f>
        <v>30</v>
      </c>
      <c r="H2" s="106">
        <v>192.9</v>
      </c>
      <c r="I2" s="106">
        <v>191.2</v>
      </c>
      <c r="J2" s="107"/>
      <c r="K2" s="106"/>
      <c r="L2" s="105"/>
      <c r="M2" s="108">
        <v>934.34620141401194</v>
      </c>
      <c r="N2" s="108">
        <v>7.0991999999999997</v>
      </c>
      <c r="O2" s="109">
        <f t="shared" ref="O2:O3" si="2">IFERROR(M2/I2/N2,"")</f>
        <v>0.68835191505313997</v>
      </c>
      <c r="P2" s="107">
        <f t="shared" ref="P2:P3" si="3">IFERROR(I2/G2,"")</f>
        <v>6.3733333333333331</v>
      </c>
      <c r="Q2" s="105">
        <f>COUNTIFS('Daily KPI'!$D:$D,D2,'Daily KPI'!O:O,"&gt;0")</f>
        <v>0</v>
      </c>
      <c r="R2" s="108">
        <f t="shared" ref="R2:R3" si="4">I2/G2*Q2</f>
        <v>0</v>
      </c>
      <c r="S2" s="108">
        <f>SUMIF($F$2:F2,F2,$R$2:R2)</f>
        <v>0</v>
      </c>
      <c r="T2" s="107">
        <f t="shared" ref="T2:T3" si="5">M2/G2</f>
        <v>31.144873380467065</v>
      </c>
      <c r="U2" s="108">
        <f t="shared" ref="U2:U3" si="6">M2/G2*Q2</f>
        <v>0</v>
      </c>
      <c r="V2" s="108">
        <f>SUMIF($F$2:F2,F2,$U$2:U2)</f>
        <v>0</v>
      </c>
      <c r="W2" s="109">
        <f t="shared" ref="W2:W3" si="7">IFERROR(T2/(24*N2),"")</f>
        <v>0.18279567521966716</v>
      </c>
      <c r="X2" s="109" t="str">
        <f t="shared" ref="X2:X33" si="8">IFERROR(U2/(24*N2*Q2),"")</f>
        <v/>
      </c>
      <c r="Y2" s="109" t="str">
        <f t="shared" ref="Y2:Y33" si="9">IFERROR(V2/(24*N2*SUMIFS($Q:$Q,$F:$F,$F2,$D:$D,"&lt;="&amp;D2)),"")</f>
        <v/>
      </c>
      <c r="Z2" s="107" t="str">
        <f>IFERROR(AVERAGEIF('Daily KPI'!D:D,Table14[[#This Row],[Month]],'Daily KPI'!AB:AB),"")</f>
        <v/>
      </c>
      <c r="AA2" s="110">
        <f>IFERROR(AVERAGEIF($F$2:F2,F2,$N$2:N2),"")</f>
        <v>7.0991999999999997</v>
      </c>
      <c r="AB2" s="108"/>
      <c r="AC2" s="107"/>
      <c r="AD2" s="107"/>
      <c r="AE2" s="109">
        <v>0.98040000000000005</v>
      </c>
      <c r="AF2" s="109">
        <v>0.98</v>
      </c>
      <c r="AG2" s="109"/>
      <c r="AH2" s="109"/>
      <c r="AI2" s="109"/>
      <c r="AJ2" s="109"/>
      <c r="AK2" s="109"/>
      <c r="AL2" s="109"/>
      <c r="AM2" s="127"/>
      <c r="AN2" s="127"/>
      <c r="AO2" s="101">
        <v>7</v>
      </c>
    </row>
    <row r="3" spans="1:44" x14ac:dyDescent="0.25">
      <c r="A3" s="102">
        <f t="shared" ref="A3:A66" si="10">A2+1</f>
        <v>2</v>
      </c>
      <c r="B3" s="102" t="s">
        <v>954</v>
      </c>
      <c r="C3" s="101">
        <v>5</v>
      </c>
      <c r="D3" s="103">
        <v>43221</v>
      </c>
      <c r="E3" s="111">
        <f t="shared" si="0"/>
        <v>2018</v>
      </c>
      <c r="F3" s="104" t="s">
        <v>953</v>
      </c>
      <c r="G3" s="112">
        <f t="shared" si="1"/>
        <v>31</v>
      </c>
      <c r="H3" s="110">
        <v>199.3</v>
      </c>
      <c r="I3" s="110">
        <v>187.1</v>
      </c>
      <c r="J3" s="113"/>
      <c r="K3" s="110"/>
      <c r="L3" s="112"/>
      <c r="M3" s="114">
        <v>939.04140845629331</v>
      </c>
      <c r="N3" s="108">
        <v>7.0991999999999997</v>
      </c>
      <c r="O3" s="115">
        <f t="shared" si="2"/>
        <v>0.70697091098550124</v>
      </c>
      <c r="P3" s="113">
        <f t="shared" si="3"/>
        <v>6.0354838709677416</v>
      </c>
      <c r="Q3" s="112">
        <f>COUNTIFS('Daily KPI'!$D:$D,D3,'Daily KPI'!O:O,"&gt;0")</f>
        <v>0</v>
      </c>
      <c r="R3" s="114">
        <f t="shared" si="4"/>
        <v>0</v>
      </c>
      <c r="S3" s="114">
        <f>SUMIF($F$2:F3,F3,$R$2:R3)</f>
        <v>0</v>
      </c>
      <c r="T3" s="113">
        <f t="shared" si="5"/>
        <v>30.291658337299783</v>
      </c>
      <c r="U3" s="114">
        <f t="shared" si="6"/>
        <v>0</v>
      </c>
      <c r="V3" s="114">
        <f>SUMIF($F$2:F3,F3,$U$2:U3)</f>
        <v>0</v>
      </c>
      <c r="W3" s="115">
        <f t="shared" si="7"/>
        <v>0.17778798043734848</v>
      </c>
      <c r="X3" s="115" t="str">
        <f t="shared" si="8"/>
        <v/>
      </c>
      <c r="Y3" s="115" t="str">
        <f t="shared" si="9"/>
        <v/>
      </c>
      <c r="Z3" s="113" t="str">
        <f>IFERROR(AVERAGEIF('Daily KPI'!D:D,Table14[[#This Row],[Month]],'Daily KPI'!AB:AB),"")</f>
        <v/>
      </c>
      <c r="AA3" s="106">
        <f>IFERROR(AVERAGEIF($F$2:F3,F3,$N$2:N3),"")</f>
        <v>7.0991999999999997</v>
      </c>
      <c r="AB3" s="114"/>
      <c r="AC3" s="113"/>
      <c r="AD3" s="113"/>
      <c r="AE3" s="109">
        <v>0.98040000000000005</v>
      </c>
      <c r="AF3" s="109">
        <v>0.98</v>
      </c>
      <c r="AG3" s="109"/>
      <c r="AH3" s="115"/>
      <c r="AI3" s="115"/>
      <c r="AJ3" s="115"/>
      <c r="AK3" s="115"/>
      <c r="AL3" s="115"/>
      <c r="AM3" s="126"/>
      <c r="AN3" s="126"/>
      <c r="AO3" s="101">
        <v>7</v>
      </c>
    </row>
    <row r="4" spans="1:44" x14ac:dyDescent="0.25">
      <c r="A4" s="101">
        <f t="shared" si="10"/>
        <v>3</v>
      </c>
      <c r="B4" s="102" t="s">
        <v>955</v>
      </c>
      <c r="C4" s="101">
        <v>6</v>
      </c>
      <c r="D4" s="103">
        <v>43252</v>
      </c>
      <c r="E4" s="104">
        <f>YEAR(D4)</f>
        <v>2018</v>
      </c>
      <c r="F4" s="104" t="s">
        <v>953</v>
      </c>
      <c r="G4" s="105">
        <f>DAY(EOMONTH(D4,0))</f>
        <v>30</v>
      </c>
      <c r="H4" s="110">
        <v>149.6</v>
      </c>
      <c r="I4" s="110">
        <v>138.30000000000001</v>
      </c>
      <c r="J4" s="107"/>
      <c r="K4" s="110"/>
      <c r="L4" s="105"/>
      <c r="M4" s="108">
        <v>699.58584929993856</v>
      </c>
      <c r="N4" s="108">
        <v>7.0991999999999997</v>
      </c>
      <c r="O4" s="109">
        <f>IFERROR(M4/I4/N4,"")</f>
        <v>0.71254028775714762</v>
      </c>
      <c r="P4" s="107">
        <f>IFERROR(I4/G4,"")</f>
        <v>4.6100000000000003</v>
      </c>
      <c r="Q4" s="105">
        <f>COUNTIFS('Daily KPI'!$D:$D,D4,'Daily KPI'!O:O,"&gt;0")</f>
        <v>0</v>
      </c>
      <c r="R4" s="108">
        <f>I4/G4*Q4</f>
        <v>0</v>
      </c>
      <c r="S4" s="108">
        <f>SUMIF($F$4:F4,F4,$R$4:R4)</f>
        <v>0</v>
      </c>
      <c r="T4" s="107">
        <f>M4/G4</f>
        <v>23.319528309997953</v>
      </c>
      <c r="U4" s="108">
        <f>M4/G4*Q4</f>
        <v>0</v>
      </c>
      <c r="V4" s="108">
        <f>SUMIF($F$4:F4,F4,$U$4:U4)</f>
        <v>0</v>
      </c>
      <c r="W4" s="109">
        <f>IFERROR(T4/(24*N4),"")</f>
        <v>0.13686711360668546</v>
      </c>
      <c r="X4" s="109" t="str">
        <f t="shared" si="8"/>
        <v/>
      </c>
      <c r="Y4" s="109" t="str">
        <f t="shared" si="9"/>
        <v/>
      </c>
      <c r="Z4" s="107" t="str">
        <f>IFERROR(AVERAGEIF('Daily KPI'!D:D,Table14[[#This Row],[Month]],'Daily KPI'!AB:AB),"")</f>
        <v/>
      </c>
      <c r="AA4" s="110">
        <f>IFERROR(AVERAGEIF($F$4:F4,F4,$N$4:N4),"")</f>
        <v>7.0991999999999997</v>
      </c>
      <c r="AB4" s="108"/>
      <c r="AC4" s="107"/>
      <c r="AD4" s="107"/>
      <c r="AE4" s="109">
        <v>0.98040000000000005</v>
      </c>
      <c r="AF4" s="109">
        <v>0.98</v>
      </c>
      <c r="AG4" s="109"/>
      <c r="AH4" s="109"/>
      <c r="AI4" s="109"/>
      <c r="AJ4" s="109"/>
      <c r="AK4" s="109"/>
      <c r="AL4" s="109"/>
      <c r="AM4" s="126"/>
      <c r="AN4" s="126"/>
      <c r="AO4" s="101">
        <v>7</v>
      </c>
    </row>
    <row r="5" spans="1:44" x14ac:dyDescent="0.25">
      <c r="A5" s="102">
        <f t="shared" si="10"/>
        <v>4</v>
      </c>
      <c r="B5" s="102" t="s">
        <v>956</v>
      </c>
      <c r="C5" s="101">
        <v>7</v>
      </c>
      <c r="D5" s="103">
        <v>43282</v>
      </c>
      <c r="E5" s="111">
        <f>YEAR(D5)</f>
        <v>2018</v>
      </c>
      <c r="F5" s="104" t="s">
        <v>953</v>
      </c>
      <c r="G5" s="112">
        <f>DAY(EOMONTH(D5,0))</f>
        <v>31</v>
      </c>
      <c r="H5" s="110">
        <v>129.30000000000001</v>
      </c>
      <c r="I5" s="110">
        <v>121</v>
      </c>
      <c r="J5" s="113"/>
      <c r="K5" s="110"/>
      <c r="L5" s="112"/>
      <c r="M5" s="114">
        <v>638.54815775027953</v>
      </c>
      <c r="N5" s="108">
        <v>7.0991999999999997</v>
      </c>
      <c r="O5" s="115">
        <f>IFERROR(M5/I5/N5,"")</f>
        <v>0.74335946332944924</v>
      </c>
      <c r="P5" s="113">
        <f>IFERROR(I5/G5,"")</f>
        <v>3.903225806451613</v>
      </c>
      <c r="Q5" s="112">
        <f>COUNTIFS('Daily KPI'!$D:$D,D5,'Daily KPI'!O:O,"&gt;0")</f>
        <v>0</v>
      </c>
      <c r="R5" s="114">
        <f>I5/G5*Q5</f>
        <v>0</v>
      </c>
      <c r="S5" s="114">
        <f>SUMIF($F$5:F5,F5,$R$5:R5)</f>
        <v>0</v>
      </c>
      <c r="T5" s="113">
        <f>M5/G5</f>
        <v>20.598327669363854</v>
      </c>
      <c r="U5" s="114">
        <f>M5/G5*Q5</f>
        <v>0</v>
      </c>
      <c r="V5" s="114">
        <f>SUMIF($F$5:F5,F5,$U$5:U5)</f>
        <v>0</v>
      </c>
      <c r="W5" s="115">
        <f>IFERROR(T5/(24*N5),"")</f>
        <v>0.12089582669739699</v>
      </c>
      <c r="X5" s="115" t="str">
        <f t="shared" si="8"/>
        <v/>
      </c>
      <c r="Y5" s="115" t="str">
        <f t="shared" si="9"/>
        <v/>
      </c>
      <c r="Z5" s="113" t="str">
        <f>IFERROR(AVERAGEIF('Daily KPI'!D:D,Table14[[#This Row],[Month]],'Daily KPI'!AB:AB),"")</f>
        <v/>
      </c>
      <c r="AA5" s="106">
        <f>IFERROR(AVERAGEIF($F$5:F5,F5,$N$5:N5),"")</f>
        <v>7.0991999999999997</v>
      </c>
      <c r="AB5" s="114"/>
      <c r="AC5" s="113"/>
      <c r="AD5" s="113"/>
      <c r="AE5" s="109">
        <v>0.98040000000000005</v>
      </c>
      <c r="AF5" s="109">
        <v>0.98</v>
      </c>
      <c r="AG5" s="109"/>
      <c r="AH5" s="115"/>
      <c r="AI5" s="115"/>
      <c r="AJ5" s="115"/>
      <c r="AK5" s="115"/>
      <c r="AL5" s="115"/>
      <c r="AM5" s="126"/>
      <c r="AN5" s="126"/>
      <c r="AO5" s="101">
        <v>7</v>
      </c>
    </row>
    <row r="6" spans="1:44" x14ac:dyDescent="0.25">
      <c r="A6" s="101">
        <f t="shared" si="10"/>
        <v>5</v>
      </c>
      <c r="B6" s="102" t="s">
        <v>957</v>
      </c>
      <c r="C6" s="101">
        <v>8</v>
      </c>
      <c r="D6" s="103">
        <v>43313</v>
      </c>
      <c r="E6" s="104">
        <f t="shared" ref="E6:E13" si="11">YEAR(D6)</f>
        <v>2018</v>
      </c>
      <c r="F6" s="104" t="s">
        <v>953</v>
      </c>
      <c r="G6" s="105">
        <f t="shared" ref="G6:G13" si="12">DAY(EOMONTH(D6,0))</f>
        <v>31</v>
      </c>
      <c r="H6" s="110">
        <v>132.4</v>
      </c>
      <c r="I6" s="110">
        <v>128.19999999999999</v>
      </c>
      <c r="J6" s="107"/>
      <c r="K6" s="110"/>
      <c r="L6" s="105"/>
      <c r="M6" s="108">
        <v>676.10981408853127</v>
      </c>
      <c r="N6" s="108">
        <v>7.0991999999999997</v>
      </c>
      <c r="O6" s="109">
        <f t="shared" ref="O6:O49" si="13">IFERROR(M6/I6/N6,"")</f>
        <v>0.74288194509109884</v>
      </c>
      <c r="P6" s="107">
        <f t="shared" ref="P6:P49" si="14">IFERROR(I6/G6,"")</f>
        <v>4.1354838709677413</v>
      </c>
      <c r="Q6" s="105">
        <f>COUNTIFS('Daily KPI'!$D:$D,D6,'Daily KPI'!O:O,"&gt;0")</f>
        <v>0</v>
      </c>
      <c r="R6" s="108">
        <f t="shared" ref="R6:R49" si="15">I6/G6*Q6</f>
        <v>0</v>
      </c>
      <c r="S6" s="108">
        <f>SUMIF($F$6:F6,F6,$R$6:R6)</f>
        <v>0</v>
      </c>
      <c r="T6" s="107">
        <f t="shared" ref="T6:T49" si="16">M6/G6</f>
        <v>21.809994002855849</v>
      </c>
      <c r="U6" s="108">
        <f t="shared" ref="U6:U49" si="17">M6/G6*Q6</f>
        <v>0</v>
      </c>
      <c r="V6" s="108">
        <f>SUMIF($F$6:F6,F6,$U$6:U6)</f>
        <v>0</v>
      </c>
      <c r="W6" s="109">
        <f t="shared" ref="W6:W49" si="18">IFERROR(T6/(24*N6),"")</f>
        <v>0.12800734591489094</v>
      </c>
      <c r="X6" s="109" t="str">
        <f t="shared" si="8"/>
        <v/>
      </c>
      <c r="Y6" s="109" t="str">
        <f t="shared" si="9"/>
        <v/>
      </c>
      <c r="Z6" s="107" t="str">
        <f>IFERROR(AVERAGEIF('Daily KPI'!D:D,Table14[[#This Row],[Month]],'Daily KPI'!AB:AB),"")</f>
        <v/>
      </c>
      <c r="AA6" s="110">
        <f>IFERROR(AVERAGEIF($F$6:F6,F6,$N$6:N6),"")</f>
        <v>7.0991999999999997</v>
      </c>
      <c r="AB6" s="108"/>
      <c r="AC6" s="107"/>
      <c r="AD6" s="107"/>
      <c r="AE6" s="109">
        <v>0.98040000000000005</v>
      </c>
      <c r="AF6" s="109">
        <v>0.98</v>
      </c>
      <c r="AG6" s="109"/>
      <c r="AH6" s="109"/>
      <c r="AI6" s="109"/>
      <c r="AJ6" s="109"/>
      <c r="AK6" s="109"/>
      <c r="AL6" s="109"/>
      <c r="AM6" s="126"/>
      <c r="AN6" s="126"/>
      <c r="AO6" s="101">
        <v>7</v>
      </c>
    </row>
    <row r="7" spans="1:44" x14ac:dyDescent="0.25">
      <c r="A7" s="101">
        <f t="shared" si="10"/>
        <v>6</v>
      </c>
      <c r="B7" s="102" t="s">
        <v>958</v>
      </c>
      <c r="C7" s="101">
        <v>9</v>
      </c>
      <c r="D7" s="103">
        <v>43344</v>
      </c>
      <c r="E7" s="104">
        <f t="shared" si="11"/>
        <v>2018</v>
      </c>
      <c r="F7" s="104" t="s">
        <v>953</v>
      </c>
      <c r="G7" s="112">
        <f t="shared" si="12"/>
        <v>30</v>
      </c>
      <c r="H7" s="110">
        <v>142.5</v>
      </c>
      <c r="I7" s="110">
        <v>144.9</v>
      </c>
      <c r="J7" s="107"/>
      <c r="K7" s="110"/>
      <c r="L7" s="105"/>
      <c r="M7" s="108">
        <v>732.45229859590881</v>
      </c>
      <c r="N7" s="108">
        <v>7.0991999999999997</v>
      </c>
      <c r="O7" s="109">
        <f t="shared" si="13"/>
        <v>0.71203534028572857</v>
      </c>
      <c r="P7" s="107">
        <f t="shared" si="14"/>
        <v>4.83</v>
      </c>
      <c r="Q7" s="105">
        <f>COUNTIFS('Daily KPI'!$D:$D,D7,'Daily KPI'!O:O,"&gt;0")</f>
        <v>0</v>
      </c>
      <c r="R7" s="108">
        <f t="shared" si="15"/>
        <v>0</v>
      </c>
      <c r="S7" s="108">
        <f>SUMIF($F$6:F7,F7,$R$6:R7)</f>
        <v>0</v>
      </c>
      <c r="T7" s="107">
        <f t="shared" si="16"/>
        <v>24.415076619863626</v>
      </c>
      <c r="U7" s="108">
        <f t="shared" si="17"/>
        <v>0</v>
      </c>
      <c r="V7" s="108">
        <f>SUMIF($F$6:F7,F7,$U$6:U7)</f>
        <v>0</v>
      </c>
      <c r="W7" s="109">
        <f t="shared" si="18"/>
        <v>0.14329711223250288</v>
      </c>
      <c r="X7" s="109" t="str">
        <f t="shared" si="8"/>
        <v/>
      </c>
      <c r="Y7" s="109" t="str">
        <f t="shared" si="9"/>
        <v/>
      </c>
      <c r="Z7" s="107" t="str">
        <f>IFERROR(AVERAGEIF('Daily KPI'!D:D,Table14[[#This Row],[Month]],'Daily KPI'!AB:AB),"")</f>
        <v/>
      </c>
      <c r="AA7" s="110">
        <f>IFERROR(AVERAGEIF($F$6:F7,F7,$N$6:N7),"")</f>
        <v>7.0991999999999997</v>
      </c>
      <c r="AB7" s="108"/>
      <c r="AC7" s="107"/>
      <c r="AD7" s="107"/>
      <c r="AE7" s="109">
        <v>0.98040000000000005</v>
      </c>
      <c r="AF7" s="109">
        <v>0.98</v>
      </c>
      <c r="AG7" s="109"/>
      <c r="AH7" s="109"/>
      <c r="AI7" s="109"/>
      <c r="AJ7" s="109"/>
      <c r="AK7" s="109"/>
      <c r="AL7" s="109"/>
      <c r="AM7" s="126"/>
      <c r="AN7" s="126"/>
      <c r="AO7" s="101">
        <v>7</v>
      </c>
    </row>
    <row r="8" spans="1:44" x14ac:dyDescent="0.25">
      <c r="A8" s="102">
        <f t="shared" si="10"/>
        <v>7</v>
      </c>
      <c r="B8" s="102" t="s">
        <v>959</v>
      </c>
      <c r="C8" s="101">
        <v>10</v>
      </c>
      <c r="D8" s="103">
        <v>43374</v>
      </c>
      <c r="E8" s="111">
        <f t="shared" si="11"/>
        <v>2018</v>
      </c>
      <c r="F8" s="104" t="s">
        <v>953</v>
      </c>
      <c r="G8" s="105">
        <f t="shared" si="12"/>
        <v>31</v>
      </c>
      <c r="H8" s="110">
        <v>148</v>
      </c>
      <c r="I8" s="110">
        <v>161.5</v>
      </c>
      <c r="J8" s="113"/>
      <c r="K8" s="106"/>
      <c r="L8" s="112"/>
      <c r="M8" s="114">
        <v>831.05164648381958</v>
      </c>
      <c r="N8" s="108">
        <v>7.0991999999999997</v>
      </c>
      <c r="O8" s="115">
        <f t="shared" si="13"/>
        <v>0.72484655008772603</v>
      </c>
      <c r="P8" s="113">
        <f t="shared" si="14"/>
        <v>5.209677419354839</v>
      </c>
      <c r="Q8" s="112">
        <f>COUNTIFS('Daily KPI'!$D:$D,D8,'Daily KPI'!O:O,"&gt;0")</f>
        <v>0</v>
      </c>
      <c r="R8" s="114">
        <f t="shared" si="15"/>
        <v>0</v>
      </c>
      <c r="S8" s="114">
        <f>SUMIF($F$6:F8,F8,$R$6:R8)</f>
        <v>0</v>
      </c>
      <c r="T8" s="113">
        <f t="shared" si="16"/>
        <v>26.80811762851031</v>
      </c>
      <c r="U8" s="114">
        <f t="shared" si="17"/>
        <v>0</v>
      </c>
      <c r="V8" s="114">
        <f>SUMIF($F$6:F8,F8,$U$6:U8)</f>
        <v>0</v>
      </c>
      <c r="W8" s="115">
        <f t="shared" si="18"/>
        <v>0.15734236268705343</v>
      </c>
      <c r="X8" s="115" t="str">
        <f t="shared" si="8"/>
        <v/>
      </c>
      <c r="Y8" s="115" t="str">
        <f t="shared" si="9"/>
        <v/>
      </c>
      <c r="Z8" s="113" t="str">
        <f>IFERROR(AVERAGEIF('Daily KPI'!D:D,Table14[[#This Row],[Month]],'Daily KPI'!AB:AB),"")</f>
        <v/>
      </c>
      <c r="AA8" s="106">
        <f>IFERROR(AVERAGEIF($F$6:F8,F8,$N$6:N8),"")</f>
        <v>7.0991999999999997</v>
      </c>
      <c r="AB8" s="114"/>
      <c r="AC8" s="113"/>
      <c r="AD8" s="113"/>
      <c r="AE8" s="109">
        <v>0.98040000000000005</v>
      </c>
      <c r="AF8" s="109">
        <v>0.98</v>
      </c>
      <c r="AG8" s="109"/>
      <c r="AH8" s="115"/>
      <c r="AI8" s="115"/>
      <c r="AJ8" s="115"/>
      <c r="AK8" s="115"/>
      <c r="AL8" s="115"/>
      <c r="AM8" s="126"/>
      <c r="AN8" s="126"/>
      <c r="AO8" s="101">
        <v>7</v>
      </c>
    </row>
    <row r="9" spans="1:44" x14ac:dyDescent="0.25">
      <c r="A9" s="101">
        <f t="shared" si="10"/>
        <v>8</v>
      </c>
      <c r="B9" s="102" t="s">
        <v>960</v>
      </c>
      <c r="C9" s="101">
        <v>11</v>
      </c>
      <c r="D9" s="103">
        <v>43405</v>
      </c>
      <c r="E9" s="104">
        <f t="shared" si="11"/>
        <v>2018</v>
      </c>
      <c r="F9" s="104" t="s">
        <v>953</v>
      </c>
      <c r="G9" s="105">
        <f t="shared" si="12"/>
        <v>30</v>
      </c>
      <c r="H9" s="110">
        <v>141.1</v>
      </c>
      <c r="I9" s="110">
        <v>166</v>
      </c>
      <c r="J9" s="107"/>
      <c r="K9" s="110"/>
      <c r="L9" s="105"/>
      <c r="M9" s="108">
        <v>835.74685352610106</v>
      </c>
      <c r="N9" s="108">
        <v>7.0991999999999997</v>
      </c>
      <c r="O9" s="109">
        <f t="shared" si="13"/>
        <v>0.70918125979755831</v>
      </c>
      <c r="P9" s="107">
        <f t="shared" si="14"/>
        <v>5.5333333333333332</v>
      </c>
      <c r="Q9" s="105">
        <f>COUNTIFS('Daily KPI'!$D:$D,D9,'Daily KPI'!O:O,"&gt;0")</f>
        <v>0</v>
      </c>
      <c r="R9" s="108">
        <f t="shared" si="15"/>
        <v>0</v>
      </c>
      <c r="S9" s="108">
        <f>SUMIF($F$6:F9,F9,$R$6:R9)</f>
        <v>0</v>
      </c>
      <c r="T9" s="107">
        <f t="shared" si="16"/>
        <v>27.858228450870037</v>
      </c>
      <c r="U9" s="108">
        <f t="shared" si="17"/>
        <v>0</v>
      </c>
      <c r="V9" s="108">
        <f>SUMIF($F$6:F9,F9,$U$6:U9)</f>
        <v>0</v>
      </c>
      <c r="W9" s="109">
        <f t="shared" si="18"/>
        <v>0.16350567934221483</v>
      </c>
      <c r="X9" s="109" t="str">
        <f t="shared" si="8"/>
        <v/>
      </c>
      <c r="Y9" s="109" t="str">
        <f t="shared" si="9"/>
        <v/>
      </c>
      <c r="Z9" s="107" t="str">
        <f>IFERROR(AVERAGEIF('Daily KPI'!D:D,Table14[[#This Row],[Month]],'Daily KPI'!AB:AB),"")</f>
        <v/>
      </c>
      <c r="AA9" s="110">
        <f>IFERROR(AVERAGEIF($F$6:F9,F9,$N$6:N9),"")</f>
        <v>7.0991999999999997</v>
      </c>
      <c r="AB9" s="108"/>
      <c r="AC9" s="107"/>
      <c r="AD9" s="107"/>
      <c r="AE9" s="109">
        <v>0.98040000000000005</v>
      </c>
      <c r="AF9" s="109">
        <v>0.98</v>
      </c>
      <c r="AG9" s="109"/>
      <c r="AH9" s="109"/>
      <c r="AI9" s="109"/>
      <c r="AJ9" s="109"/>
      <c r="AK9" s="109"/>
      <c r="AL9" s="109"/>
      <c r="AM9" s="126"/>
      <c r="AN9" s="126"/>
      <c r="AO9" s="101">
        <v>7</v>
      </c>
    </row>
    <row r="10" spans="1:44" x14ac:dyDescent="0.25">
      <c r="A10" s="102">
        <f t="shared" si="10"/>
        <v>9</v>
      </c>
      <c r="B10" s="102" t="s">
        <v>961</v>
      </c>
      <c r="C10" s="101">
        <v>12</v>
      </c>
      <c r="D10" s="103">
        <v>43435</v>
      </c>
      <c r="E10" s="111">
        <f t="shared" si="11"/>
        <v>2018</v>
      </c>
      <c r="F10" s="104" t="s">
        <v>953</v>
      </c>
      <c r="G10" s="112">
        <f t="shared" si="12"/>
        <v>31</v>
      </c>
      <c r="H10" s="110">
        <v>136.1</v>
      </c>
      <c r="I10" s="110">
        <v>166.7</v>
      </c>
      <c r="J10" s="113"/>
      <c r="K10" s="106"/>
      <c r="L10" s="112"/>
      <c r="M10" s="114">
        <v>868.61330282207132</v>
      </c>
      <c r="N10" s="108">
        <v>7.0991999999999997</v>
      </c>
      <c r="O10" s="115">
        <f t="shared" si="13"/>
        <v>0.73397533375514845</v>
      </c>
      <c r="P10" s="113">
        <f t="shared" si="14"/>
        <v>5.3774193548387093</v>
      </c>
      <c r="Q10" s="112">
        <f>COUNTIFS('Daily KPI'!$D:$D,D10,'Daily KPI'!O:O,"&gt;0")</f>
        <v>0</v>
      </c>
      <c r="R10" s="114">
        <f t="shared" si="15"/>
        <v>0</v>
      </c>
      <c r="S10" s="114">
        <f>SUMIF($F$6:F10,F10,$R$6:R10)</f>
        <v>0</v>
      </c>
      <c r="T10" s="113">
        <f t="shared" si="16"/>
        <v>28.0197839620023</v>
      </c>
      <c r="U10" s="114">
        <f t="shared" si="17"/>
        <v>0</v>
      </c>
      <c r="V10" s="114">
        <f>SUMIF($F$6:F10,F10,$U$6:U10)</f>
        <v>0</v>
      </c>
      <c r="W10" s="115">
        <f t="shared" si="18"/>
        <v>0.16445388190454735</v>
      </c>
      <c r="X10" s="115" t="str">
        <f t="shared" si="8"/>
        <v/>
      </c>
      <c r="Y10" s="115" t="str">
        <f t="shared" si="9"/>
        <v/>
      </c>
      <c r="Z10" s="113" t="str">
        <f>IFERROR(AVERAGEIF('Daily KPI'!D:D,Table14[[#This Row],[Month]],'Daily KPI'!AB:AB),"")</f>
        <v/>
      </c>
      <c r="AA10" s="106">
        <f>IFERROR(AVERAGEIF($F$6:F10,F10,$N$6:N10),"")</f>
        <v>7.0991999999999988</v>
      </c>
      <c r="AB10" s="114"/>
      <c r="AC10" s="113"/>
      <c r="AD10" s="113"/>
      <c r="AE10" s="109">
        <v>0.98040000000000005</v>
      </c>
      <c r="AF10" s="109">
        <v>0.98</v>
      </c>
      <c r="AG10" s="109"/>
      <c r="AH10" s="115"/>
      <c r="AI10" s="115"/>
      <c r="AJ10" s="115"/>
      <c r="AK10" s="115"/>
      <c r="AL10" s="115"/>
      <c r="AM10" s="126"/>
      <c r="AN10" s="126"/>
      <c r="AO10" s="101">
        <v>7</v>
      </c>
    </row>
    <row r="11" spans="1:44" x14ac:dyDescent="0.25">
      <c r="A11" s="101">
        <f t="shared" si="10"/>
        <v>10</v>
      </c>
      <c r="B11" s="102" t="s">
        <v>962</v>
      </c>
      <c r="C11" s="101">
        <v>1</v>
      </c>
      <c r="D11" s="103">
        <v>43466</v>
      </c>
      <c r="E11" s="104">
        <f t="shared" si="11"/>
        <v>2019</v>
      </c>
      <c r="F11" s="104" t="s">
        <v>953</v>
      </c>
      <c r="G11" s="105">
        <f t="shared" si="12"/>
        <v>31</v>
      </c>
      <c r="H11" s="110">
        <v>151.6</v>
      </c>
      <c r="I11" s="110">
        <v>184.7</v>
      </c>
      <c r="J11" s="107"/>
      <c r="K11" s="110"/>
      <c r="L11" s="105"/>
      <c r="M11" s="108">
        <v>962.51744366770072</v>
      </c>
      <c r="N11" s="108">
        <v>7.0991999999999997</v>
      </c>
      <c r="O11" s="109">
        <f t="shared" si="13"/>
        <v>0.73406125544949641</v>
      </c>
      <c r="P11" s="107">
        <f t="shared" si="14"/>
        <v>5.9580645161290322</v>
      </c>
      <c r="Q11" s="105">
        <f>COUNTIFS('Daily KPI'!$D:$D,D11,'Daily KPI'!O:O,"&gt;0")</f>
        <v>0</v>
      </c>
      <c r="R11" s="108">
        <f t="shared" si="15"/>
        <v>0</v>
      </c>
      <c r="S11" s="108">
        <f>SUMIF($F$6:F11,F11,$R$6:R11)</f>
        <v>0</v>
      </c>
      <c r="T11" s="107">
        <f t="shared" si="16"/>
        <v>31.04894979573228</v>
      </c>
      <c r="U11" s="108">
        <f t="shared" si="17"/>
        <v>0</v>
      </c>
      <c r="V11" s="108">
        <f>SUMIF($F$6:F11,F11,$U$6:U11)</f>
        <v>0</v>
      </c>
      <c r="W11" s="109">
        <f t="shared" si="18"/>
        <v>0.18223267994828221</v>
      </c>
      <c r="X11" s="109" t="str">
        <f t="shared" si="8"/>
        <v/>
      </c>
      <c r="Y11" s="109" t="str">
        <f t="shared" si="9"/>
        <v/>
      </c>
      <c r="Z11" s="107" t="str">
        <f>IFERROR(AVERAGEIF('Daily KPI'!D:D,Table14[[#This Row],[Month]],'Daily KPI'!AB:AB),"")</f>
        <v/>
      </c>
      <c r="AA11" s="110">
        <f>IFERROR(AVERAGEIF($F$6:F11,F11,$N$6:N11),"")</f>
        <v>7.0991999999999988</v>
      </c>
      <c r="AB11" s="108"/>
      <c r="AC11" s="107"/>
      <c r="AD11" s="107"/>
      <c r="AE11" s="109">
        <v>0.98040000000000005</v>
      </c>
      <c r="AF11" s="109">
        <v>0.98</v>
      </c>
      <c r="AG11" s="109"/>
      <c r="AH11" s="109"/>
      <c r="AI11" s="109"/>
      <c r="AJ11" s="109"/>
      <c r="AK11" s="109"/>
      <c r="AL11" s="109"/>
      <c r="AM11" s="126"/>
      <c r="AN11" s="126"/>
      <c r="AO11" s="101">
        <v>7</v>
      </c>
    </row>
    <row r="12" spans="1:44" x14ac:dyDescent="0.25">
      <c r="A12" s="102">
        <f t="shared" si="10"/>
        <v>11</v>
      </c>
      <c r="B12" s="102" t="s">
        <v>963</v>
      </c>
      <c r="C12" s="101">
        <v>2</v>
      </c>
      <c r="D12" s="103">
        <v>43497</v>
      </c>
      <c r="E12" s="111">
        <f t="shared" si="11"/>
        <v>2019</v>
      </c>
      <c r="F12" s="104" t="s">
        <v>953</v>
      </c>
      <c r="G12" s="112">
        <f t="shared" si="12"/>
        <v>28</v>
      </c>
      <c r="H12" s="110">
        <v>159.30000000000001</v>
      </c>
      <c r="I12" s="110">
        <v>183.3</v>
      </c>
      <c r="J12" s="113"/>
      <c r="K12" s="106"/>
      <c r="L12" s="112"/>
      <c r="M12" s="114">
        <v>919.08413099119707</v>
      </c>
      <c r="N12" s="108">
        <v>7.0991999999999997</v>
      </c>
      <c r="O12" s="115">
        <f t="shared" si="13"/>
        <v>0.70629054304605654</v>
      </c>
      <c r="P12" s="113">
        <f t="shared" si="14"/>
        <v>6.5464285714285717</v>
      </c>
      <c r="Q12" s="112">
        <f>COUNTIFS('Daily KPI'!$D:$D,D12,'Daily KPI'!O:O,"&gt;0")</f>
        <v>0</v>
      </c>
      <c r="R12" s="114">
        <f t="shared" si="15"/>
        <v>0</v>
      </c>
      <c r="S12" s="114">
        <f>SUMIF($F$6:F12,F12,$R$6:R12)</f>
        <v>0</v>
      </c>
      <c r="T12" s="113">
        <f t="shared" si="16"/>
        <v>32.824433249685612</v>
      </c>
      <c r="U12" s="114">
        <f t="shared" si="17"/>
        <v>0</v>
      </c>
      <c r="V12" s="114">
        <f>SUMIF($F$6:F12,F12,$U$6:U12)</f>
        <v>0</v>
      </c>
      <c r="W12" s="115">
        <f t="shared" si="18"/>
        <v>0.19265335794693775</v>
      </c>
      <c r="X12" s="115" t="str">
        <f t="shared" si="8"/>
        <v/>
      </c>
      <c r="Y12" s="115" t="str">
        <f t="shared" si="9"/>
        <v/>
      </c>
      <c r="Z12" s="113" t="str">
        <f>IFERROR(AVERAGEIF('Daily KPI'!D:D,Table14[[#This Row],[Month]],'Daily KPI'!AB:AB),"")</f>
        <v/>
      </c>
      <c r="AA12" s="106">
        <f>IFERROR(AVERAGEIF($F$6:F12,F12,$N$6:N12),"")</f>
        <v>7.099199999999998</v>
      </c>
      <c r="AB12" s="114"/>
      <c r="AC12" s="113"/>
      <c r="AD12" s="113"/>
      <c r="AE12" s="109">
        <v>0.98040000000000005</v>
      </c>
      <c r="AF12" s="109">
        <v>0.98</v>
      </c>
      <c r="AG12" s="109"/>
      <c r="AH12" s="115"/>
      <c r="AI12" s="115"/>
      <c r="AJ12" s="115"/>
      <c r="AK12" s="115"/>
      <c r="AL12" s="115"/>
      <c r="AM12" s="126"/>
      <c r="AN12" s="126"/>
      <c r="AO12" s="101">
        <v>7</v>
      </c>
    </row>
    <row r="13" spans="1:44" x14ac:dyDescent="0.25">
      <c r="A13" s="101">
        <f t="shared" si="10"/>
        <v>12</v>
      </c>
      <c r="B13" s="102" t="s">
        <v>964</v>
      </c>
      <c r="C13" s="101">
        <v>3</v>
      </c>
      <c r="D13" s="103">
        <v>43525</v>
      </c>
      <c r="E13" s="104">
        <f t="shared" si="11"/>
        <v>2019</v>
      </c>
      <c r="F13" s="104" t="s">
        <v>953</v>
      </c>
      <c r="G13" s="105">
        <f t="shared" si="12"/>
        <v>31</v>
      </c>
      <c r="H13" s="110">
        <v>197.2</v>
      </c>
      <c r="I13" s="110">
        <v>210.4</v>
      </c>
      <c r="J13" s="107"/>
      <c r="K13" s="110"/>
      <c r="L13" s="105"/>
      <c r="M13" s="108">
        <v>1065.8119985978929</v>
      </c>
      <c r="N13" s="108">
        <v>7.0991999999999997</v>
      </c>
      <c r="O13" s="109">
        <f t="shared" si="13"/>
        <v>0.7135517214853353</v>
      </c>
      <c r="P13" s="107">
        <f t="shared" si="14"/>
        <v>6.7870967741935484</v>
      </c>
      <c r="Q13" s="105">
        <f>COUNTIFS('Daily KPI'!$D:$D,D13,'Daily KPI'!O:O,"&gt;0")</f>
        <v>0</v>
      </c>
      <c r="R13" s="108">
        <f t="shared" si="15"/>
        <v>0</v>
      </c>
      <c r="S13" s="108">
        <f>SUMIF($F$6:F13,F13,$R$6:R13)</f>
        <v>0</v>
      </c>
      <c r="T13" s="107">
        <f t="shared" si="16"/>
        <v>34.381032212835251</v>
      </c>
      <c r="U13" s="108">
        <f t="shared" si="17"/>
        <v>0</v>
      </c>
      <c r="V13" s="108">
        <f>SUMIF($F$6:F13,F13,$U$6:U13)</f>
        <v>0</v>
      </c>
      <c r="W13" s="109">
        <f t="shared" si="18"/>
        <v>0.20178935779639051</v>
      </c>
      <c r="X13" s="109" t="str">
        <f t="shared" si="8"/>
        <v/>
      </c>
      <c r="Y13" s="109" t="str">
        <f t="shared" si="9"/>
        <v/>
      </c>
      <c r="Z13" s="107" t="str">
        <f>IFERROR(AVERAGEIF('Daily KPI'!D:D,Table14[[#This Row],[Month]],'Daily KPI'!AB:AB),"")</f>
        <v/>
      </c>
      <c r="AA13" s="110">
        <f>IFERROR(AVERAGEIF($F$6:F13,F13,$N$6:N13),"")</f>
        <v>7.099199999999998</v>
      </c>
      <c r="AB13" s="108"/>
      <c r="AC13" s="107"/>
      <c r="AD13" s="107"/>
      <c r="AE13" s="109">
        <v>0.98040000000000005</v>
      </c>
      <c r="AF13" s="109">
        <v>0.98</v>
      </c>
      <c r="AG13" s="109"/>
      <c r="AH13" s="109"/>
      <c r="AI13" s="109"/>
      <c r="AJ13" s="109"/>
      <c r="AK13" s="109"/>
      <c r="AL13" s="109"/>
      <c r="AM13" s="126"/>
      <c r="AN13" s="126"/>
      <c r="AO13" s="101">
        <v>7</v>
      </c>
    </row>
    <row r="14" spans="1:44" x14ac:dyDescent="0.25">
      <c r="A14" s="102">
        <f t="shared" si="10"/>
        <v>13</v>
      </c>
      <c r="B14" s="102" t="str">
        <f>B2</f>
        <v>April</v>
      </c>
      <c r="C14" s="102">
        <f>C2</f>
        <v>4</v>
      </c>
      <c r="D14" s="103">
        <v>43556</v>
      </c>
      <c r="E14" s="111">
        <f>YEAR(D14)</f>
        <v>2019</v>
      </c>
      <c r="F14" s="104" t="s">
        <v>965</v>
      </c>
      <c r="G14" s="112">
        <f>DAY(EOMONTH(D14,0))</f>
        <v>30</v>
      </c>
      <c r="H14" s="110">
        <f>H2</f>
        <v>192.9</v>
      </c>
      <c r="I14" s="110">
        <f>I2</f>
        <v>191.2</v>
      </c>
      <c r="J14" s="113"/>
      <c r="K14" s="106"/>
      <c r="L14" s="112"/>
      <c r="M14" s="114">
        <f>M2</f>
        <v>934.34620141401194</v>
      </c>
      <c r="N14" s="108">
        <v>7.0991999999999997</v>
      </c>
      <c r="O14" s="115">
        <f t="shared" si="13"/>
        <v>0.68835191505313997</v>
      </c>
      <c r="P14" s="113">
        <f t="shared" si="14"/>
        <v>6.3733333333333331</v>
      </c>
      <c r="Q14" s="112">
        <f>COUNTIFS('Daily KPI'!$D:$D,D14,'Daily KPI'!O:O,"&gt;0")</f>
        <v>0</v>
      </c>
      <c r="R14" s="114">
        <f t="shared" si="15"/>
        <v>0</v>
      </c>
      <c r="S14" s="114">
        <f>SUMIF($F$6:F14,F14,$R$6:R14)</f>
        <v>0</v>
      </c>
      <c r="T14" s="113">
        <f t="shared" si="16"/>
        <v>31.144873380467065</v>
      </c>
      <c r="U14" s="114">
        <f t="shared" si="17"/>
        <v>0</v>
      </c>
      <c r="V14" s="114">
        <f>SUMIF($F$6:F14,F14,$U$6:U14)</f>
        <v>0</v>
      </c>
      <c r="W14" s="115">
        <f t="shared" si="18"/>
        <v>0.18279567521966716</v>
      </c>
      <c r="X14" s="115" t="str">
        <f t="shared" si="8"/>
        <v/>
      </c>
      <c r="Y14" s="115" t="str">
        <f t="shared" si="9"/>
        <v/>
      </c>
      <c r="Z14" s="113" t="str">
        <f>IFERROR(AVERAGEIF('Daily KPI'!D:D,Table14[[#This Row],[Month]],'Daily KPI'!AB:AB),"")</f>
        <v/>
      </c>
      <c r="AA14" s="106">
        <f>IFERROR(AVERAGEIF($F$6:F14,F14,$N$6:N14),"")</f>
        <v>7.0991999999999997</v>
      </c>
      <c r="AB14" s="114"/>
      <c r="AC14" s="113"/>
      <c r="AD14" s="113"/>
      <c r="AE14" s="109">
        <v>0.98040000000000005</v>
      </c>
      <c r="AF14" s="109">
        <v>0.98</v>
      </c>
      <c r="AG14" s="109"/>
      <c r="AH14" s="115"/>
      <c r="AI14" s="115"/>
      <c r="AJ14" s="115"/>
      <c r="AK14" s="115"/>
      <c r="AL14" s="115"/>
      <c r="AM14" s="126"/>
      <c r="AN14" s="126"/>
      <c r="AO14" s="101">
        <v>7</v>
      </c>
    </row>
    <row r="15" spans="1:44" x14ac:dyDescent="0.25">
      <c r="A15" s="101">
        <f t="shared" si="10"/>
        <v>14</v>
      </c>
      <c r="B15" s="102" t="str">
        <f t="shared" ref="B15:C30" si="19">B3</f>
        <v>May</v>
      </c>
      <c r="C15" s="102">
        <f t="shared" si="19"/>
        <v>5</v>
      </c>
      <c r="D15" s="103">
        <v>43586</v>
      </c>
      <c r="E15" s="104">
        <f>YEAR(D15)</f>
        <v>2019</v>
      </c>
      <c r="F15" s="104" t="s">
        <v>965</v>
      </c>
      <c r="G15" s="105">
        <f>DAY(EOMONTH(D15,0))</f>
        <v>31</v>
      </c>
      <c r="H15" s="110">
        <f t="shared" ref="H15:I30" si="20">H3</f>
        <v>199.3</v>
      </c>
      <c r="I15" s="110">
        <f t="shared" si="20"/>
        <v>187.1</v>
      </c>
      <c r="J15" s="107"/>
      <c r="K15" s="106"/>
      <c r="L15" s="105"/>
      <c r="M15" s="114">
        <f t="shared" ref="M15:M78" si="21">M3</f>
        <v>939.04140845629331</v>
      </c>
      <c r="N15" s="108">
        <v>7.0991999999999997</v>
      </c>
      <c r="O15" s="109">
        <f t="shared" si="13"/>
        <v>0.70697091098550124</v>
      </c>
      <c r="P15" s="107">
        <f t="shared" si="14"/>
        <v>6.0354838709677416</v>
      </c>
      <c r="Q15" s="105">
        <f>COUNTIFS('Daily KPI'!$D:$D,D15,'Daily KPI'!O:O,"&gt;0")</f>
        <v>0</v>
      </c>
      <c r="R15" s="108">
        <f t="shared" si="15"/>
        <v>0</v>
      </c>
      <c r="S15" s="108">
        <f>SUMIF($F$6:F15,F15,$R$6:R15)</f>
        <v>0</v>
      </c>
      <c r="T15" s="107">
        <f t="shared" si="16"/>
        <v>30.291658337299783</v>
      </c>
      <c r="U15" s="108">
        <f t="shared" si="17"/>
        <v>0</v>
      </c>
      <c r="V15" s="108">
        <f>SUMIF($F$6:F15,F15,$U$6:U15)</f>
        <v>0</v>
      </c>
      <c r="W15" s="109">
        <f t="shared" si="18"/>
        <v>0.17778798043734848</v>
      </c>
      <c r="X15" s="109" t="str">
        <f t="shared" si="8"/>
        <v/>
      </c>
      <c r="Y15" s="109" t="str">
        <f t="shared" si="9"/>
        <v/>
      </c>
      <c r="Z15" s="107" t="str">
        <f>IFERROR(AVERAGEIF('Daily KPI'!D:D,Table14[[#This Row],[Month]],'Daily KPI'!AB:AB),"")</f>
        <v/>
      </c>
      <c r="AA15" s="110">
        <f>IFERROR(AVERAGEIF($F$6:F15,F15,$N$6:N15),"")</f>
        <v>7.0991999999999997</v>
      </c>
      <c r="AB15" s="108"/>
      <c r="AC15" s="107"/>
      <c r="AD15" s="107"/>
      <c r="AE15" s="109">
        <v>0.98040000000000005</v>
      </c>
      <c r="AF15" s="109">
        <v>0.98</v>
      </c>
      <c r="AG15" s="109"/>
      <c r="AH15" s="109"/>
      <c r="AI15" s="109"/>
      <c r="AJ15" s="109"/>
      <c r="AK15" s="109"/>
      <c r="AL15" s="109"/>
      <c r="AM15" s="126"/>
      <c r="AN15" s="126"/>
      <c r="AO15" s="101">
        <v>7</v>
      </c>
    </row>
    <row r="16" spans="1:44" x14ac:dyDescent="0.25">
      <c r="A16" s="101">
        <f t="shared" si="10"/>
        <v>15</v>
      </c>
      <c r="B16" s="102" t="str">
        <f t="shared" si="19"/>
        <v>June</v>
      </c>
      <c r="C16" s="102">
        <f t="shared" si="19"/>
        <v>6</v>
      </c>
      <c r="D16" s="103">
        <v>43617</v>
      </c>
      <c r="E16" s="104">
        <f t="shared" ref="E16:E17" si="22">YEAR(D16)</f>
        <v>2019</v>
      </c>
      <c r="F16" s="104" t="s">
        <v>965</v>
      </c>
      <c r="G16" s="105">
        <f t="shared" ref="G16:G49" si="23">DAY(EOMONTH(D16,0))</f>
        <v>30</v>
      </c>
      <c r="H16" s="110">
        <f t="shared" si="20"/>
        <v>149.6</v>
      </c>
      <c r="I16" s="110">
        <f t="shared" si="20"/>
        <v>138.30000000000001</v>
      </c>
      <c r="J16" s="107"/>
      <c r="K16" s="106"/>
      <c r="L16" s="105"/>
      <c r="M16" s="114">
        <f t="shared" si="21"/>
        <v>699.58584929993856</v>
      </c>
      <c r="N16" s="108">
        <v>7.0991999999999997</v>
      </c>
      <c r="O16" s="109">
        <f t="shared" si="13"/>
        <v>0.71254028775714762</v>
      </c>
      <c r="P16" s="107">
        <f t="shared" si="14"/>
        <v>4.6100000000000003</v>
      </c>
      <c r="Q16" s="105">
        <f>COUNTIFS('Daily KPI'!$D:$D,D16,'Daily KPI'!O:O,"&gt;0")</f>
        <v>0</v>
      </c>
      <c r="R16" s="108">
        <f t="shared" si="15"/>
        <v>0</v>
      </c>
      <c r="S16" s="108">
        <f>SUMIF($F$6:F16,F16,$R$6:R16)</f>
        <v>0</v>
      </c>
      <c r="T16" s="107">
        <f t="shared" si="16"/>
        <v>23.319528309997953</v>
      </c>
      <c r="U16" s="108">
        <f t="shared" si="17"/>
        <v>0</v>
      </c>
      <c r="V16" s="108">
        <f>SUMIF($F$2:F97,F16,$U$2:U97)</f>
        <v>0</v>
      </c>
      <c r="W16" s="109">
        <f t="shared" si="18"/>
        <v>0.13686711360668546</v>
      </c>
      <c r="X16" s="109" t="str">
        <f t="shared" si="8"/>
        <v/>
      </c>
      <c r="Y16" s="109" t="str">
        <f t="shared" si="9"/>
        <v/>
      </c>
      <c r="Z16" s="107" t="str">
        <f>IFERROR(AVERAGEIF('Daily KPI'!D:D,Table14[[#This Row],[Month]],'Daily KPI'!AB:AB),"")</f>
        <v/>
      </c>
      <c r="AA16" s="110">
        <f>IFERROR(AVERAGEIF($F$6:F16,F16,$N$6:N16),"")</f>
        <v>7.0991999999999997</v>
      </c>
      <c r="AB16" s="108"/>
      <c r="AC16" s="107"/>
      <c r="AD16" s="107"/>
      <c r="AE16" s="109">
        <v>0.98040000000000005</v>
      </c>
      <c r="AF16" s="109">
        <v>0.98</v>
      </c>
      <c r="AG16" s="109"/>
      <c r="AH16" s="109"/>
      <c r="AI16" s="109"/>
      <c r="AJ16" s="109"/>
      <c r="AK16" s="109"/>
      <c r="AL16" s="109"/>
      <c r="AM16" s="126"/>
      <c r="AN16" s="126"/>
      <c r="AO16" s="101">
        <v>7</v>
      </c>
    </row>
    <row r="17" spans="1:41" x14ac:dyDescent="0.25">
      <c r="A17" s="101">
        <f t="shared" si="10"/>
        <v>16</v>
      </c>
      <c r="B17" s="102" t="str">
        <f t="shared" si="19"/>
        <v>July</v>
      </c>
      <c r="C17" s="102">
        <f t="shared" si="19"/>
        <v>7</v>
      </c>
      <c r="D17" s="103">
        <v>43647</v>
      </c>
      <c r="E17" s="104">
        <f t="shared" si="22"/>
        <v>2019</v>
      </c>
      <c r="F17" s="104" t="s">
        <v>965</v>
      </c>
      <c r="G17" s="105">
        <f t="shared" si="23"/>
        <v>31</v>
      </c>
      <c r="H17" s="110">
        <f t="shared" si="20"/>
        <v>129.30000000000001</v>
      </c>
      <c r="I17" s="110">
        <f t="shared" si="20"/>
        <v>121</v>
      </c>
      <c r="J17" s="107"/>
      <c r="K17" s="106"/>
      <c r="L17" s="105"/>
      <c r="M17" s="114">
        <f t="shared" si="21"/>
        <v>638.54815775027953</v>
      </c>
      <c r="N17" s="108">
        <v>7.0991999999999997</v>
      </c>
      <c r="O17" s="109">
        <f t="shared" si="13"/>
        <v>0.74335946332944924</v>
      </c>
      <c r="P17" s="107">
        <f t="shared" si="14"/>
        <v>3.903225806451613</v>
      </c>
      <c r="Q17" s="105">
        <f>COUNTIFS('Daily KPI'!$D:$D,D17,'Daily KPI'!O:O,"&gt;0")</f>
        <v>0</v>
      </c>
      <c r="R17" s="108">
        <f t="shared" si="15"/>
        <v>0</v>
      </c>
      <c r="S17" s="108">
        <f>SUMIF($F$2:F97,F17,$R$2:R97)</f>
        <v>0</v>
      </c>
      <c r="T17" s="107">
        <f t="shared" si="16"/>
        <v>20.598327669363854</v>
      </c>
      <c r="U17" s="108">
        <f t="shared" si="17"/>
        <v>0</v>
      </c>
      <c r="V17" s="108">
        <f>SUMIF($F$2:F97,F17,$U$2:U97)</f>
        <v>0</v>
      </c>
      <c r="W17" s="109">
        <f t="shared" si="18"/>
        <v>0.12089582669739699</v>
      </c>
      <c r="X17" s="109" t="str">
        <f t="shared" si="8"/>
        <v/>
      </c>
      <c r="Y17" s="109" t="str">
        <f t="shared" si="9"/>
        <v/>
      </c>
      <c r="Z17" s="107" t="str">
        <f>IFERROR(AVERAGEIF('Daily KPI'!D:D,Table14[[#This Row],[Month]],'Daily KPI'!AB:AB),"")</f>
        <v/>
      </c>
      <c r="AA17" s="110">
        <f>IFERROR(AVERAGEIF($F$2:F97,F17,$N$2:N97),"")</f>
        <v>7.0991999999999971</v>
      </c>
      <c r="AB17" s="108"/>
      <c r="AC17" s="107"/>
      <c r="AD17" s="107"/>
      <c r="AE17" s="109">
        <v>0.98040000000000005</v>
      </c>
      <c r="AF17" s="109">
        <v>0.98</v>
      </c>
      <c r="AG17" s="109"/>
      <c r="AH17" s="109"/>
      <c r="AI17" s="109"/>
      <c r="AJ17" s="109"/>
      <c r="AK17" s="109"/>
      <c r="AL17" s="109"/>
      <c r="AM17" s="126"/>
      <c r="AN17" s="126"/>
      <c r="AO17" s="101">
        <v>7</v>
      </c>
    </row>
    <row r="18" spans="1:41" x14ac:dyDescent="0.25">
      <c r="A18" s="101">
        <f t="shared" si="10"/>
        <v>17</v>
      </c>
      <c r="B18" s="102" t="str">
        <f t="shared" si="19"/>
        <v>August</v>
      </c>
      <c r="C18" s="102">
        <f t="shared" si="19"/>
        <v>8</v>
      </c>
      <c r="D18" s="103">
        <v>43678</v>
      </c>
      <c r="E18" s="104">
        <v>2025</v>
      </c>
      <c r="F18" s="104" t="s">
        <v>965</v>
      </c>
      <c r="G18" s="105">
        <f t="shared" si="23"/>
        <v>31</v>
      </c>
      <c r="H18" s="110">
        <f t="shared" si="20"/>
        <v>132.4</v>
      </c>
      <c r="I18" s="110">
        <f t="shared" si="20"/>
        <v>128.19999999999999</v>
      </c>
      <c r="J18" s="107"/>
      <c r="K18" s="106"/>
      <c r="L18" s="105"/>
      <c r="M18" s="114">
        <f t="shared" si="21"/>
        <v>676.10981408853127</v>
      </c>
      <c r="N18" s="108">
        <v>7.0991999999999997</v>
      </c>
      <c r="O18" s="109">
        <f t="shared" si="13"/>
        <v>0.74288194509109884</v>
      </c>
      <c r="P18" s="107">
        <f t="shared" si="14"/>
        <v>4.1354838709677413</v>
      </c>
      <c r="Q18" s="105">
        <f>COUNTIFS('Daily KPI'!$D:$D,D18,'Daily KPI'!O:O,"&gt;0")</f>
        <v>0</v>
      </c>
      <c r="R18" s="108">
        <f t="shared" si="15"/>
        <v>0</v>
      </c>
      <c r="S18" s="108">
        <f>SUMIF($F$6:F18,F18,$R$6:R18)</f>
        <v>0</v>
      </c>
      <c r="T18" s="107">
        <f t="shared" si="16"/>
        <v>21.809994002855849</v>
      </c>
      <c r="U18" s="108">
        <f t="shared" si="17"/>
        <v>0</v>
      </c>
      <c r="V18" s="108">
        <f>SUMIF($F$6:F18,F18,$U$6:U18)</f>
        <v>0</v>
      </c>
      <c r="W18" s="109">
        <f t="shared" si="18"/>
        <v>0.12800734591489094</v>
      </c>
      <c r="X18" s="109" t="str">
        <f t="shared" si="8"/>
        <v/>
      </c>
      <c r="Y18" s="109" t="str">
        <f t="shared" si="9"/>
        <v/>
      </c>
      <c r="Z18" s="107" t="str">
        <f>IFERROR(AVERAGEIF('Daily KPI'!D:D,Table14[[#This Row],[Month]],'Daily KPI'!AB:AB),"")</f>
        <v/>
      </c>
      <c r="AA18" s="110">
        <f>IFERROR(AVERAGEIF($F$6:F18,F18,$N$6:N18),"")</f>
        <v>7.0991999999999988</v>
      </c>
      <c r="AB18" s="108"/>
      <c r="AC18" s="107"/>
      <c r="AD18" s="107"/>
      <c r="AE18" s="109">
        <v>0.98040000000000005</v>
      </c>
      <c r="AF18" s="109">
        <v>0.98</v>
      </c>
      <c r="AG18" s="109"/>
      <c r="AH18" s="109"/>
      <c r="AI18" s="109"/>
      <c r="AJ18" s="109"/>
      <c r="AK18" s="109"/>
      <c r="AL18" s="109"/>
      <c r="AM18" s="126"/>
      <c r="AN18" s="126"/>
      <c r="AO18" s="101">
        <v>7</v>
      </c>
    </row>
    <row r="19" spans="1:41" x14ac:dyDescent="0.25">
      <c r="A19" s="101">
        <f t="shared" si="10"/>
        <v>18</v>
      </c>
      <c r="B19" s="102" t="str">
        <f t="shared" si="19"/>
        <v>September</v>
      </c>
      <c r="C19" s="102">
        <f t="shared" si="19"/>
        <v>9</v>
      </c>
      <c r="D19" s="103">
        <v>43709</v>
      </c>
      <c r="E19" s="104">
        <v>2025</v>
      </c>
      <c r="F19" s="104" t="s">
        <v>965</v>
      </c>
      <c r="G19" s="105">
        <f t="shared" si="23"/>
        <v>30</v>
      </c>
      <c r="H19" s="110">
        <f t="shared" si="20"/>
        <v>142.5</v>
      </c>
      <c r="I19" s="110">
        <f t="shared" si="20"/>
        <v>144.9</v>
      </c>
      <c r="J19" s="107"/>
      <c r="K19" s="106"/>
      <c r="L19" s="105"/>
      <c r="M19" s="114">
        <f t="shared" si="21"/>
        <v>732.45229859590881</v>
      </c>
      <c r="N19" s="108">
        <v>7.0991999999999997</v>
      </c>
      <c r="O19" s="109">
        <f t="shared" si="13"/>
        <v>0.71203534028572857</v>
      </c>
      <c r="P19" s="107">
        <f t="shared" si="14"/>
        <v>4.83</v>
      </c>
      <c r="Q19" s="105">
        <f>COUNTIFS('Daily KPI'!$D:$D,D19,'Daily KPI'!O:O,"&gt;0")</f>
        <v>0</v>
      </c>
      <c r="R19" s="108">
        <f t="shared" si="15"/>
        <v>0</v>
      </c>
      <c r="S19" s="108">
        <f>SUMIF($F$6:F19,F19,$R$6:R19)</f>
        <v>0</v>
      </c>
      <c r="T19" s="107">
        <f t="shared" si="16"/>
        <v>24.415076619863626</v>
      </c>
      <c r="U19" s="108">
        <f t="shared" si="17"/>
        <v>0</v>
      </c>
      <c r="V19" s="108">
        <f>SUMIF($F$6:F19,F19,$U$6:U19)</f>
        <v>0</v>
      </c>
      <c r="W19" s="109">
        <f t="shared" si="18"/>
        <v>0.14329711223250288</v>
      </c>
      <c r="X19" s="109" t="str">
        <f t="shared" si="8"/>
        <v/>
      </c>
      <c r="Y19" s="109" t="str">
        <f t="shared" si="9"/>
        <v/>
      </c>
      <c r="Z19" s="107" t="str">
        <f>IFERROR(AVERAGEIF('Daily KPI'!D:D,Table14[[#This Row],[Month]],'Daily KPI'!AB:AB),"")</f>
        <v/>
      </c>
      <c r="AA19" s="110">
        <f>IFERROR(AVERAGEIF($F$6:F19,F19,$N$6:N19),"")</f>
        <v>7.0991999999999988</v>
      </c>
      <c r="AB19" s="108"/>
      <c r="AC19" s="107"/>
      <c r="AD19" s="107"/>
      <c r="AE19" s="109">
        <v>0.98040000000000005</v>
      </c>
      <c r="AF19" s="109">
        <v>0.98</v>
      </c>
      <c r="AG19" s="109"/>
      <c r="AH19" s="109"/>
      <c r="AI19" s="109"/>
      <c r="AJ19" s="109"/>
      <c r="AK19" s="109"/>
      <c r="AL19" s="109"/>
      <c r="AM19" s="126"/>
      <c r="AN19" s="126"/>
      <c r="AO19" s="101">
        <v>7</v>
      </c>
    </row>
    <row r="20" spans="1:41" x14ac:dyDescent="0.25">
      <c r="A20" s="101">
        <f t="shared" si="10"/>
        <v>19</v>
      </c>
      <c r="B20" s="102" t="str">
        <f t="shared" si="19"/>
        <v>October</v>
      </c>
      <c r="C20" s="102">
        <f t="shared" si="19"/>
        <v>10</v>
      </c>
      <c r="D20" s="103">
        <v>43739</v>
      </c>
      <c r="E20" s="104">
        <v>2025</v>
      </c>
      <c r="F20" s="104" t="s">
        <v>965</v>
      </c>
      <c r="G20" s="105">
        <f t="shared" si="23"/>
        <v>31</v>
      </c>
      <c r="H20" s="110">
        <f t="shared" si="20"/>
        <v>148</v>
      </c>
      <c r="I20" s="110">
        <f t="shared" si="20"/>
        <v>161.5</v>
      </c>
      <c r="J20" s="107"/>
      <c r="K20" s="106"/>
      <c r="L20" s="105"/>
      <c r="M20" s="114">
        <f t="shared" si="21"/>
        <v>831.05164648381958</v>
      </c>
      <c r="N20" s="108">
        <v>7.0991999999999997</v>
      </c>
      <c r="O20" s="109">
        <f t="shared" si="13"/>
        <v>0.72484655008772603</v>
      </c>
      <c r="P20" s="107">
        <f t="shared" si="14"/>
        <v>5.209677419354839</v>
      </c>
      <c r="Q20" s="105">
        <f>COUNTIFS('Daily KPI'!$D:$D,D20,'Daily KPI'!O:O,"&gt;0")</f>
        <v>0</v>
      </c>
      <c r="R20" s="108">
        <f t="shared" si="15"/>
        <v>0</v>
      </c>
      <c r="S20" s="108">
        <f>SUMIF($F$6:F20,F20,$R$6:R20)</f>
        <v>0</v>
      </c>
      <c r="T20" s="107">
        <f t="shared" si="16"/>
        <v>26.80811762851031</v>
      </c>
      <c r="U20" s="108">
        <f t="shared" si="17"/>
        <v>0</v>
      </c>
      <c r="V20" s="108">
        <f>SUMIF($F$6:F20,F20,$U$6:U20)</f>
        <v>0</v>
      </c>
      <c r="W20" s="109">
        <f t="shared" si="18"/>
        <v>0.15734236268705343</v>
      </c>
      <c r="X20" s="109" t="str">
        <f t="shared" si="8"/>
        <v/>
      </c>
      <c r="Y20" s="109" t="str">
        <f t="shared" si="9"/>
        <v/>
      </c>
      <c r="Z20" s="107" t="str">
        <f>IFERROR(AVERAGEIF('Daily KPI'!D:D,Table14[[#This Row],[Month]],'Daily KPI'!AB:AB),"")</f>
        <v/>
      </c>
      <c r="AA20" s="110">
        <f>IFERROR(AVERAGEIF($F$6:F20,F20,$N$6:N20),"")</f>
        <v>7.099199999999998</v>
      </c>
      <c r="AB20" s="108"/>
      <c r="AC20" s="107"/>
      <c r="AD20" s="107"/>
      <c r="AE20" s="109">
        <v>0.98040000000000005</v>
      </c>
      <c r="AF20" s="109">
        <v>0.98</v>
      </c>
      <c r="AG20" s="109"/>
      <c r="AH20" s="109"/>
      <c r="AI20" s="109"/>
      <c r="AJ20" s="109"/>
      <c r="AK20" s="109"/>
      <c r="AL20" s="109"/>
      <c r="AM20" s="126"/>
      <c r="AN20" s="126"/>
      <c r="AO20" s="101">
        <v>7</v>
      </c>
    </row>
    <row r="21" spans="1:41" x14ac:dyDescent="0.25">
      <c r="A21" s="101">
        <f t="shared" si="10"/>
        <v>20</v>
      </c>
      <c r="B21" s="102" t="str">
        <f t="shared" si="19"/>
        <v>November</v>
      </c>
      <c r="C21" s="102">
        <f t="shared" si="19"/>
        <v>11</v>
      </c>
      <c r="D21" s="103">
        <v>43770</v>
      </c>
      <c r="E21" s="104">
        <v>2025</v>
      </c>
      <c r="F21" s="104" t="s">
        <v>965</v>
      </c>
      <c r="G21" s="105">
        <f t="shared" si="23"/>
        <v>30</v>
      </c>
      <c r="H21" s="110">
        <f t="shared" si="20"/>
        <v>141.1</v>
      </c>
      <c r="I21" s="110">
        <f t="shared" si="20"/>
        <v>166</v>
      </c>
      <c r="J21" s="107"/>
      <c r="K21" s="106"/>
      <c r="L21" s="105"/>
      <c r="M21" s="114">
        <f t="shared" si="21"/>
        <v>835.74685352610106</v>
      </c>
      <c r="N21" s="108">
        <v>7.0991999999999997</v>
      </c>
      <c r="O21" s="109">
        <f t="shared" si="13"/>
        <v>0.70918125979755831</v>
      </c>
      <c r="P21" s="107">
        <f t="shared" si="14"/>
        <v>5.5333333333333332</v>
      </c>
      <c r="Q21" s="105">
        <f>COUNTIFS('Daily KPI'!$D:$D,D21,'Daily KPI'!O:O,"&gt;0")</f>
        <v>0</v>
      </c>
      <c r="R21" s="108">
        <f t="shared" si="15"/>
        <v>0</v>
      </c>
      <c r="S21" s="108">
        <f>SUMIF($F$6:F21,F21,$R$6:R21)</f>
        <v>0</v>
      </c>
      <c r="T21" s="107">
        <f t="shared" si="16"/>
        <v>27.858228450870037</v>
      </c>
      <c r="U21" s="108">
        <f t="shared" si="17"/>
        <v>0</v>
      </c>
      <c r="V21" s="108">
        <f>SUMIF($F$6:F21,F21,$U$6:U21)</f>
        <v>0</v>
      </c>
      <c r="W21" s="109">
        <f t="shared" si="18"/>
        <v>0.16350567934221483</v>
      </c>
      <c r="X21" s="109" t="str">
        <f t="shared" si="8"/>
        <v/>
      </c>
      <c r="Y21" s="109" t="str">
        <f t="shared" si="9"/>
        <v/>
      </c>
      <c r="Z21" s="107" t="str">
        <f>IFERROR(AVERAGEIF('Daily KPI'!D:D,Table14[[#This Row],[Month]],'Daily KPI'!AB:AB),"")</f>
        <v/>
      </c>
      <c r="AA21" s="110">
        <f>IFERROR(AVERAGEIF($F$6:F21,F21,$N$6:N21),"")</f>
        <v>7.099199999999998</v>
      </c>
      <c r="AB21" s="108"/>
      <c r="AC21" s="107"/>
      <c r="AD21" s="107"/>
      <c r="AE21" s="109">
        <v>0.98040000000000005</v>
      </c>
      <c r="AF21" s="109">
        <v>0.98</v>
      </c>
      <c r="AG21" s="109"/>
      <c r="AH21" s="109"/>
      <c r="AI21" s="109"/>
      <c r="AJ21" s="109"/>
      <c r="AK21" s="109"/>
      <c r="AL21" s="109"/>
      <c r="AM21" s="126"/>
      <c r="AN21" s="126"/>
      <c r="AO21" s="101">
        <v>7</v>
      </c>
    </row>
    <row r="22" spans="1:41" x14ac:dyDescent="0.25">
      <c r="A22" s="101">
        <f t="shared" si="10"/>
        <v>21</v>
      </c>
      <c r="B22" s="102" t="str">
        <f t="shared" si="19"/>
        <v>December</v>
      </c>
      <c r="C22" s="102">
        <f t="shared" si="19"/>
        <v>12</v>
      </c>
      <c r="D22" s="103">
        <v>43800</v>
      </c>
      <c r="E22" s="104">
        <v>2025</v>
      </c>
      <c r="F22" s="104" t="s">
        <v>965</v>
      </c>
      <c r="G22" s="105">
        <f t="shared" si="23"/>
        <v>31</v>
      </c>
      <c r="H22" s="110">
        <f t="shared" si="20"/>
        <v>136.1</v>
      </c>
      <c r="I22" s="110">
        <f t="shared" si="20"/>
        <v>166.7</v>
      </c>
      <c r="J22" s="107"/>
      <c r="K22" s="106"/>
      <c r="L22" s="105"/>
      <c r="M22" s="114">
        <f t="shared" si="21"/>
        <v>868.61330282207132</v>
      </c>
      <c r="N22" s="108">
        <v>7.0991999999999997</v>
      </c>
      <c r="O22" s="109">
        <f t="shared" si="13"/>
        <v>0.73397533375514845</v>
      </c>
      <c r="P22" s="107">
        <f t="shared" si="14"/>
        <v>5.3774193548387093</v>
      </c>
      <c r="Q22" s="105">
        <f>COUNTIFS('Daily KPI'!$D:$D,D22,'Daily KPI'!O:O,"&gt;0")</f>
        <v>0</v>
      </c>
      <c r="R22" s="108">
        <f t="shared" si="15"/>
        <v>0</v>
      </c>
      <c r="S22" s="108">
        <f>SUMIF($F$6:F22,F22,$R$6:R22)</f>
        <v>0</v>
      </c>
      <c r="T22" s="107">
        <f t="shared" si="16"/>
        <v>28.0197839620023</v>
      </c>
      <c r="U22" s="108">
        <f t="shared" si="17"/>
        <v>0</v>
      </c>
      <c r="V22" s="108">
        <f>SUMIF($F$6:F22,F22,$U$6:U22)</f>
        <v>0</v>
      </c>
      <c r="W22" s="109">
        <f t="shared" si="18"/>
        <v>0.16445388190454735</v>
      </c>
      <c r="X22" s="109" t="str">
        <f t="shared" si="8"/>
        <v/>
      </c>
      <c r="Y22" s="109" t="str">
        <f t="shared" si="9"/>
        <v/>
      </c>
      <c r="Z22" s="107" t="str">
        <f>IFERROR(AVERAGEIF('Daily KPI'!D:D,Table14[[#This Row],[Month]],'Daily KPI'!AB:AB),"")</f>
        <v/>
      </c>
      <c r="AA22" s="110">
        <f>IFERROR(AVERAGEIF($F$6:F22,F22,$N$6:N22),"")</f>
        <v>7.099199999999998</v>
      </c>
      <c r="AB22" s="108"/>
      <c r="AC22" s="107"/>
      <c r="AD22" s="107"/>
      <c r="AE22" s="109">
        <v>0.98040000000000005</v>
      </c>
      <c r="AF22" s="109">
        <v>0.98</v>
      </c>
      <c r="AG22" s="109"/>
      <c r="AH22" s="109"/>
      <c r="AI22" s="109"/>
      <c r="AJ22" s="109"/>
      <c r="AK22" s="109"/>
      <c r="AL22" s="109"/>
      <c r="AM22" s="126"/>
      <c r="AN22" s="126"/>
      <c r="AO22" s="101">
        <v>7</v>
      </c>
    </row>
    <row r="23" spans="1:41" x14ac:dyDescent="0.25">
      <c r="A23" s="101">
        <f t="shared" si="10"/>
        <v>22</v>
      </c>
      <c r="B23" s="102" t="str">
        <f t="shared" si="19"/>
        <v>January</v>
      </c>
      <c r="C23" s="102">
        <f t="shared" si="19"/>
        <v>1</v>
      </c>
      <c r="D23" s="103">
        <v>43831</v>
      </c>
      <c r="E23" s="104">
        <v>2025</v>
      </c>
      <c r="F23" s="104" t="s">
        <v>965</v>
      </c>
      <c r="G23" s="105">
        <f t="shared" si="23"/>
        <v>31</v>
      </c>
      <c r="H23" s="110">
        <f t="shared" si="20"/>
        <v>151.6</v>
      </c>
      <c r="I23" s="110">
        <f t="shared" si="20"/>
        <v>184.7</v>
      </c>
      <c r="J23" s="107"/>
      <c r="K23" s="106"/>
      <c r="L23" s="105"/>
      <c r="M23" s="114">
        <f t="shared" si="21"/>
        <v>962.51744366770072</v>
      </c>
      <c r="N23" s="108">
        <v>7.0991999999999997</v>
      </c>
      <c r="O23" s="109">
        <f t="shared" si="13"/>
        <v>0.73406125544949641</v>
      </c>
      <c r="P23" s="107">
        <f t="shared" si="14"/>
        <v>5.9580645161290322</v>
      </c>
      <c r="Q23" s="105">
        <f>COUNTIFS('Daily KPI'!$D:$D,D23,'Daily KPI'!O:O,"&gt;0")</f>
        <v>0</v>
      </c>
      <c r="R23" s="108">
        <f t="shared" si="15"/>
        <v>0</v>
      </c>
      <c r="S23" s="108">
        <f>SUMIF($F$6:F23,F23,$R$6:R23)</f>
        <v>0</v>
      </c>
      <c r="T23" s="107">
        <f t="shared" si="16"/>
        <v>31.04894979573228</v>
      </c>
      <c r="U23" s="108">
        <f t="shared" si="17"/>
        <v>0</v>
      </c>
      <c r="V23" s="108">
        <f>SUMIF($F$6:F23,F23,$U$6:U23)</f>
        <v>0</v>
      </c>
      <c r="W23" s="109">
        <f t="shared" si="18"/>
        <v>0.18223267994828221</v>
      </c>
      <c r="X23" s="109" t="str">
        <f t="shared" si="8"/>
        <v/>
      </c>
      <c r="Y23" s="109" t="str">
        <f t="shared" si="9"/>
        <v/>
      </c>
      <c r="Z23" s="107" t="str">
        <f>IFERROR(AVERAGEIF('Daily KPI'!D:D,Table14[[#This Row],[Month]],'Daily KPI'!AB:AB),"")</f>
        <v/>
      </c>
      <c r="AA23" s="110">
        <f>IFERROR(AVERAGEIF($F$6:F23,F23,$N$6:N23),"")</f>
        <v>7.099199999999998</v>
      </c>
      <c r="AB23" s="108"/>
      <c r="AC23" s="107"/>
      <c r="AD23" s="107"/>
      <c r="AE23" s="109">
        <v>0.98040000000000005</v>
      </c>
      <c r="AF23" s="109">
        <v>0.98</v>
      </c>
      <c r="AG23" s="109"/>
      <c r="AH23" s="109"/>
      <c r="AI23" s="109"/>
      <c r="AJ23" s="109"/>
      <c r="AK23" s="109"/>
      <c r="AL23" s="109"/>
      <c r="AM23" s="126"/>
      <c r="AN23" s="126"/>
      <c r="AO23" s="101">
        <v>7</v>
      </c>
    </row>
    <row r="24" spans="1:41" x14ac:dyDescent="0.25">
      <c r="A24" s="101">
        <f t="shared" si="10"/>
        <v>23</v>
      </c>
      <c r="B24" s="102" t="str">
        <f t="shared" si="19"/>
        <v>February</v>
      </c>
      <c r="C24" s="102">
        <f t="shared" si="19"/>
        <v>2</v>
      </c>
      <c r="D24" s="103">
        <v>43862</v>
      </c>
      <c r="E24" s="104">
        <v>2025</v>
      </c>
      <c r="F24" s="104" t="s">
        <v>965</v>
      </c>
      <c r="G24" s="105">
        <f t="shared" si="23"/>
        <v>29</v>
      </c>
      <c r="H24" s="110">
        <f t="shared" si="20"/>
        <v>159.30000000000001</v>
      </c>
      <c r="I24" s="110">
        <f t="shared" si="20"/>
        <v>183.3</v>
      </c>
      <c r="J24" s="107"/>
      <c r="K24" s="106"/>
      <c r="L24" s="105"/>
      <c r="M24" s="114">
        <f t="shared" si="21"/>
        <v>919.08413099119707</v>
      </c>
      <c r="N24" s="108">
        <v>7.0991999999999997</v>
      </c>
      <c r="O24" s="109">
        <f t="shared" si="13"/>
        <v>0.70629054304605654</v>
      </c>
      <c r="P24" s="107">
        <f t="shared" si="14"/>
        <v>6.3206896551724139</v>
      </c>
      <c r="Q24" s="105">
        <f>COUNTIFS('Daily KPI'!$D:$D,D24,'Daily KPI'!O:O,"&gt;0")</f>
        <v>0</v>
      </c>
      <c r="R24" s="108">
        <f t="shared" si="15"/>
        <v>0</v>
      </c>
      <c r="S24" s="108">
        <f>SUMIF($F$6:F24,F24,$R$6:R24)</f>
        <v>0</v>
      </c>
      <c r="T24" s="107">
        <f t="shared" si="16"/>
        <v>31.69255624107576</v>
      </c>
      <c r="U24" s="108">
        <f t="shared" si="17"/>
        <v>0</v>
      </c>
      <c r="V24" s="108">
        <f>SUMIF($F$6:F24,F24,$U$6:U24)</f>
        <v>0</v>
      </c>
      <c r="W24" s="109">
        <f t="shared" si="18"/>
        <v>0.18601013870738817</v>
      </c>
      <c r="X24" s="109" t="str">
        <f t="shared" si="8"/>
        <v/>
      </c>
      <c r="Y24" s="109" t="str">
        <f t="shared" si="9"/>
        <v/>
      </c>
      <c r="Z24" s="107" t="str">
        <f>IFERROR(AVERAGEIF('Daily KPI'!D:D,Table14[[#This Row],[Month]],'Daily KPI'!AB:AB),"")</f>
        <v/>
      </c>
      <c r="AA24" s="110">
        <f>IFERROR(AVERAGEIF($F$6:F24,F24,$N$6:N24),"")</f>
        <v>7.0991999999999971</v>
      </c>
      <c r="AB24" s="108"/>
      <c r="AC24" s="107"/>
      <c r="AD24" s="107"/>
      <c r="AE24" s="109">
        <v>0.98040000000000005</v>
      </c>
      <c r="AF24" s="109">
        <v>0.98</v>
      </c>
      <c r="AG24" s="109"/>
      <c r="AH24" s="109"/>
      <c r="AI24" s="109"/>
      <c r="AJ24" s="109"/>
      <c r="AK24" s="109"/>
      <c r="AL24" s="109"/>
      <c r="AM24" s="126"/>
      <c r="AN24" s="126"/>
      <c r="AO24" s="101">
        <v>7</v>
      </c>
    </row>
    <row r="25" spans="1:41" x14ac:dyDescent="0.25">
      <c r="A25" s="101">
        <f t="shared" si="10"/>
        <v>24</v>
      </c>
      <c r="B25" s="102" t="str">
        <f t="shared" si="19"/>
        <v>March</v>
      </c>
      <c r="C25" s="102">
        <f t="shared" si="19"/>
        <v>3</v>
      </c>
      <c r="D25" s="103">
        <v>43891</v>
      </c>
      <c r="E25" s="104">
        <v>2025</v>
      </c>
      <c r="F25" s="104" t="s">
        <v>965</v>
      </c>
      <c r="G25" s="105">
        <f t="shared" si="23"/>
        <v>31</v>
      </c>
      <c r="H25" s="110">
        <f t="shared" si="20"/>
        <v>197.2</v>
      </c>
      <c r="I25" s="110">
        <f t="shared" si="20"/>
        <v>210.4</v>
      </c>
      <c r="J25" s="107"/>
      <c r="K25" s="106"/>
      <c r="L25" s="105"/>
      <c r="M25" s="114">
        <f t="shared" si="21"/>
        <v>1065.8119985978929</v>
      </c>
      <c r="N25" s="108">
        <v>7.0991999999999997</v>
      </c>
      <c r="O25" s="109">
        <f t="shared" si="13"/>
        <v>0.7135517214853353</v>
      </c>
      <c r="P25" s="107">
        <f t="shared" si="14"/>
        <v>6.7870967741935484</v>
      </c>
      <c r="Q25" s="105">
        <f>COUNTIFS('Daily KPI'!$D:$D,D25,'Daily KPI'!O:O,"&gt;0")</f>
        <v>0</v>
      </c>
      <c r="R25" s="108">
        <f t="shared" si="15"/>
        <v>0</v>
      </c>
      <c r="S25" s="108">
        <f>SUMIF($F$6:F25,F25,$R$6:R25)</f>
        <v>0</v>
      </c>
      <c r="T25" s="107">
        <f t="shared" si="16"/>
        <v>34.381032212835251</v>
      </c>
      <c r="U25" s="108">
        <f t="shared" si="17"/>
        <v>0</v>
      </c>
      <c r="V25" s="108">
        <f>SUMIF($F$6:F25,F25,$U$6:U25)</f>
        <v>0</v>
      </c>
      <c r="W25" s="109">
        <f t="shared" si="18"/>
        <v>0.20178935779639051</v>
      </c>
      <c r="X25" s="109" t="str">
        <f t="shared" si="8"/>
        <v/>
      </c>
      <c r="Y25" s="109" t="str">
        <f t="shared" si="9"/>
        <v/>
      </c>
      <c r="Z25" s="107" t="str">
        <f>IFERROR(AVERAGEIF('Daily KPI'!D:D,Table14[[#This Row],[Month]],'Daily KPI'!AB:AB),"")</f>
        <v/>
      </c>
      <c r="AA25" s="110">
        <f>IFERROR(AVERAGEIF($F$6:F25,F25,$N$6:N25),"")</f>
        <v>7.0991999999999971</v>
      </c>
      <c r="AB25" s="108"/>
      <c r="AC25" s="107"/>
      <c r="AD25" s="107"/>
      <c r="AE25" s="109">
        <v>0.98040000000000005</v>
      </c>
      <c r="AF25" s="109">
        <v>0.98</v>
      </c>
      <c r="AG25" s="109"/>
      <c r="AH25" s="109"/>
      <c r="AI25" s="109"/>
      <c r="AJ25" s="109"/>
      <c r="AK25" s="109"/>
      <c r="AL25" s="109"/>
      <c r="AM25" s="126"/>
      <c r="AN25" s="126"/>
      <c r="AO25" s="101">
        <v>7</v>
      </c>
    </row>
    <row r="26" spans="1:41" x14ac:dyDescent="0.25">
      <c r="A26" s="101">
        <f t="shared" si="10"/>
        <v>25</v>
      </c>
      <c r="B26" s="102" t="str">
        <f t="shared" si="19"/>
        <v>April</v>
      </c>
      <c r="C26" s="102">
        <f t="shared" si="19"/>
        <v>4</v>
      </c>
      <c r="D26" s="103">
        <v>43922</v>
      </c>
      <c r="E26" s="104">
        <v>2025</v>
      </c>
      <c r="F26" s="104" t="s">
        <v>966</v>
      </c>
      <c r="G26" s="105">
        <f t="shared" si="23"/>
        <v>30</v>
      </c>
      <c r="H26" s="110">
        <f t="shared" si="20"/>
        <v>192.9</v>
      </c>
      <c r="I26" s="110">
        <f t="shared" si="20"/>
        <v>191.2</v>
      </c>
      <c r="J26" s="107"/>
      <c r="K26" s="106"/>
      <c r="L26" s="105"/>
      <c r="M26" s="114">
        <f t="shared" si="21"/>
        <v>934.34620141401194</v>
      </c>
      <c r="N26" s="108">
        <v>7.0991999999999997</v>
      </c>
      <c r="O26" s="109">
        <f t="shared" si="13"/>
        <v>0.68835191505313997</v>
      </c>
      <c r="P26" s="107">
        <f t="shared" si="14"/>
        <v>6.3733333333333331</v>
      </c>
      <c r="Q26" s="105">
        <f>COUNTIFS('Daily KPI'!$D:$D,D26,'Daily KPI'!O:O,"&gt;0")</f>
        <v>0</v>
      </c>
      <c r="R26" s="108">
        <f t="shared" si="15"/>
        <v>0</v>
      </c>
      <c r="S26" s="108">
        <f>SUMIF($F$6:F26,F26,$R$6:R26)</f>
        <v>0</v>
      </c>
      <c r="T26" s="107">
        <f t="shared" si="16"/>
        <v>31.144873380467065</v>
      </c>
      <c r="U26" s="108">
        <f t="shared" si="17"/>
        <v>0</v>
      </c>
      <c r="V26" s="108">
        <f>SUMIF($F$6:F26,F26,$U$6:U26)</f>
        <v>0</v>
      </c>
      <c r="W26" s="109">
        <f t="shared" si="18"/>
        <v>0.18279567521966716</v>
      </c>
      <c r="X26" s="109" t="str">
        <f t="shared" si="8"/>
        <v/>
      </c>
      <c r="Y26" s="109" t="str">
        <f t="shared" si="9"/>
        <v/>
      </c>
      <c r="Z26" s="107" t="str">
        <f>IFERROR(AVERAGEIF('Daily KPI'!D:D,Table14[[#This Row],[Month]],'Daily KPI'!AB:AB),"")</f>
        <v/>
      </c>
      <c r="AA26" s="110">
        <f>IFERROR(AVERAGEIF($F$6:F26,F26,$N$6:N26),"")</f>
        <v>7.0991999999999997</v>
      </c>
      <c r="AB26" s="108"/>
      <c r="AC26" s="107"/>
      <c r="AD26" s="107"/>
      <c r="AE26" s="109">
        <v>0.98040000000000005</v>
      </c>
      <c r="AF26" s="109">
        <v>0.98</v>
      </c>
      <c r="AG26" s="109"/>
      <c r="AH26" s="109"/>
      <c r="AI26" s="109"/>
      <c r="AJ26" s="109"/>
      <c r="AK26" s="109"/>
      <c r="AL26" s="109"/>
      <c r="AM26" s="126"/>
      <c r="AN26" s="126"/>
      <c r="AO26" s="101">
        <v>7</v>
      </c>
    </row>
    <row r="27" spans="1:41" x14ac:dyDescent="0.25">
      <c r="A27" s="101">
        <f t="shared" si="10"/>
        <v>26</v>
      </c>
      <c r="B27" s="102" t="str">
        <f t="shared" si="19"/>
        <v>May</v>
      </c>
      <c r="C27" s="102">
        <f t="shared" si="19"/>
        <v>5</v>
      </c>
      <c r="D27" s="103">
        <v>43952</v>
      </c>
      <c r="E27" s="104">
        <v>2026</v>
      </c>
      <c r="F27" s="104" t="s">
        <v>966</v>
      </c>
      <c r="G27" s="105">
        <f t="shared" si="23"/>
        <v>31</v>
      </c>
      <c r="H27" s="110">
        <f t="shared" si="20"/>
        <v>199.3</v>
      </c>
      <c r="I27" s="110">
        <f t="shared" si="20"/>
        <v>187.1</v>
      </c>
      <c r="J27" s="107"/>
      <c r="K27" s="106"/>
      <c r="L27" s="105"/>
      <c r="M27" s="114">
        <f t="shared" si="21"/>
        <v>939.04140845629331</v>
      </c>
      <c r="N27" s="108">
        <v>7.0991999999999997</v>
      </c>
      <c r="O27" s="109">
        <f t="shared" si="13"/>
        <v>0.70697091098550124</v>
      </c>
      <c r="P27" s="107">
        <f t="shared" si="14"/>
        <v>6.0354838709677416</v>
      </c>
      <c r="Q27" s="105">
        <f>COUNTIFS('Daily KPI'!$D:$D,D27,'Daily KPI'!O:O,"&gt;0")</f>
        <v>0</v>
      </c>
      <c r="R27" s="108">
        <f t="shared" si="15"/>
        <v>0</v>
      </c>
      <c r="S27" s="108">
        <f>SUMIF($F$6:F27,F27,$R$6:R27)</f>
        <v>0</v>
      </c>
      <c r="T27" s="107">
        <f t="shared" si="16"/>
        <v>30.291658337299783</v>
      </c>
      <c r="U27" s="108">
        <f t="shared" si="17"/>
        <v>0</v>
      </c>
      <c r="V27" s="108">
        <f>SUMIF($F$6:F27,F27,$U$6:U27)</f>
        <v>0</v>
      </c>
      <c r="W27" s="109">
        <f t="shared" si="18"/>
        <v>0.17778798043734848</v>
      </c>
      <c r="X27" s="109" t="str">
        <f t="shared" si="8"/>
        <v/>
      </c>
      <c r="Y27" s="109" t="str">
        <f t="shared" si="9"/>
        <v/>
      </c>
      <c r="Z27" s="107" t="str">
        <f>IFERROR(AVERAGEIF('Daily KPI'!D:D,Table14[[#This Row],[Month]],'Daily KPI'!AB:AB),"")</f>
        <v/>
      </c>
      <c r="AA27" s="110">
        <f>IFERROR(AVERAGEIF($F$6:F27,F27,$N$6:N27),"")</f>
        <v>7.0991999999999997</v>
      </c>
      <c r="AB27" s="108"/>
      <c r="AC27" s="107"/>
      <c r="AD27" s="107"/>
      <c r="AE27" s="109">
        <v>0.98040000000000005</v>
      </c>
      <c r="AF27" s="109">
        <v>0.98</v>
      </c>
      <c r="AG27" s="109"/>
      <c r="AH27" s="109"/>
      <c r="AI27" s="109"/>
      <c r="AJ27" s="109"/>
      <c r="AK27" s="109"/>
      <c r="AL27" s="109"/>
      <c r="AM27" s="126"/>
      <c r="AN27" s="126"/>
      <c r="AO27" s="101">
        <v>7</v>
      </c>
    </row>
    <row r="28" spans="1:41" x14ac:dyDescent="0.25">
      <c r="A28" s="101">
        <f t="shared" si="10"/>
        <v>27</v>
      </c>
      <c r="B28" s="102" t="str">
        <f t="shared" si="19"/>
        <v>June</v>
      </c>
      <c r="C28" s="102">
        <f t="shared" si="19"/>
        <v>6</v>
      </c>
      <c r="D28" s="103">
        <v>43983</v>
      </c>
      <c r="E28" s="104">
        <v>2026</v>
      </c>
      <c r="F28" s="104" t="s">
        <v>966</v>
      </c>
      <c r="G28" s="105">
        <f t="shared" si="23"/>
        <v>30</v>
      </c>
      <c r="H28" s="110">
        <f t="shared" si="20"/>
        <v>149.6</v>
      </c>
      <c r="I28" s="110">
        <f t="shared" si="20"/>
        <v>138.30000000000001</v>
      </c>
      <c r="J28" s="107"/>
      <c r="K28" s="106"/>
      <c r="L28" s="105"/>
      <c r="M28" s="114">
        <f t="shared" si="21"/>
        <v>699.58584929993856</v>
      </c>
      <c r="N28" s="108">
        <v>7.0991999999999997</v>
      </c>
      <c r="O28" s="109">
        <f t="shared" si="13"/>
        <v>0.71254028775714762</v>
      </c>
      <c r="P28" s="107">
        <f t="shared" si="14"/>
        <v>4.6100000000000003</v>
      </c>
      <c r="Q28" s="105">
        <f>COUNTIFS('Daily KPI'!$D:$D,D28,'Daily KPI'!O:O,"&gt;0")</f>
        <v>0</v>
      </c>
      <c r="R28" s="108">
        <f t="shared" si="15"/>
        <v>0</v>
      </c>
      <c r="S28" s="108">
        <f>SUMIF($F$6:F28,F28,$R$6:R28)</f>
        <v>0</v>
      </c>
      <c r="T28" s="107">
        <f t="shared" si="16"/>
        <v>23.319528309997953</v>
      </c>
      <c r="U28" s="108">
        <f t="shared" si="17"/>
        <v>0</v>
      </c>
      <c r="V28" s="108">
        <f>SUMIF($F$6:F28,F28,$U$6:U28)</f>
        <v>0</v>
      </c>
      <c r="W28" s="109">
        <f t="shared" si="18"/>
        <v>0.13686711360668546</v>
      </c>
      <c r="X28" s="109" t="str">
        <f t="shared" si="8"/>
        <v/>
      </c>
      <c r="Y28" s="109" t="str">
        <f t="shared" si="9"/>
        <v/>
      </c>
      <c r="Z28" s="107" t="str">
        <f>IFERROR(AVERAGEIF('Daily KPI'!D:D,Table14[[#This Row],[Month]],'Daily KPI'!AB:AB),"")</f>
        <v/>
      </c>
      <c r="AA28" s="110">
        <f>IFERROR(AVERAGEIF($F$6:F28,F28,$N$6:N28),"")</f>
        <v>7.0991999999999997</v>
      </c>
      <c r="AB28" s="108"/>
      <c r="AC28" s="107"/>
      <c r="AD28" s="107"/>
      <c r="AE28" s="109">
        <v>0.98040000000000005</v>
      </c>
      <c r="AF28" s="109">
        <v>0.98</v>
      </c>
      <c r="AG28" s="109"/>
      <c r="AH28" s="109"/>
      <c r="AI28" s="109"/>
      <c r="AJ28" s="109"/>
      <c r="AK28" s="109"/>
      <c r="AL28" s="109"/>
      <c r="AM28" s="126"/>
      <c r="AN28" s="126"/>
      <c r="AO28" s="101">
        <v>7</v>
      </c>
    </row>
    <row r="29" spans="1:41" x14ac:dyDescent="0.25">
      <c r="A29" s="101">
        <f t="shared" si="10"/>
        <v>28</v>
      </c>
      <c r="B29" s="102" t="str">
        <f t="shared" si="19"/>
        <v>July</v>
      </c>
      <c r="C29" s="102">
        <f t="shared" si="19"/>
        <v>7</v>
      </c>
      <c r="D29" s="103">
        <v>44013</v>
      </c>
      <c r="E29" s="104">
        <v>2026</v>
      </c>
      <c r="F29" s="104" t="s">
        <v>966</v>
      </c>
      <c r="G29" s="105">
        <f t="shared" si="23"/>
        <v>31</v>
      </c>
      <c r="H29" s="110">
        <f t="shared" si="20"/>
        <v>129.30000000000001</v>
      </c>
      <c r="I29" s="110">
        <f t="shared" si="20"/>
        <v>121</v>
      </c>
      <c r="J29" s="107"/>
      <c r="K29" s="106"/>
      <c r="L29" s="105"/>
      <c r="M29" s="114">
        <f t="shared" si="21"/>
        <v>638.54815775027953</v>
      </c>
      <c r="N29" s="108">
        <v>7.0991999999999997</v>
      </c>
      <c r="O29" s="109">
        <f t="shared" si="13"/>
        <v>0.74335946332944924</v>
      </c>
      <c r="P29" s="107">
        <f t="shared" si="14"/>
        <v>3.903225806451613</v>
      </c>
      <c r="Q29" s="105">
        <f>COUNTIFS('Daily KPI'!$D:$D,D29,'Daily KPI'!O:O,"&gt;0")</f>
        <v>0</v>
      </c>
      <c r="R29" s="108">
        <f t="shared" si="15"/>
        <v>0</v>
      </c>
      <c r="S29" s="108">
        <f>SUMIF($F$2:F97,F29,$R$2:R97)</f>
        <v>0</v>
      </c>
      <c r="T29" s="107">
        <f t="shared" si="16"/>
        <v>20.598327669363854</v>
      </c>
      <c r="U29" s="108">
        <f t="shared" si="17"/>
        <v>0</v>
      </c>
      <c r="V29" s="108">
        <f>SUMIF($F$2:F97,F29,$U$2:U97)</f>
        <v>0</v>
      </c>
      <c r="W29" s="109">
        <f t="shared" si="18"/>
        <v>0.12089582669739699</v>
      </c>
      <c r="X29" s="109" t="str">
        <f t="shared" si="8"/>
        <v/>
      </c>
      <c r="Y29" s="109" t="str">
        <f t="shared" si="9"/>
        <v/>
      </c>
      <c r="Z29" s="107" t="str">
        <f>IFERROR(AVERAGEIF('Daily KPI'!D:D,Table14[[#This Row],[Month]],'Daily KPI'!AB:AB),"")</f>
        <v/>
      </c>
      <c r="AA29" s="110">
        <f>IFERROR(AVERAGEIF($F$2:F97,F29,$N$2:N97),"")</f>
        <v>7.0991999999999971</v>
      </c>
      <c r="AB29" s="108"/>
      <c r="AC29" s="107"/>
      <c r="AD29" s="107"/>
      <c r="AE29" s="109">
        <v>0.98040000000000005</v>
      </c>
      <c r="AF29" s="109">
        <v>0.98</v>
      </c>
      <c r="AG29" s="109"/>
      <c r="AH29" s="109"/>
      <c r="AI29" s="109"/>
      <c r="AJ29" s="109"/>
      <c r="AK29" s="109"/>
      <c r="AL29" s="109"/>
      <c r="AM29" s="126"/>
      <c r="AN29" s="126"/>
      <c r="AO29" s="101">
        <v>7</v>
      </c>
    </row>
    <row r="30" spans="1:41" x14ac:dyDescent="0.25">
      <c r="A30" s="101">
        <f t="shared" si="10"/>
        <v>29</v>
      </c>
      <c r="B30" s="102" t="str">
        <f t="shared" si="19"/>
        <v>August</v>
      </c>
      <c r="C30" s="102">
        <f t="shared" si="19"/>
        <v>8</v>
      </c>
      <c r="D30" s="103">
        <v>44044</v>
      </c>
      <c r="E30" s="104">
        <f t="shared" ref="E30:E49" si="24">YEAR(D30)</f>
        <v>2020</v>
      </c>
      <c r="F30" s="104" t="s">
        <v>966</v>
      </c>
      <c r="G30" s="105">
        <f t="shared" si="23"/>
        <v>31</v>
      </c>
      <c r="H30" s="110">
        <f t="shared" si="20"/>
        <v>132.4</v>
      </c>
      <c r="I30" s="110">
        <f t="shared" si="20"/>
        <v>128.19999999999999</v>
      </c>
      <c r="J30" s="107"/>
      <c r="K30" s="106"/>
      <c r="L30" s="105"/>
      <c r="M30" s="114">
        <f t="shared" si="21"/>
        <v>676.10981408853127</v>
      </c>
      <c r="N30" s="108">
        <v>7.0991999999999997</v>
      </c>
      <c r="O30" s="109">
        <f t="shared" si="13"/>
        <v>0.74288194509109884</v>
      </c>
      <c r="P30" s="107">
        <f t="shared" si="14"/>
        <v>4.1354838709677413</v>
      </c>
      <c r="Q30" s="105">
        <f>COUNTIFS('Daily KPI'!$D:$D,D30,'Daily KPI'!O:O,"&gt;0")</f>
        <v>0</v>
      </c>
      <c r="R30" s="108">
        <f t="shared" si="15"/>
        <v>0</v>
      </c>
      <c r="S30" s="108">
        <f>SUMIF($F$2:F30,F30,$R$2:R30)</f>
        <v>0</v>
      </c>
      <c r="T30" s="107">
        <f t="shared" si="16"/>
        <v>21.809994002855849</v>
      </c>
      <c r="U30" s="108">
        <f t="shared" si="17"/>
        <v>0</v>
      </c>
      <c r="V30" s="108">
        <f>SUMIF($F$2:F30,F30,$U$2:U30)</f>
        <v>0</v>
      </c>
      <c r="W30" s="109">
        <f t="shared" si="18"/>
        <v>0.12800734591489094</v>
      </c>
      <c r="X30" s="109" t="str">
        <f t="shared" si="8"/>
        <v/>
      </c>
      <c r="Y30" s="109" t="str">
        <f t="shared" si="9"/>
        <v/>
      </c>
      <c r="Z30" s="107" t="str">
        <f>IFERROR(AVERAGEIF('Daily KPI'!D:D,Table14[[#This Row],[Month]],'Daily KPI'!AB:AB),"")</f>
        <v/>
      </c>
      <c r="AA30" s="110">
        <f>IFERROR(AVERAGEIF($F$2:F30,F30,$N$2:N30),"")</f>
        <v>7.0991999999999988</v>
      </c>
      <c r="AB30" s="108"/>
      <c r="AC30" s="107"/>
      <c r="AD30" s="107"/>
      <c r="AE30" s="109">
        <v>0.98040000000000005</v>
      </c>
      <c r="AF30" s="109">
        <v>0.98</v>
      </c>
      <c r="AG30" s="109"/>
      <c r="AH30" s="109"/>
      <c r="AI30" s="109"/>
      <c r="AJ30" s="109"/>
      <c r="AK30" s="109"/>
      <c r="AL30" s="109"/>
      <c r="AM30" s="126"/>
      <c r="AN30" s="126"/>
      <c r="AO30" s="101">
        <v>7</v>
      </c>
    </row>
    <row r="31" spans="1:41" x14ac:dyDescent="0.25">
      <c r="A31" s="101">
        <f t="shared" si="10"/>
        <v>30</v>
      </c>
      <c r="B31" s="102" t="str">
        <f t="shared" ref="B31:C46" si="25">B19</f>
        <v>September</v>
      </c>
      <c r="C31" s="102">
        <f t="shared" si="25"/>
        <v>9</v>
      </c>
      <c r="D31" s="103">
        <v>44075</v>
      </c>
      <c r="E31" s="104">
        <f t="shared" si="24"/>
        <v>2020</v>
      </c>
      <c r="F31" s="104" t="s">
        <v>966</v>
      </c>
      <c r="G31" s="105">
        <f t="shared" si="23"/>
        <v>30</v>
      </c>
      <c r="H31" s="110">
        <f t="shared" ref="H31:I46" si="26">H19</f>
        <v>142.5</v>
      </c>
      <c r="I31" s="110">
        <f t="shared" si="26"/>
        <v>144.9</v>
      </c>
      <c r="J31" s="107"/>
      <c r="K31" s="106"/>
      <c r="L31" s="105"/>
      <c r="M31" s="114">
        <f t="shared" si="21"/>
        <v>732.45229859590881</v>
      </c>
      <c r="N31" s="108">
        <v>7.0991999999999997</v>
      </c>
      <c r="O31" s="109">
        <f t="shared" si="13"/>
        <v>0.71203534028572857</v>
      </c>
      <c r="P31" s="107">
        <f t="shared" si="14"/>
        <v>4.83</v>
      </c>
      <c r="Q31" s="105">
        <f>COUNTIFS('Daily KPI'!$D:$D,D31,'Daily KPI'!O:O,"&gt;0")</f>
        <v>0</v>
      </c>
      <c r="R31" s="108">
        <f t="shared" si="15"/>
        <v>0</v>
      </c>
      <c r="S31" s="108">
        <f>SUMIF($F$2:F31,F31,$R$2:R31)</f>
        <v>0</v>
      </c>
      <c r="T31" s="107">
        <f t="shared" si="16"/>
        <v>24.415076619863626</v>
      </c>
      <c r="U31" s="108">
        <f t="shared" si="17"/>
        <v>0</v>
      </c>
      <c r="V31" s="108">
        <f>SUMIF($F$2:F31,F31,$U$2:U31)</f>
        <v>0</v>
      </c>
      <c r="W31" s="109">
        <f t="shared" si="18"/>
        <v>0.14329711223250288</v>
      </c>
      <c r="X31" s="109" t="str">
        <f t="shared" si="8"/>
        <v/>
      </c>
      <c r="Y31" s="109" t="str">
        <f t="shared" si="9"/>
        <v/>
      </c>
      <c r="Z31" s="107" t="str">
        <f>IFERROR(AVERAGEIF('Daily KPI'!D:D,Table14[[#This Row],[Month]],'Daily KPI'!AB:AB),"")</f>
        <v/>
      </c>
      <c r="AA31" s="110">
        <f>IFERROR(AVERAGEIF($F$2:F31,F31,$N$2:N31),"")</f>
        <v>7.0991999999999988</v>
      </c>
      <c r="AB31" s="108"/>
      <c r="AC31" s="107"/>
      <c r="AD31" s="107"/>
      <c r="AE31" s="109">
        <v>0.98040000000000005</v>
      </c>
      <c r="AF31" s="109">
        <v>0.98</v>
      </c>
      <c r="AG31" s="109"/>
      <c r="AH31" s="109"/>
      <c r="AI31" s="109"/>
      <c r="AJ31" s="109"/>
      <c r="AK31" s="109"/>
      <c r="AL31" s="109"/>
      <c r="AM31" s="126"/>
      <c r="AN31" s="126"/>
      <c r="AO31" s="101">
        <v>7</v>
      </c>
    </row>
    <row r="32" spans="1:41" x14ac:dyDescent="0.25">
      <c r="A32" s="101">
        <f t="shared" si="10"/>
        <v>31</v>
      </c>
      <c r="B32" s="102" t="str">
        <f t="shared" si="25"/>
        <v>October</v>
      </c>
      <c r="C32" s="102">
        <f t="shared" si="25"/>
        <v>10</v>
      </c>
      <c r="D32" s="103">
        <v>44105</v>
      </c>
      <c r="E32" s="104">
        <f t="shared" si="24"/>
        <v>2020</v>
      </c>
      <c r="F32" s="104" t="s">
        <v>966</v>
      </c>
      <c r="G32" s="105">
        <f t="shared" si="23"/>
        <v>31</v>
      </c>
      <c r="H32" s="110">
        <f t="shared" si="26"/>
        <v>148</v>
      </c>
      <c r="I32" s="110">
        <f t="shared" si="26"/>
        <v>161.5</v>
      </c>
      <c r="J32" s="107"/>
      <c r="K32" s="106"/>
      <c r="L32" s="105"/>
      <c r="M32" s="114">
        <f t="shared" si="21"/>
        <v>831.05164648381958</v>
      </c>
      <c r="N32" s="108">
        <v>7.0991999999999997</v>
      </c>
      <c r="O32" s="109">
        <f t="shared" si="13"/>
        <v>0.72484655008772603</v>
      </c>
      <c r="P32" s="107">
        <f t="shared" si="14"/>
        <v>5.209677419354839</v>
      </c>
      <c r="Q32" s="105">
        <f>COUNTIFS('Daily KPI'!$D:$D,D32,'Daily KPI'!O:O,"&gt;0")</f>
        <v>0</v>
      </c>
      <c r="R32" s="108">
        <f t="shared" si="15"/>
        <v>0</v>
      </c>
      <c r="S32" s="108">
        <f>SUMIF($F$2:F32,F32,$R$2:R32)</f>
        <v>0</v>
      </c>
      <c r="T32" s="107">
        <f t="shared" si="16"/>
        <v>26.80811762851031</v>
      </c>
      <c r="U32" s="108">
        <f t="shared" si="17"/>
        <v>0</v>
      </c>
      <c r="V32" s="108">
        <f>SUMIF($F$2:F32,F32,$U$2:U32)</f>
        <v>0</v>
      </c>
      <c r="W32" s="109">
        <f t="shared" si="18"/>
        <v>0.15734236268705343</v>
      </c>
      <c r="X32" s="109" t="str">
        <f t="shared" si="8"/>
        <v/>
      </c>
      <c r="Y32" s="109" t="str">
        <f t="shared" si="9"/>
        <v/>
      </c>
      <c r="Z32" s="107" t="str">
        <f>IFERROR(AVERAGEIF('Daily KPI'!D:D,Table14[[#This Row],[Month]],'Daily KPI'!AB:AB),"")</f>
        <v/>
      </c>
      <c r="AA32" s="110">
        <f>IFERROR(AVERAGEIF($F$2:F32,F32,$N$2:N32),"")</f>
        <v>7.099199999999998</v>
      </c>
      <c r="AB32" s="108"/>
      <c r="AC32" s="107"/>
      <c r="AD32" s="107"/>
      <c r="AE32" s="109">
        <v>0.98040000000000005</v>
      </c>
      <c r="AF32" s="109">
        <v>0.98</v>
      </c>
      <c r="AG32" s="109"/>
      <c r="AH32" s="109"/>
      <c r="AI32" s="109"/>
      <c r="AJ32" s="109"/>
      <c r="AK32" s="109"/>
      <c r="AL32" s="109"/>
      <c r="AM32" s="126"/>
      <c r="AN32" s="126"/>
      <c r="AO32" s="101">
        <v>7</v>
      </c>
    </row>
    <row r="33" spans="1:41" x14ac:dyDescent="0.25">
      <c r="A33" s="101">
        <f t="shared" si="10"/>
        <v>32</v>
      </c>
      <c r="B33" s="102" t="str">
        <f t="shared" si="25"/>
        <v>November</v>
      </c>
      <c r="C33" s="102">
        <f t="shared" si="25"/>
        <v>11</v>
      </c>
      <c r="D33" s="103">
        <v>44136</v>
      </c>
      <c r="E33" s="104">
        <f t="shared" si="24"/>
        <v>2020</v>
      </c>
      <c r="F33" s="104" t="s">
        <v>966</v>
      </c>
      <c r="G33" s="105">
        <f t="shared" si="23"/>
        <v>30</v>
      </c>
      <c r="H33" s="110">
        <f t="shared" si="26"/>
        <v>141.1</v>
      </c>
      <c r="I33" s="110">
        <f t="shared" si="26"/>
        <v>166</v>
      </c>
      <c r="J33" s="107"/>
      <c r="K33" s="106"/>
      <c r="L33" s="105"/>
      <c r="M33" s="114">
        <f t="shared" si="21"/>
        <v>835.74685352610106</v>
      </c>
      <c r="N33" s="108">
        <v>7.0991999999999997</v>
      </c>
      <c r="O33" s="109">
        <f t="shared" si="13"/>
        <v>0.70918125979755831</v>
      </c>
      <c r="P33" s="107">
        <f t="shared" si="14"/>
        <v>5.5333333333333332</v>
      </c>
      <c r="Q33" s="105">
        <f>COUNTIFS('Daily KPI'!$D:$D,D33,'Daily KPI'!O:O,"&gt;0")</f>
        <v>0</v>
      </c>
      <c r="R33" s="108">
        <f t="shared" si="15"/>
        <v>0</v>
      </c>
      <c r="S33" s="108">
        <f>SUMIF($F$2:F33,F33,$R$2:R33)</f>
        <v>0</v>
      </c>
      <c r="T33" s="107">
        <f t="shared" si="16"/>
        <v>27.858228450870037</v>
      </c>
      <c r="U33" s="108">
        <f t="shared" si="17"/>
        <v>0</v>
      </c>
      <c r="V33" s="108">
        <f>SUMIF($F$2:F33,F33,$U$2:U33)</f>
        <v>0</v>
      </c>
      <c r="W33" s="109">
        <f t="shared" si="18"/>
        <v>0.16350567934221483</v>
      </c>
      <c r="X33" s="109" t="str">
        <f t="shared" si="8"/>
        <v/>
      </c>
      <c r="Y33" s="109" t="str">
        <f t="shared" si="9"/>
        <v/>
      </c>
      <c r="Z33" s="107" t="str">
        <f>IFERROR(AVERAGEIF('Daily KPI'!D:D,Table14[[#This Row],[Month]],'Daily KPI'!AB:AB),"")</f>
        <v/>
      </c>
      <c r="AA33" s="110">
        <f>IFERROR(AVERAGEIF($F$2:F33,F33,$N$2:N33),"")</f>
        <v>7.099199999999998</v>
      </c>
      <c r="AB33" s="108"/>
      <c r="AC33" s="107"/>
      <c r="AD33" s="107"/>
      <c r="AE33" s="109">
        <v>0.98040000000000005</v>
      </c>
      <c r="AF33" s="109">
        <v>0.98</v>
      </c>
      <c r="AG33" s="109"/>
      <c r="AH33" s="109"/>
      <c r="AI33" s="109"/>
      <c r="AJ33" s="109"/>
      <c r="AK33" s="109"/>
      <c r="AL33" s="109"/>
      <c r="AM33" s="126"/>
      <c r="AN33" s="126"/>
      <c r="AO33" s="101">
        <v>7</v>
      </c>
    </row>
    <row r="34" spans="1:41" x14ac:dyDescent="0.25">
      <c r="A34" s="101">
        <f t="shared" si="10"/>
        <v>33</v>
      </c>
      <c r="B34" s="102" t="str">
        <f t="shared" si="25"/>
        <v>December</v>
      </c>
      <c r="C34" s="102">
        <f t="shared" si="25"/>
        <v>12</v>
      </c>
      <c r="D34" s="103">
        <v>44166</v>
      </c>
      <c r="E34" s="104">
        <f t="shared" si="24"/>
        <v>2020</v>
      </c>
      <c r="F34" s="104" t="s">
        <v>966</v>
      </c>
      <c r="G34" s="105">
        <f t="shared" si="23"/>
        <v>31</v>
      </c>
      <c r="H34" s="110">
        <f t="shared" si="26"/>
        <v>136.1</v>
      </c>
      <c r="I34" s="110">
        <f t="shared" si="26"/>
        <v>166.7</v>
      </c>
      <c r="J34" s="107"/>
      <c r="K34" s="106"/>
      <c r="L34" s="105"/>
      <c r="M34" s="114">
        <f t="shared" si="21"/>
        <v>868.61330282207132</v>
      </c>
      <c r="N34" s="108">
        <v>7.0991999999999997</v>
      </c>
      <c r="O34" s="109">
        <f t="shared" si="13"/>
        <v>0.73397533375514845</v>
      </c>
      <c r="P34" s="107">
        <f t="shared" si="14"/>
        <v>5.3774193548387093</v>
      </c>
      <c r="Q34" s="105">
        <f>COUNTIFS('Daily KPI'!$D:$D,D34,'Daily KPI'!O:O,"&gt;0")</f>
        <v>0</v>
      </c>
      <c r="R34" s="108">
        <f t="shared" si="15"/>
        <v>0</v>
      </c>
      <c r="S34" s="108">
        <f>SUMIF($F$2:F97,F34,$R$2:R97)</f>
        <v>0</v>
      </c>
      <c r="T34" s="107">
        <f t="shared" si="16"/>
        <v>28.0197839620023</v>
      </c>
      <c r="U34" s="108">
        <f t="shared" si="17"/>
        <v>0</v>
      </c>
      <c r="V34" s="108">
        <f>SUMIF($F$2:F97,F34,$U$2:U97)</f>
        <v>0</v>
      </c>
      <c r="W34" s="109">
        <f t="shared" si="18"/>
        <v>0.16445388190454735</v>
      </c>
      <c r="X34" s="109" t="str">
        <f t="shared" ref="X34:X65" si="27">IFERROR(U34/(24*N34*Q34),"")</f>
        <v/>
      </c>
      <c r="Y34" s="109" t="str">
        <f t="shared" ref="Y34:Y65" si="28">IFERROR(V34/(24*N34*SUMIFS($Q:$Q,$F:$F,$F34,$D:$D,"&lt;="&amp;D34)),"")</f>
        <v/>
      </c>
      <c r="Z34" s="107" t="str">
        <f>IFERROR(AVERAGEIF('Daily KPI'!D:D,Table14[[#This Row],[Month]],'Daily KPI'!AB:AB),"")</f>
        <v/>
      </c>
      <c r="AA34" s="110">
        <f>IFERROR(AVERAGEIF($F$2:F97,F34,$N$2:N97),"")</f>
        <v>7.0991999999999971</v>
      </c>
      <c r="AB34" s="108"/>
      <c r="AC34" s="107"/>
      <c r="AD34" s="107"/>
      <c r="AE34" s="109">
        <v>0.98040000000000005</v>
      </c>
      <c r="AF34" s="109">
        <v>0.98</v>
      </c>
      <c r="AG34" s="109"/>
      <c r="AH34" s="109"/>
      <c r="AI34" s="109"/>
      <c r="AJ34" s="109"/>
      <c r="AK34" s="109"/>
      <c r="AL34" s="109"/>
      <c r="AM34" s="126"/>
      <c r="AN34" s="126"/>
      <c r="AO34" s="101">
        <v>7</v>
      </c>
    </row>
    <row r="35" spans="1:41" x14ac:dyDescent="0.25">
      <c r="A35" s="101">
        <f t="shared" si="10"/>
        <v>34</v>
      </c>
      <c r="B35" s="102" t="str">
        <f t="shared" si="25"/>
        <v>January</v>
      </c>
      <c r="C35" s="102">
        <f t="shared" si="25"/>
        <v>1</v>
      </c>
      <c r="D35" s="103">
        <v>44197</v>
      </c>
      <c r="E35" s="104">
        <f t="shared" si="24"/>
        <v>2021</v>
      </c>
      <c r="F35" s="104" t="s">
        <v>966</v>
      </c>
      <c r="G35" s="105">
        <f t="shared" si="23"/>
        <v>31</v>
      </c>
      <c r="H35" s="110">
        <f t="shared" si="26"/>
        <v>151.6</v>
      </c>
      <c r="I35" s="110">
        <f t="shared" si="26"/>
        <v>184.7</v>
      </c>
      <c r="J35" s="107"/>
      <c r="K35" s="106"/>
      <c r="L35" s="105"/>
      <c r="M35" s="114">
        <f t="shared" si="21"/>
        <v>962.51744366770072</v>
      </c>
      <c r="N35" s="108">
        <v>7.0991999999999997</v>
      </c>
      <c r="O35" s="109">
        <f t="shared" si="13"/>
        <v>0.73406125544949641</v>
      </c>
      <c r="P35" s="107">
        <f t="shared" si="14"/>
        <v>5.9580645161290322</v>
      </c>
      <c r="Q35" s="105">
        <f>COUNTIFS('Daily KPI'!$D:$D,D35,'Daily KPI'!O:O,"&gt;0")</f>
        <v>0</v>
      </c>
      <c r="R35" s="108">
        <f t="shared" si="15"/>
        <v>0</v>
      </c>
      <c r="S35" s="108">
        <f>SUMIF($F$2:F35,F35,$R$2:R35)</f>
        <v>0</v>
      </c>
      <c r="T35" s="107">
        <f t="shared" si="16"/>
        <v>31.04894979573228</v>
      </c>
      <c r="U35" s="108">
        <f t="shared" si="17"/>
        <v>0</v>
      </c>
      <c r="V35" s="108">
        <f>SUMIF($F$2:F35,F35,$U$2:U35)</f>
        <v>0</v>
      </c>
      <c r="W35" s="109">
        <f t="shared" si="18"/>
        <v>0.18223267994828221</v>
      </c>
      <c r="X35" s="109" t="str">
        <f t="shared" si="27"/>
        <v/>
      </c>
      <c r="Y35" s="109" t="str">
        <f t="shared" si="28"/>
        <v/>
      </c>
      <c r="Z35" s="107" t="str">
        <f>IFERROR(AVERAGEIF('Daily KPI'!D:D,Table14[[#This Row],[Month]],'Daily KPI'!AB:AB),"")</f>
        <v/>
      </c>
      <c r="AA35" s="110">
        <f>IFERROR(AVERAGEIF($F$2:F35,F35,$N$2:N35),"")</f>
        <v>7.099199999999998</v>
      </c>
      <c r="AB35" s="108"/>
      <c r="AC35" s="107"/>
      <c r="AD35" s="107"/>
      <c r="AE35" s="109">
        <v>0.98040000000000005</v>
      </c>
      <c r="AF35" s="109">
        <v>0.98</v>
      </c>
      <c r="AG35" s="109"/>
      <c r="AH35" s="109"/>
      <c r="AI35" s="109"/>
      <c r="AJ35" s="109"/>
      <c r="AK35" s="109"/>
      <c r="AL35" s="109"/>
      <c r="AM35" s="126"/>
      <c r="AN35" s="126"/>
      <c r="AO35" s="101">
        <v>7</v>
      </c>
    </row>
    <row r="36" spans="1:41" x14ac:dyDescent="0.25">
      <c r="A36" s="101">
        <f t="shared" si="10"/>
        <v>35</v>
      </c>
      <c r="B36" s="102" t="str">
        <f t="shared" si="25"/>
        <v>February</v>
      </c>
      <c r="C36" s="102">
        <f t="shared" si="25"/>
        <v>2</v>
      </c>
      <c r="D36" s="103">
        <v>44228</v>
      </c>
      <c r="E36" s="104">
        <f t="shared" si="24"/>
        <v>2021</v>
      </c>
      <c r="F36" s="104" t="s">
        <v>966</v>
      </c>
      <c r="G36" s="105">
        <f t="shared" si="23"/>
        <v>28</v>
      </c>
      <c r="H36" s="110">
        <f t="shared" si="26"/>
        <v>159.30000000000001</v>
      </c>
      <c r="I36" s="110">
        <f t="shared" si="26"/>
        <v>183.3</v>
      </c>
      <c r="J36" s="107"/>
      <c r="K36" s="106"/>
      <c r="L36" s="105"/>
      <c r="M36" s="114">
        <f t="shared" si="21"/>
        <v>919.08413099119707</v>
      </c>
      <c r="N36" s="108">
        <v>7.0991999999999997</v>
      </c>
      <c r="O36" s="109">
        <f t="shared" si="13"/>
        <v>0.70629054304605654</v>
      </c>
      <c r="P36" s="107">
        <f t="shared" si="14"/>
        <v>6.5464285714285717</v>
      </c>
      <c r="Q36" s="105">
        <f>COUNTIFS('Daily KPI'!$D:$D,D36,'Daily KPI'!O:O,"&gt;0")</f>
        <v>0</v>
      </c>
      <c r="R36" s="108">
        <f t="shared" si="15"/>
        <v>0</v>
      </c>
      <c r="S36" s="108">
        <f>SUMIF($F$2:F36,F36,$R$2:R36)</f>
        <v>0</v>
      </c>
      <c r="T36" s="107">
        <f t="shared" si="16"/>
        <v>32.824433249685612</v>
      </c>
      <c r="U36" s="108">
        <f t="shared" si="17"/>
        <v>0</v>
      </c>
      <c r="V36" s="108">
        <f>SUMIF($F$2:F36,F36,$U$2:U36)</f>
        <v>0</v>
      </c>
      <c r="W36" s="109">
        <f t="shared" si="18"/>
        <v>0.19265335794693775</v>
      </c>
      <c r="X36" s="109" t="str">
        <f t="shared" si="27"/>
        <v/>
      </c>
      <c r="Y36" s="109" t="str">
        <f t="shared" si="28"/>
        <v/>
      </c>
      <c r="Z36" s="107" t="str">
        <f>IFERROR(AVERAGEIF('Daily KPI'!D:D,Table14[[#This Row],[Month]],'Daily KPI'!AB:AB),"")</f>
        <v/>
      </c>
      <c r="AA36" s="110">
        <f>IFERROR(AVERAGEIF($F$2:F36,F36,$N$2:N36),"")</f>
        <v>7.0991999999999971</v>
      </c>
      <c r="AB36" s="108"/>
      <c r="AC36" s="107"/>
      <c r="AD36" s="107"/>
      <c r="AE36" s="109">
        <v>0.98040000000000005</v>
      </c>
      <c r="AF36" s="109">
        <v>0.98</v>
      </c>
      <c r="AG36" s="109"/>
      <c r="AH36" s="109"/>
      <c r="AI36" s="109"/>
      <c r="AJ36" s="109"/>
      <c r="AK36" s="109"/>
      <c r="AL36" s="109"/>
      <c r="AM36" s="126"/>
      <c r="AN36" s="126"/>
      <c r="AO36" s="101">
        <v>7</v>
      </c>
    </row>
    <row r="37" spans="1:41" x14ac:dyDescent="0.25">
      <c r="A37" s="101">
        <f t="shared" si="10"/>
        <v>36</v>
      </c>
      <c r="B37" s="102" t="str">
        <f t="shared" si="25"/>
        <v>March</v>
      </c>
      <c r="C37" s="102">
        <f t="shared" si="25"/>
        <v>3</v>
      </c>
      <c r="D37" s="103">
        <v>44256</v>
      </c>
      <c r="E37" s="104">
        <f t="shared" si="24"/>
        <v>2021</v>
      </c>
      <c r="F37" s="104" t="s">
        <v>966</v>
      </c>
      <c r="G37" s="105">
        <f t="shared" si="23"/>
        <v>31</v>
      </c>
      <c r="H37" s="110">
        <f t="shared" si="26"/>
        <v>197.2</v>
      </c>
      <c r="I37" s="110">
        <f t="shared" si="26"/>
        <v>210.4</v>
      </c>
      <c r="J37" s="107"/>
      <c r="K37" s="106"/>
      <c r="L37" s="105"/>
      <c r="M37" s="114">
        <f t="shared" si="21"/>
        <v>1065.8119985978929</v>
      </c>
      <c r="N37" s="108">
        <v>7.0991999999999997</v>
      </c>
      <c r="O37" s="109">
        <f t="shared" si="13"/>
        <v>0.7135517214853353</v>
      </c>
      <c r="P37" s="107">
        <f t="shared" si="14"/>
        <v>6.7870967741935484</v>
      </c>
      <c r="Q37" s="105">
        <f>COUNTIFS('Daily KPI'!$D:$D,D37,'Daily KPI'!O:O,"&gt;0")</f>
        <v>0</v>
      </c>
      <c r="R37" s="108">
        <f t="shared" si="15"/>
        <v>0</v>
      </c>
      <c r="S37" s="108">
        <f>SUMIF($F$2:F37,F37,$R$2:R37)</f>
        <v>0</v>
      </c>
      <c r="T37" s="107">
        <f t="shared" si="16"/>
        <v>34.381032212835251</v>
      </c>
      <c r="U37" s="108">
        <f t="shared" si="17"/>
        <v>0</v>
      </c>
      <c r="V37" s="108">
        <f>SUMIF($F$2:F37,F37,$U$2:U37)</f>
        <v>0</v>
      </c>
      <c r="W37" s="109">
        <f t="shared" si="18"/>
        <v>0.20178935779639051</v>
      </c>
      <c r="X37" s="109" t="str">
        <f t="shared" si="27"/>
        <v/>
      </c>
      <c r="Y37" s="109" t="str">
        <f t="shared" si="28"/>
        <v/>
      </c>
      <c r="Z37" s="107" t="str">
        <f>IFERROR(AVERAGEIF('Daily KPI'!D:D,Table14[[#This Row],[Month]],'Daily KPI'!AB:AB),"")</f>
        <v/>
      </c>
      <c r="AA37" s="110">
        <f>IFERROR(AVERAGEIF($F$2:F37,F37,$N$2:N37),"")</f>
        <v>7.0991999999999971</v>
      </c>
      <c r="AB37" s="108"/>
      <c r="AC37" s="107"/>
      <c r="AD37" s="107"/>
      <c r="AE37" s="109">
        <v>0.98040000000000005</v>
      </c>
      <c r="AF37" s="109">
        <v>0.98</v>
      </c>
      <c r="AG37" s="109"/>
      <c r="AH37" s="109"/>
      <c r="AI37" s="109"/>
      <c r="AJ37" s="109"/>
      <c r="AK37" s="109"/>
      <c r="AL37" s="109"/>
      <c r="AM37" s="126"/>
      <c r="AN37" s="126"/>
      <c r="AO37" s="101">
        <v>7</v>
      </c>
    </row>
    <row r="38" spans="1:41" x14ac:dyDescent="0.25">
      <c r="A38" s="101">
        <f t="shared" si="10"/>
        <v>37</v>
      </c>
      <c r="B38" s="102" t="str">
        <f t="shared" si="25"/>
        <v>April</v>
      </c>
      <c r="C38" s="102">
        <f t="shared" si="25"/>
        <v>4</v>
      </c>
      <c r="D38" s="103">
        <v>44287</v>
      </c>
      <c r="E38" s="104">
        <f t="shared" si="24"/>
        <v>2021</v>
      </c>
      <c r="F38" s="104" t="s">
        <v>967</v>
      </c>
      <c r="G38" s="105">
        <f t="shared" si="23"/>
        <v>30</v>
      </c>
      <c r="H38" s="110">
        <f t="shared" si="26"/>
        <v>192.9</v>
      </c>
      <c r="I38" s="110">
        <f t="shared" si="26"/>
        <v>191.2</v>
      </c>
      <c r="J38" s="107"/>
      <c r="K38" s="106"/>
      <c r="L38" s="105"/>
      <c r="M38" s="114">
        <f t="shared" si="21"/>
        <v>934.34620141401194</v>
      </c>
      <c r="N38" s="108">
        <v>7.0991999999999997</v>
      </c>
      <c r="O38" s="109">
        <f t="shared" si="13"/>
        <v>0.68835191505313997</v>
      </c>
      <c r="P38" s="107">
        <f t="shared" si="14"/>
        <v>6.3733333333333331</v>
      </c>
      <c r="Q38" s="105">
        <f>COUNTIFS('Daily KPI'!$D:$D,D38,'Daily KPI'!O:O,"&gt;0")</f>
        <v>0</v>
      </c>
      <c r="R38" s="108">
        <f t="shared" si="15"/>
        <v>0</v>
      </c>
      <c r="S38" s="108">
        <f>SUMIF($F$2:F38,F38,$R$2:R38)</f>
        <v>0</v>
      </c>
      <c r="T38" s="107">
        <f t="shared" si="16"/>
        <v>31.144873380467065</v>
      </c>
      <c r="U38" s="108">
        <f t="shared" si="17"/>
        <v>0</v>
      </c>
      <c r="V38" s="108">
        <f>SUMIF($F$2:F38,F38,$U$2:U38)</f>
        <v>0</v>
      </c>
      <c r="W38" s="109">
        <f t="shared" si="18"/>
        <v>0.18279567521966716</v>
      </c>
      <c r="X38" s="109" t="str">
        <f t="shared" si="27"/>
        <v/>
      </c>
      <c r="Y38" s="109" t="str">
        <f t="shared" si="28"/>
        <v/>
      </c>
      <c r="Z38" s="107" t="str">
        <f>IFERROR(AVERAGEIF('Daily KPI'!D:D,Table14[[#This Row],[Month]],'Daily KPI'!AB:AB),"")</f>
        <v/>
      </c>
      <c r="AA38" s="110">
        <f>IFERROR(AVERAGEIF($F$2:F38,F38,$N$2:N38),"")</f>
        <v>7.0991999999999997</v>
      </c>
      <c r="AB38" s="108"/>
      <c r="AC38" s="107"/>
      <c r="AD38" s="107"/>
      <c r="AE38" s="109">
        <v>0.98040000000000005</v>
      </c>
      <c r="AF38" s="109">
        <v>0.98</v>
      </c>
      <c r="AG38" s="109"/>
      <c r="AH38" s="109"/>
      <c r="AI38" s="109"/>
      <c r="AJ38" s="109"/>
      <c r="AK38" s="109"/>
      <c r="AL38" s="109"/>
      <c r="AM38" s="126"/>
      <c r="AN38" s="126"/>
      <c r="AO38" s="101">
        <v>7</v>
      </c>
    </row>
    <row r="39" spans="1:41" x14ac:dyDescent="0.25">
      <c r="A39" s="101">
        <f t="shared" si="10"/>
        <v>38</v>
      </c>
      <c r="B39" s="102" t="str">
        <f t="shared" si="25"/>
        <v>May</v>
      </c>
      <c r="C39" s="102">
        <f t="shared" si="25"/>
        <v>5</v>
      </c>
      <c r="D39" s="103">
        <v>44317</v>
      </c>
      <c r="E39" s="104">
        <f t="shared" si="24"/>
        <v>2021</v>
      </c>
      <c r="F39" s="104" t="s">
        <v>967</v>
      </c>
      <c r="G39" s="105">
        <f t="shared" si="23"/>
        <v>31</v>
      </c>
      <c r="H39" s="110">
        <f t="shared" si="26"/>
        <v>199.3</v>
      </c>
      <c r="I39" s="110">
        <f t="shared" si="26"/>
        <v>187.1</v>
      </c>
      <c r="J39" s="107"/>
      <c r="K39" s="106"/>
      <c r="L39" s="105"/>
      <c r="M39" s="114">
        <f t="shared" si="21"/>
        <v>939.04140845629331</v>
      </c>
      <c r="N39" s="108">
        <v>7.0991999999999997</v>
      </c>
      <c r="O39" s="109">
        <f t="shared" si="13"/>
        <v>0.70697091098550124</v>
      </c>
      <c r="P39" s="107">
        <f t="shared" si="14"/>
        <v>6.0354838709677416</v>
      </c>
      <c r="Q39" s="105">
        <f>COUNTIFS('Daily KPI'!$D:$D,D39,'Daily KPI'!O:O,"&gt;0")</f>
        <v>0</v>
      </c>
      <c r="R39" s="108">
        <f t="shared" si="15"/>
        <v>0</v>
      </c>
      <c r="S39" s="108">
        <f>SUMIF($F$2:F39,F39,$R$2:R39)</f>
        <v>0</v>
      </c>
      <c r="T39" s="107">
        <f t="shared" si="16"/>
        <v>30.291658337299783</v>
      </c>
      <c r="U39" s="108">
        <f t="shared" si="17"/>
        <v>0</v>
      </c>
      <c r="V39" s="108">
        <f>SUMIF($F$2:F39,F39,$U$2:U39)</f>
        <v>0</v>
      </c>
      <c r="W39" s="109">
        <f t="shared" si="18"/>
        <v>0.17778798043734848</v>
      </c>
      <c r="X39" s="109" t="str">
        <f t="shared" si="27"/>
        <v/>
      </c>
      <c r="Y39" s="109" t="str">
        <f t="shared" si="28"/>
        <v/>
      </c>
      <c r="Z39" s="107" t="str">
        <f>IFERROR(AVERAGEIF('Daily KPI'!D:D,Table14[[#This Row],[Month]],'Daily KPI'!AB:AB),"")</f>
        <v/>
      </c>
      <c r="AA39" s="110">
        <f>IFERROR(AVERAGEIF($F$2:F39,F39,$N$2:N39),"")</f>
        <v>7.0991999999999997</v>
      </c>
      <c r="AB39" s="108"/>
      <c r="AC39" s="107"/>
      <c r="AD39" s="107"/>
      <c r="AE39" s="109">
        <v>0.98040000000000005</v>
      </c>
      <c r="AF39" s="109">
        <v>0.98</v>
      </c>
      <c r="AG39" s="109"/>
      <c r="AH39" s="109"/>
      <c r="AI39" s="109"/>
      <c r="AJ39" s="109"/>
      <c r="AK39" s="109"/>
      <c r="AL39" s="109"/>
      <c r="AM39" s="126"/>
      <c r="AN39" s="126"/>
      <c r="AO39" s="101">
        <v>7</v>
      </c>
    </row>
    <row r="40" spans="1:41" x14ac:dyDescent="0.25">
      <c r="A40" s="101">
        <f t="shared" si="10"/>
        <v>39</v>
      </c>
      <c r="B40" s="102" t="str">
        <f t="shared" si="25"/>
        <v>June</v>
      </c>
      <c r="C40" s="102">
        <f t="shared" si="25"/>
        <v>6</v>
      </c>
      <c r="D40" s="103">
        <v>44348</v>
      </c>
      <c r="E40" s="104">
        <f t="shared" si="24"/>
        <v>2021</v>
      </c>
      <c r="F40" s="104" t="s">
        <v>967</v>
      </c>
      <c r="G40" s="105">
        <f t="shared" si="23"/>
        <v>30</v>
      </c>
      <c r="H40" s="110">
        <f t="shared" si="26"/>
        <v>149.6</v>
      </c>
      <c r="I40" s="110">
        <f t="shared" si="26"/>
        <v>138.30000000000001</v>
      </c>
      <c r="J40" s="107"/>
      <c r="K40" s="106"/>
      <c r="L40" s="105"/>
      <c r="M40" s="114">
        <f t="shared" si="21"/>
        <v>699.58584929993856</v>
      </c>
      <c r="N40" s="108">
        <v>7.0991999999999997</v>
      </c>
      <c r="O40" s="109">
        <f t="shared" si="13"/>
        <v>0.71254028775714762</v>
      </c>
      <c r="P40" s="107">
        <f t="shared" si="14"/>
        <v>4.6100000000000003</v>
      </c>
      <c r="Q40" s="105">
        <f>COUNTIFS('Daily KPI'!$D:$D,D40,'Daily KPI'!O:O,"&gt;0")</f>
        <v>0</v>
      </c>
      <c r="R40" s="108">
        <f t="shared" si="15"/>
        <v>0</v>
      </c>
      <c r="S40" s="108">
        <f>SUMIF($F$2:F40,F40,$R$2:R40)</f>
        <v>0</v>
      </c>
      <c r="T40" s="107">
        <f t="shared" si="16"/>
        <v>23.319528309997953</v>
      </c>
      <c r="U40" s="108">
        <f t="shared" si="17"/>
        <v>0</v>
      </c>
      <c r="V40" s="108">
        <f>SUMIF($F$2:F40,F40,$U$2:U40)</f>
        <v>0</v>
      </c>
      <c r="W40" s="109">
        <f t="shared" si="18"/>
        <v>0.13686711360668546</v>
      </c>
      <c r="X40" s="109" t="str">
        <f t="shared" si="27"/>
        <v/>
      </c>
      <c r="Y40" s="109" t="str">
        <f t="shared" si="28"/>
        <v/>
      </c>
      <c r="Z40" s="107" t="str">
        <f>IFERROR(AVERAGEIF('Daily KPI'!D:D,Table14[[#This Row],[Month]],'Daily KPI'!AB:AB),"")</f>
        <v/>
      </c>
      <c r="AA40" s="110">
        <f>IFERROR(AVERAGEIF($F$2:F40,F40,$N$2:N40),"")</f>
        <v>7.0991999999999997</v>
      </c>
      <c r="AB40" s="108"/>
      <c r="AC40" s="107"/>
      <c r="AD40" s="107"/>
      <c r="AE40" s="109">
        <v>0.98040000000000005</v>
      </c>
      <c r="AF40" s="109">
        <v>0.98</v>
      </c>
      <c r="AG40" s="109"/>
      <c r="AH40" s="109"/>
      <c r="AI40" s="109"/>
      <c r="AJ40" s="109"/>
      <c r="AK40" s="109"/>
      <c r="AL40" s="109"/>
      <c r="AM40" s="126"/>
      <c r="AN40" s="126"/>
      <c r="AO40" s="101">
        <v>7</v>
      </c>
    </row>
    <row r="41" spans="1:41" x14ac:dyDescent="0.25">
      <c r="A41" s="101">
        <f t="shared" si="10"/>
        <v>40</v>
      </c>
      <c r="B41" s="102" t="str">
        <f t="shared" si="25"/>
        <v>July</v>
      </c>
      <c r="C41" s="102">
        <f t="shared" si="25"/>
        <v>7</v>
      </c>
      <c r="D41" s="103">
        <v>44378</v>
      </c>
      <c r="E41" s="104">
        <f t="shared" si="24"/>
        <v>2021</v>
      </c>
      <c r="F41" s="104" t="s">
        <v>967</v>
      </c>
      <c r="G41" s="105">
        <f t="shared" si="23"/>
        <v>31</v>
      </c>
      <c r="H41" s="110">
        <f t="shared" si="26"/>
        <v>129.30000000000001</v>
      </c>
      <c r="I41" s="110">
        <f t="shared" si="26"/>
        <v>121</v>
      </c>
      <c r="J41" s="107"/>
      <c r="K41" s="106"/>
      <c r="L41" s="105"/>
      <c r="M41" s="114">
        <f t="shared" si="21"/>
        <v>638.54815775027953</v>
      </c>
      <c r="N41" s="108">
        <v>7.0991999999999997</v>
      </c>
      <c r="O41" s="109">
        <f t="shared" si="13"/>
        <v>0.74335946332944924</v>
      </c>
      <c r="P41" s="107">
        <f t="shared" si="14"/>
        <v>3.903225806451613</v>
      </c>
      <c r="Q41" s="105">
        <f>COUNTIFS('Daily KPI'!$D:$D,D41,'Daily KPI'!O:O,"&gt;0")</f>
        <v>0</v>
      </c>
      <c r="R41" s="108">
        <f t="shared" si="15"/>
        <v>0</v>
      </c>
      <c r="S41" s="108">
        <f>SUMIF($F$2:F41,F41,$R$2:R41)</f>
        <v>0</v>
      </c>
      <c r="T41" s="107">
        <f t="shared" si="16"/>
        <v>20.598327669363854</v>
      </c>
      <c r="U41" s="108">
        <f t="shared" si="17"/>
        <v>0</v>
      </c>
      <c r="V41" s="108">
        <f>SUMIF($F$2:F41,F41,$U$2:U41)</f>
        <v>0</v>
      </c>
      <c r="W41" s="109">
        <f t="shared" si="18"/>
        <v>0.12089582669739699</v>
      </c>
      <c r="X41" s="109" t="str">
        <f t="shared" si="27"/>
        <v/>
      </c>
      <c r="Y41" s="109" t="str">
        <f t="shared" si="28"/>
        <v/>
      </c>
      <c r="Z41" s="107" t="str">
        <f>IFERROR(AVERAGEIF('Daily KPI'!D:D,Table14[[#This Row],[Month]],'Daily KPI'!AB:AB),"")</f>
        <v/>
      </c>
      <c r="AA41" s="110">
        <f>IFERROR(AVERAGEIF($F$2:F41,F41,$N$2:N41),"")</f>
        <v>7.0991999999999997</v>
      </c>
      <c r="AB41" s="108"/>
      <c r="AC41" s="107"/>
      <c r="AD41" s="107"/>
      <c r="AE41" s="109">
        <v>0.98040000000000005</v>
      </c>
      <c r="AF41" s="109">
        <v>0.98</v>
      </c>
      <c r="AG41" s="109"/>
      <c r="AH41" s="109"/>
      <c r="AI41" s="109"/>
      <c r="AJ41" s="109"/>
      <c r="AK41" s="109"/>
      <c r="AL41" s="109"/>
      <c r="AM41" s="126"/>
      <c r="AN41" s="126"/>
      <c r="AO41" s="101">
        <v>7</v>
      </c>
    </row>
    <row r="42" spans="1:41" x14ac:dyDescent="0.25">
      <c r="A42" s="101">
        <f t="shared" si="10"/>
        <v>41</v>
      </c>
      <c r="B42" s="102" t="str">
        <f t="shared" si="25"/>
        <v>August</v>
      </c>
      <c r="C42" s="102">
        <f t="shared" si="25"/>
        <v>8</v>
      </c>
      <c r="D42" s="103">
        <v>44409</v>
      </c>
      <c r="E42" s="104">
        <f t="shared" si="24"/>
        <v>2021</v>
      </c>
      <c r="F42" s="104" t="s">
        <v>967</v>
      </c>
      <c r="G42" s="105">
        <f t="shared" si="23"/>
        <v>31</v>
      </c>
      <c r="H42" s="110">
        <f t="shared" si="26"/>
        <v>132.4</v>
      </c>
      <c r="I42" s="110">
        <f t="shared" si="26"/>
        <v>128.19999999999999</v>
      </c>
      <c r="J42" s="107"/>
      <c r="K42" s="106"/>
      <c r="L42" s="105"/>
      <c r="M42" s="114">
        <f t="shared" si="21"/>
        <v>676.10981408853127</v>
      </c>
      <c r="N42" s="108">
        <v>7.0991999999999997</v>
      </c>
      <c r="O42" s="109">
        <f t="shared" si="13"/>
        <v>0.74288194509109884</v>
      </c>
      <c r="P42" s="107">
        <f t="shared" si="14"/>
        <v>4.1354838709677413</v>
      </c>
      <c r="Q42" s="105">
        <f>COUNTIFS('Daily KPI'!$D:$D,D42,'Daily KPI'!O:O,"&gt;0")</f>
        <v>0</v>
      </c>
      <c r="R42" s="108">
        <f t="shared" si="15"/>
        <v>0</v>
      </c>
      <c r="S42" s="108">
        <f>SUMIF($F$2:F42,F42,$R$2:R42)</f>
        <v>0</v>
      </c>
      <c r="T42" s="107">
        <f t="shared" si="16"/>
        <v>21.809994002855849</v>
      </c>
      <c r="U42" s="108">
        <f t="shared" si="17"/>
        <v>0</v>
      </c>
      <c r="V42" s="108">
        <f>SUMIF($F$2:F42,F42,$U$2:U42)</f>
        <v>0</v>
      </c>
      <c r="W42" s="109">
        <f t="shared" si="18"/>
        <v>0.12800734591489094</v>
      </c>
      <c r="X42" s="109" t="str">
        <f t="shared" si="27"/>
        <v/>
      </c>
      <c r="Y42" s="109" t="str">
        <f t="shared" si="28"/>
        <v/>
      </c>
      <c r="Z42" s="107" t="str">
        <f>IFERROR(AVERAGEIF('Daily KPI'!D:D,Table14[[#This Row],[Month]],'Daily KPI'!AB:AB),"")</f>
        <v/>
      </c>
      <c r="AA42" s="110">
        <f>IFERROR(AVERAGEIF($F$2:F42,F42,$N$2:N42),"")</f>
        <v>7.0991999999999988</v>
      </c>
      <c r="AB42" s="108"/>
      <c r="AC42" s="107"/>
      <c r="AD42" s="107"/>
      <c r="AE42" s="109">
        <v>0.98040000000000005</v>
      </c>
      <c r="AF42" s="109">
        <v>0.98</v>
      </c>
      <c r="AG42" s="109"/>
      <c r="AH42" s="109"/>
      <c r="AI42" s="109"/>
      <c r="AJ42" s="109"/>
      <c r="AK42" s="109"/>
      <c r="AL42" s="109"/>
      <c r="AM42" s="126"/>
      <c r="AN42" s="126"/>
      <c r="AO42" s="101">
        <v>7</v>
      </c>
    </row>
    <row r="43" spans="1:41" x14ac:dyDescent="0.25">
      <c r="A43" s="101">
        <f t="shared" si="10"/>
        <v>42</v>
      </c>
      <c r="B43" s="102" t="str">
        <f t="shared" si="25"/>
        <v>September</v>
      </c>
      <c r="C43" s="102">
        <f t="shared" si="25"/>
        <v>9</v>
      </c>
      <c r="D43" s="103">
        <v>44440</v>
      </c>
      <c r="E43" s="104">
        <f t="shared" si="24"/>
        <v>2021</v>
      </c>
      <c r="F43" s="104" t="s">
        <v>967</v>
      </c>
      <c r="G43" s="105">
        <f t="shared" si="23"/>
        <v>30</v>
      </c>
      <c r="H43" s="110">
        <f t="shared" si="26"/>
        <v>142.5</v>
      </c>
      <c r="I43" s="110">
        <f t="shared" si="26"/>
        <v>144.9</v>
      </c>
      <c r="J43" s="107"/>
      <c r="K43" s="106"/>
      <c r="L43" s="105"/>
      <c r="M43" s="114">
        <f t="shared" si="21"/>
        <v>732.45229859590881</v>
      </c>
      <c r="N43" s="108">
        <v>7.0991999999999997</v>
      </c>
      <c r="O43" s="109">
        <f t="shared" si="13"/>
        <v>0.71203534028572857</v>
      </c>
      <c r="P43" s="107">
        <f t="shared" si="14"/>
        <v>4.83</v>
      </c>
      <c r="Q43" s="105">
        <f>COUNTIFS('Daily KPI'!$D:$D,D43,'Daily KPI'!O:O,"&gt;0")</f>
        <v>0</v>
      </c>
      <c r="R43" s="108">
        <f t="shared" si="15"/>
        <v>0</v>
      </c>
      <c r="S43" s="108">
        <f>SUMIF($F$2:F97,F43,$R$2:R97)</f>
        <v>0</v>
      </c>
      <c r="T43" s="107">
        <f t="shared" si="16"/>
        <v>24.415076619863626</v>
      </c>
      <c r="U43" s="108">
        <f t="shared" si="17"/>
        <v>0</v>
      </c>
      <c r="V43" s="108">
        <f>SUMIF($F$2:F97,F43,$U$2:U97)</f>
        <v>0</v>
      </c>
      <c r="W43" s="109">
        <f t="shared" si="18"/>
        <v>0.14329711223250288</v>
      </c>
      <c r="X43" s="109" t="str">
        <f t="shared" si="27"/>
        <v/>
      </c>
      <c r="Y43" s="109" t="str">
        <f t="shared" si="28"/>
        <v/>
      </c>
      <c r="Z43" s="107" t="str">
        <f>IFERROR(AVERAGEIF('Daily KPI'!D:D,Table14[[#This Row],[Month]],'Daily KPI'!AB:AB),"")</f>
        <v/>
      </c>
      <c r="AA43" s="110">
        <f>IFERROR(AVERAGEIF($F$2:F97,F43,$N$2:N97),"")</f>
        <v>7.0991999999999971</v>
      </c>
      <c r="AB43" s="108"/>
      <c r="AC43" s="107"/>
      <c r="AD43" s="107"/>
      <c r="AE43" s="109">
        <v>0.98040000000000005</v>
      </c>
      <c r="AF43" s="109">
        <v>0.98</v>
      </c>
      <c r="AG43" s="109"/>
      <c r="AH43" s="109"/>
      <c r="AI43" s="109"/>
      <c r="AJ43" s="109"/>
      <c r="AK43" s="109"/>
      <c r="AL43" s="109"/>
      <c r="AM43" s="126"/>
      <c r="AN43" s="126"/>
      <c r="AO43" s="101">
        <v>7</v>
      </c>
    </row>
    <row r="44" spans="1:41" x14ac:dyDescent="0.25">
      <c r="A44" s="101">
        <f t="shared" si="10"/>
        <v>43</v>
      </c>
      <c r="B44" s="102" t="str">
        <f t="shared" si="25"/>
        <v>October</v>
      </c>
      <c r="C44" s="102">
        <f t="shared" si="25"/>
        <v>10</v>
      </c>
      <c r="D44" s="103">
        <v>44470</v>
      </c>
      <c r="E44" s="104">
        <f t="shared" si="24"/>
        <v>2021</v>
      </c>
      <c r="F44" s="104" t="s">
        <v>967</v>
      </c>
      <c r="G44" s="105">
        <f t="shared" si="23"/>
        <v>31</v>
      </c>
      <c r="H44" s="110">
        <f t="shared" si="26"/>
        <v>148</v>
      </c>
      <c r="I44" s="110">
        <f t="shared" si="26"/>
        <v>161.5</v>
      </c>
      <c r="J44" s="107"/>
      <c r="K44" s="106"/>
      <c r="L44" s="105"/>
      <c r="M44" s="114">
        <f t="shared" si="21"/>
        <v>831.05164648381958</v>
      </c>
      <c r="N44" s="108">
        <v>7.0991999999999997</v>
      </c>
      <c r="O44" s="109">
        <f t="shared" si="13"/>
        <v>0.72484655008772603</v>
      </c>
      <c r="P44" s="107">
        <f t="shared" si="14"/>
        <v>5.209677419354839</v>
      </c>
      <c r="Q44" s="105">
        <f>COUNTIFS('Daily KPI'!$D:$D,D44,'Daily KPI'!O:O,"&gt;0")</f>
        <v>0</v>
      </c>
      <c r="R44" s="108">
        <f t="shared" si="15"/>
        <v>0</v>
      </c>
      <c r="S44" s="108">
        <f>SUMIF($F$2:F44,F44,$R$2:R44)</f>
        <v>0</v>
      </c>
      <c r="T44" s="107">
        <f t="shared" si="16"/>
        <v>26.80811762851031</v>
      </c>
      <c r="U44" s="108">
        <f t="shared" si="17"/>
        <v>0</v>
      </c>
      <c r="V44" s="108">
        <f>SUMIF($F$2:F44,F44,$U$2:U44)</f>
        <v>0</v>
      </c>
      <c r="W44" s="109">
        <f t="shared" si="18"/>
        <v>0.15734236268705343</v>
      </c>
      <c r="X44" s="109" t="str">
        <f t="shared" si="27"/>
        <v/>
      </c>
      <c r="Y44" s="109" t="str">
        <f t="shared" si="28"/>
        <v/>
      </c>
      <c r="Z44" s="107" t="str">
        <f>IFERROR(AVERAGEIF('Daily KPI'!D:D,Table14[[#This Row],[Month]],'Daily KPI'!AB:AB),"")</f>
        <v/>
      </c>
      <c r="AA44" s="110">
        <f>IFERROR(AVERAGEIF($F$2:F44,F44,$N$2:N44),"")</f>
        <v>7.099199999999998</v>
      </c>
      <c r="AB44" s="108"/>
      <c r="AC44" s="107"/>
      <c r="AD44" s="107"/>
      <c r="AE44" s="109">
        <v>0.98040000000000005</v>
      </c>
      <c r="AF44" s="109">
        <v>0.98</v>
      </c>
      <c r="AG44" s="109"/>
      <c r="AH44" s="109"/>
      <c r="AI44" s="109"/>
      <c r="AJ44" s="109"/>
      <c r="AK44" s="109"/>
      <c r="AL44" s="109"/>
      <c r="AM44" s="126"/>
      <c r="AN44" s="126"/>
      <c r="AO44" s="101">
        <v>7</v>
      </c>
    </row>
    <row r="45" spans="1:41" x14ac:dyDescent="0.25">
      <c r="A45" s="101">
        <f t="shared" si="10"/>
        <v>44</v>
      </c>
      <c r="B45" s="102" t="str">
        <f t="shared" si="25"/>
        <v>November</v>
      </c>
      <c r="C45" s="102">
        <f t="shared" si="25"/>
        <v>11</v>
      </c>
      <c r="D45" s="103">
        <v>44501</v>
      </c>
      <c r="E45" s="104">
        <f t="shared" si="24"/>
        <v>2021</v>
      </c>
      <c r="F45" s="104" t="s">
        <v>967</v>
      </c>
      <c r="G45" s="105">
        <f t="shared" si="23"/>
        <v>30</v>
      </c>
      <c r="H45" s="110">
        <f t="shared" si="26"/>
        <v>141.1</v>
      </c>
      <c r="I45" s="110">
        <f t="shared" si="26"/>
        <v>166</v>
      </c>
      <c r="J45" s="107"/>
      <c r="K45" s="106"/>
      <c r="L45" s="105"/>
      <c r="M45" s="114">
        <f t="shared" si="21"/>
        <v>835.74685352610106</v>
      </c>
      <c r="N45" s="108">
        <v>7.0991999999999997</v>
      </c>
      <c r="O45" s="109">
        <f t="shared" si="13"/>
        <v>0.70918125979755831</v>
      </c>
      <c r="P45" s="107">
        <f t="shared" si="14"/>
        <v>5.5333333333333332</v>
      </c>
      <c r="Q45" s="105">
        <f>COUNTIFS('Daily KPI'!$D:$D,D45,'Daily KPI'!O:O,"&gt;0")</f>
        <v>0</v>
      </c>
      <c r="R45" s="108">
        <f t="shared" si="15"/>
        <v>0</v>
      </c>
      <c r="S45" s="108">
        <f>SUMIF($F$2:F45,F45,$R$2:R45)</f>
        <v>0</v>
      </c>
      <c r="T45" s="107">
        <f t="shared" si="16"/>
        <v>27.858228450870037</v>
      </c>
      <c r="U45" s="108">
        <f t="shared" si="17"/>
        <v>0</v>
      </c>
      <c r="V45" s="108">
        <f>SUMIF($F$2:F45,F45,$U$2:U45)</f>
        <v>0</v>
      </c>
      <c r="W45" s="109">
        <f t="shared" si="18"/>
        <v>0.16350567934221483</v>
      </c>
      <c r="X45" s="109" t="str">
        <f t="shared" si="27"/>
        <v/>
      </c>
      <c r="Y45" s="109" t="str">
        <f t="shared" si="28"/>
        <v/>
      </c>
      <c r="Z45" s="107" t="str">
        <f>IFERROR(AVERAGEIF('Daily KPI'!D:D,Table14[[#This Row],[Month]],'Daily KPI'!AB:AB),"")</f>
        <v/>
      </c>
      <c r="AA45" s="110">
        <f>IFERROR(AVERAGEIF($F$2:F45,F45,$N$2:N45),"")</f>
        <v>7.099199999999998</v>
      </c>
      <c r="AB45" s="108"/>
      <c r="AC45" s="107"/>
      <c r="AD45" s="107"/>
      <c r="AE45" s="109">
        <v>0.98040000000000005</v>
      </c>
      <c r="AF45" s="109">
        <v>0.98</v>
      </c>
      <c r="AG45" s="109"/>
      <c r="AH45" s="109"/>
      <c r="AI45" s="109"/>
      <c r="AJ45" s="109"/>
      <c r="AK45" s="109"/>
      <c r="AL45" s="109"/>
      <c r="AM45" s="126"/>
      <c r="AN45" s="126"/>
      <c r="AO45" s="101">
        <v>7</v>
      </c>
    </row>
    <row r="46" spans="1:41" x14ac:dyDescent="0.25">
      <c r="A46" s="101">
        <f t="shared" si="10"/>
        <v>45</v>
      </c>
      <c r="B46" s="102" t="str">
        <f t="shared" si="25"/>
        <v>December</v>
      </c>
      <c r="C46" s="102">
        <f t="shared" si="25"/>
        <v>12</v>
      </c>
      <c r="D46" s="103">
        <v>44531</v>
      </c>
      <c r="E46" s="104">
        <f t="shared" si="24"/>
        <v>2021</v>
      </c>
      <c r="F46" s="104" t="s">
        <v>967</v>
      </c>
      <c r="G46" s="105">
        <f t="shared" si="23"/>
        <v>31</v>
      </c>
      <c r="H46" s="110">
        <f t="shared" si="26"/>
        <v>136.1</v>
      </c>
      <c r="I46" s="110">
        <f t="shared" si="26"/>
        <v>166.7</v>
      </c>
      <c r="J46" s="107"/>
      <c r="K46" s="106"/>
      <c r="L46" s="105"/>
      <c r="M46" s="114">
        <f t="shared" si="21"/>
        <v>868.61330282207132</v>
      </c>
      <c r="N46" s="108">
        <v>7.0991999999999997</v>
      </c>
      <c r="O46" s="109">
        <f t="shared" si="13"/>
        <v>0.73397533375514845</v>
      </c>
      <c r="P46" s="107">
        <f t="shared" si="14"/>
        <v>5.3774193548387093</v>
      </c>
      <c r="Q46" s="105">
        <f>COUNTIFS('Daily KPI'!$D:$D,D46,'Daily KPI'!O:O,"&gt;0")</f>
        <v>0</v>
      </c>
      <c r="R46" s="108">
        <f t="shared" si="15"/>
        <v>0</v>
      </c>
      <c r="S46" s="108">
        <f>SUMIF($F$2:F46,F46,$R$2:R46)</f>
        <v>0</v>
      </c>
      <c r="T46" s="107">
        <f t="shared" si="16"/>
        <v>28.0197839620023</v>
      </c>
      <c r="U46" s="108">
        <f t="shared" si="17"/>
        <v>0</v>
      </c>
      <c r="V46" s="108">
        <f>SUMIF($F$2:F46,F46,$U$2:U46)</f>
        <v>0</v>
      </c>
      <c r="W46" s="109">
        <f t="shared" si="18"/>
        <v>0.16445388190454735</v>
      </c>
      <c r="X46" s="109" t="str">
        <f t="shared" si="27"/>
        <v/>
      </c>
      <c r="Y46" s="109" t="str">
        <f t="shared" si="28"/>
        <v/>
      </c>
      <c r="Z46" s="107" t="str">
        <f>IFERROR(AVERAGEIF('Daily KPI'!D:D,Table14[[#This Row],[Month]],'Daily KPI'!AB:AB),"")</f>
        <v/>
      </c>
      <c r="AA46" s="110">
        <f>IFERROR(AVERAGEIF($F$2:F46,F46,$N$2:N46),"")</f>
        <v>7.099199999999998</v>
      </c>
      <c r="AB46" s="108"/>
      <c r="AC46" s="107"/>
      <c r="AD46" s="107"/>
      <c r="AE46" s="109">
        <v>0.98040000000000005</v>
      </c>
      <c r="AF46" s="109">
        <v>0.98</v>
      </c>
      <c r="AG46" s="109"/>
      <c r="AH46" s="109"/>
      <c r="AI46" s="109"/>
      <c r="AJ46" s="109"/>
      <c r="AK46" s="109"/>
      <c r="AL46" s="109"/>
      <c r="AM46" s="126"/>
      <c r="AN46" s="126"/>
      <c r="AO46" s="101">
        <v>7</v>
      </c>
    </row>
    <row r="47" spans="1:41" x14ac:dyDescent="0.25">
      <c r="A47" s="101">
        <f t="shared" si="10"/>
        <v>46</v>
      </c>
      <c r="B47" s="102" t="str">
        <f t="shared" ref="B47:C49" si="29">B35</f>
        <v>January</v>
      </c>
      <c r="C47" s="102">
        <f t="shared" si="29"/>
        <v>1</v>
      </c>
      <c r="D47" s="103">
        <v>44562</v>
      </c>
      <c r="E47" s="104">
        <f t="shared" si="24"/>
        <v>2022</v>
      </c>
      <c r="F47" s="104" t="s">
        <v>967</v>
      </c>
      <c r="G47" s="105">
        <f t="shared" si="23"/>
        <v>31</v>
      </c>
      <c r="H47" s="110">
        <f t="shared" ref="H47:I49" si="30">H35</f>
        <v>151.6</v>
      </c>
      <c r="I47" s="110">
        <f t="shared" si="30"/>
        <v>184.7</v>
      </c>
      <c r="J47" s="107"/>
      <c r="K47" s="106"/>
      <c r="L47" s="105"/>
      <c r="M47" s="114">
        <f t="shared" si="21"/>
        <v>962.51744366770072</v>
      </c>
      <c r="N47" s="108">
        <v>7.0991999999999997</v>
      </c>
      <c r="O47" s="109">
        <f t="shared" si="13"/>
        <v>0.73406125544949641</v>
      </c>
      <c r="P47" s="107">
        <f t="shared" si="14"/>
        <v>5.9580645161290322</v>
      </c>
      <c r="Q47" s="105">
        <f>COUNTIFS('Daily KPI'!$D:$D,D47,'Daily KPI'!O:O,"&gt;0")</f>
        <v>0</v>
      </c>
      <c r="R47" s="108">
        <f t="shared" si="15"/>
        <v>0</v>
      </c>
      <c r="S47" s="108">
        <f>SUMIF($F$2:F47,F47,$R$2:R47)</f>
        <v>0</v>
      </c>
      <c r="T47" s="107">
        <f t="shared" si="16"/>
        <v>31.04894979573228</v>
      </c>
      <c r="U47" s="108">
        <f t="shared" si="17"/>
        <v>0</v>
      </c>
      <c r="V47" s="108">
        <f>SUMIF($F$2:F47,F47,$U$2:U47)</f>
        <v>0</v>
      </c>
      <c r="W47" s="109">
        <f t="shared" si="18"/>
        <v>0.18223267994828221</v>
      </c>
      <c r="X47" s="109" t="str">
        <f t="shared" si="27"/>
        <v/>
      </c>
      <c r="Y47" s="109" t="str">
        <f t="shared" si="28"/>
        <v/>
      </c>
      <c r="Z47" s="107" t="str">
        <f>IFERROR(AVERAGEIF('Daily KPI'!D:D,Table14[[#This Row],[Month]],'Daily KPI'!AB:AB),"")</f>
        <v/>
      </c>
      <c r="AA47" s="110">
        <f>IFERROR(AVERAGEIF($F$2:F47,F47,$N$2:N47),"")</f>
        <v>7.099199999999998</v>
      </c>
      <c r="AB47" s="108"/>
      <c r="AC47" s="107"/>
      <c r="AD47" s="107"/>
      <c r="AE47" s="109">
        <v>0.98040000000000005</v>
      </c>
      <c r="AF47" s="109">
        <v>0.98</v>
      </c>
      <c r="AG47" s="109"/>
      <c r="AH47" s="109"/>
      <c r="AI47" s="109"/>
      <c r="AJ47" s="109"/>
      <c r="AK47" s="109"/>
      <c r="AL47" s="109"/>
      <c r="AM47" s="126"/>
      <c r="AN47" s="126"/>
      <c r="AO47" s="101">
        <v>7</v>
      </c>
    </row>
    <row r="48" spans="1:41" x14ac:dyDescent="0.25">
      <c r="A48" s="101">
        <f t="shared" si="10"/>
        <v>47</v>
      </c>
      <c r="B48" s="102" t="str">
        <f t="shared" si="29"/>
        <v>February</v>
      </c>
      <c r="C48" s="102">
        <f t="shared" si="29"/>
        <v>2</v>
      </c>
      <c r="D48" s="103">
        <v>44593</v>
      </c>
      <c r="E48" s="104">
        <f t="shared" si="24"/>
        <v>2022</v>
      </c>
      <c r="F48" s="104" t="s">
        <v>967</v>
      </c>
      <c r="G48" s="105">
        <f t="shared" si="23"/>
        <v>28</v>
      </c>
      <c r="H48" s="110">
        <f t="shared" si="30"/>
        <v>159.30000000000001</v>
      </c>
      <c r="I48" s="110">
        <f t="shared" si="30"/>
        <v>183.3</v>
      </c>
      <c r="J48" s="107"/>
      <c r="K48" s="106"/>
      <c r="L48" s="105"/>
      <c r="M48" s="114">
        <f t="shared" si="21"/>
        <v>919.08413099119707</v>
      </c>
      <c r="N48" s="108">
        <v>7.0991999999999997</v>
      </c>
      <c r="O48" s="109">
        <f t="shared" si="13"/>
        <v>0.70629054304605654</v>
      </c>
      <c r="P48" s="107">
        <f t="shared" si="14"/>
        <v>6.5464285714285717</v>
      </c>
      <c r="Q48" s="105">
        <f>COUNTIFS('Daily KPI'!$D:$D,D48,'Daily KPI'!O:O,"&gt;0")</f>
        <v>0</v>
      </c>
      <c r="R48" s="108">
        <f t="shared" si="15"/>
        <v>0</v>
      </c>
      <c r="S48" s="108">
        <f>SUMIF($F$2:F48,F48,$R$2:R48)</f>
        <v>0</v>
      </c>
      <c r="T48" s="107">
        <f t="shared" si="16"/>
        <v>32.824433249685612</v>
      </c>
      <c r="U48" s="108">
        <f t="shared" si="17"/>
        <v>0</v>
      </c>
      <c r="V48" s="108">
        <f>SUMIF($F$2:F48,F48,$U$2:U48)</f>
        <v>0</v>
      </c>
      <c r="W48" s="109">
        <f t="shared" si="18"/>
        <v>0.19265335794693775</v>
      </c>
      <c r="X48" s="109" t="str">
        <f t="shared" si="27"/>
        <v/>
      </c>
      <c r="Y48" s="109" t="str">
        <f t="shared" si="28"/>
        <v/>
      </c>
      <c r="Z48" s="107" t="str">
        <f>IFERROR(AVERAGEIF('Daily KPI'!D:D,Table14[[#This Row],[Month]],'Daily KPI'!AB:AB),"")</f>
        <v/>
      </c>
      <c r="AA48" s="110">
        <f>IFERROR(AVERAGEIF($F$2:F48,F48,$N$2:N48),"")</f>
        <v>7.0991999999999971</v>
      </c>
      <c r="AB48" s="108"/>
      <c r="AC48" s="107"/>
      <c r="AD48" s="107"/>
      <c r="AE48" s="109">
        <v>0.98040000000000005</v>
      </c>
      <c r="AF48" s="109">
        <v>0.98</v>
      </c>
      <c r="AG48" s="109"/>
      <c r="AH48" s="109"/>
      <c r="AI48" s="109"/>
      <c r="AJ48" s="109"/>
      <c r="AK48" s="109"/>
      <c r="AL48" s="109"/>
      <c r="AM48" s="126"/>
      <c r="AN48" s="126"/>
      <c r="AO48" s="101">
        <v>7</v>
      </c>
    </row>
    <row r="49" spans="1:41" x14ac:dyDescent="0.25">
      <c r="A49" s="101">
        <f t="shared" si="10"/>
        <v>48</v>
      </c>
      <c r="B49" s="102" t="str">
        <f t="shared" si="29"/>
        <v>March</v>
      </c>
      <c r="C49" s="102">
        <f t="shared" si="29"/>
        <v>3</v>
      </c>
      <c r="D49" s="103">
        <v>44621</v>
      </c>
      <c r="E49" s="104">
        <f t="shared" si="24"/>
        <v>2022</v>
      </c>
      <c r="F49" s="104" t="s">
        <v>967</v>
      </c>
      <c r="G49" s="105">
        <f t="shared" si="23"/>
        <v>31</v>
      </c>
      <c r="H49" s="110">
        <f t="shared" si="30"/>
        <v>197.2</v>
      </c>
      <c r="I49" s="110">
        <f t="shared" si="30"/>
        <v>210.4</v>
      </c>
      <c r="J49" s="107"/>
      <c r="K49" s="106"/>
      <c r="L49" s="105"/>
      <c r="M49" s="114">
        <f t="shared" si="21"/>
        <v>1065.8119985978929</v>
      </c>
      <c r="N49" s="108">
        <v>7.0991999999999997</v>
      </c>
      <c r="O49" s="109">
        <f t="shared" si="13"/>
        <v>0.7135517214853353</v>
      </c>
      <c r="P49" s="107">
        <f t="shared" si="14"/>
        <v>6.7870967741935484</v>
      </c>
      <c r="Q49" s="105">
        <f>COUNTIFS('Daily KPI'!$D:$D,D49,'Daily KPI'!O:O,"&gt;0")</f>
        <v>0</v>
      </c>
      <c r="R49" s="108">
        <f t="shared" si="15"/>
        <v>0</v>
      </c>
      <c r="S49" s="108">
        <f>SUMIF($F$2:F97,F49,$R$2:R97)</f>
        <v>0</v>
      </c>
      <c r="T49" s="107">
        <f t="shared" si="16"/>
        <v>34.381032212835251</v>
      </c>
      <c r="U49" s="108">
        <f t="shared" si="17"/>
        <v>0</v>
      </c>
      <c r="V49" s="108">
        <f>SUMIF($F$2:F97,F49,$U$2:U97)</f>
        <v>0</v>
      </c>
      <c r="W49" s="109">
        <f t="shared" si="18"/>
        <v>0.20178935779639051</v>
      </c>
      <c r="X49" s="109" t="str">
        <f t="shared" si="27"/>
        <v/>
      </c>
      <c r="Y49" s="109" t="str">
        <f t="shared" si="28"/>
        <v/>
      </c>
      <c r="Z49" s="107" t="str">
        <f>IFERROR(AVERAGEIF('Daily KPI'!D:D,Table14[[#This Row],[Month]],'Daily KPI'!AB:AB),"")</f>
        <v/>
      </c>
      <c r="AA49" s="110">
        <f>IFERROR(AVERAGEIF($F$2:F97,F49,$N$2:N97),"")</f>
        <v>7.0991999999999971</v>
      </c>
      <c r="AB49" s="108"/>
      <c r="AC49" s="107"/>
      <c r="AD49" s="107"/>
      <c r="AE49" s="109">
        <v>0.98040000000000005</v>
      </c>
      <c r="AF49" s="109">
        <v>0.98</v>
      </c>
      <c r="AG49" s="109"/>
      <c r="AH49" s="109"/>
      <c r="AI49" s="109"/>
      <c r="AJ49" s="109"/>
      <c r="AK49" s="109"/>
      <c r="AL49" s="109"/>
      <c r="AM49" s="126"/>
      <c r="AN49" s="126"/>
      <c r="AO49" s="101">
        <v>7</v>
      </c>
    </row>
    <row r="50" spans="1:41" x14ac:dyDescent="0.25">
      <c r="A50" s="101">
        <f t="shared" si="10"/>
        <v>49</v>
      </c>
      <c r="B50" s="102" t="str">
        <f t="shared" ref="B50:C50" si="31">B38</f>
        <v>April</v>
      </c>
      <c r="C50" s="102">
        <f t="shared" si="31"/>
        <v>4</v>
      </c>
      <c r="D50" s="103">
        <v>44652</v>
      </c>
      <c r="E50" s="104">
        <f t="shared" ref="E50:E96" si="32">YEAR(D50)</f>
        <v>2022</v>
      </c>
      <c r="F50" s="104" t="s">
        <v>968</v>
      </c>
      <c r="G50" s="105">
        <f t="shared" ref="G50:G96" si="33">DAY(EOMONTH(D50,0))</f>
        <v>30</v>
      </c>
      <c r="H50" s="110">
        <f t="shared" ref="H50:I50" si="34">H38</f>
        <v>192.9</v>
      </c>
      <c r="I50" s="110">
        <f t="shared" si="34"/>
        <v>191.2</v>
      </c>
      <c r="J50" s="107"/>
      <c r="K50" s="106"/>
      <c r="L50" s="105"/>
      <c r="M50" s="114">
        <f t="shared" si="21"/>
        <v>934.34620141401194</v>
      </c>
      <c r="N50" s="108">
        <v>7.0991999999999997</v>
      </c>
      <c r="O50" s="109">
        <f t="shared" ref="O50:O96" si="35">IFERROR(M50/I50/N50,"")</f>
        <v>0.68835191505313997</v>
      </c>
      <c r="P50" s="107">
        <f t="shared" ref="P50:P96" si="36">IFERROR(I50/G50,"")</f>
        <v>6.3733333333333331</v>
      </c>
      <c r="Q50" s="105">
        <f>COUNTIFS('Daily KPI'!$D:$D,D50,'Daily KPI'!O:O,"&gt;0")</f>
        <v>0</v>
      </c>
      <c r="R50" s="108">
        <f t="shared" ref="R50:R96" si="37">I50/G50*Q50</f>
        <v>0</v>
      </c>
      <c r="S50" s="108">
        <f>SUMIF($F$2:F50,F50,$R$2:R50)</f>
        <v>0</v>
      </c>
      <c r="T50" s="107">
        <f t="shared" ref="T50:T96" si="38">M50/G50</f>
        <v>31.144873380467065</v>
      </c>
      <c r="U50" s="108">
        <f t="shared" ref="U50:U96" si="39">M50/G50*Q50</f>
        <v>0</v>
      </c>
      <c r="V50" s="108">
        <f>SUMIF($F$2:F50,F50,$U$2:U50)</f>
        <v>0</v>
      </c>
      <c r="W50" s="109">
        <f t="shared" ref="W50:W96" si="40">IFERROR(T50/(24*N50),"")</f>
        <v>0.18279567521966716</v>
      </c>
      <c r="X50" s="109" t="str">
        <f t="shared" si="27"/>
        <v/>
      </c>
      <c r="Y50" s="109" t="str">
        <f t="shared" si="28"/>
        <v/>
      </c>
      <c r="Z50" s="107" t="str">
        <f>IFERROR(AVERAGEIF('Daily KPI'!D:D,Table14[[#This Row],[Month]],'Daily KPI'!AB:AB),"")</f>
        <v/>
      </c>
      <c r="AA50" s="110">
        <f>IFERROR(AVERAGEIF($F$2:F50,F50,$N$2:N50),"")</f>
        <v>7.0991999999999997</v>
      </c>
      <c r="AB50" s="108"/>
      <c r="AC50" s="107"/>
      <c r="AD50" s="107"/>
      <c r="AE50" s="109">
        <v>0.98040000000000005</v>
      </c>
      <c r="AF50" s="109">
        <v>0.98</v>
      </c>
      <c r="AG50" s="109"/>
      <c r="AH50" s="109"/>
      <c r="AI50" s="109"/>
      <c r="AJ50" s="109"/>
      <c r="AK50" s="109"/>
      <c r="AL50" s="109"/>
      <c r="AM50" s="126"/>
      <c r="AN50" s="126"/>
      <c r="AO50" s="101">
        <v>7</v>
      </c>
    </row>
    <row r="51" spans="1:41" x14ac:dyDescent="0.25">
      <c r="A51" s="101">
        <f t="shared" si="10"/>
        <v>50</v>
      </c>
      <c r="B51" s="102" t="str">
        <f t="shared" ref="B51:C51" si="41">B39</f>
        <v>May</v>
      </c>
      <c r="C51" s="102">
        <f t="shared" si="41"/>
        <v>5</v>
      </c>
      <c r="D51" s="103">
        <v>44682</v>
      </c>
      <c r="E51" s="104">
        <f t="shared" si="32"/>
        <v>2022</v>
      </c>
      <c r="F51" s="104" t="s">
        <v>968</v>
      </c>
      <c r="G51" s="105">
        <f t="shared" si="33"/>
        <v>31</v>
      </c>
      <c r="H51" s="110">
        <f t="shared" ref="H51:I51" si="42">H39</f>
        <v>199.3</v>
      </c>
      <c r="I51" s="110">
        <f t="shared" si="42"/>
        <v>187.1</v>
      </c>
      <c r="J51" s="107"/>
      <c r="K51" s="106"/>
      <c r="L51" s="105"/>
      <c r="M51" s="114">
        <f t="shared" si="21"/>
        <v>939.04140845629331</v>
      </c>
      <c r="N51" s="108">
        <v>7.0991999999999997</v>
      </c>
      <c r="O51" s="109">
        <f t="shared" si="35"/>
        <v>0.70697091098550124</v>
      </c>
      <c r="P51" s="107">
        <f t="shared" si="36"/>
        <v>6.0354838709677416</v>
      </c>
      <c r="Q51" s="105">
        <f>COUNTIFS('Daily KPI'!$D:$D,D51,'Daily KPI'!O:O,"&gt;0")</f>
        <v>0</v>
      </c>
      <c r="R51" s="108">
        <f t="shared" si="37"/>
        <v>0</v>
      </c>
      <c r="S51" s="108">
        <f>SUMIF($F$2:F51,F51,$R$2:R51)</f>
        <v>0</v>
      </c>
      <c r="T51" s="107">
        <f t="shared" si="38"/>
        <v>30.291658337299783</v>
      </c>
      <c r="U51" s="108">
        <f t="shared" si="39"/>
        <v>0</v>
      </c>
      <c r="V51" s="108">
        <f>SUMIF($F$2:F51,F51,$U$2:U51)</f>
        <v>0</v>
      </c>
      <c r="W51" s="109">
        <f t="shared" si="40"/>
        <v>0.17778798043734848</v>
      </c>
      <c r="X51" s="109" t="str">
        <f t="shared" si="27"/>
        <v/>
      </c>
      <c r="Y51" s="109" t="str">
        <f t="shared" si="28"/>
        <v/>
      </c>
      <c r="Z51" s="107" t="str">
        <f>IFERROR(AVERAGEIF('Daily KPI'!D:D,Table14[[#This Row],[Month]],'Daily KPI'!AB:AB),"")</f>
        <v/>
      </c>
      <c r="AA51" s="110">
        <f>IFERROR(AVERAGEIF($F$2:F51,F51,$N$2:N51),"")</f>
        <v>7.0991999999999997</v>
      </c>
      <c r="AB51" s="108"/>
      <c r="AC51" s="107"/>
      <c r="AD51" s="107"/>
      <c r="AE51" s="109">
        <v>0.98040000000000005</v>
      </c>
      <c r="AF51" s="109">
        <v>0.98</v>
      </c>
      <c r="AG51" s="109"/>
      <c r="AH51" s="109"/>
      <c r="AI51" s="109"/>
      <c r="AJ51" s="109"/>
      <c r="AK51" s="109"/>
      <c r="AL51" s="109"/>
      <c r="AM51" s="126"/>
      <c r="AN51" s="126"/>
      <c r="AO51" s="101">
        <v>7</v>
      </c>
    </row>
    <row r="52" spans="1:41" x14ac:dyDescent="0.25">
      <c r="A52" s="101">
        <f t="shared" si="10"/>
        <v>51</v>
      </c>
      <c r="B52" s="102" t="str">
        <f t="shared" ref="B52:C52" si="43">B40</f>
        <v>June</v>
      </c>
      <c r="C52" s="102">
        <f t="shared" si="43"/>
        <v>6</v>
      </c>
      <c r="D52" s="103">
        <v>44713</v>
      </c>
      <c r="E52" s="104">
        <f t="shared" si="32"/>
        <v>2022</v>
      </c>
      <c r="F52" s="104" t="s">
        <v>968</v>
      </c>
      <c r="G52" s="105">
        <f t="shared" si="33"/>
        <v>30</v>
      </c>
      <c r="H52" s="110">
        <f t="shared" ref="H52:I52" si="44">H40</f>
        <v>149.6</v>
      </c>
      <c r="I52" s="110">
        <f t="shared" si="44"/>
        <v>138.30000000000001</v>
      </c>
      <c r="J52" s="107"/>
      <c r="K52" s="106"/>
      <c r="L52" s="105"/>
      <c r="M52" s="114">
        <f t="shared" si="21"/>
        <v>699.58584929993856</v>
      </c>
      <c r="N52" s="108">
        <v>7.0991999999999997</v>
      </c>
      <c r="O52" s="109">
        <f t="shared" si="35"/>
        <v>0.71254028775714762</v>
      </c>
      <c r="P52" s="107">
        <f t="shared" si="36"/>
        <v>4.6100000000000003</v>
      </c>
      <c r="Q52" s="105">
        <f>COUNTIFS('Daily KPI'!$D:$D,D52,'Daily KPI'!O:O,"&gt;0")</f>
        <v>0</v>
      </c>
      <c r="R52" s="108">
        <f t="shared" si="37"/>
        <v>0</v>
      </c>
      <c r="S52" s="108">
        <f>SUMIF($F$2:F52,F52,$R$2:R52)</f>
        <v>0</v>
      </c>
      <c r="T52" s="107">
        <f t="shared" si="38"/>
        <v>23.319528309997953</v>
      </c>
      <c r="U52" s="108">
        <f t="shared" si="39"/>
        <v>0</v>
      </c>
      <c r="V52" s="108">
        <f>SUMIF($F$2:F52,F52,$U$2:U52)</f>
        <v>0</v>
      </c>
      <c r="W52" s="109">
        <f t="shared" si="40"/>
        <v>0.13686711360668546</v>
      </c>
      <c r="X52" s="109" t="str">
        <f t="shared" si="27"/>
        <v/>
      </c>
      <c r="Y52" s="109" t="str">
        <f t="shared" si="28"/>
        <v/>
      </c>
      <c r="Z52" s="107" t="str">
        <f>IFERROR(AVERAGEIF('Daily KPI'!D:D,Table14[[#This Row],[Month]],'Daily KPI'!AB:AB),"")</f>
        <v/>
      </c>
      <c r="AA52" s="110">
        <f>IFERROR(AVERAGEIF($F$2:F52,F52,$N$2:N52),"")</f>
        <v>7.0991999999999997</v>
      </c>
      <c r="AB52" s="108"/>
      <c r="AC52" s="107"/>
      <c r="AD52" s="107"/>
      <c r="AE52" s="109">
        <v>0.98040000000000005</v>
      </c>
      <c r="AF52" s="109">
        <v>0.98</v>
      </c>
      <c r="AG52" s="109"/>
      <c r="AH52" s="109"/>
      <c r="AI52" s="109"/>
      <c r="AJ52" s="109"/>
      <c r="AK52" s="109"/>
      <c r="AL52" s="109"/>
      <c r="AM52" s="126"/>
      <c r="AN52" s="126"/>
      <c r="AO52" s="101">
        <v>7</v>
      </c>
    </row>
    <row r="53" spans="1:41" x14ac:dyDescent="0.25">
      <c r="A53" s="101">
        <f t="shared" si="10"/>
        <v>52</v>
      </c>
      <c r="B53" s="102" t="str">
        <f t="shared" ref="B53:C53" si="45">B41</f>
        <v>July</v>
      </c>
      <c r="C53" s="102">
        <f t="shared" si="45"/>
        <v>7</v>
      </c>
      <c r="D53" s="103">
        <v>44743</v>
      </c>
      <c r="E53" s="104">
        <f t="shared" si="32"/>
        <v>2022</v>
      </c>
      <c r="F53" s="104" t="s">
        <v>968</v>
      </c>
      <c r="G53" s="105">
        <f t="shared" si="33"/>
        <v>31</v>
      </c>
      <c r="H53" s="110">
        <f t="shared" ref="H53:I53" si="46">H41</f>
        <v>129.30000000000001</v>
      </c>
      <c r="I53" s="110">
        <f t="shared" si="46"/>
        <v>121</v>
      </c>
      <c r="J53" s="107"/>
      <c r="K53" s="106"/>
      <c r="L53" s="105"/>
      <c r="M53" s="114">
        <f t="shared" si="21"/>
        <v>638.54815775027953</v>
      </c>
      <c r="N53" s="108">
        <v>7.0991999999999997</v>
      </c>
      <c r="O53" s="109">
        <f t="shared" si="35"/>
        <v>0.74335946332944924</v>
      </c>
      <c r="P53" s="107">
        <f t="shared" si="36"/>
        <v>3.903225806451613</v>
      </c>
      <c r="Q53" s="105">
        <f>COUNTIFS('Daily KPI'!$D:$D,D53,'Daily KPI'!O:O,"&gt;0")</f>
        <v>0</v>
      </c>
      <c r="R53" s="108">
        <f t="shared" si="37"/>
        <v>0</v>
      </c>
      <c r="S53" s="108">
        <f>SUMIF($F$2:F53,F53,$R$2:R53)</f>
        <v>0</v>
      </c>
      <c r="T53" s="107">
        <f t="shared" si="38"/>
        <v>20.598327669363854</v>
      </c>
      <c r="U53" s="108">
        <f t="shared" si="39"/>
        <v>0</v>
      </c>
      <c r="V53" s="108">
        <f>SUMIF($F$2:F53,F53,$U$2:U53)</f>
        <v>0</v>
      </c>
      <c r="W53" s="109">
        <f t="shared" si="40"/>
        <v>0.12089582669739699</v>
      </c>
      <c r="X53" s="109" t="str">
        <f t="shared" si="27"/>
        <v/>
      </c>
      <c r="Y53" s="109" t="str">
        <f t="shared" si="28"/>
        <v/>
      </c>
      <c r="Z53" s="107" t="str">
        <f>IFERROR(AVERAGEIF('Daily KPI'!D:D,Table14[[#This Row],[Month]],'Daily KPI'!AB:AB),"")</f>
        <v/>
      </c>
      <c r="AA53" s="110">
        <f>IFERROR(AVERAGEIF($F$2:F53,F53,$N$2:N53),"")</f>
        <v>7.0991999999999997</v>
      </c>
      <c r="AB53" s="108"/>
      <c r="AC53" s="107"/>
      <c r="AD53" s="107"/>
      <c r="AE53" s="109">
        <v>0.98040000000000005</v>
      </c>
      <c r="AF53" s="109">
        <v>0.98</v>
      </c>
      <c r="AG53" s="109"/>
      <c r="AH53" s="109"/>
      <c r="AI53" s="109"/>
      <c r="AJ53" s="109"/>
      <c r="AK53" s="109"/>
      <c r="AL53" s="109"/>
      <c r="AM53" s="126"/>
      <c r="AN53" s="126"/>
      <c r="AO53" s="101">
        <v>7</v>
      </c>
    </row>
    <row r="54" spans="1:41" x14ac:dyDescent="0.25">
      <c r="A54" s="101">
        <f t="shared" si="10"/>
        <v>53</v>
      </c>
      <c r="B54" s="102" t="str">
        <f t="shared" ref="B54:C54" si="47">B42</f>
        <v>August</v>
      </c>
      <c r="C54" s="102">
        <f t="shared" si="47"/>
        <v>8</v>
      </c>
      <c r="D54" s="103">
        <v>44774</v>
      </c>
      <c r="E54" s="104">
        <f t="shared" si="32"/>
        <v>2022</v>
      </c>
      <c r="F54" s="104" t="s">
        <v>968</v>
      </c>
      <c r="G54" s="105">
        <f t="shared" si="33"/>
        <v>31</v>
      </c>
      <c r="H54" s="110">
        <f t="shared" ref="H54:I54" si="48">H42</f>
        <v>132.4</v>
      </c>
      <c r="I54" s="110">
        <f t="shared" si="48"/>
        <v>128.19999999999999</v>
      </c>
      <c r="J54" s="107"/>
      <c r="K54" s="106"/>
      <c r="L54" s="105"/>
      <c r="M54" s="114">
        <f t="shared" si="21"/>
        <v>676.10981408853127</v>
      </c>
      <c r="N54" s="108">
        <v>7.0991999999999997</v>
      </c>
      <c r="O54" s="109">
        <f t="shared" si="35"/>
        <v>0.74288194509109884</v>
      </c>
      <c r="P54" s="107">
        <f t="shared" si="36"/>
        <v>4.1354838709677413</v>
      </c>
      <c r="Q54" s="105">
        <f>COUNTIFS('Daily KPI'!$D:$D,D54,'Daily KPI'!O:O,"&gt;0")</f>
        <v>0</v>
      </c>
      <c r="R54" s="108">
        <f t="shared" si="37"/>
        <v>0</v>
      </c>
      <c r="S54" s="108">
        <f>SUMIF($F$2:F54,F54,$R$2:R54)</f>
        <v>0</v>
      </c>
      <c r="T54" s="107">
        <f t="shared" si="38"/>
        <v>21.809994002855849</v>
      </c>
      <c r="U54" s="108">
        <f t="shared" si="39"/>
        <v>0</v>
      </c>
      <c r="V54" s="108">
        <f>SUMIF($F$2:F54,F54,$U$2:U54)</f>
        <v>0</v>
      </c>
      <c r="W54" s="109">
        <f t="shared" si="40"/>
        <v>0.12800734591489094</v>
      </c>
      <c r="X54" s="109" t="str">
        <f t="shared" si="27"/>
        <v/>
      </c>
      <c r="Y54" s="109" t="str">
        <f t="shared" si="28"/>
        <v/>
      </c>
      <c r="Z54" s="107" t="str">
        <f>IFERROR(AVERAGEIF('Daily KPI'!D:D,Table14[[#This Row],[Month]],'Daily KPI'!AB:AB),"")</f>
        <v/>
      </c>
      <c r="AA54" s="110">
        <f>IFERROR(AVERAGEIF($F$2:F54,F54,$N$2:N54),"")</f>
        <v>7.0991999999999988</v>
      </c>
      <c r="AB54" s="108"/>
      <c r="AC54" s="107"/>
      <c r="AD54" s="107"/>
      <c r="AE54" s="109">
        <v>0.98040000000000005</v>
      </c>
      <c r="AF54" s="109">
        <v>0.98</v>
      </c>
      <c r="AG54" s="109"/>
      <c r="AH54" s="109"/>
      <c r="AI54" s="109"/>
      <c r="AJ54" s="109"/>
      <c r="AK54" s="109"/>
      <c r="AL54" s="109"/>
      <c r="AM54" s="126"/>
      <c r="AN54" s="126"/>
      <c r="AO54" s="101">
        <v>7</v>
      </c>
    </row>
    <row r="55" spans="1:41" x14ac:dyDescent="0.25">
      <c r="A55" s="101">
        <f t="shared" si="10"/>
        <v>54</v>
      </c>
      <c r="B55" s="102" t="str">
        <f t="shared" ref="B55:C55" si="49">B43</f>
        <v>September</v>
      </c>
      <c r="C55" s="102">
        <f t="shared" si="49"/>
        <v>9</v>
      </c>
      <c r="D55" s="103">
        <v>44805</v>
      </c>
      <c r="E55" s="104">
        <f t="shared" si="32"/>
        <v>2022</v>
      </c>
      <c r="F55" s="104" t="s">
        <v>968</v>
      </c>
      <c r="G55" s="105">
        <f t="shared" si="33"/>
        <v>30</v>
      </c>
      <c r="H55" s="110">
        <f t="shared" ref="H55:I55" si="50">H43</f>
        <v>142.5</v>
      </c>
      <c r="I55" s="110">
        <f t="shared" si="50"/>
        <v>144.9</v>
      </c>
      <c r="J55" s="107"/>
      <c r="K55" s="106"/>
      <c r="L55" s="105"/>
      <c r="M55" s="114">
        <f t="shared" si="21"/>
        <v>732.45229859590881</v>
      </c>
      <c r="N55" s="108">
        <v>7.0991999999999997</v>
      </c>
      <c r="O55" s="109">
        <f t="shared" si="35"/>
        <v>0.71203534028572857</v>
      </c>
      <c r="P55" s="107">
        <f t="shared" si="36"/>
        <v>4.83</v>
      </c>
      <c r="Q55" s="105">
        <f>COUNTIFS('Daily KPI'!$D:$D,D55,'Daily KPI'!O:O,"&gt;0")</f>
        <v>0</v>
      </c>
      <c r="R55" s="108">
        <f t="shared" si="37"/>
        <v>0</v>
      </c>
      <c r="S55" s="108">
        <f>SUMIF($F$2:F55,F55,$R$2:R55)</f>
        <v>0</v>
      </c>
      <c r="T55" s="107">
        <f t="shared" si="38"/>
        <v>24.415076619863626</v>
      </c>
      <c r="U55" s="108">
        <f t="shared" si="39"/>
        <v>0</v>
      </c>
      <c r="V55" s="108">
        <f>SUMIF($F$2:F55,F55,$U$2:U55)</f>
        <v>0</v>
      </c>
      <c r="W55" s="109">
        <f t="shared" si="40"/>
        <v>0.14329711223250288</v>
      </c>
      <c r="X55" s="109" t="str">
        <f t="shared" si="27"/>
        <v/>
      </c>
      <c r="Y55" s="109" t="str">
        <f t="shared" si="28"/>
        <v/>
      </c>
      <c r="Z55" s="107" t="str">
        <f>IFERROR(AVERAGEIF('Daily KPI'!D:D,Table14[[#This Row],[Month]],'Daily KPI'!AB:AB),"")</f>
        <v/>
      </c>
      <c r="AA55" s="110">
        <f>IFERROR(AVERAGEIF($F$2:F55,F55,$N$2:N55),"")</f>
        <v>7.0991999999999988</v>
      </c>
      <c r="AB55" s="108"/>
      <c r="AC55" s="107"/>
      <c r="AD55" s="107"/>
      <c r="AE55" s="109">
        <v>0.98040000000000005</v>
      </c>
      <c r="AF55" s="109">
        <v>0.98</v>
      </c>
      <c r="AG55" s="109"/>
      <c r="AH55" s="109"/>
      <c r="AI55" s="109"/>
      <c r="AJ55" s="109"/>
      <c r="AK55" s="109"/>
      <c r="AL55" s="109"/>
      <c r="AM55" s="126"/>
      <c r="AN55" s="126"/>
      <c r="AO55" s="101">
        <v>7</v>
      </c>
    </row>
    <row r="56" spans="1:41" x14ac:dyDescent="0.25">
      <c r="A56" s="101">
        <f t="shared" si="10"/>
        <v>55</v>
      </c>
      <c r="B56" s="102" t="str">
        <f t="shared" ref="B56:C56" si="51">B44</f>
        <v>October</v>
      </c>
      <c r="C56" s="102">
        <f t="shared" si="51"/>
        <v>10</v>
      </c>
      <c r="D56" s="103">
        <v>44835</v>
      </c>
      <c r="E56" s="104">
        <f t="shared" si="32"/>
        <v>2022</v>
      </c>
      <c r="F56" s="104" t="s">
        <v>968</v>
      </c>
      <c r="G56" s="105">
        <f t="shared" si="33"/>
        <v>31</v>
      </c>
      <c r="H56" s="110">
        <f t="shared" ref="H56:I56" si="52">H44</f>
        <v>148</v>
      </c>
      <c r="I56" s="110">
        <f t="shared" si="52"/>
        <v>161.5</v>
      </c>
      <c r="J56" s="107"/>
      <c r="K56" s="106"/>
      <c r="L56" s="105"/>
      <c r="M56" s="114">
        <f t="shared" si="21"/>
        <v>831.05164648381958</v>
      </c>
      <c r="N56" s="108">
        <v>7.0991999999999997</v>
      </c>
      <c r="O56" s="109">
        <f t="shared" si="35"/>
        <v>0.72484655008772603</v>
      </c>
      <c r="P56" s="107">
        <f t="shared" si="36"/>
        <v>5.209677419354839</v>
      </c>
      <c r="Q56" s="105">
        <f>COUNTIFS('Daily KPI'!$D:$D,D56,'Daily KPI'!O:O,"&gt;0")</f>
        <v>0</v>
      </c>
      <c r="R56" s="108">
        <f t="shared" si="37"/>
        <v>0</v>
      </c>
      <c r="S56" s="108">
        <f>SUMIF($F$2:F56,F56,$R$2:R56)</f>
        <v>0</v>
      </c>
      <c r="T56" s="107">
        <f t="shared" si="38"/>
        <v>26.80811762851031</v>
      </c>
      <c r="U56" s="108">
        <f t="shared" si="39"/>
        <v>0</v>
      </c>
      <c r="V56" s="108">
        <f>SUMIF($F$2:F56,F56,$U$2:U56)</f>
        <v>0</v>
      </c>
      <c r="W56" s="109">
        <f t="shared" si="40"/>
        <v>0.15734236268705343</v>
      </c>
      <c r="X56" s="109" t="str">
        <f t="shared" si="27"/>
        <v/>
      </c>
      <c r="Y56" s="109" t="str">
        <f t="shared" si="28"/>
        <v/>
      </c>
      <c r="Z56" s="107" t="str">
        <f>IFERROR(AVERAGEIF('Daily KPI'!D:D,Table14[[#This Row],[Month]],'Daily KPI'!AB:AB),"")</f>
        <v/>
      </c>
      <c r="AA56" s="110">
        <f>IFERROR(AVERAGEIF($F$2:F56,F56,$N$2:N56),"")</f>
        <v>7.099199999999998</v>
      </c>
      <c r="AB56" s="108"/>
      <c r="AC56" s="107"/>
      <c r="AD56" s="107"/>
      <c r="AE56" s="109">
        <v>0.98040000000000005</v>
      </c>
      <c r="AF56" s="109">
        <v>0.98</v>
      </c>
      <c r="AG56" s="109"/>
      <c r="AH56" s="109"/>
      <c r="AI56" s="109"/>
      <c r="AJ56" s="109"/>
      <c r="AK56" s="109"/>
      <c r="AL56" s="109"/>
      <c r="AM56" s="126"/>
      <c r="AN56" s="126"/>
      <c r="AO56" s="101">
        <v>7</v>
      </c>
    </row>
    <row r="57" spans="1:41" x14ac:dyDescent="0.25">
      <c r="A57" s="101">
        <f t="shared" si="10"/>
        <v>56</v>
      </c>
      <c r="B57" s="102" t="str">
        <f t="shared" ref="B57:C57" si="53">B45</f>
        <v>November</v>
      </c>
      <c r="C57" s="102">
        <f t="shared" si="53"/>
        <v>11</v>
      </c>
      <c r="D57" s="103">
        <v>44866</v>
      </c>
      <c r="E57" s="104">
        <f t="shared" si="32"/>
        <v>2022</v>
      </c>
      <c r="F57" s="104" t="s">
        <v>968</v>
      </c>
      <c r="G57" s="105">
        <f t="shared" si="33"/>
        <v>30</v>
      </c>
      <c r="H57" s="110">
        <f t="shared" ref="H57:I57" si="54">H45</f>
        <v>141.1</v>
      </c>
      <c r="I57" s="110">
        <f t="shared" si="54"/>
        <v>166</v>
      </c>
      <c r="J57" s="107"/>
      <c r="K57" s="106"/>
      <c r="L57" s="105"/>
      <c r="M57" s="114">
        <f t="shared" si="21"/>
        <v>835.74685352610106</v>
      </c>
      <c r="N57" s="108">
        <v>7.0991999999999997</v>
      </c>
      <c r="O57" s="109">
        <f t="shared" si="35"/>
        <v>0.70918125979755831</v>
      </c>
      <c r="P57" s="107">
        <f t="shared" si="36"/>
        <v>5.5333333333333332</v>
      </c>
      <c r="Q57" s="105">
        <f>COUNTIFS('Daily KPI'!$D:$D,D57,'Daily KPI'!O:O,"&gt;0")</f>
        <v>0</v>
      </c>
      <c r="R57" s="108">
        <f t="shared" si="37"/>
        <v>0</v>
      </c>
      <c r="S57" s="108">
        <f>SUMIF($F$2:F57,F57,$R$2:R57)</f>
        <v>0</v>
      </c>
      <c r="T57" s="107">
        <f t="shared" si="38"/>
        <v>27.858228450870037</v>
      </c>
      <c r="U57" s="108">
        <f t="shared" si="39"/>
        <v>0</v>
      </c>
      <c r="V57" s="108">
        <f>SUMIF($F$2:F57,F57,$U$2:U57)</f>
        <v>0</v>
      </c>
      <c r="W57" s="109">
        <f t="shared" si="40"/>
        <v>0.16350567934221483</v>
      </c>
      <c r="X57" s="109" t="str">
        <f t="shared" si="27"/>
        <v/>
      </c>
      <c r="Y57" s="109" t="str">
        <f t="shared" si="28"/>
        <v/>
      </c>
      <c r="Z57" s="107" t="str">
        <f>IFERROR(AVERAGEIF('Daily KPI'!D:D,Table14[[#This Row],[Month]],'Daily KPI'!AB:AB),"")</f>
        <v/>
      </c>
      <c r="AA57" s="110">
        <f>IFERROR(AVERAGEIF($F$2:F57,F57,$N$2:N57),"")</f>
        <v>7.099199999999998</v>
      </c>
      <c r="AB57" s="108"/>
      <c r="AC57" s="107"/>
      <c r="AD57" s="107"/>
      <c r="AE57" s="109">
        <v>0.98040000000000005</v>
      </c>
      <c r="AF57" s="109">
        <v>0.98</v>
      </c>
      <c r="AG57" s="109"/>
      <c r="AH57" s="109"/>
      <c r="AI57" s="109"/>
      <c r="AJ57" s="109"/>
      <c r="AK57" s="109"/>
      <c r="AL57" s="109"/>
      <c r="AM57" s="126"/>
      <c r="AN57" s="126"/>
      <c r="AO57" s="101">
        <v>7</v>
      </c>
    </row>
    <row r="58" spans="1:41" x14ac:dyDescent="0.25">
      <c r="A58" s="101">
        <f t="shared" si="10"/>
        <v>57</v>
      </c>
      <c r="B58" s="102" t="str">
        <f t="shared" ref="B58:C58" si="55">B46</f>
        <v>December</v>
      </c>
      <c r="C58" s="102">
        <f t="shared" si="55"/>
        <v>12</v>
      </c>
      <c r="D58" s="103">
        <v>44896</v>
      </c>
      <c r="E58" s="104">
        <f t="shared" si="32"/>
        <v>2022</v>
      </c>
      <c r="F58" s="104" t="s">
        <v>968</v>
      </c>
      <c r="G58" s="105">
        <f t="shared" si="33"/>
        <v>31</v>
      </c>
      <c r="H58" s="110">
        <f t="shared" ref="H58:I58" si="56">H46</f>
        <v>136.1</v>
      </c>
      <c r="I58" s="110">
        <f t="shared" si="56"/>
        <v>166.7</v>
      </c>
      <c r="J58" s="107"/>
      <c r="K58" s="106"/>
      <c r="L58" s="105"/>
      <c r="M58" s="114">
        <f t="shared" si="21"/>
        <v>868.61330282207132</v>
      </c>
      <c r="N58" s="108">
        <v>7.0991999999999997</v>
      </c>
      <c r="O58" s="109">
        <f t="shared" si="35"/>
        <v>0.73397533375514845</v>
      </c>
      <c r="P58" s="107">
        <f t="shared" si="36"/>
        <v>5.3774193548387093</v>
      </c>
      <c r="Q58" s="105">
        <f>COUNTIFS('Daily KPI'!$D:$D,D58,'Daily KPI'!O:O,"&gt;0")</f>
        <v>0</v>
      </c>
      <c r="R58" s="108">
        <f t="shared" si="37"/>
        <v>0</v>
      </c>
      <c r="S58" s="108">
        <f>SUMIF($F$2:F58,F58,$R$2:R58)</f>
        <v>0</v>
      </c>
      <c r="T58" s="107">
        <f t="shared" si="38"/>
        <v>28.0197839620023</v>
      </c>
      <c r="U58" s="108">
        <f t="shared" si="39"/>
        <v>0</v>
      </c>
      <c r="V58" s="108">
        <f>SUMIF($F$2:F58,F58,$U$2:U58)</f>
        <v>0</v>
      </c>
      <c r="W58" s="109">
        <f t="shared" si="40"/>
        <v>0.16445388190454735</v>
      </c>
      <c r="X58" s="109" t="str">
        <f t="shared" si="27"/>
        <v/>
      </c>
      <c r="Y58" s="109" t="str">
        <f t="shared" si="28"/>
        <v/>
      </c>
      <c r="Z58" s="107" t="str">
        <f>IFERROR(AVERAGEIF('Daily KPI'!D:D,Table14[[#This Row],[Month]],'Daily KPI'!AB:AB),"")</f>
        <v/>
      </c>
      <c r="AA58" s="110">
        <f>IFERROR(AVERAGEIF($F$2:F58,F58,$N$2:N58),"")</f>
        <v>7.099199999999998</v>
      </c>
      <c r="AB58" s="108"/>
      <c r="AC58" s="107"/>
      <c r="AD58" s="107"/>
      <c r="AE58" s="109">
        <v>0.98040000000000005</v>
      </c>
      <c r="AF58" s="109">
        <v>0.98</v>
      </c>
      <c r="AG58" s="109"/>
      <c r="AH58" s="109"/>
      <c r="AI58" s="109"/>
      <c r="AJ58" s="109"/>
      <c r="AK58" s="109"/>
      <c r="AL58" s="109"/>
      <c r="AM58" s="126"/>
      <c r="AN58" s="126"/>
      <c r="AO58" s="101">
        <v>7</v>
      </c>
    </row>
    <row r="59" spans="1:41" x14ac:dyDescent="0.25">
      <c r="A59" s="101">
        <f t="shared" si="10"/>
        <v>58</v>
      </c>
      <c r="B59" s="102" t="str">
        <f t="shared" ref="B59:C59" si="57">B47</f>
        <v>January</v>
      </c>
      <c r="C59" s="102">
        <f t="shared" si="57"/>
        <v>1</v>
      </c>
      <c r="D59" s="103">
        <v>44927</v>
      </c>
      <c r="E59" s="104">
        <f t="shared" si="32"/>
        <v>2023</v>
      </c>
      <c r="F59" s="104" t="s">
        <v>968</v>
      </c>
      <c r="G59" s="105">
        <f t="shared" si="33"/>
        <v>31</v>
      </c>
      <c r="H59" s="110">
        <f t="shared" ref="H59:I59" si="58">H47</f>
        <v>151.6</v>
      </c>
      <c r="I59" s="110">
        <f t="shared" si="58"/>
        <v>184.7</v>
      </c>
      <c r="J59" s="107"/>
      <c r="K59" s="106"/>
      <c r="L59" s="105"/>
      <c r="M59" s="114">
        <f t="shared" si="21"/>
        <v>962.51744366770072</v>
      </c>
      <c r="N59" s="108">
        <v>7.0991999999999997</v>
      </c>
      <c r="O59" s="109">
        <f t="shared" si="35"/>
        <v>0.73406125544949641</v>
      </c>
      <c r="P59" s="107">
        <f t="shared" si="36"/>
        <v>5.9580645161290322</v>
      </c>
      <c r="Q59" s="105">
        <f>COUNTIFS('Daily KPI'!$D:$D,D59,'Daily KPI'!O:O,"&gt;0")</f>
        <v>0</v>
      </c>
      <c r="R59" s="108">
        <f t="shared" si="37"/>
        <v>0</v>
      </c>
      <c r="S59" s="108">
        <f>SUMIF($F$2:F59,F59,$R$2:R59)</f>
        <v>0</v>
      </c>
      <c r="T59" s="107">
        <f t="shared" si="38"/>
        <v>31.04894979573228</v>
      </c>
      <c r="U59" s="108">
        <f t="shared" si="39"/>
        <v>0</v>
      </c>
      <c r="V59" s="108">
        <f>SUMIF($F$2:F59,F59,$U$2:U59)</f>
        <v>0</v>
      </c>
      <c r="W59" s="109">
        <f t="shared" si="40"/>
        <v>0.18223267994828221</v>
      </c>
      <c r="X59" s="109" t="str">
        <f t="shared" si="27"/>
        <v/>
      </c>
      <c r="Y59" s="109" t="str">
        <f t="shared" si="28"/>
        <v/>
      </c>
      <c r="Z59" s="107" t="str">
        <f>IFERROR(AVERAGEIF('Daily KPI'!D:D,Table14[[#This Row],[Month]],'Daily KPI'!AB:AB),"")</f>
        <v/>
      </c>
      <c r="AA59" s="110">
        <f>IFERROR(AVERAGEIF($F$2:F59,F59,$N$2:N59),"")</f>
        <v>7.099199999999998</v>
      </c>
      <c r="AB59" s="108"/>
      <c r="AC59" s="107"/>
      <c r="AD59" s="107"/>
      <c r="AE59" s="109">
        <v>0.98040000000000005</v>
      </c>
      <c r="AF59" s="109">
        <v>0.98</v>
      </c>
      <c r="AG59" s="109"/>
      <c r="AH59" s="109"/>
      <c r="AI59" s="109"/>
      <c r="AJ59" s="109"/>
      <c r="AK59" s="109"/>
      <c r="AL59" s="109"/>
      <c r="AM59" s="126"/>
      <c r="AN59" s="126"/>
      <c r="AO59" s="101">
        <v>7</v>
      </c>
    </row>
    <row r="60" spans="1:41" x14ac:dyDescent="0.25">
      <c r="A60" s="101">
        <f t="shared" si="10"/>
        <v>59</v>
      </c>
      <c r="B60" s="102" t="str">
        <f t="shared" ref="B60:C60" si="59">B48</f>
        <v>February</v>
      </c>
      <c r="C60" s="102">
        <f t="shared" si="59"/>
        <v>2</v>
      </c>
      <c r="D60" s="103">
        <v>44958</v>
      </c>
      <c r="E60" s="104">
        <f t="shared" si="32"/>
        <v>2023</v>
      </c>
      <c r="F60" s="104" t="s">
        <v>968</v>
      </c>
      <c r="G60" s="105">
        <f t="shared" si="33"/>
        <v>28</v>
      </c>
      <c r="H60" s="110">
        <f t="shared" ref="H60:I60" si="60">H48</f>
        <v>159.30000000000001</v>
      </c>
      <c r="I60" s="110">
        <f t="shared" si="60"/>
        <v>183.3</v>
      </c>
      <c r="J60" s="107"/>
      <c r="K60" s="106"/>
      <c r="L60" s="105"/>
      <c r="M60" s="114">
        <f t="shared" si="21"/>
        <v>919.08413099119707</v>
      </c>
      <c r="N60" s="108">
        <v>7.0991999999999997</v>
      </c>
      <c r="O60" s="109">
        <f t="shared" si="35"/>
        <v>0.70629054304605654</v>
      </c>
      <c r="P60" s="107">
        <f t="shared" si="36"/>
        <v>6.5464285714285717</v>
      </c>
      <c r="Q60" s="105">
        <f>COUNTIFS('Daily KPI'!$D:$D,D60,'Daily KPI'!O:O,"&gt;0")</f>
        <v>0</v>
      </c>
      <c r="R60" s="108">
        <f t="shared" si="37"/>
        <v>0</v>
      </c>
      <c r="S60" s="108">
        <f>SUMIF($F$2:F60,F60,$R$2:R60)</f>
        <v>0</v>
      </c>
      <c r="T60" s="107">
        <f t="shared" si="38"/>
        <v>32.824433249685612</v>
      </c>
      <c r="U60" s="108">
        <f t="shared" si="39"/>
        <v>0</v>
      </c>
      <c r="V60" s="108">
        <f>SUMIF($F$2:F60,F60,$U$2:U60)</f>
        <v>0</v>
      </c>
      <c r="W60" s="109">
        <f t="shared" si="40"/>
        <v>0.19265335794693775</v>
      </c>
      <c r="X60" s="109" t="str">
        <f t="shared" si="27"/>
        <v/>
      </c>
      <c r="Y60" s="109" t="str">
        <f t="shared" si="28"/>
        <v/>
      </c>
      <c r="Z60" s="107" t="str">
        <f>IFERROR(AVERAGEIF('Daily KPI'!D:D,Table14[[#This Row],[Month]],'Daily KPI'!AB:AB),"")</f>
        <v/>
      </c>
      <c r="AA60" s="110">
        <f>IFERROR(AVERAGEIF($F$2:F60,F60,$N$2:N60),"")</f>
        <v>7.0991999999999971</v>
      </c>
      <c r="AB60" s="108"/>
      <c r="AC60" s="107"/>
      <c r="AD60" s="107"/>
      <c r="AE60" s="109">
        <v>0.98040000000000005</v>
      </c>
      <c r="AF60" s="109">
        <v>0.98</v>
      </c>
      <c r="AG60" s="109"/>
      <c r="AH60" s="109"/>
      <c r="AI60" s="109"/>
      <c r="AJ60" s="109"/>
      <c r="AK60" s="109"/>
      <c r="AL60" s="109"/>
      <c r="AM60" s="126"/>
      <c r="AN60" s="126"/>
      <c r="AO60" s="101">
        <v>7</v>
      </c>
    </row>
    <row r="61" spans="1:41" x14ac:dyDescent="0.25">
      <c r="A61" s="101">
        <f t="shared" si="10"/>
        <v>60</v>
      </c>
      <c r="B61" s="102" t="str">
        <f t="shared" ref="B61:C61" si="61">B49</f>
        <v>March</v>
      </c>
      <c r="C61" s="102">
        <f t="shared" si="61"/>
        <v>3</v>
      </c>
      <c r="D61" s="103">
        <v>44986</v>
      </c>
      <c r="E61" s="104">
        <f t="shared" si="32"/>
        <v>2023</v>
      </c>
      <c r="F61" s="104" t="s">
        <v>968</v>
      </c>
      <c r="G61" s="105">
        <f t="shared" si="33"/>
        <v>31</v>
      </c>
      <c r="H61" s="110">
        <f t="shared" ref="H61:I61" si="62">H49</f>
        <v>197.2</v>
      </c>
      <c r="I61" s="110">
        <f t="shared" si="62"/>
        <v>210.4</v>
      </c>
      <c r="J61" s="107"/>
      <c r="K61" s="106"/>
      <c r="L61" s="105"/>
      <c r="M61" s="114">
        <f t="shared" si="21"/>
        <v>1065.8119985978929</v>
      </c>
      <c r="N61" s="108">
        <v>7.0991999999999997</v>
      </c>
      <c r="O61" s="109">
        <f t="shared" si="35"/>
        <v>0.7135517214853353</v>
      </c>
      <c r="P61" s="107">
        <f t="shared" si="36"/>
        <v>6.7870967741935484</v>
      </c>
      <c r="Q61" s="105">
        <f>COUNTIFS('Daily KPI'!$D:$D,D61,'Daily KPI'!O:O,"&gt;0")</f>
        <v>0</v>
      </c>
      <c r="R61" s="108">
        <f t="shared" si="37"/>
        <v>0</v>
      </c>
      <c r="S61" s="108">
        <f>SUMIF($F$2:F61,F61,$R$2:R61)</f>
        <v>0</v>
      </c>
      <c r="T61" s="107">
        <f t="shared" si="38"/>
        <v>34.381032212835251</v>
      </c>
      <c r="U61" s="108">
        <f t="shared" si="39"/>
        <v>0</v>
      </c>
      <c r="V61" s="108">
        <f>SUMIF($F$2:F61,F61,$U$2:U61)</f>
        <v>0</v>
      </c>
      <c r="W61" s="109">
        <f t="shared" si="40"/>
        <v>0.20178935779639051</v>
      </c>
      <c r="X61" s="109" t="str">
        <f t="shared" si="27"/>
        <v/>
      </c>
      <c r="Y61" s="109" t="str">
        <f t="shared" si="28"/>
        <v/>
      </c>
      <c r="Z61" s="107" t="str">
        <f>IFERROR(AVERAGEIF('Daily KPI'!D:D,Table14[[#This Row],[Month]],'Daily KPI'!AB:AB),"")</f>
        <v/>
      </c>
      <c r="AA61" s="110">
        <f>IFERROR(AVERAGEIF($F$2:F61,F61,$N$2:N61),"")</f>
        <v>7.0991999999999971</v>
      </c>
      <c r="AB61" s="108"/>
      <c r="AC61" s="107"/>
      <c r="AD61" s="107"/>
      <c r="AE61" s="109">
        <v>0.98040000000000005</v>
      </c>
      <c r="AF61" s="109">
        <v>0.98</v>
      </c>
      <c r="AG61" s="109"/>
      <c r="AH61" s="109"/>
      <c r="AI61" s="109"/>
      <c r="AJ61" s="109"/>
      <c r="AK61" s="109"/>
      <c r="AL61" s="109"/>
      <c r="AM61" s="126"/>
      <c r="AN61" s="126"/>
      <c r="AO61" s="101">
        <v>7</v>
      </c>
    </row>
    <row r="62" spans="1:41" x14ac:dyDescent="0.25">
      <c r="A62" s="101">
        <f t="shared" si="10"/>
        <v>61</v>
      </c>
      <c r="B62" s="102" t="str">
        <f t="shared" ref="B62:C62" si="63">B50</f>
        <v>April</v>
      </c>
      <c r="C62" s="102">
        <f t="shared" si="63"/>
        <v>4</v>
      </c>
      <c r="D62" s="103">
        <v>45017</v>
      </c>
      <c r="E62" s="104">
        <f t="shared" si="32"/>
        <v>2023</v>
      </c>
      <c r="F62" s="104" t="s">
        <v>969</v>
      </c>
      <c r="G62" s="105">
        <f t="shared" si="33"/>
        <v>30</v>
      </c>
      <c r="H62" s="110">
        <f t="shared" ref="H62:I62" si="64">H50</f>
        <v>192.9</v>
      </c>
      <c r="I62" s="110">
        <f t="shared" si="64"/>
        <v>191.2</v>
      </c>
      <c r="J62" s="107"/>
      <c r="K62" s="106"/>
      <c r="L62" s="105"/>
      <c r="M62" s="114">
        <f t="shared" si="21"/>
        <v>934.34620141401194</v>
      </c>
      <c r="N62" s="108">
        <v>7.0991999999999997</v>
      </c>
      <c r="O62" s="109">
        <f t="shared" si="35"/>
        <v>0.68835191505313997</v>
      </c>
      <c r="P62" s="107">
        <f t="shared" si="36"/>
        <v>6.3733333333333331</v>
      </c>
      <c r="Q62" s="105">
        <f>COUNTIFS('Daily KPI'!$D:$D,D62,'Daily KPI'!O:O,"&gt;0")</f>
        <v>0</v>
      </c>
      <c r="R62" s="108">
        <f t="shared" si="37"/>
        <v>0</v>
      </c>
      <c r="S62" s="108">
        <f>SUMIF($F$2:F62,F62,$R$2:R62)</f>
        <v>0</v>
      </c>
      <c r="T62" s="107">
        <f t="shared" si="38"/>
        <v>31.144873380467065</v>
      </c>
      <c r="U62" s="108">
        <f t="shared" si="39"/>
        <v>0</v>
      </c>
      <c r="V62" s="108">
        <f>SUMIF($F$2:F62,F62,$U$2:U62)</f>
        <v>0</v>
      </c>
      <c r="W62" s="109">
        <f t="shared" si="40"/>
        <v>0.18279567521966716</v>
      </c>
      <c r="X62" s="109" t="str">
        <f t="shared" si="27"/>
        <v/>
      </c>
      <c r="Y62" s="109" t="str">
        <f t="shared" si="28"/>
        <v/>
      </c>
      <c r="Z62" s="107" t="str">
        <f>IFERROR(AVERAGEIF('Daily KPI'!D:D,Table14[[#This Row],[Month]],'Daily KPI'!AB:AB),"")</f>
        <v/>
      </c>
      <c r="AA62" s="110">
        <f>IFERROR(AVERAGEIF($F$2:F62,F62,$N$2:N62),"")</f>
        <v>7.0991999999999997</v>
      </c>
      <c r="AB62" s="108"/>
      <c r="AC62" s="107"/>
      <c r="AD62" s="107"/>
      <c r="AE62" s="109">
        <v>0.98040000000000005</v>
      </c>
      <c r="AF62" s="109">
        <v>0.98</v>
      </c>
      <c r="AG62" s="109"/>
      <c r="AH62" s="109"/>
      <c r="AI62" s="109"/>
      <c r="AJ62" s="109"/>
      <c r="AK62" s="109"/>
      <c r="AL62" s="109"/>
      <c r="AM62" s="126"/>
      <c r="AN62" s="126"/>
      <c r="AO62" s="101">
        <v>7</v>
      </c>
    </row>
    <row r="63" spans="1:41" x14ac:dyDescent="0.25">
      <c r="A63" s="101">
        <f t="shared" si="10"/>
        <v>62</v>
      </c>
      <c r="B63" s="102" t="str">
        <f t="shared" ref="B63:C63" si="65">B51</f>
        <v>May</v>
      </c>
      <c r="C63" s="102">
        <f t="shared" si="65"/>
        <v>5</v>
      </c>
      <c r="D63" s="103">
        <v>45047</v>
      </c>
      <c r="E63" s="104">
        <f t="shared" si="32"/>
        <v>2023</v>
      </c>
      <c r="F63" s="104" t="s">
        <v>969</v>
      </c>
      <c r="G63" s="105">
        <f t="shared" si="33"/>
        <v>31</v>
      </c>
      <c r="H63" s="110">
        <f t="shared" ref="H63:I63" si="66">H51</f>
        <v>199.3</v>
      </c>
      <c r="I63" s="110">
        <f t="shared" si="66"/>
        <v>187.1</v>
      </c>
      <c r="J63" s="107"/>
      <c r="K63" s="106"/>
      <c r="L63" s="105"/>
      <c r="M63" s="114">
        <f t="shared" si="21"/>
        <v>939.04140845629331</v>
      </c>
      <c r="N63" s="108">
        <v>7.0991999999999997</v>
      </c>
      <c r="O63" s="109">
        <f t="shared" si="35"/>
        <v>0.70697091098550124</v>
      </c>
      <c r="P63" s="107">
        <f t="shared" si="36"/>
        <v>6.0354838709677416</v>
      </c>
      <c r="Q63" s="105">
        <f>COUNTIFS('Daily KPI'!$D:$D,D63,'Daily KPI'!O:O,"&gt;0")</f>
        <v>0</v>
      </c>
      <c r="R63" s="108">
        <f t="shared" si="37"/>
        <v>0</v>
      </c>
      <c r="S63" s="108">
        <f>SUMIF($F$2:F63,F63,$R$2:R63)</f>
        <v>0</v>
      </c>
      <c r="T63" s="107">
        <f t="shared" si="38"/>
        <v>30.291658337299783</v>
      </c>
      <c r="U63" s="108">
        <f t="shared" si="39"/>
        <v>0</v>
      </c>
      <c r="V63" s="108">
        <f>SUMIF($F$2:F63,F63,$U$2:U63)</f>
        <v>0</v>
      </c>
      <c r="W63" s="109">
        <f t="shared" si="40"/>
        <v>0.17778798043734848</v>
      </c>
      <c r="X63" s="109" t="str">
        <f t="shared" si="27"/>
        <v/>
      </c>
      <c r="Y63" s="109" t="str">
        <f t="shared" si="28"/>
        <v/>
      </c>
      <c r="Z63" s="107" t="str">
        <f>IFERROR(AVERAGEIF('Daily KPI'!D:D,Table14[[#This Row],[Month]],'Daily KPI'!AB:AB),"")</f>
        <v/>
      </c>
      <c r="AA63" s="110">
        <f>IFERROR(AVERAGEIF($F$2:F63,F63,$N$2:N63),"")</f>
        <v>7.0991999999999997</v>
      </c>
      <c r="AB63" s="108"/>
      <c r="AC63" s="107"/>
      <c r="AD63" s="107"/>
      <c r="AE63" s="109">
        <v>0.98040000000000005</v>
      </c>
      <c r="AF63" s="109">
        <v>0.98</v>
      </c>
      <c r="AG63" s="109"/>
      <c r="AH63" s="109"/>
      <c r="AI63" s="109"/>
      <c r="AJ63" s="109"/>
      <c r="AK63" s="109"/>
      <c r="AL63" s="109"/>
      <c r="AM63" s="126"/>
      <c r="AN63" s="126"/>
      <c r="AO63" s="101">
        <v>7</v>
      </c>
    </row>
    <row r="64" spans="1:41" x14ac:dyDescent="0.25">
      <c r="A64" s="101">
        <f t="shared" si="10"/>
        <v>63</v>
      </c>
      <c r="B64" s="102" t="str">
        <f t="shared" ref="B64:C64" si="67">B52</f>
        <v>June</v>
      </c>
      <c r="C64" s="102">
        <f t="shared" si="67"/>
        <v>6</v>
      </c>
      <c r="D64" s="103">
        <v>45078</v>
      </c>
      <c r="E64" s="104">
        <f t="shared" si="32"/>
        <v>2023</v>
      </c>
      <c r="F64" s="104" t="s">
        <v>969</v>
      </c>
      <c r="G64" s="105">
        <f t="shared" si="33"/>
        <v>30</v>
      </c>
      <c r="H64" s="110">
        <f t="shared" ref="H64:I64" si="68">H52</f>
        <v>149.6</v>
      </c>
      <c r="I64" s="110">
        <f t="shared" si="68"/>
        <v>138.30000000000001</v>
      </c>
      <c r="J64" s="107"/>
      <c r="K64" s="106"/>
      <c r="L64" s="105"/>
      <c r="M64" s="114">
        <f t="shared" si="21"/>
        <v>699.58584929993856</v>
      </c>
      <c r="N64" s="108">
        <v>7.0991999999999997</v>
      </c>
      <c r="O64" s="109">
        <f t="shared" si="35"/>
        <v>0.71254028775714762</v>
      </c>
      <c r="P64" s="107">
        <f t="shared" si="36"/>
        <v>4.6100000000000003</v>
      </c>
      <c r="Q64" s="105">
        <f>COUNTIFS('Daily KPI'!$D:$D,D64,'Daily KPI'!O:O,"&gt;0")</f>
        <v>0</v>
      </c>
      <c r="R64" s="108">
        <f t="shared" si="37"/>
        <v>0</v>
      </c>
      <c r="S64" s="108">
        <f>SUMIF($F$2:F64,F64,$R$2:R64)</f>
        <v>0</v>
      </c>
      <c r="T64" s="107">
        <f t="shared" si="38"/>
        <v>23.319528309997953</v>
      </c>
      <c r="U64" s="108">
        <f t="shared" si="39"/>
        <v>0</v>
      </c>
      <c r="V64" s="108">
        <f>SUMIF($F$2:F64,F64,$U$2:U64)</f>
        <v>0</v>
      </c>
      <c r="W64" s="109">
        <f t="shared" si="40"/>
        <v>0.13686711360668546</v>
      </c>
      <c r="X64" s="109" t="str">
        <f t="shared" si="27"/>
        <v/>
      </c>
      <c r="Y64" s="109" t="str">
        <f t="shared" si="28"/>
        <v/>
      </c>
      <c r="Z64" s="107" t="str">
        <f>IFERROR(AVERAGEIF('Daily KPI'!D:D,Table14[[#This Row],[Month]],'Daily KPI'!AB:AB),"")</f>
        <v/>
      </c>
      <c r="AA64" s="110">
        <f>IFERROR(AVERAGEIF($F$2:F64,F64,$N$2:N64),"")</f>
        <v>7.0991999999999997</v>
      </c>
      <c r="AB64" s="108"/>
      <c r="AC64" s="107"/>
      <c r="AD64" s="107"/>
      <c r="AE64" s="109">
        <v>0.98040000000000005</v>
      </c>
      <c r="AF64" s="109">
        <v>0.98</v>
      </c>
      <c r="AG64" s="109"/>
      <c r="AH64" s="109"/>
      <c r="AI64" s="109"/>
      <c r="AJ64" s="109"/>
      <c r="AK64" s="109"/>
      <c r="AL64" s="109"/>
      <c r="AM64" s="126"/>
      <c r="AN64" s="126"/>
      <c r="AO64" s="101">
        <v>7</v>
      </c>
    </row>
    <row r="65" spans="1:41" x14ac:dyDescent="0.25">
      <c r="A65" s="101">
        <f t="shared" si="10"/>
        <v>64</v>
      </c>
      <c r="B65" s="102" t="str">
        <f t="shared" ref="B65:C65" si="69">B53</f>
        <v>July</v>
      </c>
      <c r="C65" s="102">
        <f t="shared" si="69"/>
        <v>7</v>
      </c>
      <c r="D65" s="103">
        <v>45108</v>
      </c>
      <c r="E65" s="104">
        <f t="shared" si="32"/>
        <v>2023</v>
      </c>
      <c r="F65" s="104" t="s">
        <v>969</v>
      </c>
      <c r="G65" s="105">
        <f t="shared" si="33"/>
        <v>31</v>
      </c>
      <c r="H65" s="110">
        <f t="shared" ref="H65:I65" si="70">H53</f>
        <v>129.30000000000001</v>
      </c>
      <c r="I65" s="110">
        <f t="shared" si="70"/>
        <v>121</v>
      </c>
      <c r="J65" s="107"/>
      <c r="K65" s="106"/>
      <c r="L65" s="105"/>
      <c r="M65" s="114">
        <f t="shared" si="21"/>
        <v>638.54815775027953</v>
      </c>
      <c r="N65" s="108">
        <v>7.0991999999999997</v>
      </c>
      <c r="O65" s="109">
        <f t="shared" si="35"/>
        <v>0.74335946332944924</v>
      </c>
      <c r="P65" s="107">
        <f t="shared" si="36"/>
        <v>3.903225806451613</v>
      </c>
      <c r="Q65" s="105">
        <f>COUNTIFS('Daily KPI'!$D:$D,D65,'Daily KPI'!O:O,"&gt;0")</f>
        <v>0</v>
      </c>
      <c r="R65" s="108">
        <f t="shared" si="37"/>
        <v>0</v>
      </c>
      <c r="S65" s="108">
        <f>SUMIF($F$2:F65,F65,$R$2:R65)</f>
        <v>0</v>
      </c>
      <c r="T65" s="107">
        <f t="shared" si="38"/>
        <v>20.598327669363854</v>
      </c>
      <c r="U65" s="108">
        <f t="shared" si="39"/>
        <v>0</v>
      </c>
      <c r="V65" s="108">
        <f>SUMIF($F$2:F65,F65,$U$2:U65)</f>
        <v>0</v>
      </c>
      <c r="W65" s="109">
        <f t="shared" si="40"/>
        <v>0.12089582669739699</v>
      </c>
      <c r="X65" s="109" t="str">
        <f t="shared" si="27"/>
        <v/>
      </c>
      <c r="Y65" s="109" t="str">
        <f t="shared" si="28"/>
        <v/>
      </c>
      <c r="Z65" s="107" t="str">
        <f>IFERROR(AVERAGEIF('Daily KPI'!D:D,Table14[[#This Row],[Month]],'Daily KPI'!AB:AB),"")</f>
        <v/>
      </c>
      <c r="AA65" s="110">
        <f>IFERROR(AVERAGEIF($F$2:F65,F65,$N$2:N65),"")</f>
        <v>7.0991999999999997</v>
      </c>
      <c r="AB65" s="108"/>
      <c r="AC65" s="107"/>
      <c r="AD65" s="107"/>
      <c r="AE65" s="109">
        <v>0.98040000000000005</v>
      </c>
      <c r="AF65" s="109">
        <v>0.98</v>
      </c>
      <c r="AG65" s="109"/>
      <c r="AH65" s="109"/>
      <c r="AI65" s="109"/>
      <c r="AJ65" s="109"/>
      <c r="AK65" s="109"/>
      <c r="AL65" s="109"/>
      <c r="AM65" s="126"/>
      <c r="AN65" s="126"/>
      <c r="AO65" s="101">
        <v>7</v>
      </c>
    </row>
    <row r="66" spans="1:41" x14ac:dyDescent="0.25">
      <c r="A66" s="101">
        <f t="shared" si="10"/>
        <v>65</v>
      </c>
      <c r="B66" s="102" t="str">
        <f t="shared" ref="B66:C66" si="71">B54</f>
        <v>August</v>
      </c>
      <c r="C66" s="102">
        <f t="shared" si="71"/>
        <v>8</v>
      </c>
      <c r="D66" s="103">
        <v>45139</v>
      </c>
      <c r="E66" s="104">
        <f t="shared" si="32"/>
        <v>2023</v>
      </c>
      <c r="F66" s="104" t="s">
        <v>969</v>
      </c>
      <c r="G66" s="105">
        <f t="shared" si="33"/>
        <v>31</v>
      </c>
      <c r="H66" s="110">
        <f t="shared" ref="H66:I66" si="72">H54</f>
        <v>132.4</v>
      </c>
      <c r="I66" s="110">
        <f t="shared" si="72"/>
        <v>128.19999999999999</v>
      </c>
      <c r="J66" s="107"/>
      <c r="K66" s="106"/>
      <c r="L66" s="105"/>
      <c r="M66" s="114">
        <f t="shared" si="21"/>
        <v>676.10981408853127</v>
      </c>
      <c r="N66" s="108">
        <v>7.0991999999999997</v>
      </c>
      <c r="O66" s="109">
        <f t="shared" si="35"/>
        <v>0.74288194509109884</v>
      </c>
      <c r="P66" s="107">
        <f t="shared" si="36"/>
        <v>4.1354838709677413</v>
      </c>
      <c r="Q66" s="105">
        <f>COUNTIFS('Daily KPI'!$D:$D,D66,'Daily KPI'!O:O,"&gt;0")</f>
        <v>0</v>
      </c>
      <c r="R66" s="108">
        <f t="shared" si="37"/>
        <v>0</v>
      </c>
      <c r="S66" s="108">
        <f>SUMIF($F$2:F66,F66,$R$2:R66)</f>
        <v>0</v>
      </c>
      <c r="T66" s="107">
        <f t="shared" si="38"/>
        <v>21.809994002855849</v>
      </c>
      <c r="U66" s="108">
        <f t="shared" si="39"/>
        <v>0</v>
      </c>
      <c r="V66" s="108">
        <f>SUMIF($F$2:F66,F66,$U$2:U66)</f>
        <v>0</v>
      </c>
      <c r="W66" s="109">
        <f t="shared" si="40"/>
        <v>0.12800734591489094</v>
      </c>
      <c r="X66" s="109" t="str">
        <f t="shared" ref="X66:X97" si="73">IFERROR(U66/(24*N66*Q66),"")</f>
        <v/>
      </c>
      <c r="Y66" s="109" t="str">
        <f t="shared" ref="Y66:Y97" si="74">IFERROR(V66/(24*N66*SUMIFS($Q:$Q,$F:$F,$F66,$D:$D,"&lt;="&amp;D66)),"")</f>
        <v/>
      </c>
      <c r="Z66" s="107" t="str">
        <f>IFERROR(AVERAGEIF('Daily KPI'!D:D,Table14[[#This Row],[Month]],'Daily KPI'!AB:AB),"")</f>
        <v/>
      </c>
      <c r="AA66" s="110">
        <f>IFERROR(AVERAGEIF($F$2:F66,F66,$N$2:N66),"")</f>
        <v>7.0991999999999988</v>
      </c>
      <c r="AB66" s="108"/>
      <c r="AC66" s="107"/>
      <c r="AD66" s="107"/>
      <c r="AE66" s="109">
        <v>0.98040000000000005</v>
      </c>
      <c r="AF66" s="109">
        <v>0.98</v>
      </c>
      <c r="AG66" s="109"/>
      <c r="AH66" s="109"/>
      <c r="AI66" s="109"/>
      <c r="AJ66" s="109"/>
      <c r="AK66" s="109"/>
      <c r="AL66" s="109"/>
      <c r="AM66" s="126"/>
      <c r="AN66" s="126"/>
      <c r="AO66" s="101">
        <v>7</v>
      </c>
    </row>
    <row r="67" spans="1:41" x14ac:dyDescent="0.25">
      <c r="A67" s="101">
        <f t="shared" ref="A67:A97" si="75">A66+1</f>
        <v>66</v>
      </c>
      <c r="B67" s="102" t="str">
        <f t="shared" ref="B67:C67" si="76">B55</f>
        <v>September</v>
      </c>
      <c r="C67" s="102">
        <f t="shared" si="76"/>
        <v>9</v>
      </c>
      <c r="D67" s="103">
        <v>45170</v>
      </c>
      <c r="E67" s="104">
        <f t="shared" si="32"/>
        <v>2023</v>
      </c>
      <c r="F67" s="104" t="s">
        <v>969</v>
      </c>
      <c r="G67" s="105">
        <f t="shared" si="33"/>
        <v>30</v>
      </c>
      <c r="H67" s="110">
        <f t="shared" ref="H67:I67" si="77">H55</f>
        <v>142.5</v>
      </c>
      <c r="I67" s="110">
        <f t="shared" si="77"/>
        <v>144.9</v>
      </c>
      <c r="J67" s="107"/>
      <c r="K67" s="106"/>
      <c r="L67" s="105"/>
      <c r="M67" s="114">
        <f t="shared" si="21"/>
        <v>732.45229859590881</v>
      </c>
      <c r="N67" s="108">
        <v>7.0991999999999997</v>
      </c>
      <c r="O67" s="109">
        <f t="shared" si="35"/>
        <v>0.71203534028572857</v>
      </c>
      <c r="P67" s="107">
        <f t="shared" si="36"/>
        <v>4.83</v>
      </c>
      <c r="Q67" s="105">
        <f>COUNTIFS('Daily KPI'!$D:$D,D67,'Daily KPI'!O:O,"&gt;0")</f>
        <v>0</v>
      </c>
      <c r="R67" s="108">
        <f t="shared" si="37"/>
        <v>0</v>
      </c>
      <c r="S67" s="108">
        <f>SUMIF($F$2:F67,F67,$R$2:R67)</f>
        <v>0</v>
      </c>
      <c r="T67" s="107">
        <f t="shared" si="38"/>
        <v>24.415076619863626</v>
      </c>
      <c r="U67" s="108">
        <f t="shared" si="39"/>
        <v>0</v>
      </c>
      <c r="V67" s="108">
        <f>SUMIF($F$2:F67,F67,$U$2:U67)</f>
        <v>0</v>
      </c>
      <c r="W67" s="109">
        <f t="shared" si="40"/>
        <v>0.14329711223250288</v>
      </c>
      <c r="X67" s="109" t="str">
        <f t="shared" si="73"/>
        <v/>
      </c>
      <c r="Y67" s="109" t="str">
        <f t="shared" si="74"/>
        <v/>
      </c>
      <c r="Z67" s="107" t="str">
        <f>IFERROR(AVERAGEIF('Daily KPI'!D:D,Table14[[#This Row],[Month]],'Daily KPI'!AB:AB),"")</f>
        <v/>
      </c>
      <c r="AA67" s="110">
        <f>IFERROR(AVERAGEIF($F$2:F67,F67,$N$2:N67),"")</f>
        <v>7.0991999999999988</v>
      </c>
      <c r="AB67" s="108"/>
      <c r="AC67" s="107"/>
      <c r="AD67" s="107"/>
      <c r="AE67" s="109">
        <v>0.98040000000000005</v>
      </c>
      <c r="AF67" s="109">
        <v>0.98</v>
      </c>
      <c r="AG67" s="109"/>
      <c r="AH67" s="109"/>
      <c r="AI67" s="109"/>
      <c r="AJ67" s="109"/>
      <c r="AK67" s="109"/>
      <c r="AL67" s="109"/>
      <c r="AM67" s="126"/>
      <c r="AN67" s="126"/>
      <c r="AO67" s="101">
        <v>7</v>
      </c>
    </row>
    <row r="68" spans="1:41" x14ac:dyDescent="0.25">
      <c r="A68" s="101">
        <f t="shared" si="75"/>
        <v>67</v>
      </c>
      <c r="B68" s="102" t="str">
        <f t="shared" ref="B68:C68" si="78">B56</f>
        <v>October</v>
      </c>
      <c r="C68" s="102">
        <f t="shared" si="78"/>
        <v>10</v>
      </c>
      <c r="D68" s="103">
        <v>45200</v>
      </c>
      <c r="E68" s="104">
        <f t="shared" si="32"/>
        <v>2023</v>
      </c>
      <c r="F68" s="104" t="s">
        <v>969</v>
      </c>
      <c r="G68" s="105">
        <f t="shared" si="33"/>
        <v>31</v>
      </c>
      <c r="H68" s="110">
        <f t="shared" ref="H68:I68" si="79">H56</f>
        <v>148</v>
      </c>
      <c r="I68" s="110">
        <f t="shared" si="79"/>
        <v>161.5</v>
      </c>
      <c r="J68" s="107"/>
      <c r="K68" s="106"/>
      <c r="L68" s="105"/>
      <c r="M68" s="114">
        <f t="shared" si="21"/>
        <v>831.05164648381958</v>
      </c>
      <c r="N68" s="108">
        <v>7.0991999999999997</v>
      </c>
      <c r="O68" s="109">
        <f t="shared" si="35"/>
        <v>0.72484655008772603</v>
      </c>
      <c r="P68" s="107">
        <f t="shared" si="36"/>
        <v>5.209677419354839</v>
      </c>
      <c r="Q68" s="105">
        <f>COUNTIFS('Daily KPI'!$D:$D,D68,'Daily KPI'!O:O,"&gt;0")</f>
        <v>0</v>
      </c>
      <c r="R68" s="108">
        <f t="shared" si="37"/>
        <v>0</v>
      </c>
      <c r="S68" s="108">
        <f>SUMIF($F$2:F68,F68,$R$2:R68)</f>
        <v>0</v>
      </c>
      <c r="T68" s="107">
        <f t="shared" si="38"/>
        <v>26.80811762851031</v>
      </c>
      <c r="U68" s="108">
        <f t="shared" si="39"/>
        <v>0</v>
      </c>
      <c r="V68" s="108">
        <f>SUMIF($F$2:F68,F68,$U$2:U68)</f>
        <v>0</v>
      </c>
      <c r="W68" s="109">
        <f t="shared" si="40"/>
        <v>0.15734236268705343</v>
      </c>
      <c r="X68" s="109" t="str">
        <f t="shared" si="73"/>
        <v/>
      </c>
      <c r="Y68" s="109" t="str">
        <f t="shared" si="74"/>
        <v/>
      </c>
      <c r="Z68" s="107" t="str">
        <f>IFERROR(AVERAGEIF('Daily KPI'!D:D,Table14[[#This Row],[Month]],'Daily KPI'!AB:AB),"")</f>
        <v/>
      </c>
      <c r="AA68" s="110">
        <f>IFERROR(AVERAGEIF($F$2:F68,F68,$N$2:N68),"")</f>
        <v>7.099199999999998</v>
      </c>
      <c r="AB68" s="108"/>
      <c r="AC68" s="107"/>
      <c r="AD68" s="107"/>
      <c r="AE68" s="109">
        <v>0.98040000000000005</v>
      </c>
      <c r="AF68" s="109">
        <v>0.98</v>
      </c>
      <c r="AG68" s="109"/>
      <c r="AH68" s="109"/>
      <c r="AI68" s="109"/>
      <c r="AJ68" s="109"/>
      <c r="AK68" s="109"/>
      <c r="AL68" s="109"/>
      <c r="AM68" s="126"/>
      <c r="AN68" s="126"/>
      <c r="AO68" s="101">
        <v>7</v>
      </c>
    </row>
    <row r="69" spans="1:41" x14ac:dyDescent="0.25">
      <c r="A69" s="101">
        <f t="shared" si="75"/>
        <v>68</v>
      </c>
      <c r="B69" s="102" t="str">
        <f t="shared" ref="B69:C69" si="80">B57</f>
        <v>November</v>
      </c>
      <c r="C69" s="102">
        <f t="shared" si="80"/>
        <v>11</v>
      </c>
      <c r="D69" s="103">
        <v>45231</v>
      </c>
      <c r="E69" s="104">
        <f t="shared" si="32"/>
        <v>2023</v>
      </c>
      <c r="F69" s="104" t="s">
        <v>969</v>
      </c>
      <c r="G69" s="105">
        <f t="shared" si="33"/>
        <v>30</v>
      </c>
      <c r="H69" s="110">
        <f t="shared" ref="H69:I69" si="81">H57</f>
        <v>141.1</v>
      </c>
      <c r="I69" s="110">
        <f t="shared" si="81"/>
        <v>166</v>
      </c>
      <c r="J69" s="107"/>
      <c r="K69" s="106"/>
      <c r="L69" s="105"/>
      <c r="M69" s="114">
        <f t="shared" si="21"/>
        <v>835.74685352610106</v>
      </c>
      <c r="N69" s="108">
        <v>7.0991999999999997</v>
      </c>
      <c r="O69" s="109">
        <f t="shared" si="35"/>
        <v>0.70918125979755831</v>
      </c>
      <c r="P69" s="107">
        <f t="shared" si="36"/>
        <v>5.5333333333333332</v>
      </c>
      <c r="Q69" s="105">
        <f>COUNTIFS('Daily KPI'!$D:$D,D69,'Daily KPI'!O:O,"&gt;0")</f>
        <v>0</v>
      </c>
      <c r="R69" s="108">
        <f t="shared" si="37"/>
        <v>0</v>
      </c>
      <c r="S69" s="108">
        <f>SUMIF($F$2:F69,F69,$R$2:R69)</f>
        <v>0</v>
      </c>
      <c r="T69" s="107">
        <f t="shared" si="38"/>
        <v>27.858228450870037</v>
      </c>
      <c r="U69" s="108">
        <f t="shared" si="39"/>
        <v>0</v>
      </c>
      <c r="V69" s="108">
        <f>SUMIF($F$2:F69,F69,$U$2:U69)</f>
        <v>0</v>
      </c>
      <c r="W69" s="109">
        <f t="shared" si="40"/>
        <v>0.16350567934221483</v>
      </c>
      <c r="X69" s="109" t="str">
        <f t="shared" si="73"/>
        <v/>
      </c>
      <c r="Y69" s="109" t="str">
        <f t="shared" si="74"/>
        <v/>
      </c>
      <c r="Z69" s="107" t="str">
        <f>IFERROR(AVERAGEIF('Daily KPI'!D:D,Table14[[#This Row],[Month]],'Daily KPI'!AB:AB),"")</f>
        <v/>
      </c>
      <c r="AA69" s="110">
        <f>IFERROR(AVERAGEIF($F$2:F69,F69,$N$2:N69),"")</f>
        <v>7.099199999999998</v>
      </c>
      <c r="AB69" s="108"/>
      <c r="AC69" s="107"/>
      <c r="AD69" s="107"/>
      <c r="AE69" s="109">
        <v>0.98040000000000005</v>
      </c>
      <c r="AF69" s="109">
        <v>0.98</v>
      </c>
      <c r="AG69" s="109"/>
      <c r="AH69" s="109"/>
      <c r="AI69" s="109"/>
      <c r="AJ69" s="109"/>
      <c r="AK69" s="109"/>
      <c r="AL69" s="109"/>
      <c r="AM69" s="126"/>
      <c r="AN69" s="126"/>
      <c r="AO69" s="101">
        <v>7</v>
      </c>
    </row>
    <row r="70" spans="1:41" x14ac:dyDescent="0.25">
      <c r="A70" s="101">
        <f t="shared" si="75"/>
        <v>69</v>
      </c>
      <c r="B70" s="102" t="str">
        <f t="shared" ref="B70:C70" si="82">B58</f>
        <v>December</v>
      </c>
      <c r="C70" s="102">
        <f t="shared" si="82"/>
        <v>12</v>
      </c>
      <c r="D70" s="103">
        <v>45261</v>
      </c>
      <c r="E70" s="104">
        <f t="shared" si="32"/>
        <v>2023</v>
      </c>
      <c r="F70" s="104" t="s">
        <v>969</v>
      </c>
      <c r="G70" s="105">
        <f t="shared" si="33"/>
        <v>31</v>
      </c>
      <c r="H70" s="110">
        <f t="shared" ref="H70:I70" si="83">H58</f>
        <v>136.1</v>
      </c>
      <c r="I70" s="110">
        <f t="shared" si="83"/>
        <v>166.7</v>
      </c>
      <c r="J70" s="107"/>
      <c r="K70" s="106"/>
      <c r="L70" s="105"/>
      <c r="M70" s="114">
        <f t="shared" si="21"/>
        <v>868.61330282207132</v>
      </c>
      <c r="N70" s="108">
        <v>7.0991999999999997</v>
      </c>
      <c r="O70" s="109">
        <f t="shared" si="35"/>
        <v>0.73397533375514845</v>
      </c>
      <c r="P70" s="107">
        <f t="shared" si="36"/>
        <v>5.3774193548387093</v>
      </c>
      <c r="Q70" s="105">
        <f>COUNTIFS('Daily KPI'!$D:$D,D70,'Daily KPI'!O:O,"&gt;0")</f>
        <v>0</v>
      </c>
      <c r="R70" s="108">
        <f t="shared" si="37"/>
        <v>0</v>
      </c>
      <c r="S70" s="108">
        <f>SUMIF($F$2:F70,F70,$R$2:R70)</f>
        <v>0</v>
      </c>
      <c r="T70" s="107">
        <f t="shared" si="38"/>
        <v>28.0197839620023</v>
      </c>
      <c r="U70" s="108">
        <f t="shared" si="39"/>
        <v>0</v>
      </c>
      <c r="V70" s="108">
        <f>SUMIF($F$2:F70,F70,$U$2:U70)</f>
        <v>0</v>
      </c>
      <c r="W70" s="109">
        <f t="shared" si="40"/>
        <v>0.16445388190454735</v>
      </c>
      <c r="X70" s="109" t="str">
        <f t="shared" si="73"/>
        <v/>
      </c>
      <c r="Y70" s="109" t="str">
        <f t="shared" si="74"/>
        <v/>
      </c>
      <c r="Z70" s="107" t="str">
        <f>IFERROR(AVERAGEIF('Daily KPI'!D:D,Table14[[#This Row],[Month]],'Daily KPI'!AB:AB),"")</f>
        <v/>
      </c>
      <c r="AA70" s="110">
        <f>IFERROR(AVERAGEIF($F$2:F70,F70,$N$2:N70),"")</f>
        <v>7.099199999999998</v>
      </c>
      <c r="AB70" s="108"/>
      <c r="AC70" s="107"/>
      <c r="AD70" s="107"/>
      <c r="AE70" s="109">
        <v>0.98040000000000005</v>
      </c>
      <c r="AF70" s="109">
        <v>0.98</v>
      </c>
      <c r="AG70" s="109"/>
      <c r="AH70" s="109"/>
      <c r="AI70" s="109"/>
      <c r="AJ70" s="109"/>
      <c r="AK70" s="109"/>
      <c r="AL70" s="109"/>
      <c r="AM70" s="126"/>
      <c r="AN70" s="126"/>
      <c r="AO70" s="101">
        <v>7</v>
      </c>
    </row>
    <row r="71" spans="1:41" x14ac:dyDescent="0.25">
      <c r="A71" s="101">
        <f t="shared" si="75"/>
        <v>70</v>
      </c>
      <c r="B71" s="102" t="str">
        <f t="shared" ref="B71:C71" si="84">B59</f>
        <v>January</v>
      </c>
      <c r="C71" s="102">
        <f t="shared" si="84"/>
        <v>1</v>
      </c>
      <c r="D71" s="103">
        <v>45292</v>
      </c>
      <c r="E71" s="104">
        <f t="shared" si="32"/>
        <v>2024</v>
      </c>
      <c r="F71" s="104" t="s">
        <v>969</v>
      </c>
      <c r="G71" s="105">
        <f t="shared" si="33"/>
        <v>31</v>
      </c>
      <c r="H71" s="110">
        <f t="shared" ref="H71:I71" si="85">H59</f>
        <v>151.6</v>
      </c>
      <c r="I71" s="110">
        <f t="shared" si="85"/>
        <v>184.7</v>
      </c>
      <c r="J71" s="107"/>
      <c r="K71" s="106"/>
      <c r="L71" s="105"/>
      <c r="M71" s="114">
        <f t="shared" si="21"/>
        <v>962.51744366770072</v>
      </c>
      <c r="N71" s="108">
        <v>7.0991999999999997</v>
      </c>
      <c r="O71" s="109">
        <f t="shared" si="35"/>
        <v>0.73406125544949641</v>
      </c>
      <c r="P71" s="107">
        <f t="shared" si="36"/>
        <v>5.9580645161290322</v>
      </c>
      <c r="Q71" s="105">
        <f>COUNTIFS('Daily KPI'!$D:$D,D71,'Daily KPI'!O:O,"&gt;0")</f>
        <v>0</v>
      </c>
      <c r="R71" s="108">
        <f t="shared" si="37"/>
        <v>0</v>
      </c>
      <c r="S71" s="108">
        <f>SUMIF($F$2:F71,F71,$R$2:R71)</f>
        <v>0</v>
      </c>
      <c r="T71" s="107">
        <f t="shared" si="38"/>
        <v>31.04894979573228</v>
      </c>
      <c r="U71" s="108">
        <f t="shared" si="39"/>
        <v>0</v>
      </c>
      <c r="V71" s="108">
        <f>SUMIF($F$2:F71,F71,$U$2:U71)</f>
        <v>0</v>
      </c>
      <c r="W71" s="109">
        <f t="shared" si="40"/>
        <v>0.18223267994828221</v>
      </c>
      <c r="X71" s="109" t="str">
        <f t="shared" si="73"/>
        <v/>
      </c>
      <c r="Y71" s="109" t="str">
        <f t="shared" si="74"/>
        <v/>
      </c>
      <c r="Z71" s="107" t="str">
        <f>IFERROR(AVERAGEIF('Daily KPI'!D:D,Table14[[#This Row],[Month]],'Daily KPI'!AB:AB),"")</f>
        <v/>
      </c>
      <c r="AA71" s="110">
        <f>IFERROR(AVERAGEIF($F$2:F71,F71,$N$2:N71),"")</f>
        <v>7.099199999999998</v>
      </c>
      <c r="AB71" s="108"/>
      <c r="AC71" s="107"/>
      <c r="AD71" s="107"/>
      <c r="AE71" s="109">
        <v>0.98040000000000005</v>
      </c>
      <c r="AF71" s="109">
        <v>0.98</v>
      </c>
      <c r="AG71" s="109"/>
      <c r="AH71" s="109"/>
      <c r="AI71" s="109"/>
      <c r="AJ71" s="109"/>
      <c r="AK71" s="109"/>
      <c r="AL71" s="109"/>
      <c r="AM71" s="126"/>
      <c r="AN71" s="126"/>
      <c r="AO71" s="101">
        <v>7</v>
      </c>
    </row>
    <row r="72" spans="1:41" x14ac:dyDescent="0.25">
      <c r="A72" s="101">
        <f t="shared" si="75"/>
        <v>71</v>
      </c>
      <c r="B72" s="102" t="str">
        <f t="shared" ref="B72:C72" si="86">B60</f>
        <v>February</v>
      </c>
      <c r="C72" s="102">
        <f t="shared" si="86"/>
        <v>2</v>
      </c>
      <c r="D72" s="103">
        <v>45323</v>
      </c>
      <c r="E72" s="104">
        <f t="shared" si="32"/>
        <v>2024</v>
      </c>
      <c r="F72" s="104" t="s">
        <v>969</v>
      </c>
      <c r="G72" s="105">
        <f t="shared" si="33"/>
        <v>29</v>
      </c>
      <c r="H72" s="110">
        <f t="shared" ref="H72:I72" si="87">H60</f>
        <v>159.30000000000001</v>
      </c>
      <c r="I72" s="110">
        <f t="shared" si="87"/>
        <v>183.3</v>
      </c>
      <c r="J72" s="107"/>
      <c r="K72" s="106"/>
      <c r="L72" s="105"/>
      <c r="M72" s="114">
        <f t="shared" si="21"/>
        <v>919.08413099119707</v>
      </c>
      <c r="N72" s="108">
        <v>7.0991999999999997</v>
      </c>
      <c r="O72" s="109">
        <f t="shared" si="35"/>
        <v>0.70629054304605654</v>
      </c>
      <c r="P72" s="107">
        <f t="shared" si="36"/>
        <v>6.3206896551724139</v>
      </c>
      <c r="Q72" s="105">
        <f>COUNTIFS('Daily KPI'!$D:$D,D72,'Daily KPI'!O:O,"&gt;0")</f>
        <v>0</v>
      </c>
      <c r="R72" s="108">
        <f t="shared" si="37"/>
        <v>0</v>
      </c>
      <c r="S72" s="108">
        <f>SUMIF($F$2:F72,F72,$R$2:R72)</f>
        <v>0</v>
      </c>
      <c r="T72" s="107">
        <f t="shared" si="38"/>
        <v>31.69255624107576</v>
      </c>
      <c r="U72" s="108">
        <f t="shared" si="39"/>
        <v>0</v>
      </c>
      <c r="V72" s="108">
        <f>SUMIF($F$2:F72,F72,$U$2:U72)</f>
        <v>0</v>
      </c>
      <c r="W72" s="109">
        <f t="shared" si="40"/>
        <v>0.18601013870738817</v>
      </c>
      <c r="X72" s="109" t="str">
        <f t="shared" si="73"/>
        <v/>
      </c>
      <c r="Y72" s="109" t="str">
        <f t="shared" si="74"/>
        <v/>
      </c>
      <c r="Z72" s="107" t="str">
        <f>IFERROR(AVERAGEIF('Daily KPI'!D:D,Table14[[#This Row],[Month]],'Daily KPI'!AB:AB),"")</f>
        <v/>
      </c>
      <c r="AA72" s="110">
        <f>IFERROR(AVERAGEIF($F$2:F72,F72,$N$2:N72),"")</f>
        <v>7.0991999999999971</v>
      </c>
      <c r="AB72" s="108"/>
      <c r="AC72" s="107"/>
      <c r="AD72" s="107"/>
      <c r="AE72" s="109">
        <v>0.98040000000000005</v>
      </c>
      <c r="AF72" s="109">
        <v>0.98</v>
      </c>
      <c r="AG72" s="109"/>
      <c r="AH72" s="109"/>
      <c r="AI72" s="109"/>
      <c r="AJ72" s="109"/>
      <c r="AK72" s="109"/>
      <c r="AL72" s="109"/>
      <c r="AM72" s="126"/>
      <c r="AN72" s="126"/>
      <c r="AO72" s="101">
        <v>7</v>
      </c>
    </row>
    <row r="73" spans="1:41" x14ac:dyDescent="0.25">
      <c r="A73" s="101">
        <f t="shared" si="75"/>
        <v>72</v>
      </c>
      <c r="B73" s="102" t="str">
        <f t="shared" ref="B73:C73" si="88">B61</f>
        <v>March</v>
      </c>
      <c r="C73" s="102">
        <f t="shared" si="88"/>
        <v>3</v>
      </c>
      <c r="D73" s="103">
        <v>45352</v>
      </c>
      <c r="E73" s="104">
        <f t="shared" si="32"/>
        <v>2024</v>
      </c>
      <c r="F73" s="104" t="s">
        <v>969</v>
      </c>
      <c r="G73" s="105">
        <f t="shared" si="33"/>
        <v>31</v>
      </c>
      <c r="H73" s="110">
        <f t="shared" ref="H73:I73" si="89">H61</f>
        <v>197.2</v>
      </c>
      <c r="I73" s="110">
        <f t="shared" si="89"/>
        <v>210.4</v>
      </c>
      <c r="J73" s="107"/>
      <c r="K73" s="106"/>
      <c r="L73" s="105"/>
      <c r="M73" s="114">
        <f t="shared" si="21"/>
        <v>1065.8119985978929</v>
      </c>
      <c r="N73" s="108">
        <v>7.0991999999999997</v>
      </c>
      <c r="O73" s="109">
        <f t="shared" si="35"/>
        <v>0.7135517214853353</v>
      </c>
      <c r="P73" s="107">
        <f t="shared" si="36"/>
        <v>6.7870967741935484</v>
      </c>
      <c r="Q73" s="105">
        <f>COUNTIFS('Daily KPI'!$D:$D,D73,'Daily KPI'!O:O,"&gt;0")</f>
        <v>0</v>
      </c>
      <c r="R73" s="108">
        <f t="shared" si="37"/>
        <v>0</v>
      </c>
      <c r="S73" s="108">
        <f>SUMIF($F$2:F73,F73,$R$2:R73)</f>
        <v>0</v>
      </c>
      <c r="T73" s="107">
        <f t="shared" si="38"/>
        <v>34.381032212835251</v>
      </c>
      <c r="U73" s="108">
        <f t="shared" si="39"/>
        <v>0</v>
      </c>
      <c r="V73" s="108">
        <f>SUMIF($F$2:F73,F73,$U$2:U73)</f>
        <v>0</v>
      </c>
      <c r="W73" s="109">
        <f t="shared" si="40"/>
        <v>0.20178935779639051</v>
      </c>
      <c r="X73" s="109" t="str">
        <f t="shared" si="73"/>
        <v/>
      </c>
      <c r="Y73" s="109" t="str">
        <f t="shared" si="74"/>
        <v/>
      </c>
      <c r="Z73" s="107" t="str">
        <f>IFERROR(AVERAGEIF('Daily KPI'!D:D,Table14[[#This Row],[Month]],'Daily KPI'!AB:AB),"")</f>
        <v/>
      </c>
      <c r="AA73" s="110">
        <f>IFERROR(AVERAGEIF($F$2:F73,F73,$N$2:N73),"")</f>
        <v>7.0991999999999971</v>
      </c>
      <c r="AB73" s="108"/>
      <c r="AC73" s="107"/>
      <c r="AD73" s="107"/>
      <c r="AE73" s="109">
        <v>0.98040000000000005</v>
      </c>
      <c r="AF73" s="109">
        <v>0.98</v>
      </c>
      <c r="AG73" s="109"/>
      <c r="AH73" s="109"/>
      <c r="AI73" s="109"/>
      <c r="AJ73" s="109"/>
      <c r="AK73" s="109"/>
      <c r="AL73" s="109"/>
      <c r="AM73" s="126"/>
      <c r="AN73" s="126"/>
      <c r="AO73" s="101">
        <v>7</v>
      </c>
    </row>
    <row r="74" spans="1:41" x14ac:dyDescent="0.25">
      <c r="A74" s="101">
        <f t="shared" si="75"/>
        <v>73</v>
      </c>
      <c r="B74" s="102" t="str">
        <f t="shared" ref="B74:C74" si="90">B62</f>
        <v>April</v>
      </c>
      <c r="C74" s="102">
        <f t="shared" si="90"/>
        <v>4</v>
      </c>
      <c r="D74" s="103">
        <v>45383</v>
      </c>
      <c r="E74" s="104">
        <f t="shared" si="32"/>
        <v>2024</v>
      </c>
      <c r="F74" s="104" t="s">
        <v>970</v>
      </c>
      <c r="G74" s="105">
        <f t="shared" si="33"/>
        <v>30</v>
      </c>
      <c r="H74" s="110">
        <f t="shared" ref="H74:I74" si="91">H62</f>
        <v>192.9</v>
      </c>
      <c r="I74" s="110">
        <f t="shared" si="91"/>
        <v>191.2</v>
      </c>
      <c r="J74" s="107"/>
      <c r="K74" s="106"/>
      <c r="L74" s="105"/>
      <c r="M74" s="114">
        <f t="shared" si="21"/>
        <v>934.34620141401194</v>
      </c>
      <c r="N74" s="108">
        <v>7.0991999999999997</v>
      </c>
      <c r="O74" s="109">
        <f t="shared" si="35"/>
        <v>0.68835191505313997</v>
      </c>
      <c r="P74" s="107">
        <f t="shared" si="36"/>
        <v>6.3733333333333331</v>
      </c>
      <c r="Q74" s="105">
        <f>COUNTIFS('Daily KPI'!$D:$D,D74,'Daily KPI'!O:O,"&gt;0")</f>
        <v>0</v>
      </c>
      <c r="R74" s="108">
        <f t="shared" si="37"/>
        <v>0</v>
      </c>
      <c r="S74" s="108">
        <f>SUMIF($F$2:F74,F74,$R$2:R74)</f>
        <v>0</v>
      </c>
      <c r="T74" s="107">
        <f t="shared" si="38"/>
        <v>31.144873380467065</v>
      </c>
      <c r="U74" s="108">
        <f t="shared" si="39"/>
        <v>0</v>
      </c>
      <c r="V74" s="108">
        <f>SUMIF($F$2:F74,F74,$U$2:U74)</f>
        <v>0</v>
      </c>
      <c r="W74" s="109">
        <f t="shared" si="40"/>
        <v>0.18279567521966716</v>
      </c>
      <c r="X74" s="109" t="str">
        <f t="shared" si="73"/>
        <v/>
      </c>
      <c r="Y74" s="109" t="str">
        <f t="shared" si="74"/>
        <v/>
      </c>
      <c r="Z74" s="107" t="str">
        <f>IFERROR(AVERAGEIF('Daily KPI'!D:D,Table14[[#This Row],[Month]],'Daily KPI'!AB:AB),"")</f>
        <v/>
      </c>
      <c r="AA74" s="110">
        <f>IFERROR(AVERAGEIF($F$2:F74,F74,$N$2:N74),"")</f>
        <v>7.0991999999999997</v>
      </c>
      <c r="AB74" s="108"/>
      <c r="AC74" s="107"/>
      <c r="AD74" s="107"/>
      <c r="AE74" s="109">
        <v>0.98040000000000005</v>
      </c>
      <c r="AF74" s="109">
        <v>0.98</v>
      </c>
      <c r="AG74" s="109"/>
      <c r="AH74" s="109"/>
      <c r="AI74" s="109"/>
      <c r="AJ74" s="109"/>
      <c r="AK74" s="109"/>
      <c r="AL74" s="109"/>
      <c r="AM74" s="126"/>
      <c r="AN74" s="126"/>
      <c r="AO74" s="101">
        <v>7</v>
      </c>
    </row>
    <row r="75" spans="1:41" x14ac:dyDescent="0.25">
      <c r="A75" s="101">
        <f t="shared" si="75"/>
        <v>74</v>
      </c>
      <c r="B75" s="102" t="str">
        <f t="shared" ref="B75:C75" si="92">B63</f>
        <v>May</v>
      </c>
      <c r="C75" s="102">
        <f t="shared" si="92"/>
        <v>5</v>
      </c>
      <c r="D75" s="103">
        <v>45413</v>
      </c>
      <c r="E75" s="104">
        <f t="shared" si="32"/>
        <v>2024</v>
      </c>
      <c r="F75" s="104" t="s">
        <v>970</v>
      </c>
      <c r="G75" s="105">
        <f t="shared" si="33"/>
        <v>31</v>
      </c>
      <c r="H75" s="110">
        <f t="shared" ref="H75:I75" si="93">H63</f>
        <v>199.3</v>
      </c>
      <c r="I75" s="110">
        <f t="shared" si="93"/>
        <v>187.1</v>
      </c>
      <c r="J75" s="107"/>
      <c r="K75" s="106"/>
      <c r="L75" s="105"/>
      <c r="M75" s="114">
        <f t="shared" si="21"/>
        <v>939.04140845629331</v>
      </c>
      <c r="N75" s="108">
        <v>7.0991999999999997</v>
      </c>
      <c r="O75" s="109">
        <f t="shared" si="35"/>
        <v>0.70697091098550124</v>
      </c>
      <c r="P75" s="107">
        <f t="shared" si="36"/>
        <v>6.0354838709677416</v>
      </c>
      <c r="Q75" s="105">
        <f>COUNTIFS('Daily KPI'!$D:$D,D75,'Daily KPI'!O:O,"&gt;0")</f>
        <v>0</v>
      </c>
      <c r="R75" s="108">
        <f t="shared" si="37"/>
        <v>0</v>
      </c>
      <c r="S75" s="108">
        <f>SUMIF($F$2:F75,F75,$R$2:R75)</f>
        <v>0</v>
      </c>
      <c r="T75" s="107">
        <f t="shared" si="38"/>
        <v>30.291658337299783</v>
      </c>
      <c r="U75" s="108">
        <f t="shared" si="39"/>
        <v>0</v>
      </c>
      <c r="V75" s="108">
        <f>SUMIF($F$2:F75,F75,$U$2:U75)</f>
        <v>0</v>
      </c>
      <c r="W75" s="109">
        <f t="shared" si="40"/>
        <v>0.17778798043734848</v>
      </c>
      <c r="X75" s="109" t="str">
        <f t="shared" si="73"/>
        <v/>
      </c>
      <c r="Y75" s="109" t="str">
        <f t="shared" si="74"/>
        <v/>
      </c>
      <c r="Z75" s="107" t="str">
        <f>IFERROR(AVERAGEIF('Daily KPI'!D:D,Table14[[#This Row],[Month]],'Daily KPI'!AB:AB),"")</f>
        <v/>
      </c>
      <c r="AA75" s="110">
        <f>IFERROR(AVERAGEIF($F$2:F75,F75,$N$2:N75),"")</f>
        <v>7.0991999999999997</v>
      </c>
      <c r="AB75" s="108"/>
      <c r="AC75" s="107"/>
      <c r="AD75" s="107"/>
      <c r="AE75" s="109">
        <v>0.98040000000000005</v>
      </c>
      <c r="AF75" s="109">
        <v>0.98</v>
      </c>
      <c r="AG75" s="109"/>
      <c r="AH75" s="109"/>
      <c r="AI75" s="109"/>
      <c r="AJ75" s="109"/>
      <c r="AK75" s="109"/>
      <c r="AL75" s="109"/>
      <c r="AM75" s="126"/>
      <c r="AN75" s="126"/>
      <c r="AO75" s="101">
        <v>7</v>
      </c>
    </row>
    <row r="76" spans="1:41" x14ac:dyDescent="0.25">
      <c r="A76" s="101">
        <f t="shared" si="75"/>
        <v>75</v>
      </c>
      <c r="B76" s="102" t="str">
        <f t="shared" ref="B76:C76" si="94">B64</f>
        <v>June</v>
      </c>
      <c r="C76" s="102">
        <f t="shared" si="94"/>
        <v>6</v>
      </c>
      <c r="D76" s="103">
        <v>45444</v>
      </c>
      <c r="E76" s="104">
        <f t="shared" si="32"/>
        <v>2024</v>
      </c>
      <c r="F76" s="104" t="s">
        <v>970</v>
      </c>
      <c r="G76" s="105">
        <f t="shared" si="33"/>
        <v>30</v>
      </c>
      <c r="H76" s="110">
        <f t="shared" ref="H76:I76" si="95">H64</f>
        <v>149.6</v>
      </c>
      <c r="I76" s="110">
        <f t="shared" si="95"/>
        <v>138.30000000000001</v>
      </c>
      <c r="J76" s="107"/>
      <c r="K76" s="106"/>
      <c r="L76" s="105"/>
      <c r="M76" s="114">
        <f t="shared" si="21"/>
        <v>699.58584929993856</v>
      </c>
      <c r="N76" s="108">
        <v>7.0991999999999997</v>
      </c>
      <c r="O76" s="109">
        <f t="shared" si="35"/>
        <v>0.71254028775714762</v>
      </c>
      <c r="P76" s="107">
        <f t="shared" si="36"/>
        <v>4.6100000000000003</v>
      </c>
      <c r="Q76" s="105">
        <f>COUNTIFS('Daily KPI'!$D:$D,D76,'Daily KPI'!O:O,"&gt;0")</f>
        <v>0</v>
      </c>
      <c r="R76" s="108">
        <f t="shared" si="37"/>
        <v>0</v>
      </c>
      <c r="S76" s="108">
        <f>SUMIF($F$2:F76,F76,$R$2:R76)</f>
        <v>0</v>
      </c>
      <c r="T76" s="107">
        <f t="shared" si="38"/>
        <v>23.319528309997953</v>
      </c>
      <c r="U76" s="108">
        <f t="shared" si="39"/>
        <v>0</v>
      </c>
      <c r="V76" s="108">
        <f>SUMIF($F$2:F76,F76,$U$2:U76)</f>
        <v>0</v>
      </c>
      <c r="W76" s="109">
        <f t="shared" si="40"/>
        <v>0.13686711360668546</v>
      </c>
      <c r="X76" s="109" t="str">
        <f t="shared" si="73"/>
        <v/>
      </c>
      <c r="Y76" s="109" t="str">
        <f t="shared" si="74"/>
        <v/>
      </c>
      <c r="Z76" s="107" t="str">
        <f>IFERROR(AVERAGEIF('Daily KPI'!D:D,Table14[[#This Row],[Month]],'Daily KPI'!AB:AB),"")</f>
        <v/>
      </c>
      <c r="AA76" s="110">
        <f>IFERROR(AVERAGEIF($F$2:F76,F76,$N$2:N76),"")</f>
        <v>7.0991999999999997</v>
      </c>
      <c r="AB76" s="108"/>
      <c r="AC76" s="107"/>
      <c r="AD76" s="107"/>
      <c r="AE76" s="109">
        <v>0.98040000000000005</v>
      </c>
      <c r="AF76" s="109">
        <v>0.98</v>
      </c>
      <c r="AG76" s="109"/>
      <c r="AH76" s="109"/>
      <c r="AI76" s="109"/>
      <c r="AJ76" s="109"/>
      <c r="AK76" s="109"/>
      <c r="AL76" s="109"/>
      <c r="AM76" s="126"/>
      <c r="AN76" s="126"/>
      <c r="AO76" s="101">
        <v>7</v>
      </c>
    </row>
    <row r="77" spans="1:41" x14ac:dyDescent="0.25">
      <c r="A77" s="101">
        <f t="shared" si="75"/>
        <v>76</v>
      </c>
      <c r="B77" s="102" t="str">
        <f t="shared" ref="B77:C77" si="96">B65</f>
        <v>July</v>
      </c>
      <c r="C77" s="102">
        <f t="shared" si="96"/>
        <v>7</v>
      </c>
      <c r="D77" s="103">
        <v>45474</v>
      </c>
      <c r="E77" s="104">
        <f t="shared" si="32"/>
        <v>2024</v>
      </c>
      <c r="F77" s="104" t="s">
        <v>970</v>
      </c>
      <c r="G77" s="105">
        <f t="shared" si="33"/>
        <v>31</v>
      </c>
      <c r="H77" s="110">
        <f t="shared" ref="H77:I77" si="97">H65</f>
        <v>129.30000000000001</v>
      </c>
      <c r="I77" s="110">
        <f t="shared" si="97"/>
        <v>121</v>
      </c>
      <c r="J77" s="107"/>
      <c r="K77" s="106"/>
      <c r="L77" s="105"/>
      <c r="M77" s="114">
        <f t="shared" si="21"/>
        <v>638.54815775027953</v>
      </c>
      <c r="N77" s="108">
        <v>7.0991999999999997</v>
      </c>
      <c r="O77" s="109">
        <f t="shared" si="35"/>
        <v>0.74335946332944924</v>
      </c>
      <c r="P77" s="107">
        <f t="shared" si="36"/>
        <v>3.903225806451613</v>
      </c>
      <c r="Q77" s="105">
        <f>COUNTIFS('Daily KPI'!$D:$D,D77,'Daily KPI'!O:O,"&gt;0")</f>
        <v>0</v>
      </c>
      <c r="R77" s="108">
        <f t="shared" si="37"/>
        <v>0</v>
      </c>
      <c r="S77" s="108">
        <f>SUMIF($F$2:F77,F77,$R$2:R77)</f>
        <v>0</v>
      </c>
      <c r="T77" s="107">
        <f t="shared" si="38"/>
        <v>20.598327669363854</v>
      </c>
      <c r="U77" s="108">
        <f t="shared" si="39"/>
        <v>0</v>
      </c>
      <c r="V77" s="108">
        <f>SUMIF($F$2:F77,F77,$U$2:U77)</f>
        <v>0</v>
      </c>
      <c r="W77" s="109">
        <f t="shared" si="40"/>
        <v>0.12089582669739699</v>
      </c>
      <c r="X77" s="109" t="str">
        <f t="shared" si="73"/>
        <v/>
      </c>
      <c r="Y77" s="109" t="str">
        <f t="shared" si="74"/>
        <v/>
      </c>
      <c r="Z77" s="107" t="str">
        <f>IFERROR(AVERAGEIF('Daily KPI'!D:D,Table14[[#This Row],[Month]],'Daily KPI'!AB:AB),"")</f>
        <v/>
      </c>
      <c r="AA77" s="110">
        <f>IFERROR(AVERAGEIF($F$2:F77,F77,$N$2:N77),"")</f>
        <v>7.0991999999999997</v>
      </c>
      <c r="AB77" s="108"/>
      <c r="AC77" s="107"/>
      <c r="AD77" s="107"/>
      <c r="AE77" s="109">
        <v>0.98040000000000005</v>
      </c>
      <c r="AF77" s="109">
        <v>0.98</v>
      </c>
      <c r="AG77" s="109"/>
      <c r="AH77" s="109"/>
      <c r="AI77" s="109"/>
      <c r="AJ77" s="109"/>
      <c r="AK77" s="109"/>
      <c r="AL77" s="109"/>
      <c r="AM77" s="126"/>
      <c r="AN77" s="126"/>
      <c r="AO77" s="101">
        <v>7</v>
      </c>
    </row>
    <row r="78" spans="1:41" x14ac:dyDescent="0.25">
      <c r="A78" s="101">
        <f t="shared" si="75"/>
        <v>77</v>
      </c>
      <c r="B78" s="102" t="str">
        <f t="shared" ref="B78:C78" si="98">B66</f>
        <v>August</v>
      </c>
      <c r="C78" s="102">
        <f t="shared" si="98"/>
        <v>8</v>
      </c>
      <c r="D78" s="103">
        <v>45505</v>
      </c>
      <c r="E78" s="104">
        <f t="shared" si="32"/>
        <v>2024</v>
      </c>
      <c r="F78" s="104" t="s">
        <v>970</v>
      </c>
      <c r="G78" s="105">
        <f t="shared" si="33"/>
        <v>31</v>
      </c>
      <c r="H78" s="110">
        <f t="shared" ref="H78:I78" si="99">H66</f>
        <v>132.4</v>
      </c>
      <c r="I78" s="110">
        <f t="shared" si="99"/>
        <v>128.19999999999999</v>
      </c>
      <c r="J78" s="107"/>
      <c r="K78" s="106"/>
      <c r="L78" s="105"/>
      <c r="M78" s="114">
        <f t="shared" si="21"/>
        <v>676.10981408853127</v>
      </c>
      <c r="N78" s="108">
        <v>7.0991999999999997</v>
      </c>
      <c r="O78" s="109">
        <f t="shared" si="35"/>
        <v>0.74288194509109884</v>
      </c>
      <c r="P78" s="107">
        <f t="shared" si="36"/>
        <v>4.1354838709677413</v>
      </c>
      <c r="Q78" s="105">
        <f>COUNTIFS('Daily KPI'!$D:$D,D78,'Daily KPI'!O:O,"&gt;0")</f>
        <v>0</v>
      </c>
      <c r="R78" s="108">
        <f t="shared" si="37"/>
        <v>0</v>
      </c>
      <c r="S78" s="108">
        <f>SUMIF($F$2:F78,F78,$R$2:R78)</f>
        <v>0</v>
      </c>
      <c r="T78" s="107">
        <f t="shared" si="38"/>
        <v>21.809994002855849</v>
      </c>
      <c r="U78" s="108">
        <f t="shared" si="39"/>
        <v>0</v>
      </c>
      <c r="V78" s="108">
        <f>SUMIF($F$2:F78,F78,$U$2:U78)</f>
        <v>0</v>
      </c>
      <c r="W78" s="109">
        <f t="shared" si="40"/>
        <v>0.12800734591489094</v>
      </c>
      <c r="X78" s="109" t="str">
        <f t="shared" si="73"/>
        <v/>
      </c>
      <c r="Y78" s="109" t="str">
        <f t="shared" si="74"/>
        <v/>
      </c>
      <c r="Z78" s="107" t="str">
        <f>IFERROR(AVERAGEIF('Daily KPI'!D:D,Table14[[#This Row],[Month]],'Daily KPI'!AB:AB),"")</f>
        <v/>
      </c>
      <c r="AA78" s="110">
        <f>IFERROR(AVERAGEIF($F$2:F78,F78,$N$2:N78),"")</f>
        <v>7.0991999999999988</v>
      </c>
      <c r="AB78" s="108"/>
      <c r="AC78" s="107"/>
      <c r="AD78" s="107"/>
      <c r="AE78" s="109">
        <v>0.98040000000000005</v>
      </c>
      <c r="AF78" s="109">
        <v>0.98</v>
      </c>
      <c r="AG78" s="109"/>
      <c r="AH78" s="109"/>
      <c r="AI78" s="109"/>
      <c r="AJ78" s="109"/>
      <c r="AK78" s="109"/>
      <c r="AL78" s="109"/>
      <c r="AM78" s="126"/>
      <c r="AN78" s="126"/>
      <c r="AO78" s="101">
        <v>7</v>
      </c>
    </row>
    <row r="79" spans="1:41" x14ac:dyDescent="0.25">
      <c r="A79" s="101">
        <f t="shared" si="75"/>
        <v>78</v>
      </c>
      <c r="B79" s="102" t="str">
        <f t="shared" ref="B79:C79" si="100">B67</f>
        <v>September</v>
      </c>
      <c r="C79" s="102">
        <f t="shared" si="100"/>
        <v>9</v>
      </c>
      <c r="D79" s="103">
        <v>45536</v>
      </c>
      <c r="E79" s="104">
        <f t="shared" si="32"/>
        <v>2024</v>
      </c>
      <c r="F79" s="104" t="s">
        <v>970</v>
      </c>
      <c r="G79" s="105">
        <f t="shared" si="33"/>
        <v>30</v>
      </c>
      <c r="H79" s="110">
        <f t="shared" ref="H79:I79" si="101">H67</f>
        <v>142.5</v>
      </c>
      <c r="I79" s="110">
        <f t="shared" si="101"/>
        <v>144.9</v>
      </c>
      <c r="J79" s="107"/>
      <c r="K79" s="106"/>
      <c r="L79" s="105"/>
      <c r="M79" s="114">
        <f t="shared" ref="M79:M85" si="102">M67</f>
        <v>732.45229859590881</v>
      </c>
      <c r="N79" s="108">
        <v>7.0991999999999997</v>
      </c>
      <c r="O79" s="109">
        <f t="shared" si="35"/>
        <v>0.71203534028572857</v>
      </c>
      <c r="P79" s="107">
        <f t="shared" si="36"/>
        <v>4.83</v>
      </c>
      <c r="Q79" s="105">
        <f>COUNTIFS('Daily KPI'!$D:$D,D79,'Daily KPI'!O:O,"&gt;0")</f>
        <v>0</v>
      </c>
      <c r="R79" s="108">
        <f t="shared" si="37"/>
        <v>0</v>
      </c>
      <c r="S79" s="108">
        <f>SUMIF($F$2:F79,F79,$R$2:R79)</f>
        <v>0</v>
      </c>
      <c r="T79" s="107">
        <f t="shared" si="38"/>
        <v>24.415076619863626</v>
      </c>
      <c r="U79" s="108">
        <f t="shared" si="39"/>
        <v>0</v>
      </c>
      <c r="V79" s="108">
        <f>SUMIF($F$2:F79,F79,$U$2:U79)</f>
        <v>0</v>
      </c>
      <c r="W79" s="109">
        <f t="shared" si="40"/>
        <v>0.14329711223250288</v>
      </c>
      <c r="X79" s="109" t="str">
        <f t="shared" si="73"/>
        <v/>
      </c>
      <c r="Y79" s="109" t="str">
        <f t="shared" si="74"/>
        <v/>
      </c>
      <c r="Z79" s="107" t="str">
        <f>IFERROR(AVERAGEIF('Daily KPI'!D:D,Table14[[#This Row],[Month]],'Daily KPI'!AB:AB),"")</f>
        <v/>
      </c>
      <c r="AA79" s="110">
        <f>IFERROR(AVERAGEIF($F$2:F79,F79,$N$2:N79),"")</f>
        <v>7.0991999999999988</v>
      </c>
      <c r="AB79" s="108"/>
      <c r="AC79" s="107"/>
      <c r="AD79" s="107"/>
      <c r="AE79" s="109">
        <v>0.98040000000000005</v>
      </c>
      <c r="AF79" s="109">
        <v>0.98</v>
      </c>
      <c r="AG79" s="109"/>
      <c r="AH79" s="109"/>
      <c r="AI79" s="109"/>
      <c r="AJ79" s="109"/>
      <c r="AK79" s="109"/>
      <c r="AL79" s="109"/>
      <c r="AM79" s="126"/>
      <c r="AN79" s="126"/>
      <c r="AO79" s="101">
        <v>7</v>
      </c>
    </row>
    <row r="80" spans="1:41" x14ac:dyDescent="0.25">
      <c r="A80" s="101">
        <f t="shared" si="75"/>
        <v>79</v>
      </c>
      <c r="B80" s="102" t="str">
        <f t="shared" ref="B80:C80" si="103">B68</f>
        <v>October</v>
      </c>
      <c r="C80" s="102">
        <f t="shared" si="103"/>
        <v>10</v>
      </c>
      <c r="D80" s="103">
        <v>45566</v>
      </c>
      <c r="E80" s="104">
        <f t="shared" si="32"/>
        <v>2024</v>
      </c>
      <c r="F80" s="104" t="s">
        <v>970</v>
      </c>
      <c r="G80" s="105">
        <f t="shared" si="33"/>
        <v>31</v>
      </c>
      <c r="H80" s="110">
        <f t="shared" ref="H80:I80" si="104">H68</f>
        <v>148</v>
      </c>
      <c r="I80" s="110">
        <f t="shared" si="104"/>
        <v>161.5</v>
      </c>
      <c r="J80" s="107"/>
      <c r="K80" s="106"/>
      <c r="L80" s="105"/>
      <c r="M80" s="114">
        <f t="shared" si="102"/>
        <v>831.05164648381958</v>
      </c>
      <c r="N80" s="108">
        <v>7.0991999999999997</v>
      </c>
      <c r="O80" s="109">
        <f t="shared" si="35"/>
        <v>0.72484655008772603</v>
      </c>
      <c r="P80" s="107">
        <f t="shared" si="36"/>
        <v>5.209677419354839</v>
      </c>
      <c r="Q80" s="105">
        <f>COUNTIFS('Daily KPI'!$D:$D,D80,'Daily KPI'!O:O,"&gt;0")</f>
        <v>0</v>
      </c>
      <c r="R80" s="108">
        <f t="shared" si="37"/>
        <v>0</v>
      </c>
      <c r="S80" s="108">
        <f>SUMIF($F$2:F80,F80,$R$2:R80)</f>
        <v>0</v>
      </c>
      <c r="T80" s="107">
        <f t="shared" si="38"/>
        <v>26.80811762851031</v>
      </c>
      <c r="U80" s="108">
        <f t="shared" si="39"/>
        <v>0</v>
      </c>
      <c r="V80" s="108">
        <f>SUMIF($F$2:F80,F80,$U$2:U80)</f>
        <v>0</v>
      </c>
      <c r="W80" s="109">
        <f t="shared" si="40"/>
        <v>0.15734236268705343</v>
      </c>
      <c r="X80" s="109" t="str">
        <f t="shared" si="73"/>
        <v/>
      </c>
      <c r="Y80" s="109" t="str">
        <f t="shared" si="74"/>
        <v/>
      </c>
      <c r="Z80" s="107" t="str">
        <f>IFERROR(AVERAGEIF('Daily KPI'!D:D,Table14[[#This Row],[Month]],'Daily KPI'!AB:AB),"")</f>
        <v/>
      </c>
      <c r="AA80" s="110">
        <f>IFERROR(AVERAGEIF($F$2:F80,F80,$N$2:N80),"")</f>
        <v>7.099199999999998</v>
      </c>
      <c r="AB80" s="108"/>
      <c r="AC80" s="107"/>
      <c r="AD80" s="107"/>
      <c r="AE80" s="109">
        <v>0.98040000000000005</v>
      </c>
      <c r="AF80" s="109">
        <v>0.98</v>
      </c>
      <c r="AG80" s="109"/>
      <c r="AH80" s="109"/>
      <c r="AI80" s="109"/>
      <c r="AJ80" s="109"/>
      <c r="AK80" s="109"/>
      <c r="AL80" s="109"/>
      <c r="AM80" s="126"/>
      <c r="AN80" s="126"/>
      <c r="AO80" s="101">
        <v>7</v>
      </c>
    </row>
    <row r="81" spans="1:41" x14ac:dyDescent="0.25">
      <c r="A81" s="101">
        <f t="shared" si="75"/>
        <v>80</v>
      </c>
      <c r="B81" s="102" t="str">
        <f t="shared" ref="B81:C81" si="105">B69</f>
        <v>November</v>
      </c>
      <c r="C81" s="102">
        <f t="shared" si="105"/>
        <v>11</v>
      </c>
      <c r="D81" s="103">
        <v>45597</v>
      </c>
      <c r="E81" s="104">
        <f t="shared" si="32"/>
        <v>2024</v>
      </c>
      <c r="F81" s="104" t="s">
        <v>970</v>
      </c>
      <c r="G81" s="105">
        <f t="shared" si="33"/>
        <v>30</v>
      </c>
      <c r="H81" s="110">
        <f t="shared" ref="H81:I81" si="106">H69</f>
        <v>141.1</v>
      </c>
      <c r="I81" s="110">
        <f t="shared" si="106"/>
        <v>166</v>
      </c>
      <c r="J81" s="107"/>
      <c r="K81" s="106"/>
      <c r="L81" s="105"/>
      <c r="M81" s="114">
        <f t="shared" si="102"/>
        <v>835.74685352610106</v>
      </c>
      <c r="N81" s="108">
        <v>7.0991999999999997</v>
      </c>
      <c r="O81" s="109">
        <f t="shared" si="35"/>
        <v>0.70918125979755831</v>
      </c>
      <c r="P81" s="107">
        <f t="shared" si="36"/>
        <v>5.5333333333333332</v>
      </c>
      <c r="Q81" s="105">
        <f>COUNTIFS('Daily KPI'!$D:$D,D81,'Daily KPI'!O:O,"&gt;0")</f>
        <v>0</v>
      </c>
      <c r="R81" s="108">
        <f t="shared" si="37"/>
        <v>0</v>
      </c>
      <c r="S81" s="108">
        <f>SUMIF($F$2:F81,F81,$R$2:R81)</f>
        <v>0</v>
      </c>
      <c r="T81" s="107">
        <f t="shared" si="38"/>
        <v>27.858228450870037</v>
      </c>
      <c r="U81" s="108">
        <f t="shared" si="39"/>
        <v>0</v>
      </c>
      <c r="V81" s="108">
        <f>SUMIF($F$2:F81,F81,$U$2:U81)</f>
        <v>0</v>
      </c>
      <c r="W81" s="109">
        <f t="shared" si="40"/>
        <v>0.16350567934221483</v>
      </c>
      <c r="X81" s="109" t="str">
        <f t="shared" si="73"/>
        <v/>
      </c>
      <c r="Y81" s="109" t="str">
        <f t="shared" si="74"/>
        <v/>
      </c>
      <c r="Z81" s="107" t="str">
        <f>IFERROR(AVERAGEIF('Daily KPI'!D:D,Table14[[#This Row],[Month]],'Daily KPI'!AB:AB),"")</f>
        <v/>
      </c>
      <c r="AA81" s="110">
        <f>IFERROR(AVERAGEIF($F$2:F81,F81,$N$2:N81),"")</f>
        <v>7.099199999999998</v>
      </c>
      <c r="AB81" s="108"/>
      <c r="AC81" s="107"/>
      <c r="AD81" s="107"/>
      <c r="AE81" s="109">
        <v>0.98040000000000005</v>
      </c>
      <c r="AF81" s="109">
        <v>0.98</v>
      </c>
      <c r="AG81" s="109"/>
      <c r="AH81" s="109"/>
      <c r="AI81" s="109"/>
      <c r="AJ81" s="109"/>
      <c r="AK81" s="109"/>
      <c r="AL81" s="109"/>
      <c r="AM81" s="126"/>
      <c r="AN81" s="126"/>
      <c r="AO81" s="101">
        <v>7</v>
      </c>
    </row>
    <row r="82" spans="1:41" x14ac:dyDescent="0.25">
      <c r="A82" s="101">
        <f t="shared" si="75"/>
        <v>81</v>
      </c>
      <c r="B82" s="102" t="str">
        <f t="shared" ref="B82:C82" si="107">B70</f>
        <v>December</v>
      </c>
      <c r="C82" s="102">
        <f t="shared" si="107"/>
        <v>12</v>
      </c>
      <c r="D82" s="103">
        <v>45627</v>
      </c>
      <c r="E82" s="104">
        <f t="shared" si="32"/>
        <v>2024</v>
      </c>
      <c r="F82" s="104" t="s">
        <v>970</v>
      </c>
      <c r="G82" s="105">
        <f t="shared" si="33"/>
        <v>31</v>
      </c>
      <c r="H82" s="110">
        <f t="shared" ref="H82:I82" si="108">H70</f>
        <v>136.1</v>
      </c>
      <c r="I82" s="110">
        <f t="shared" si="108"/>
        <v>166.7</v>
      </c>
      <c r="J82" s="107"/>
      <c r="K82" s="106"/>
      <c r="L82" s="105"/>
      <c r="M82" s="114">
        <f t="shared" si="102"/>
        <v>868.61330282207132</v>
      </c>
      <c r="N82" s="108">
        <v>7.0991999999999997</v>
      </c>
      <c r="O82" s="109">
        <f t="shared" si="35"/>
        <v>0.73397533375514845</v>
      </c>
      <c r="P82" s="107">
        <f t="shared" si="36"/>
        <v>5.3774193548387093</v>
      </c>
      <c r="Q82" s="105">
        <f>COUNTIFS('Daily KPI'!$D:$D,D82,'Daily KPI'!O:O,"&gt;0")</f>
        <v>0</v>
      </c>
      <c r="R82" s="108">
        <f t="shared" si="37"/>
        <v>0</v>
      </c>
      <c r="S82" s="108">
        <f>SUMIF($F$2:F82,F82,$R$2:R82)</f>
        <v>0</v>
      </c>
      <c r="T82" s="107">
        <f t="shared" si="38"/>
        <v>28.0197839620023</v>
      </c>
      <c r="U82" s="108">
        <f t="shared" si="39"/>
        <v>0</v>
      </c>
      <c r="V82" s="108">
        <f>SUMIF($F$2:F82,F82,$U$2:U82)</f>
        <v>0</v>
      </c>
      <c r="W82" s="109">
        <f t="shared" si="40"/>
        <v>0.16445388190454735</v>
      </c>
      <c r="X82" s="109" t="str">
        <f t="shared" si="73"/>
        <v/>
      </c>
      <c r="Y82" s="109" t="str">
        <f t="shared" si="74"/>
        <v/>
      </c>
      <c r="Z82" s="107" t="str">
        <f>IFERROR(AVERAGEIF('Daily KPI'!D:D,Table14[[#This Row],[Month]],'Daily KPI'!AB:AB),"")</f>
        <v/>
      </c>
      <c r="AA82" s="110">
        <f>IFERROR(AVERAGEIF($F$2:F82,F82,$N$2:N82),"")</f>
        <v>7.099199999999998</v>
      </c>
      <c r="AB82" s="108"/>
      <c r="AC82" s="107"/>
      <c r="AD82" s="107"/>
      <c r="AE82" s="109">
        <v>0.98040000000000005</v>
      </c>
      <c r="AF82" s="109">
        <v>0.98</v>
      </c>
      <c r="AG82" s="109"/>
      <c r="AH82" s="109"/>
      <c r="AI82" s="109"/>
      <c r="AJ82" s="109"/>
      <c r="AK82" s="109"/>
      <c r="AL82" s="109"/>
      <c r="AM82" s="126"/>
      <c r="AN82" s="126"/>
      <c r="AO82" s="101">
        <v>7</v>
      </c>
    </row>
    <row r="83" spans="1:41" x14ac:dyDescent="0.25">
      <c r="A83" s="101">
        <f t="shared" si="75"/>
        <v>82</v>
      </c>
      <c r="B83" s="102" t="str">
        <f t="shared" ref="B83:C83" si="109">B71</f>
        <v>January</v>
      </c>
      <c r="C83" s="102">
        <f t="shared" si="109"/>
        <v>1</v>
      </c>
      <c r="D83" s="103">
        <v>45658</v>
      </c>
      <c r="E83" s="104">
        <f t="shared" si="32"/>
        <v>2025</v>
      </c>
      <c r="F83" s="104" t="s">
        <v>970</v>
      </c>
      <c r="G83" s="105">
        <f t="shared" si="33"/>
        <v>31</v>
      </c>
      <c r="H83" s="110">
        <f t="shared" ref="H83:I83" si="110">H71</f>
        <v>151.6</v>
      </c>
      <c r="I83" s="110">
        <f t="shared" si="110"/>
        <v>184.7</v>
      </c>
      <c r="J83" s="107"/>
      <c r="K83" s="106"/>
      <c r="L83" s="105"/>
      <c r="M83" s="114">
        <f t="shared" si="102"/>
        <v>962.51744366770072</v>
      </c>
      <c r="N83" s="108">
        <v>7.0991999999999997</v>
      </c>
      <c r="O83" s="109">
        <f t="shared" si="35"/>
        <v>0.73406125544949641</v>
      </c>
      <c r="P83" s="107">
        <f t="shared" si="36"/>
        <v>5.9580645161290322</v>
      </c>
      <c r="Q83" s="105">
        <f>COUNTIFS('Daily KPI'!$D:$D,D83,'Daily KPI'!O:O,"&gt;0")</f>
        <v>0</v>
      </c>
      <c r="R83" s="108">
        <f t="shared" si="37"/>
        <v>0</v>
      </c>
      <c r="S83" s="108">
        <f>SUMIF($F$2:F83,F83,$R$2:R83)</f>
        <v>0</v>
      </c>
      <c r="T83" s="107">
        <f t="shared" si="38"/>
        <v>31.04894979573228</v>
      </c>
      <c r="U83" s="108">
        <f t="shared" si="39"/>
        <v>0</v>
      </c>
      <c r="V83" s="108">
        <f>SUMIF($F$2:F83,F83,$U$2:U83)</f>
        <v>0</v>
      </c>
      <c r="W83" s="109">
        <f t="shared" si="40"/>
        <v>0.18223267994828221</v>
      </c>
      <c r="X83" s="109" t="str">
        <f t="shared" si="73"/>
        <v/>
      </c>
      <c r="Y83" s="109" t="str">
        <f t="shared" si="74"/>
        <v/>
      </c>
      <c r="Z83" s="107" t="str">
        <f>IFERROR(AVERAGEIF('Daily KPI'!D:D,Table14[[#This Row],[Month]],'Daily KPI'!AB:AB),"")</f>
        <v/>
      </c>
      <c r="AA83" s="110">
        <f>IFERROR(AVERAGEIF($F$2:F83,F83,$N$2:N83),"")</f>
        <v>7.099199999999998</v>
      </c>
      <c r="AB83" s="108"/>
      <c r="AC83" s="107"/>
      <c r="AD83" s="107"/>
      <c r="AE83" s="109">
        <v>0.98040000000000005</v>
      </c>
      <c r="AF83" s="109">
        <v>0.98</v>
      </c>
      <c r="AG83" s="109"/>
      <c r="AH83" s="109"/>
      <c r="AI83" s="109"/>
      <c r="AJ83" s="109"/>
      <c r="AK83" s="109"/>
      <c r="AL83" s="109"/>
      <c r="AM83" s="126"/>
      <c r="AN83" s="126"/>
      <c r="AO83" s="101">
        <v>7</v>
      </c>
    </row>
    <row r="84" spans="1:41" x14ac:dyDescent="0.25">
      <c r="A84" s="101">
        <f t="shared" si="75"/>
        <v>83</v>
      </c>
      <c r="B84" s="102" t="str">
        <f t="shared" ref="B84:C84" si="111">B72</f>
        <v>February</v>
      </c>
      <c r="C84" s="102">
        <f t="shared" si="111"/>
        <v>2</v>
      </c>
      <c r="D84" s="103">
        <v>45689</v>
      </c>
      <c r="E84" s="104">
        <f t="shared" si="32"/>
        <v>2025</v>
      </c>
      <c r="F84" s="104" t="s">
        <v>970</v>
      </c>
      <c r="G84" s="105">
        <f t="shared" si="33"/>
        <v>28</v>
      </c>
      <c r="H84" s="110">
        <f t="shared" ref="H84:I84" si="112">H72</f>
        <v>159.30000000000001</v>
      </c>
      <c r="I84" s="110">
        <f t="shared" si="112"/>
        <v>183.3</v>
      </c>
      <c r="J84" s="107"/>
      <c r="K84" s="106"/>
      <c r="L84" s="105"/>
      <c r="M84" s="114">
        <f t="shared" si="102"/>
        <v>919.08413099119707</v>
      </c>
      <c r="N84" s="108">
        <v>7.0991999999999997</v>
      </c>
      <c r="O84" s="109">
        <f t="shared" si="35"/>
        <v>0.70629054304605654</v>
      </c>
      <c r="P84" s="107">
        <f t="shared" si="36"/>
        <v>6.5464285714285717</v>
      </c>
      <c r="Q84" s="105">
        <f>COUNTIFS('Daily KPI'!$D:$D,D84,'Daily KPI'!O:O,"&gt;0")</f>
        <v>0</v>
      </c>
      <c r="R84" s="108">
        <f t="shared" si="37"/>
        <v>0</v>
      </c>
      <c r="S84" s="108">
        <f>SUMIF($F$2:F84,F84,$R$2:R84)</f>
        <v>0</v>
      </c>
      <c r="T84" s="107">
        <f t="shared" si="38"/>
        <v>32.824433249685612</v>
      </c>
      <c r="U84" s="108">
        <f t="shared" si="39"/>
        <v>0</v>
      </c>
      <c r="V84" s="108">
        <f>SUMIF($F$2:F84,F84,$U$2:U84)</f>
        <v>0</v>
      </c>
      <c r="W84" s="109">
        <f t="shared" si="40"/>
        <v>0.19265335794693775</v>
      </c>
      <c r="X84" s="109" t="str">
        <f t="shared" si="73"/>
        <v/>
      </c>
      <c r="Y84" s="109" t="str">
        <f t="shared" si="74"/>
        <v/>
      </c>
      <c r="Z84" s="107" t="str">
        <f>IFERROR(AVERAGEIF('Daily KPI'!D:D,Table14[[#This Row],[Month]],'Daily KPI'!AB:AB),"")</f>
        <v/>
      </c>
      <c r="AA84" s="110">
        <f>IFERROR(AVERAGEIF($F$2:F84,F84,$N$2:N84),"")</f>
        <v>7.0991999999999971</v>
      </c>
      <c r="AB84" s="108"/>
      <c r="AC84" s="107"/>
      <c r="AD84" s="107"/>
      <c r="AE84" s="109">
        <v>0.98040000000000005</v>
      </c>
      <c r="AF84" s="109">
        <v>0.98</v>
      </c>
      <c r="AG84" s="109"/>
      <c r="AH84" s="109"/>
      <c r="AI84" s="109"/>
      <c r="AJ84" s="109"/>
      <c r="AK84" s="109"/>
      <c r="AL84" s="109"/>
      <c r="AM84" s="126"/>
      <c r="AN84" s="126"/>
      <c r="AO84" s="101">
        <v>7</v>
      </c>
    </row>
    <row r="85" spans="1:41" x14ac:dyDescent="0.25">
      <c r="A85" s="101">
        <f t="shared" si="75"/>
        <v>84</v>
      </c>
      <c r="B85" s="102" t="str">
        <f t="shared" ref="B85:C85" si="113">B73</f>
        <v>March</v>
      </c>
      <c r="C85" s="102">
        <f t="shared" si="113"/>
        <v>3</v>
      </c>
      <c r="D85" s="103">
        <v>45717</v>
      </c>
      <c r="E85" s="104">
        <f t="shared" si="32"/>
        <v>2025</v>
      </c>
      <c r="F85" s="104" t="s">
        <v>970</v>
      </c>
      <c r="G85" s="105">
        <f t="shared" si="33"/>
        <v>31</v>
      </c>
      <c r="H85" s="110">
        <f t="shared" ref="H85:I85" si="114">H73</f>
        <v>197.2</v>
      </c>
      <c r="I85" s="110">
        <f t="shared" si="114"/>
        <v>210.4</v>
      </c>
      <c r="J85" s="107"/>
      <c r="K85" s="106"/>
      <c r="L85" s="105"/>
      <c r="M85" s="114">
        <f t="shared" si="102"/>
        <v>1065.8119985978929</v>
      </c>
      <c r="N85" s="108">
        <v>7.0991999999999997</v>
      </c>
      <c r="O85" s="109">
        <f t="shared" si="35"/>
        <v>0.7135517214853353</v>
      </c>
      <c r="P85" s="107">
        <f t="shared" si="36"/>
        <v>6.7870967741935484</v>
      </c>
      <c r="Q85" s="105">
        <f>COUNTIFS('Daily KPI'!$D:$D,D85,'Daily KPI'!O:O,"&gt;0")</f>
        <v>0</v>
      </c>
      <c r="R85" s="108">
        <f t="shared" si="37"/>
        <v>0</v>
      </c>
      <c r="S85" s="108">
        <f>SUMIF($F$2:F85,F85,$R$2:R85)</f>
        <v>0</v>
      </c>
      <c r="T85" s="107">
        <f t="shared" si="38"/>
        <v>34.381032212835251</v>
      </c>
      <c r="U85" s="108">
        <f t="shared" si="39"/>
        <v>0</v>
      </c>
      <c r="V85" s="108">
        <f>SUMIF($F$2:F85,F85,$U$2:U85)</f>
        <v>0</v>
      </c>
      <c r="W85" s="109">
        <f t="shared" si="40"/>
        <v>0.20178935779639051</v>
      </c>
      <c r="X85" s="109" t="str">
        <f t="shared" si="73"/>
        <v/>
      </c>
      <c r="Y85" s="109" t="str">
        <f t="shared" si="74"/>
        <v/>
      </c>
      <c r="Z85" s="107">
        <f>IFERROR(AVERAGEIF('Daily KPI'!D:D,Table14[[#This Row],[Month]],'Daily KPI'!AB:AB),"")</f>
        <v>7.0991999999999997</v>
      </c>
      <c r="AA85" s="110">
        <f>IFERROR(AVERAGEIF($F$2:F85,F85,$N$2:N85),"")</f>
        <v>7.0991999999999971</v>
      </c>
      <c r="AB85" s="108"/>
      <c r="AC85" s="107"/>
      <c r="AD85" s="107"/>
      <c r="AE85" s="109">
        <v>0.98040000000000005</v>
      </c>
      <c r="AF85" s="109">
        <v>0.98</v>
      </c>
      <c r="AG85" s="109"/>
      <c r="AH85" s="109"/>
      <c r="AI85" s="109"/>
      <c r="AJ85" s="109"/>
      <c r="AK85" s="109"/>
      <c r="AL85" s="109"/>
      <c r="AM85" s="126"/>
      <c r="AN85" s="126"/>
      <c r="AO85" s="101">
        <v>7</v>
      </c>
    </row>
    <row r="86" spans="1:41" x14ac:dyDescent="0.25">
      <c r="A86" s="101">
        <f t="shared" si="75"/>
        <v>85</v>
      </c>
      <c r="B86" s="102" t="str">
        <f t="shared" ref="B86:C86" si="115">B74</f>
        <v>April</v>
      </c>
      <c r="C86" s="102">
        <f t="shared" si="115"/>
        <v>4</v>
      </c>
      <c r="D86" s="103">
        <v>45748</v>
      </c>
      <c r="E86" s="104">
        <f t="shared" si="32"/>
        <v>2025</v>
      </c>
      <c r="F86" s="104" t="s">
        <v>971</v>
      </c>
      <c r="G86" s="105">
        <f t="shared" si="33"/>
        <v>30</v>
      </c>
      <c r="H86" s="110">
        <f t="shared" ref="H86:I86" si="116">H74</f>
        <v>192.9</v>
      </c>
      <c r="I86" s="110">
        <f t="shared" si="116"/>
        <v>191.2</v>
      </c>
      <c r="J86" s="107"/>
      <c r="K86" s="106"/>
      <c r="L86" s="105"/>
      <c r="M86" s="108">
        <v>918.99263206787668</v>
      </c>
      <c r="N86" s="108">
        <v>7.0991999999999997</v>
      </c>
      <c r="O86" s="109">
        <f t="shared" si="35"/>
        <v>0.67704062717470792</v>
      </c>
      <c r="P86" s="107">
        <f t="shared" si="36"/>
        <v>6.3733333333333331</v>
      </c>
      <c r="Q86" s="105">
        <f>COUNTIFS('Daily KPI'!$D:$D,D86,'Daily KPI'!O:O,"&gt;0")</f>
        <v>30</v>
      </c>
      <c r="R86" s="108">
        <f t="shared" si="37"/>
        <v>191.2</v>
      </c>
      <c r="S86" s="108">
        <f>SUMIF($F$2:F86,F86,$R$2:R86)</f>
        <v>191.2</v>
      </c>
      <c r="T86" s="107">
        <f t="shared" si="38"/>
        <v>30.63308773559589</v>
      </c>
      <c r="U86" s="108">
        <f t="shared" si="39"/>
        <v>918.99263206787668</v>
      </c>
      <c r="V86" s="108">
        <f>SUMIF($F$2:F86,F86,$U$2:U86)</f>
        <v>918.99263206787668</v>
      </c>
      <c r="W86" s="109">
        <f t="shared" si="40"/>
        <v>0.1797918998830613</v>
      </c>
      <c r="X86" s="109">
        <f t="shared" si="73"/>
        <v>0.1797918998830613</v>
      </c>
      <c r="Y86" s="109">
        <f t="shared" si="74"/>
        <v>0.1797918998830613</v>
      </c>
      <c r="Z86" s="107">
        <f>IFERROR(AVERAGEIF('Daily KPI'!D:D,Table14[[#This Row],[Month]],'Daily KPI'!AB:AB),"")</f>
        <v>7.0991999999999971</v>
      </c>
      <c r="AA86" s="110">
        <f>IFERROR(AVERAGEIF($F$2:F86,F86,$N$2:N86),"")</f>
        <v>7.0991999999999997</v>
      </c>
      <c r="AB86" s="108"/>
      <c r="AC86" s="107"/>
      <c r="AD86" s="107"/>
      <c r="AE86" s="109">
        <v>0.98040000000000005</v>
      </c>
      <c r="AF86" s="109">
        <v>0.98</v>
      </c>
      <c r="AG86" s="109"/>
      <c r="AH86" s="109"/>
      <c r="AI86" s="109"/>
      <c r="AJ86" s="109"/>
      <c r="AK86" s="109"/>
      <c r="AL86" s="109"/>
      <c r="AM86" s="126"/>
      <c r="AN86" s="126"/>
      <c r="AO86" s="101">
        <v>7</v>
      </c>
    </row>
    <row r="87" spans="1:41" x14ac:dyDescent="0.25">
      <c r="A87" s="101">
        <f t="shared" si="75"/>
        <v>86</v>
      </c>
      <c r="B87" s="102" t="str">
        <f t="shared" ref="B87:C87" si="117">B75</f>
        <v>May</v>
      </c>
      <c r="C87" s="102">
        <f t="shared" si="117"/>
        <v>5</v>
      </c>
      <c r="D87" s="103">
        <v>45778</v>
      </c>
      <c r="E87" s="104">
        <f t="shared" si="32"/>
        <v>2025</v>
      </c>
      <c r="F87" s="104" t="s">
        <v>971</v>
      </c>
      <c r="G87" s="105">
        <f t="shared" si="33"/>
        <v>31</v>
      </c>
      <c r="H87" s="110">
        <f t="shared" ref="H87:I87" si="118">H75</f>
        <v>199.3</v>
      </c>
      <c r="I87" s="110">
        <f t="shared" si="118"/>
        <v>187.1</v>
      </c>
      <c r="J87" s="107"/>
      <c r="K87" s="106"/>
      <c r="L87" s="105"/>
      <c r="M87" s="108">
        <v>921.2967184068209</v>
      </c>
      <c r="N87" s="108">
        <v>7.0991999999999997</v>
      </c>
      <c r="O87" s="109">
        <f t="shared" si="35"/>
        <v>0.69361156434065652</v>
      </c>
      <c r="P87" s="107">
        <f t="shared" si="36"/>
        <v>6.0354838709677416</v>
      </c>
      <c r="Q87" s="105">
        <f>COUNTIFS('Daily KPI'!$D:$D,D87,'Daily KPI'!O:O,"&gt;0")</f>
        <v>31</v>
      </c>
      <c r="R87" s="108">
        <f t="shared" si="37"/>
        <v>187.1</v>
      </c>
      <c r="S87" s="108">
        <f>SUMIF($F$2:F87,F87,$R$2:R87)</f>
        <v>378.29999999999995</v>
      </c>
      <c r="T87" s="107">
        <f t="shared" si="38"/>
        <v>29.719248980865192</v>
      </c>
      <c r="U87" s="108">
        <f t="shared" si="39"/>
        <v>921.2967184068209</v>
      </c>
      <c r="V87" s="108">
        <f>SUMIF($F$2:F87,F87,$U$2:U87)</f>
        <v>1840.2893504746976</v>
      </c>
      <c r="W87" s="109">
        <f t="shared" si="40"/>
        <v>0.17442839205394736</v>
      </c>
      <c r="X87" s="109">
        <f t="shared" si="73"/>
        <v>0.17442839205394733</v>
      </c>
      <c r="Y87" s="109">
        <f t="shared" si="74"/>
        <v>0.17706618278957717</v>
      </c>
      <c r="Z87" s="107">
        <f>IFERROR(AVERAGEIF('Daily KPI'!D:D,Table14[[#This Row],[Month]],'Daily KPI'!AB:AB),"")</f>
        <v>7.0991999999999971</v>
      </c>
      <c r="AA87" s="110">
        <f>IFERROR(AVERAGEIF($F$2:F87,F87,$N$2:N87),"")</f>
        <v>7.0991999999999997</v>
      </c>
      <c r="AB87" s="108"/>
      <c r="AC87" s="107"/>
      <c r="AD87" s="107"/>
      <c r="AE87" s="109">
        <v>0.98040000000000005</v>
      </c>
      <c r="AF87" s="109">
        <v>0.98</v>
      </c>
      <c r="AG87" s="109"/>
      <c r="AH87" s="109"/>
      <c r="AI87" s="109"/>
      <c r="AJ87" s="109"/>
      <c r="AK87" s="109"/>
      <c r="AL87" s="109"/>
      <c r="AM87" s="126"/>
      <c r="AN87" s="126"/>
      <c r="AO87" s="101">
        <v>7</v>
      </c>
    </row>
    <row r="88" spans="1:41" x14ac:dyDescent="0.25">
      <c r="A88" s="101">
        <f t="shared" si="75"/>
        <v>87</v>
      </c>
      <c r="B88" s="102" t="str">
        <f t="shared" ref="B88:C88" si="119">B76</f>
        <v>June</v>
      </c>
      <c r="C88" s="102">
        <f t="shared" si="119"/>
        <v>6</v>
      </c>
      <c r="D88" s="103">
        <v>45809</v>
      </c>
      <c r="E88" s="104">
        <f t="shared" si="32"/>
        <v>2025</v>
      </c>
      <c r="F88" s="104" t="s">
        <v>971</v>
      </c>
      <c r="G88" s="105">
        <f t="shared" si="33"/>
        <v>30</v>
      </c>
      <c r="H88" s="110">
        <f t="shared" ref="H88:I88" si="120">H76</f>
        <v>149.6</v>
      </c>
      <c r="I88" s="110">
        <f t="shared" si="120"/>
        <v>138.30000000000001</v>
      </c>
      <c r="J88" s="107"/>
      <c r="K88" s="106"/>
      <c r="L88" s="105"/>
      <c r="M88" s="108">
        <v>688.23751902496178</v>
      </c>
      <c r="N88" s="108">
        <v>7.0991999999999997</v>
      </c>
      <c r="O88" s="109">
        <f t="shared" si="35"/>
        <v>0.70098181708798424</v>
      </c>
      <c r="P88" s="107">
        <f t="shared" si="36"/>
        <v>4.6100000000000003</v>
      </c>
      <c r="Q88" s="105">
        <f>COUNTIFS('Daily KPI'!$D:$D,D88,'Daily KPI'!O:O,"&gt;0")</f>
        <v>30</v>
      </c>
      <c r="R88" s="108">
        <f t="shared" si="37"/>
        <v>138.30000000000001</v>
      </c>
      <c r="S88" s="108">
        <f>SUMIF($F$2:F88,F88,$R$2:R88)</f>
        <v>516.59999999999991</v>
      </c>
      <c r="T88" s="107">
        <f t="shared" si="38"/>
        <v>22.941250634165392</v>
      </c>
      <c r="U88" s="108">
        <f t="shared" si="39"/>
        <v>688.23751902496178</v>
      </c>
      <c r="V88" s="108">
        <f>SUMIF($F$2:F88,F88,$U$2:U88)</f>
        <v>2528.5268694996594</v>
      </c>
      <c r="W88" s="109">
        <f t="shared" si="40"/>
        <v>0.13464692403231698</v>
      </c>
      <c r="X88" s="109">
        <f t="shared" si="73"/>
        <v>0.13464692403231698</v>
      </c>
      <c r="Y88" s="109">
        <f t="shared" si="74"/>
        <v>0.16308181177070016</v>
      </c>
      <c r="Z88" s="107">
        <f>IFERROR(AVERAGEIF('Daily KPI'!D:D,Table14[[#This Row],[Month]],'Daily KPI'!AB:AB),"")</f>
        <v>7.0991999999999971</v>
      </c>
      <c r="AA88" s="110">
        <f>IFERROR(AVERAGEIF($F$2:F88,F88,$N$2:N88),"")</f>
        <v>7.0991999999999997</v>
      </c>
      <c r="AB88" s="108"/>
      <c r="AC88" s="107"/>
      <c r="AD88" s="107"/>
      <c r="AE88" s="109">
        <v>0.98040000000000005</v>
      </c>
      <c r="AF88" s="109">
        <v>0.98</v>
      </c>
      <c r="AG88" s="109"/>
      <c r="AH88" s="109"/>
      <c r="AI88" s="109"/>
      <c r="AJ88" s="109"/>
      <c r="AK88" s="109"/>
      <c r="AL88" s="109"/>
      <c r="AM88" s="126"/>
      <c r="AN88" s="126"/>
      <c r="AO88" s="101">
        <v>7</v>
      </c>
    </row>
    <row r="89" spans="1:41" x14ac:dyDescent="0.25">
      <c r="A89" s="101">
        <f t="shared" si="75"/>
        <v>88</v>
      </c>
      <c r="B89" s="102" t="str">
        <f t="shared" ref="B89:C89" si="121">B77</f>
        <v>July</v>
      </c>
      <c r="C89" s="102">
        <f t="shared" si="121"/>
        <v>7</v>
      </c>
      <c r="D89" s="103">
        <v>45839</v>
      </c>
      <c r="E89" s="104">
        <f t="shared" si="32"/>
        <v>2025</v>
      </c>
      <c r="F89" s="104" t="s">
        <v>971</v>
      </c>
      <c r="G89" s="105">
        <f t="shared" si="33"/>
        <v>31</v>
      </c>
      <c r="H89" s="110">
        <f t="shared" ref="H89:I89" si="122">H77</f>
        <v>129.30000000000001</v>
      </c>
      <c r="I89" s="110">
        <f t="shared" si="122"/>
        <v>121</v>
      </c>
      <c r="J89" s="107"/>
      <c r="K89" s="106"/>
      <c r="L89" s="105"/>
      <c r="M89" s="108">
        <v>629.14550021194464</v>
      </c>
      <c r="N89" s="108">
        <v>7.0991999999999997</v>
      </c>
      <c r="O89" s="109">
        <f t="shared" si="35"/>
        <v>0.73241345342129649</v>
      </c>
      <c r="P89" s="107">
        <f t="shared" si="36"/>
        <v>3.903225806451613</v>
      </c>
      <c r="Q89" s="105">
        <f>COUNTIFS('Daily KPI'!$D:$D,D89,'Daily KPI'!O:O,"&gt;0")</f>
        <v>31</v>
      </c>
      <c r="R89" s="108">
        <f t="shared" si="37"/>
        <v>121</v>
      </c>
      <c r="S89" s="108">
        <f>SUMIF($F$2:F89,F89,$R$2:R89)</f>
        <v>637.59999999999991</v>
      </c>
      <c r="T89" s="107">
        <f t="shared" si="38"/>
        <v>20.295016135869183</v>
      </c>
      <c r="U89" s="108">
        <f t="shared" si="39"/>
        <v>629.14550021194464</v>
      </c>
      <c r="V89" s="108">
        <f>SUMIF($F$2:F89,F89,$U$2:U89)</f>
        <v>3157.672369711604</v>
      </c>
      <c r="W89" s="109">
        <f t="shared" si="40"/>
        <v>0.11911562884943129</v>
      </c>
      <c r="X89" s="109">
        <f t="shared" si="73"/>
        <v>0.11911562884943129</v>
      </c>
      <c r="Y89" s="109">
        <f t="shared" si="74"/>
        <v>0.15191007676611548</v>
      </c>
      <c r="Z89" s="107">
        <f>IFERROR(AVERAGEIF('Daily KPI'!D:D,Table14[[#This Row],[Month]],'Daily KPI'!AB:AB),"")</f>
        <v>7.0991999999999971</v>
      </c>
      <c r="AA89" s="110">
        <f>IFERROR(AVERAGEIF($F$2:F89,F89,$N$2:N89),"")</f>
        <v>7.0991999999999997</v>
      </c>
      <c r="AB89" s="108"/>
      <c r="AC89" s="107"/>
      <c r="AD89" s="107"/>
      <c r="AE89" s="109">
        <v>0.98040000000000005</v>
      </c>
      <c r="AF89" s="109">
        <v>0.98</v>
      </c>
      <c r="AG89" s="109"/>
      <c r="AH89" s="109"/>
      <c r="AI89" s="109"/>
      <c r="AJ89" s="109"/>
      <c r="AK89" s="109"/>
      <c r="AL89" s="109"/>
      <c r="AM89" s="126"/>
      <c r="AN89" s="126"/>
      <c r="AO89" s="101">
        <v>7</v>
      </c>
    </row>
    <row r="90" spans="1:41" x14ac:dyDescent="0.25">
      <c r="A90" s="101">
        <f t="shared" si="75"/>
        <v>89</v>
      </c>
      <c r="B90" s="102" t="str">
        <f t="shared" ref="B90:C90" si="123">B78</f>
        <v>August</v>
      </c>
      <c r="C90" s="102">
        <f t="shared" si="123"/>
        <v>8</v>
      </c>
      <c r="D90" s="103">
        <v>45870</v>
      </c>
      <c r="E90" s="104">
        <f t="shared" si="32"/>
        <v>2025</v>
      </c>
      <c r="F90" s="104" t="s">
        <v>971</v>
      </c>
      <c r="G90" s="105">
        <f t="shared" si="33"/>
        <v>31</v>
      </c>
      <c r="H90" s="110">
        <f t="shared" ref="H90:I90" si="124">H78</f>
        <v>132.4</v>
      </c>
      <c r="I90" s="110">
        <f t="shared" si="124"/>
        <v>128.19999999999999</v>
      </c>
      <c r="J90" s="107"/>
      <c r="K90" s="106"/>
      <c r="L90" s="105"/>
      <c r="M90" s="108">
        <v>666.00005416161991</v>
      </c>
      <c r="N90" s="108">
        <v>7.0991999999999997</v>
      </c>
      <c r="O90" s="109">
        <f t="shared" si="35"/>
        <v>0.73177375236499143</v>
      </c>
      <c r="P90" s="107">
        <f t="shared" si="36"/>
        <v>4.1354838709677413</v>
      </c>
      <c r="Q90" s="105">
        <f>COUNTIFS('Daily KPI'!$D:$D,D90,'Daily KPI'!O:O,"&gt;0")</f>
        <v>4</v>
      </c>
      <c r="R90" s="108">
        <f t="shared" si="37"/>
        <v>16.541935483870965</v>
      </c>
      <c r="S90" s="108">
        <f>SUMIF($F$2:F90,F90,$R$2:R90)</f>
        <v>654.14193548387084</v>
      </c>
      <c r="T90" s="107">
        <f t="shared" si="38"/>
        <v>21.483872714890964</v>
      </c>
      <c r="U90" s="108">
        <f t="shared" si="39"/>
        <v>85.935490859563856</v>
      </c>
      <c r="V90" s="108">
        <f>SUMIF($F$2:F90,F90,$U$2:U90)</f>
        <v>3243.6078605711677</v>
      </c>
      <c r="W90" s="109">
        <f t="shared" si="40"/>
        <v>0.12609327292095684</v>
      </c>
      <c r="X90" s="109">
        <f t="shared" si="73"/>
        <v>0.12609327292095684</v>
      </c>
      <c r="Y90" s="109">
        <f t="shared" si="74"/>
        <v>0.15109049569166599</v>
      </c>
      <c r="Z90" s="107">
        <f>IFERROR(AVERAGEIF('Daily KPI'!D:D,Table14[[#This Row],[Month]],'Daily KPI'!AB:AB),"")</f>
        <v>7.0991999999999988</v>
      </c>
      <c r="AA90" s="110">
        <f>IFERROR(AVERAGEIF($F$2:F90,F90,$N$2:N90),"")</f>
        <v>7.0991999999999988</v>
      </c>
      <c r="AB90" s="108"/>
      <c r="AC90" s="107"/>
      <c r="AD90" s="107"/>
      <c r="AE90" s="109">
        <v>0.98040000000000005</v>
      </c>
      <c r="AF90" s="109">
        <v>0.98</v>
      </c>
      <c r="AG90" s="109"/>
      <c r="AH90" s="109"/>
      <c r="AI90" s="109"/>
      <c r="AJ90" s="109"/>
      <c r="AK90" s="109"/>
      <c r="AL90" s="109"/>
      <c r="AM90" s="126"/>
      <c r="AN90" s="126"/>
      <c r="AO90" s="101">
        <v>7</v>
      </c>
    </row>
    <row r="91" spans="1:41" x14ac:dyDescent="0.25">
      <c r="A91" s="101">
        <f t="shared" si="75"/>
        <v>90</v>
      </c>
      <c r="B91" s="102" t="str">
        <f t="shared" ref="B91:C91" si="125">B79</f>
        <v>September</v>
      </c>
      <c r="C91" s="102">
        <f t="shared" si="125"/>
        <v>9</v>
      </c>
      <c r="D91" s="103">
        <v>45901</v>
      </c>
      <c r="E91" s="104">
        <f t="shared" si="32"/>
        <v>2025</v>
      </c>
      <c r="F91" s="104" t="s">
        <v>971</v>
      </c>
      <c r="G91" s="105">
        <f t="shared" si="33"/>
        <v>30</v>
      </c>
      <c r="H91" s="110">
        <f t="shared" ref="H91:I91" si="126">H79</f>
        <v>142.5</v>
      </c>
      <c r="I91" s="110">
        <f t="shared" si="126"/>
        <v>144.9</v>
      </c>
      <c r="J91" s="107"/>
      <c r="K91" s="106"/>
      <c r="L91" s="105"/>
      <c r="M91" s="108">
        <v>719.55057208990706</v>
      </c>
      <c r="N91" s="108">
        <v>7.0991999999999997</v>
      </c>
      <c r="O91" s="109">
        <f t="shared" si="35"/>
        <v>0.69949324677249292</v>
      </c>
      <c r="P91" s="107">
        <f t="shared" si="36"/>
        <v>4.83</v>
      </c>
      <c r="Q91" s="105">
        <f>COUNTIFS('Daily KPI'!$D:$D,D91,'Daily KPI'!O:O,"&gt;0")</f>
        <v>0</v>
      </c>
      <c r="R91" s="108">
        <f t="shared" si="37"/>
        <v>0</v>
      </c>
      <c r="S91" s="108">
        <f>SUMIF($F$2:F91,F91,$R$2:R91)</f>
        <v>654.14193548387084</v>
      </c>
      <c r="T91" s="107">
        <f t="shared" si="38"/>
        <v>23.985019069663569</v>
      </c>
      <c r="U91" s="108">
        <f t="shared" si="39"/>
        <v>0</v>
      </c>
      <c r="V91" s="108">
        <f>SUMIF($F$2:F91,F91,$U$2:U91)</f>
        <v>3243.6078605711677</v>
      </c>
      <c r="W91" s="109">
        <f t="shared" si="40"/>
        <v>0.14077301591296421</v>
      </c>
      <c r="X91" s="109" t="str">
        <f t="shared" si="73"/>
        <v/>
      </c>
      <c r="Y91" s="109">
        <f t="shared" si="74"/>
        <v>0.15109049569166599</v>
      </c>
      <c r="Z91" s="107" t="str">
        <f>IFERROR(AVERAGEIF('Daily KPI'!D:D,Table14[[#This Row],[Month]],'Daily KPI'!AB:AB),"")</f>
        <v/>
      </c>
      <c r="AA91" s="110">
        <f>IFERROR(AVERAGEIF($F$2:F91,F91,$N$2:N91),"")</f>
        <v>7.0991999999999988</v>
      </c>
      <c r="AB91" s="108"/>
      <c r="AC91" s="107"/>
      <c r="AD91" s="107"/>
      <c r="AE91" s="109">
        <v>0.98040000000000005</v>
      </c>
      <c r="AF91" s="109">
        <v>0.98</v>
      </c>
      <c r="AG91" s="109"/>
      <c r="AH91" s="109"/>
      <c r="AI91" s="109"/>
      <c r="AJ91" s="109"/>
      <c r="AK91" s="109"/>
      <c r="AL91" s="109"/>
      <c r="AM91" s="126"/>
      <c r="AN91" s="126"/>
      <c r="AO91" s="101">
        <v>7</v>
      </c>
    </row>
    <row r="92" spans="1:41" x14ac:dyDescent="0.25">
      <c r="A92" s="101">
        <f t="shared" si="75"/>
        <v>91</v>
      </c>
      <c r="B92" s="102" t="str">
        <f t="shared" ref="B92:C92" si="127">B80</f>
        <v>October</v>
      </c>
      <c r="C92" s="102">
        <f t="shared" si="127"/>
        <v>10</v>
      </c>
      <c r="D92" s="103">
        <v>45931</v>
      </c>
      <c r="E92" s="104">
        <f t="shared" si="32"/>
        <v>2025</v>
      </c>
      <c r="F92" s="104" t="s">
        <v>971</v>
      </c>
      <c r="G92" s="105">
        <f t="shared" si="33"/>
        <v>31</v>
      </c>
      <c r="H92" s="110">
        <f t="shared" ref="H92:I92" si="128">H80</f>
        <v>148</v>
      </c>
      <c r="I92" s="110">
        <f t="shared" si="128"/>
        <v>161.5</v>
      </c>
      <c r="J92" s="107"/>
      <c r="K92" s="106"/>
      <c r="L92" s="105"/>
      <c r="M92" s="108">
        <v>817.58035073423719</v>
      </c>
      <c r="N92" s="108">
        <v>7.0991999999999997</v>
      </c>
      <c r="O92" s="109">
        <f t="shared" si="35"/>
        <v>0.71309683237690691</v>
      </c>
      <c r="P92" s="107">
        <f t="shared" si="36"/>
        <v>5.209677419354839</v>
      </c>
      <c r="Q92" s="105">
        <f>COUNTIFS('Daily KPI'!$D:$D,D92,'Daily KPI'!O:O,"&gt;0")</f>
        <v>0</v>
      </c>
      <c r="R92" s="108">
        <f t="shared" si="37"/>
        <v>0</v>
      </c>
      <c r="S92" s="108">
        <f>SUMIF($F$2:F92,F92,$R$2:R92)</f>
        <v>654.14193548387084</v>
      </c>
      <c r="T92" s="107">
        <f t="shared" si="38"/>
        <v>26.373559701104426</v>
      </c>
      <c r="U92" s="108">
        <f t="shared" si="39"/>
        <v>0</v>
      </c>
      <c r="V92" s="108">
        <f>SUMIF($F$2:F92,F92,$U$2:U92)</f>
        <v>3243.6078605711677</v>
      </c>
      <c r="W92" s="109">
        <f t="shared" si="40"/>
        <v>0.15479185272697643</v>
      </c>
      <c r="X92" s="109" t="str">
        <f t="shared" si="73"/>
        <v/>
      </c>
      <c r="Y92" s="109">
        <f t="shared" si="74"/>
        <v>0.15109049569166599</v>
      </c>
      <c r="Z92" s="107" t="str">
        <f>IFERROR(AVERAGEIF('Daily KPI'!D:D,Table14[[#This Row],[Month]],'Daily KPI'!AB:AB),"")</f>
        <v/>
      </c>
      <c r="AA92" s="110">
        <f>IFERROR(AVERAGEIF($F$2:F92,F92,$N$2:N92),"")</f>
        <v>7.099199999999998</v>
      </c>
      <c r="AB92" s="108"/>
      <c r="AC92" s="107"/>
      <c r="AD92" s="107"/>
      <c r="AE92" s="109">
        <v>0.98040000000000005</v>
      </c>
      <c r="AF92" s="109">
        <v>0.98</v>
      </c>
      <c r="AG92" s="109"/>
      <c r="AH92" s="109"/>
      <c r="AI92" s="109"/>
      <c r="AJ92" s="109"/>
      <c r="AK92" s="109"/>
      <c r="AL92" s="109"/>
      <c r="AM92" s="126"/>
      <c r="AN92" s="126"/>
      <c r="AO92" s="101">
        <v>7</v>
      </c>
    </row>
    <row r="93" spans="1:41" x14ac:dyDescent="0.25">
      <c r="A93" s="101">
        <f t="shared" si="75"/>
        <v>92</v>
      </c>
      <c r="B93" s="102" t="str">
        <f t="shared" ref="B93:C93" si="129">B81</f>
        <v>November</v>
      </c>
      <c r="C93" s="102">
        <f t="shared" si="129"/>
        <v>11</v>
      </c>
      <c r="D93" s="103">
        <v>45962</v>
      </c>
      <c r="E93" s="104">
        <f t="shared" si="32"/>
        <v>2025</v>
      </c>
      <c r="F93" s="104" t="s">
        <v>971</v>
      </c>
      <c r="G93" s="105">
        <f t="shared" si="33"/>
        <v>30</v>
      </c>
      <c r="H93" s="110">
        <f t="shared" ref="H93:I93" si="130">H81</f>
        <v>141.1</v>
      </c>
      <c r="I93" s="110">
        <f t="shared" si="130"/>
        <v>166</v>
      </c>
      <c r="J93" s="107"/>
      <c r="K93" s="106"/>
      <c r="L93" s="105"/>
      <c r="M93" s="108">
        <v>821.41544181155541</v>
      </c>
      <c r="N93" s="108">
        <v>7.0991999999999997</v>
      </c>
      <c r="O93" s="109">
        <f t="shared" si="35"/>
        <v>0.69702019862033959</v>
      </c>
      <c r="P93" s="107">
        <f t="shared" si="36"/>
        <v>5.5333333333333332</v>
      </c>
      <c r="Q93" s="105">
        <f>COUNTIFS('Daily KPI'!$D:$D,D93,'Daily KPI'!O:O,"&gt;0")</f>
        <v>0</v>
      </c>
      <c r="R93" s="108">
        <f t="shared" si="37"/>
        <v>0</v>
      </c>
      <c r="S93" s="108">
        <f>SUMIF($F$2:F93,F93,$R$2:R93)</f>
        <v>654.14193548387084</v>
      </c>
      <c r="T93" s="107">
        <f t="shared" si="38"/>
        <v>27.380514727051846</v>
      </c>
      <c r="U93" s="108">
        <f t="shared" si="39"/>
        <v>0</v>
      </c>
      <c r="V93" s="108">
        <f>SUMIF($F$2:F93,F93,$U$2:U93)</f>
        <v>3243.6078605711677</v>
      </c>
      <c r="W93" s="109">
        <f t="shared" si="40"/>
        <v>0.16070187912635606</v>
      </c>
      <c r="X93" s="109" t="str">
        <f t="shared" si="73"/>
        <v/>
      </c>
      <c r="Y93" s="109">
        <f t="shared" si="74"/>
        <v>0.15109049569166599</v>
      </c>
      <c r="Z93" s="107" t="str">
        <f>IFERROR(AVERAGEIF('Daily KPI'!D:D,Table14[[#This Row],[Month]],'Daily KPI'!AB:AB),"")</f>
        <v/>
      </c>
      <c r="AA93" s="110">
        <f>IFERROR(AVERAGEIF($F$2:F93,F93,$N$2:N93),"")</f>
        <v>7.099199999999998</v>
      </c>
      <c r="AB93" s="108"/>
      <c r="AC93" s="107"/>
      <c r="AD93" s="107"/>
      <c r="AE93" s="109">
        <v>0.98040000000000005</v>
      </c>
      <c r="AF93" s="109">
        <v>0.98</v>
      </c>
      <c r="AG93" s="109"/>
      <c r="AH93" s="109"/>
      <c r="AI93" s="109"/>
      <c r="AJ93" s="109"/>
      <c r="AK93" s="109"/>
      <c r="AL93" s="109"/>
      <c r="AM93" s="126"/>
      <c r="AN93" s="126"/>
      <c r="AO93" s="101">
        <v>7</v>
      </c>
    </row>
    <row r="94" spans="1:41" x14ac:dyDescent="0.25">
      <c r="A94" s="101">
        <f t="shared" si="75"/>
        <v>93</v>
      </c>
      <c r="B94" s="102" t="str">
        <f t="shared" ref="B94:C94" si="131">B82</f>
        <v>December</v>
      </c>
      <c r="C94" s="102">
        <f t="shared" si="131"/>
        <v>12</v>
      </c>
      <c r="D94" s="103">
        <v>45992</v>
      </c>
      <c r="E94" s="104">
        <f t="shared" si="32"/>
        <v>2025</v>
      </c>
      <c r="F94" s="104" t="s">
        <v>971</v>
      </c>
      <c r="G94" s="105">
        <f t="shared" si="33"/>
        <v>31</v>
      </c>
      <c r="H94" s="110">
        <f t="shared" ref="H94:I94" si="132">H82</f>
        <v>136.1</v>
      </c>
      <c r="I94" s="110">
        <f t="shared" si="132"/>
        <v>166.7</v>
      </c>
      <c r="J94" s="107"/>
      <c r="K94" s="106"/>
      <c r="L94" s="105"/>
      <c r="M94" s="108">
        <v>855.30759903973399</v>
      </c>
      <c r="N94" s="108">
        <v>7.0991999999999997</v>
      </c>
      <c r="O94" s="109">
        <f t="shared" si="35"/>
        <v>0.72273205859143763</v>
      </c>
      <c r="P94" s="107">
        <f t="shared" si="36"/>
        <v>5.3774193548387093</v>
      </c>
      <c r="Q94" s="105">
        <f>COUNTIFS('Daily KPI'!$D:$D,D94,'Daily KPI'!O:O,"&gt;0")</f>
        <v>0</v>
      </c>
      <c r="R94" s="108">
        <f t="shared" si="37"/>
        <v>0</v>
      </c>
      <c r="S94" s="108">
        <f>SUMIF($F$2:F94,F94,$R$2:R94)</f>
        <v>654.14193548387084</v>
      </c>
      <c r="T94" s="107">
        <f t="shared" si="38"/>
        <v>27.59056771095916</v>
      </c>
      <c r="U94" s="108">
        <f t="shared" si="39"/>
        <v>0</v>
      </c>
      <c r="V94" s="108">
        <f>SUMIF($F$2:F94,F94,$U$2:U94)</f>
        <v>3243.6078605711677</v>
      </c>
      <c r="W94" s="109">
        <f t="shared" si="40"/>
        <v>0.16193472334300085</v>
      </c>
      <c r="X94" s="109" t="str">
        <f t="shared" si="73"/>
        <v/>
      </c>
      <c r="Y94" s="109">
        <f t="shared" si="74"/>
        <v>0.15109049569166599</v>
      </c>
      <c r="Z94" s="107" t="str">
        <f>IFERROR(AVERAGEIF('Daily KPI'!D:D,Table14[[#This Row],[Month]],'Daily KPI'!AB:AB),"")</f>
        <v/>
      </c>
      <c r="AA94" s="110">
        <f>IFERROR(AVERAGEIF($F$2:F94,F94,$N$2:N94),"")</f>
        <v>7.099199999999998</v>
      </c>
      <c r="AB94" s="108"/>
      <c r="AC94" s="107"/>
      <c r="AD94" s="107"/>
      <c r="AE94" s="109">
        <v>0.98040000000000005</v>
      </c>
      <c r="AF94" s="109">
        <v>0.98</v>
      </c>
      <c r="AG94" s="109"/>
      <c r="AH94" s="109"/>
      <c r="AI94" s="109"/>
      <c r="AJ94" s="109"/>
      <c r="AK94" s="109"/>
      <c r="AL94" s="109"/>
      <c r="AM94" s="126"/>
      <c r="AN94" s="126"/>
      <c r="AO94" s="101">
        <v>7</v>
      </c>
    </row>
    <row r="95" spans="1:41" x14ac:dyDescent="0.25">
      <c r="A95" s="101">
        <f t="shared" si="75"/>
        <v>94</v>
      </c>
      <c r="B95" s="102" t="str">
        <f t="shared" ref="B95:C95" si="133">B83</f>
        <v>January</v>
      </c>
      <c r="C95" s="102">
        <f t="shared" si="133"/>
        <v>1</v>
      </c>
      <c r="D95" s="103">
        <v>46023</v>
      </c>
      <c r="E95" s="104">
        <f t="shared" si="32"/>
        <v>2026</v>
      </c>
      <c r="F95" s="104" t="s">
        <v>971</v>
      </c>
      <c r="G95" s="105">
        <f t="shared" si="33"/>
        <v>31</v>
      </c>
      <c r="H95" s="110">
        <f t="shared" ref="H95:I95" si="134">H83</f>
        <v>151.6</v>
      </c>
      <c r="I95" s="110">
        <f t="shared" si="134"/>
        <v>184.7</v>
      </c>
      <c r="J95" s="107"/>
      <c r="K95" s="106"/>
      <c r="L95" s="105"/>
      <c r="M95" s="108">
        <v>945.93355137500077</v>
      </c>
      <c r="N95" s="108">
        <v>7.0991999999999997</v>
      </c>
      <c r="O95" s="109">
        <f t="shared" si="35"/>
        <v>0.72141359604684618</v>
      </c>
      <c r="P95" s="107">
        <f t="shared" si="36"/>
        <v>5.9580645161290322</v>
      </c>
      <c r="Q95" s="105">
        <f>COUNTIFS('Daily KPI'!$D:$D,D95,'Daily KPI'!O:O,"&gt;0")</f>
        <v>0</v>
      </c>
      <c r="R95" s="108">
        <f t="shared" si="37"/>
        <v>0</v>
      </c>
      <c r="S95" s="108">
        <f>SUMIF($F$2:F95,F95,$R$2:R95)</f>
        <v>654.14193548387084</v>
      </c>
      <c r="T95" s="107">
        <f t="shared" si="38"/>
        <v>30.513985528225831</v>
      </c>
      <c r="U95" s="108">
        <f t="shared" si="39"/>
        <v>0</v>
      </c>
      <c r="V95" s="108">
        <f>SUMIF($F$2:F95,F95,$U$2:U95)</f>
        <v>3243.6078605711677</v>
      </c>
      <c r="W95" s="109">
        <f t="shared" si="40"/>
        <v>0.1790928645024899</v>
      </c>
      <c r="X95" s="109" t="str">
        <f t="shared" si="73"/>
        <v/>
      </c>
      <c r="Y95" s="109">
        <f t="shared" si="74"/>
        <v>0.15109049569166599</v>
      </c>
      <c r="Z95" s="107" t="str">
        <f>IFERROR(AVERAGEIF('Daily KPI'!D:D,Table14[[#This Row],[Month]],'Daily KPI'!AB:AB),"")</f>
        <v/>
      </c>
      <c r="AA95" s="110">
        <f>IFERROR(AVERAGEIF($F$2:F95,F95,$N$2:N95),"")</f>
        <v>7.099199999999998</v>
      </c>
      <c r="AB95" s="108"/>
      <c r="AC95" s="107"/>
      <c r="AD95" s="107"/>
      <c r="AE95" s="109">
        <v>0.98040000000000005</v>
      </c>
      <c r="AF95" s="109">
        <v>0.98</v>
      </c>
      <c r="AG95" s="109"/>
      <c r="AH95" s="109"/>
      <c r="AI95" s="109"/>
      <c r="AJ95" s="109"/>
      <c r="AK95" s="109"/>
      <c r="AL95" s="109"/>
      <c r="AM95" s="126"/>
      <c r="AN95" s="126"/>
      <c r="AO95" s="101">
        <v>7</v>
      </c>
    </row>
    <row r="96" spans="1:41" x14ac:dyDescent="0.25">
      <c r="A96" s="101">
        <f t="shared" si="75"/>
        <v>95</v>
      </c>
      <c r="B96" s="102" t="str">
        <f t="shared" ref="B96:C96" si="135">B84</f>
        <v>February</v>
      </c>
      <c r="C96" s="102">
        <f t="shared" si="135"/>
        <v>2</v>
      </c>
      <c r="D96" s="103">
        <v>46054</v>
      </c>
      <c r="E96" s="104">
        <f t="shared" si="32"/>
        <v>2026</v>
      </c>
      <c r="F96" s="104" t="s">
        <v>971</v>
      </c>
      <c r="G96" s="105">
        <f t="shared" si="33"/>
        <v>28</v>
      </c>
      <c r="H96" s="110">
        <f t="shared" ref="H96:I96" si="136">H84</f>
        <v>159.30000000000001</v>
      </c>
      <c r="I96" s="110">
        <f t="shared" si="136"/>
        <v>183.3</v>
      </c>
      <c r="J96" s="107"/>
      <c r="K96" s="106"/>
      <c r="L96" s="105"/>
      <c r="M96" s="108">
        <v>842.18065411749512</v>
      </c>
      <c r="N96" s="108">
        <v>7.0991999999999997</v>
      </c>
      <c r="O96" s="109">
        <f t="shared" si="35"/>
        <v>0.64719236409623726</v>
      </c>
      <c r="P96" s="107">
        <f t="shared" si="36"/>
        <v>6.5464285714285717</v>
      </c>
      <c r="Q96" s="105">
        <f>COUNTIFS('Daily KPI'!$D:$D,D96,'Daily KPI'!O:O,"&gt;0")</f>
        <v>0</v>
      </c>
      <c r="R96" s="108">
        <f t="shared" si="37"/>
        <v>0</v>
      </c>
      <c r="S96" s="108">
        <f>SUMIF($F$2:F96,F96,$R$2:R96)</f>
        <v>654.14193548387084</v>
      </c>
      <c r="T96" s="107">
        <f t="shared" si="38"/>
        <v>30.077880504196255</v>
      </c>
      <c r="U96" s="108">
        <f t="shared" si="39"/>
        <v>0</v>
      </c>
      <c r="V96" s="108">
        <f>SUMIF($F$2:F96,F96,$U$2:U96)</f>
        <v>3243.6078605711677</v>
      </c>
      <c r="W96" s="109">
        <f t="shared" si="40"/>
        <v>0.17653327431375046</v>
      </c>
      <c r="X96" s="109" t="str">
        <f t="shared" si="73"/>
        <v/>
      </c>
      <c r="Y96" s="109">
        <f t="shared" si="74"/>
        <v>0.15109049569166599</v>
      </c>
      <c r="Z96" s="107" t="str">
        <f>IFERROR(AVERAGEIF('Daily KPI'!D:D,Table14[[#This Row],[Month]],'Daily KPI'!AB:AB),"")</f>
        <v/>
      </c>
      <c r="AA96" s="110">
        <f>IFERROR(AVERAGEIF($F$2:F97,F96,$N$2:N97),"")</f>
        <v>7.0991999999999971</v>
      </c>
      <c r="AB96" s="108"/>
      <c r="AC96" s="107"/>
      <c r="AD96" s="107"/>
      <c r="AE96" s="109">
        <v>0.98040000000000005</v>
      </c>
      <c r="AF96" s="109">
        <v>0.98</v>
      </c>
      <c r="AG96" s="109"/>
      <c r="AH96" s="109"/>
      <c r="AI96" s="109"/>
      <c r="AJ96" s="109"/>
      <c r="AK96" s="109"/>
      <c r="AL96" s="109"/>
      <c r="AM96" s="126"/>
      <c r="AN96" s="126"/>
      <c r="AO96" s="101">
        <v>7</v>
      </c>
    </row>
    <row r="97" spans="1:41" x14ac:dyDescent="0.25">
      <c r="A97" s="101">
        <f t="shared" si="75"/>
        <v>96</v>
      </c>
      <c r="B97" s="102" t="str">
        <f t="shared" ref="B97:C97" si="137">B85</f>
        <v>March</v>
      </c>
      <c r="C97" s="102">
        <f t="shared" si="137"/>
        <v>3</v>
      </c>
      <c r="D97" s="103">
        <v>46082</v>
      </c>
      <c r="E97" s="104">
        <f>YEAR(D97)</f>
        <v>2026</v>
      </c>
      <c r="F97" s="104" t="s">
        <v>971</v>
      </c>
      <c r="G97" s="105">
        <f>DAY(EOMONTH(D97,0))</f>
        <v>31</v>
      </c>
      <c r="H97" s="110">
        <f t="shared" ref="H97:I97" si="138">H85</f>
        <v>197.2</v>
      </c>
      <c r="I97" s="110">
        <f t="shared" si="138"/>
        <v>210.4</v>
      </c>
      <c r="J97" s="107"/>
      <c r="K97" s="106"/>
      <c r="L97" s="105"/>
      <c r="M97" s="108">
        <v>1048.642964021637</v>
      </c>
      <c r="N97" s="108">
        <v>7.0991999999999997</v>
      </c>
      <c r="O97" s="109">
        <f>IFERROR(M97/I97/N97,"")</f>
        <v>0.70205720444645303</v>
      </c>
      <c r="P97" s="107">
        <f>IFERROR(I97/G97,"")</f>
        <v>6.7870967741935484</v>
      </c>
      <c r="Q97" s="105">
        <f>COUNTIFS('Daily KPI'!$D:$D,D97,'Daily KPI'!O:O,"&gt;0")</f>
        <v>0</v>
      </c>
      <c r="R97" s="108">
        <f>I97/G97*Q97</f>
        <v>0</v>
      </c>
      <c r="S97" s="108">
        <f>SUMIF($F$2:F97,F97,$R$2:R97)</f>
        <v>654.14193548387084</v>
      </c>
      <c r="T97" s="107">
        <f>M97/G97</f>
        <v>33.827192387794739</v>
      </c>
      <c r="U97" s="108">
        <f>M97/G97*Q97</f>
        <v>0</v>
      </c>
      <c r="V97" s="108">
        <f>SUMIF($F$2:F97,F97,$U$2:U97)</f>
        <v>3243.6078605711677</v>
      </c>
      <c r="W97" s="109">
        <f>IFERROR(T97/(24*N97),"")</f>
        <v>0.19853875781657757</v>
      </c>
      <c r="X97" s="109" t="str">
        <f t="shared" si="73"/>
        <v/>
      </c>
      <c r="Y97" s="109">
        <f t="shared" si="74"/>
        <v>0.15109049569166599</v>
      </c>
      <c r="Z97" s="107" t="str">
        <f>IFERROR(AVERAGEIF('Daily KPI'!D:D,Table14[[#This Row],[Month]],'Daily KPI'!AB:AB),"")</f>
        <v/>
      </c>
      <c r="AA97" s="110">
        <f>IFERROR(AVERAGEIF($F$2:F97,F97,$N$2:N97),"")</f>
        <v>7.0991999999999971</v>
      </c>
      <c r="AB97" s="108"/>
      <c r="AC97" s="107"/>
      <c r="AD97" s="107"/>
      <c r="AE97" s="109">
        <v>0.98040000000000005</v>
      </c>
      <c r="AF97" s="109">
        <v>0.98</v>
      </c>
      <c r="AG97" s="109"/>
      <c r="AH97" s="109"/>
      <c r="AI97" s="109"/>
      <c r="AJ97" s="109"/>
      <c r="AK97" s="109"/>
      <c r="AL97" s="109"/>
      <c r="AM97" s="128"/>
      <c r="AN97" s="128"/>
      <c r="AO97" s="101">
        <v>7</v>
      </c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E115" activePane="bottomRight" state="frozen"/>
      <selection pane="topRight" activeCell="I1" sqref="I1"/>
      <selection pane="bottomLeft" activeCell="A2" sqref="A2"/>
      <selection pane="bottomRight" activeCell="D124" sqref="D124"/>
    </sheetView>
  </sheetViews>
  <sheetFormatPr defaultColWidth="9.140625" defaultRowHeight="15" x14ac:dyDescent="0.25"/>
  <cols>
    <col min="1" max="2" width="11.140625" style="7" customWidth="1"/>
    <col min="3" max="3" width="12.42578125" style="7" customWidth="1"/>
    <col min="4" max="4" width="14.140625" style="7" customWidth="1"/>
    <col min="5" max="5" width="13" style="7" customWidth="1"/>
    <col min="6" max="6" width="10.85546875" style="7" customWidth="1"/>
    <col min="7" max="7" width="8.5703125" style="7" customWidth="1"/>
    <col min="8" max="8" width="11.5703125" style="7" customWidth="1"/>
    <col min="9" max="9" width="12.42578125" style="7" customWidth="1"/>
    <col min="10" max="11" width="8.85546875" style="7" customWidth="1"/>
    <col min="12" max="12" width="8.5703125" style="7" customWidth="1"/>
    <col min="13" max="15" width="8.85546875" style="7" customWidth="1"/>
    <col min="16" max="16" width="8.5703125" style="7" customWidth="1"/>
    <col min="17" max="21" width="9.5703125" style="7" customWidth="1"/>
    <col min="22" max="16384" width="9.140625" style="7"/>
  </cols>
  <sheetData>
    <row r="1" spans="1:39" ht="48" x14ac:dyDescent="0.25">
      <c r="A1" s="15" t="s">
        <v>81</v>
      </c>
      <c r="B1" s="15" t="s">
        <v>82</v>
      </c>
      <c r="C1" s="15" t="s">
        <v>83</v>
      </c>
      <c r="D1" s="15" t="s">
        <v>84</v>
      </c>
      <c r="E1" s="15" t="s">
        <v>85</v>
      </c>
      <c r="F1" s="15" t="s">
        <v>86</v>
      </c>
      <c r="G1" s="15" t="s">
        <v>62</v>
      </c>
      <c r="H1" s="14" t="s">
        <v>33</v>
      </c>
      <c r="I1" s="15" t="s">
        <v>87</v>
      </c>
      <c r="J1" s="15" t="s">
        <v>972</v>
      </c>
      <c r="K1" s="15" t="s">
        <v>973</v>
      </c>
      <c r="L1" s="15" t="s">
        <v>974</v>
      </c>
      <c r="M1" s="15" t="s">
        <v>975</v>
      </c>
      <c r="N1" s="15" t="s">
        <v>976</v>
      </c>
      <c r="O1" s="15" t="s">
        <v>977</v>
      </c>
      <c r="P1" s="15" t="s">
        <v>978</v>
      </c>
      <c r="Q1" s="15" t="s">
        <v>979</v>
      </c>
      <c r="R1" s="15" t="s">
        <v>980</v>
      </c>
      <c r="S1" s="15" t="s">
        <v>981</v>
      </c>
      <c r="T1" s="15" t="s">
        <v>982</v>
      </c>
      <c r="U1" s="15" t="s">
        <v>983</v>
      </c>
      <c r="V1" s="15" t="s">
        <v>984</v>
      </c>
      <c r="W1" s="15" t="s">
        <v>985</v>
      </c>
      <c r="X1" s="15" t="s">
        <v>986</v>
      </c>
      <c r="Y1" s="15" t="s">
        <v>987</v>
      </c>
      <c r="Z1" s="15" t="s">
        <v>988</v>
      </c>
      <c r="AA1" s="15" t="s">
        <v>989</v>
      </c>
      <c r="AB1" s="15" t="s">
        <v>990</v>
      </c>
      <c r="AC1" s="15" t="s">
        <v>991</v>
      </c>
      <c r="AD1" s="15" t="s">
        <v>992</v>
      </c>
      <c r="AE1" s="15" t="s">
        <v>993</v>
      </c>
      <c r="AF1" s="15" t="s">
        <v>994</v>
      </c>
      <c r="AG1" s="15" t="s">
        <v>995</v>
      </c>
      <c r="AH1" s="15" t="s">
        <v>996</v>
      </c>
      <c r="AI1" s="15" t="s">
        <v>997</v>
      </c>
      <c r="AJ1" s="15" t="s">
        <v>998</v>
      </c>
      <c r="AK1" s="15" t="s">
        <v>999</v>
      </c>
      <c r="AL1" s="15" t="s">
        <v>1000</v>
      </c>
      <c r="AM1" s="15" t="s">
        <v>1001</v>
      </c>
    </row>
    <row r="2" spans="1:39" x14ac:dyDescent="0.25">
      <c r="A2" s="123">
        <f>YEAR(Inv_SY_D[[#This Row],[Date]])+IF(MONTH(Inv_SY_D[[#This Row],[Date]])&gt;=4,1,0)</f>
        <v>2025</v>
      </c>
      <c r="B2" s="123">
        <v>4</v>
      </c>
      <c r="C2" s="123">
        <f>YEAR(Inv_SY_D[[#This Row],[Month Year]])</f>
        <v>2025</v>
      </c>
      <c r="D2" s="123" t="s">
        <v>4</v>
      </c>
      <c r="E2" s="123" t="s">
        <v>4</v>
      </c>
      <c r="F2" s="74" t="str">
        <f>TEXT(Inv_SY_D[[#This Row],[Date]],"mmm-yy")</f>
        <v>Mar-25</v>
      </c>
      <c r="G2" s="75">
        <f>DAY(EOMONTH(Inv_SY_D[[#This Row],[Month Year]],0))</f>
        <v>31</v>
      </c>
      <c r="H2" s="73">
        <v>45745</v>
      </c>
      <c r="I2" s="124">
        <v>7.0991999999999997</v>
      </c>
      <c r="J2" s="76">
        <f>IFERROR(Inv_SY!J4/Inv_SY!$Y4-1,"")</f>
        <v>8.0642551520194061E-2</v>
      </c>
      <c r="K2" s="76">
        <f>IFERROR(Inv_SY!K4/Inv_SY!$Y4-1,"")</f>
        <v>-0.1050421610651664</v>
      </c>
      <c r="L2" s="76">
        <f>IFERROR(Inv_SY!L4/Inv_SY!$Y4-1,"")</f>
        <v>7.5561888384503506E-2</v>
      </c>
      <c r="M2" s="76">
        <f>IFERROR(Inv_SY!M4/Inv_SY!$Y4-1,"")</f>
        <v>0.10153717662800132</v>
      </c>
      <c r="N2" s="76">
        <f>IFERROR(Inv_SY!N4/Inv_SY!$Y4-1,"")</f>
        <v>5.6059499843380323E-2</v>
      </c>
      <c r="O2" s="76">
        <f>IFERROR(Inv_SY!O4/Inv_SY!$Y4-1,"")</f>
        <v>-1</v>
      </c>
      <c r="P2" s="76">
        <f>IFERROR(Inv_SY!P4/Inv_SY!$Y4-1,"")</f>
        <v>6.3031644535719522E-2</v>
      </c>
      <c r="Q2" s="76">
        <f>IFERROR(Inv_SY!Q4/Inv_SY!$Y4-1,"")</f>
        <v>0.63325294358123529</v>
      </c>
      <c r="R2" s="76">
        <f>IFERROR(Inv_SY!R4/Inv_SY!$Y4-1,"")</f>
        <v>0.11592214037755499</v>
      </c>
      <c r="S2" s="76">
        <f>IFERROR(Inv_SY!S4/Inv_SY!$Y4-1,"")</f>
        <v>-7.3215795029249353E-2</v>
      </c>
      <c r="T2" s="76">
        <f>IFERROR(Inv_SY!T4/Inv_SY!$Y4-1,"")</f>
        <v>0.37490925727460001</v>
      </c>
      <c r="U2" s="76">
        <f>IFERROR(Inv_SY!U4/Inv_SY!$Y4-1,"")</f>
        <v>-8.026275711601194E-2</v>
      </c>
      <c r="V2" s="76">
        <f>IFERROR(Inv_SY!J4/Inv_SY!$Z4-1,"")</f>
        <v>2.3968989044582445E-2</v>
      </c>
      <c r="W2" s="76">
        <f>IFERROR(Inv_SY!K4/Inv_SY!$Z4-1,"")</f>
        <v>-0.15197761527855147</v>
      </c>
      <c r="X2" s="76">
        <f>IFERROR(Inv_SY!L4/Inv_SY!$Z4-1,"")</f>
        <v>1.9154777826071223E-2</v>
      </c>
      <c r="Y2" s="76">
        <f>IFERROR(Inv_SY!M4/Inv_SY!$Z4-1,"")</f>
        <v>4.3767809772129018E-2</v>
      </c>
      <c r="Z2" s="76">
        <f>IFERROR(Inv_SY!N4/Inv_SY!$Z4-1,"")</f>
        <v>6.7517876686706835E-4</v>
      </c>
      <c r="AA2" s="76">
        <f>IFERROR(Inv_SY!O4/Inv_SY!$Z4-1,"")</f>
        <v>-1</v>
      </c>
      <c r="AB2" s="76">
        <f>IFERROR(Inv_SY!P4/Inv_SY!$Z4-1,"")</f>
        <v>7.2816740802748026E-3</v>
      </c>
      <c r="AC2" s="76">
        <f>IFERROR(Inv_SY!Q4/Inv_SY!$Z4-1,"")</f>
        <v>0.54759810553481958</v>
      </c>
      <c r="AD2" s="76">
        <f>IFERROR(Inv_SY!R4/Inv_SY!$Z4-1,"")</f>
        <v>5.7398363896943527E-2</v>
      </c>
      <c r="AE2" s="76">
        <f>IFERROR(Inv_SY!S4/Inv_SY!$Z4-1,"")</f>
        <v>-0.12182036132911567</v>
      </c>
      <c r="AF2" s="76">
        <f>IFERROR(Inv_SY!T4/Inv_SY!$Z4-1,"")</f>
        <v>0.30280307787158334</v>
      </c>
      <c r="AG2" s="76">
        <f>IFERROR(Inv_SY!U4/Inv_SY!$Z4-1,"")</f>
        <v>-0.12849775028966215</v>
      </c>
      <c r="AH2" s="76">
        <f>IFERROR(Inv_SY!V4/Inv_SY!$Y4-1,"")</f>
        <v>3.1321566139774992E-2</v>
      </c>
      <c r="AI2" s="76">
        <f>IFERROR(Inv_SY!W4/Inv_SY!$Y4-1,"")</f>
        <v>-8.6668518129493499E-2</v>
      </c>
      <c r="AJ2" s="76">
        <f>IFERROR(Inv_SY!X4/Inv_SY!$Y4-1,"")</f>
        <v>5.5346951989718951E-2</v>
      </c>
      <c r="AK2" s="76">
        <f>IFERROR(Inv_SY!V4/Inv_SY!$Z4-1,"")</f>
        <v>-2.27653908552512E-2</v>
      </c>
      <c r="AL2" s="76">
        <f>IFERROR(Inv_SY!W4/Inv_SY!$Z4-1,"")</f>
        <v>-0.1345675655304267</v>
      </c>
      <c r="AM2" s="76">
        <f>IFERROR(Inv_SY!X4/Inv_SY!$Z4-1,"")</f>
        <v>0</v>
      </c>
    </row>
    <row r="3" spans="1:39" x14ac:dyDescent="0.25">
      <c r="A3" s="123">
        <f>YEAR(Inv_SY_D[[#This Row],[Date]])+IF(MONTH(Inv_SY_D[[#This Row],[Date]])&gt;=4,1,0)</f>
        <v>2025</v>
      </c>
      <c r="B3" s="123">
        <v>4</v>
      </c>
      <c r="C3" s="123">
        <f>YEAR(Inv_SY_D[[#This Row],[Month Year]])</f>
        <v>2025</v>
      </c>
      <c r="D3" s="123" t="s">
        <v>4</v>
      </c>
      <c r="E3" s="123" t="s">
        <v>4</v>
      </c>
      <c r="F3" s="74" t="str">
        <f>TEXT(Inv_SY_D[[#This Row],[Date]],"mmm-yy")</f>
        <v>Mar-25</v>
      </c>
      <c r="G3" s="75">
        <f>DAY(EOMONTH(Inv_SY_D[[#This Row],[Month Year]],0))</f>
        <v>31</v>
      </c>
      <c r="H3" s="73">
        <f t="shared" ref="H3:H12" si="0">H2+1</f>
        <v>45746</v>
      </c>
      <c r="I3" s="124">
        <v>7.0991999999999997</v>
      </c>
      <c r="J3" s="76">
        <f>IFERROR(Inv_SY!J5/Inv_SY!$Y5-1,"")</f>
        <v>0.11126127758918769</v>
      </c>
      <c r="K3" s="76">
        <f>IFERROR(Inv_SY!K5/Inv_SY!$Y5-1,"")</f>
        <v>-0.10746870735218184</v>
      </c>
      <c r="L3" s="76">
        <f>IFERROR(Inv_SY!L5/Inv_SY!$Y5-1,"")</f>
        <v>7.284826554961743E-2</v>
      </c>
      <c r="M3" s="76">
        <f>IFERROR(Inv_SY!M5/Inv_SY!$Y5-1,"")</f>
        <v>7.0045969497347871E-2</v>
      </c>
      <c r="N3" s="76">
        <f>IFERROR(Inv_SY!N5/Inv_SY!$Y5-1,"")</f>
        <v>8.5041382491688466E-2</v>
      </c>
      <c r="O3" s="76">
        <f>IFERROR(Inv_SY!O5/Inv_SY!$Y5-1,"")</f>
        <v>-1</v>
      </c>
      <c r="P3" s="76">
        <f>IFERROR(Inv_SY!P5/Inv_SY!$Y5-1,"")</f>
        <v>6.0751939282836398E-2</v>
      </c>
      <c r="Q3" s="76">
        <f>IFERROR(Inv_SY!Q5/Inv_SY!$Y5-1,"")</f>
        <v>0.58388421940045987</v>
      </c>
      <c r="R3" s="76">
        <f>IFERROR(Inv_SY!R5/Inv_SY!$Y5-1,"")</f>
        <v>0.11917868232474671</v>
      </c>
      <c r="S3" s="76">
        <f>IFERROR(Inv_SY!S5/Inv_SY!$Y5-1,"")</f>
        <v>-7.0395614775247028E-2</v>
      </c>
      <c r="T3" s="76">
        <f>IFERROR(Inv_SY!T5/Inv_SY!$Y5-1,"")</f>
        <v>0.3796739235774067</v>
      </c>
      <c r="U3" s="76">
        <f>IFERROR(Inv_SY!U5/Inv_SY!$Y5-1,"")</f>
        <v>-7.7256113544001415E-2</v>
      </c>
      <c r="V3" s="76">
        <f>IFERROR(Inv_SY!J5/Inv_SY!$Z5-1,"")</f>
        <v>4.9650625354998423E-2</v>
      </c>
      <c r="W3" s="76">
        <f>IFERROR(Inv_SY!K5/Inv_SY!$Z5-1,"")</f>
        <v>-0.15695251119600173</v>
      </c>
      <c r="X3" s="76">
        <f>IFERROR(Inv_SY!L5/Inv_SY!$Z5-1,"")</f>
        <v>1.3367311140562554E-2</v>
      </c>
      <c r="Y3" s="76">
        <f>IFERROR(Inv_SY!M5/Inv_SY!$Z5-1,"")</f>
        <v>1.0720380249497952E-2</v>
      </c>
      <c r="Z3" s="76">
        <f>IFERROR(Inv_SY!N5/Inv_SY!$Z5-1,"")</f>
        <v>2.4884416146720101E-2</v>
      </c>
      <c r="AA3" s="76">
        <f>IFERROR(Inv_SY!O5/Inv_SY!$Z5-1,"")</f>
        <v>-1</v>
      </c>
      <c r="AB3" s="76">
        <f>IFERROR(Inv_SY!P5/Inv_SY!$Z5-1,"")</f>
        <v>1.9416305319752691E-3</v>
      </c>
      <c r="AC3" s="76">
        <f>IFERROR(Inv_SY!Q5/Inv_SY!$Z5-1,"")</f>
        <v>0.49607036158980655</v>
      </c>
      <c r="AD3" s="76">
        <f>IFERROR(Inv_SY!R5/Inv_SY!$Z5-1,"")</f>
        <v>5.7129072592804864E-2</v>
      </c>
      <c r="AE3" s="76">
        <f>IFERROR(Inv_SY!S5/Inv_SY!$Z5-1,"")</f>
        <v>-0.12193482850337301</v>
      </c>
      <c r="AF3" s="76">
        <f>IFERROR(Inv_SY!T5/Inv_SY!$Z5-1,"")</f>
        <v>0.30318191218786672</v>
      </c>
      <c r="AG3" s="76">
        <f>IFERROR(Inv_SY!U5/Inv_SY!$Z5-1,"")</f>
        <v>-0.12841496685435805</v>
      </c>
      <c r="AH3" s="76">
        <f>IFERROR(Inv_SY!V5/Inv_SY!$Y5-1,"")</f>
        <v>2.9775315306893813E-2</v>
      </c>
      <c r="AI3" s="76">
        <f>IFERROR(Inv_SY!W5/Inv_SY!$Y5-1,"")</f>
        <v>-8.8471657447738994E-2</v>
      </c>
      <c r="AJ3" s="76">
        <f>IFERROR(Inv_SY!X5/Inv_SY!$Y5-1,"")</f>
        <v>5.8696342140845292E-2</v>
      </c>
      <c r="AK3" s="76">
        <f>IFERROR(Inv_SY!V5/Inv_SY!$Z5-1,"")</f>
        <v>-2.7317584545034634E-2</v>
      </c>
      <c r="AL3" s="76">
        <f>IFERROR(Inv_SY!W5/Inv_SY!$Z5-1,"")</f>
        <v>-0.13900869751848599</v>
      </c>
      <c r="AM3" s="76">
        <f>IFERROR(Inv_SY!X5/Inv_SY!$Z5-1,"")</f>
        <v>0</v>
      </c>
    </row>
    <row r="4" spans="1:39" x14ac:dyDescent="0.25">
      <c r="A4" s="123">
        <f>YEAR(Inv_SY_D[[#This Row],[Date]])+IF(MONTH(Inv_SY_D[[#This Row],[Date]])&gt;=4,1,0)</f>
        <v>2025</v>
      </c>
      <c r="B4" s="123">
        <v>4</v>
      </c>
      <c r="C4" s="123">
        <f>YEAR(Inv_SY_D[[#This Row],[Month Year]])</f>
        <v>2025</v>
      </c>
      <c r="D4" s="123" t="s">
        <v>4</v>
      </c>
      <c r="E4" s="123" t="s">
        <v>4</v>
      </c>
      <c r="F4" s="74" t="str">
        <f>TEXT(Inv_SY_D[[#This Row],[Date]],"mmm-yy")</f>
        <v>Mar-25</v>
      </c>
      <c r="G4" s="75">
        <f>DAY(EOMONTH(Inv_SY_D[[#This Row],[Month Year]],0))</f>
        <v>31</v>
      </c>
      <c r="H4" s="73">
        <f t="shared" si="0"/>
        <v>45747</v>
      </c>
      <c r="I4" s="124">
        <v>7.0991999999999997</v>
      </c>
      <c r="J4" s="76">
        <f>IFERROR(Inv_SY!J6/Inv_SY!$Y6-1,"")</f>
        <v>7.8415245215108786E-2</v>
      </c>
      <c r="K4" s="76">
        <f>IFERROR(Inv_SY!K6/Inv_SY!$Y6-1,"")</f>
        <v>-7.8411998223486323E-2</v>
      </c>
      <c r="L4" s="76">
        <f>IFERROR(Inv_SY!L6/Inv_SY!$Y6-1,"")</f>
        <v>7.3480274465888673E-2</v>
      </c>
      <c r="M4" s="76">
        <f>IFERROR(Inv_SY!M6/Inv_SY!$Y6-1,"")</f>
        <v>7.1440080027287634E-2</v>
      </c>
      <c r="N4" s="76">
        <f>IFERROR(Inv_SY!N6/Inv_SY!$Y6-1,"")</f>
        <v>5.4039667945841696E-2</v>
      </c>
      <c r="O4" s="76">
        <f>IFERROR(Inv_SY!O6/Inv_SY!$Y6-1,"")</f>
        <v>-1</v>
      </c>
      <c r="P4" s="76">
        <f>IFERROR(Inv_SY!P6/Inv_SY!$Y6-1,"")</f>
        <v>9.2643439814132256E-2</v>
      </c>
      <c r="Q4" s="76">
        <f>IFERROR(Inv_SY!Q6/Inv_SY!$Y6-1,"")</f>
        <v>0.58416827504549862</v>
      </c>
      <c r="R4" s="76">
        <f>IFERROR(Inv_SY!R6/Inv_SY!$Y6-1,"")</f>
        <v>0.1181900901437074</v>
      </c>
      <c r="S4" s="76">
        <f>IFERROR(Inv_SY!S6/Inv_SY!$Y6-1,"")</f>
        <v>-7.1676661931880936E-2</v>
      </c>
      <c r="T4" s="76">
        <f>IFERROR(Inv_SY!T6/Inv_SY!$Y6-1,"")</f>
        <v>0.37811999800971874</v>
      </c>
      <c r="U4" s="76">
        <f>IFERROR(Inv_SY!U6/Inv_SY!$Y6-1,"")</f>
        <v>-7.8367255394487079E-2</v>
      </c>
      <c r="V4" s="76">
        <f>IFERROR(Inv_SY!J6/Inv_SY!$Z6-1,"")</f>
        <v>1.9796571766570015E-2</v>
      </c>
      <c r="W4" s="76">
        <f>IFERROR(Inv_SY!K6/Inv_SY!$Z6-1,"")</f>
        <v>-0.12850612140092088</v>
      </c>
      <c r="X4" s="76">
        <f>IFERROR(Inv_SY!L6/Inv_SY!$Z6-1,"")</f>
        <v>1.5129847817559661E-2</v>
      </c>
      <c r="Y4" s="76">
        <f>IFERROR(Inv_SY!M6/Inv_SY!$Z6-1,"")</f>
        <v>1.320055082045779E-2</v>
      </c>
      <c r="Z4" s="76">
        <f>IFERROR(Inv_SY!N6/Inv_SY!$Z6-1,"")</f>
        <v>-3.2540390666174757E-3</v>
      </c>
      <c r="AA4" s="76">
        <f>IFERROR(Inv_SY!O6/Inv_SY!$Z6-1,"")</f>
        <v>-1</v>
      </c>
      <c r="AB4" s="76">
        <f>IFERROR(Inv_SY!P6/Inv_SY!$Z6-1,"")</f>
        <v>3.3251374208292939E-2</v>
      </c>
      <c r="AC4" s="76">
        <f>IFERROR(Inv_SY!Q6/Inv_SY!$Z6-1,"")</f>
        <v>0.49805873309080906</v>
      </c>
      <c r="AD4" s="76">
        <f>IFERROR(Inv_SY!R6/Inv_SY!$Z6-1,"")</f>
        <v>5.740940289141272E-2</v>
      </c>
      <c r="AE4" s="76">
        <f>IFERROR(Inv_SY!S6/Inv_SY!$Z6-1,"")</f>
        <v>-0.12213689313717901</v>
      </c>
      <c r="AF4" s="76">
        <f>IFERROR(Inv_SY!T6/Inv_SY!$Z6-1,"")</f>
        <v>0.30321048009009854</v>
      </c>
      <c r="AG4" s="76">
        <f>IFERROR(Inv_SY!U6/Inv_SY!$Z6-1,"")</f>
        <v>-0.12846381062700796</v>
      </c>
      <c r="AH4" s="76">
        <f>IFERROR(Inv_SY!V6/Inv_SY!$Y6-1,"")</f>
        <v>3.0739408702848747E-2</v>
      </c>
      <c r="AI4" s="76">
        <f>IFERROR(Inv_SY!W6/Inv_SY!$Y6-1,"")</f>
        <v>-8.8220160326670127E-2</v>
      </c>
      <c r="AJ4" s="76">
        <f>IFERROR(Inv_SY!X6/Inv_SY!$Y6-1,"")</f>
        <v>5.7480751623821602E-2</v>
      </c>
      <c r="AK4" s="76">
        <f>IFERROR(Inv_SY!V6/Inv_SY!$Z6-1,"")</f>
        <v>-2.5287782193586072E-2</v>
      </c>
      <c r="AL4" s="76">
        <f>IFERROR(Inv_SY!W6/Inv_SY!$Z6-1,"")</f>
        <v>-0.13778114800364893</v>
      </c>
      <c r="AM4" s="76">
        <f>IFERROR(Inv_SY!X6/Inv_SY!$Z6-1,"")</f>
        <v>0</v>
      </c>
    </row>
    <row r="5" spans="1:39" x14ac:dyDescent="0.25">
      <c r="A5" s="123">
        <f>YEAR(Inv_SY_D[[#This Row],[Date]])+IF(MONTH(Inv_SY_D[[#This Row],[Date]])&gt;=4,1,0)</f>
        <v>2026</v>
      </c>
      <c r="B5" s="123">
        <v>4</v>
      </c>
      <c r="C5" s="123">
        <f>YEAR(Inv_SY_D[[#This Row],[Month Year]])</f>
        <v>2025</v>
      </c>
      <c r="D5" s="123" t="s">
        <v>4</v>
      </c>
      <c r="E5" s="123" t="s">
        <v>4</v>
      </c>
      <c r="F5" s="74" t="str">
        <f>TEXT(Inv_SY_D[[#This Row],[Date]],"mmm-yy")</f>
        <v>Apr-25</v>
      </c>
      <c r="G5" s="75">
        <f>DAY(EOMONTH(Inv_SY_D[[#This Row],[Month Year]],0))</f>
        <v>30</v>
      </c>
      <c r="H5" s="73">
        <f t="shared" si="0"/>
        <v>45748</v>
      </c>
      <c r="I5" s="124">
        <v>7.0991999999999997</v>
      </c>
      <c r="J5" s="76">
        <f>IFERROR(Inv_SY!J7/Inv_SY!$Y7-1,"")</f>
        <v>9.1377733980972264E-2</v>
      </c>
      <c r="K5" s="76">
        <f>IFERROR(Inv_SY!K7/Inv_SY!$Y7-1,"")</f>
        <v>-9.576102997823932E-2</v>
      </c>
      <c r="L5" s="76">
        <f>IFERROR(Inv_SY!L7/Inv_SY!$Y7-1,"")</f>
        <v>0.12141050667574649</v>
      </c>
      <c r="M5" s="76">
        <f>IFERROR(Inv_SY!M7/Inv_SY!$Y7-1,"")</f>
        <v>8.5340091675301766E-2</v>
      </c>
      <c r="N5" s="76">
        <f>IFERROR(Inv_SY!N7/Inv_SY!$Y7-1,"")</f>
        <v>4.6850973212032354E-2</v>
      </c>
      <c r="O5" s="76">
        <f>IFERROR(Inv_SY!O7/Inv_SY!$Y7-1,"")</f>
        <v>-1</v>
      </c>
      <c r="P5" s="76">
        <f>IFERROR(Inv_SY!P7/Inv_SY!$Y7-1,"")</f>
        <v>8.4769276484527367E-2</v>
      </c>
      <c r="Q5" s="76">
        <f>IFERROR(Inv_SY!Q7/Inv_SY!$Y7-1,"")</f>
        <v>0.57363778321804904</v>
      </c>
      <c r="R5" s="76">
        <f>IFERROR(Inv_SY!R7/Inv_SY!$Y7-1,"")</f>
        <v>0.11144451487822438</v>
      </c>
      <c r="S5" s="76">
        <f>IFERROR(Inv_SY!S7/Inv_SY!$Y7-1,"")</f>
        <v>-7.7403945813050656E-2</v>
      </c>
      <c r="T5" s="76">
        <f>IFERROR(Inv_SY!T7/Inv_SY!$Y7-1,"")</f>
        <v>0.36940010982219063</v>
      </c>
      <c r="U5" s="76">
        <f>IFERROR(Inv_SY!U7/Inv_SY!$Y7-1,"")</f>
        <v>-8.4084476964449761E-2</v>
      </c>
      <c r="V5" s="76">
        <f>IFERROR(Inv_SY!J7/Inv_SY!$Z7-1,"")</f>
        <v>3.8475550147248017E-2</v>
      </c>
      <c r="W5" s="76">
        <f>IFERROR(Inv_SY!K7/Inv_SY!$Z7-1,"")</f>
        <v>-0.13959206549627079</v>
      </c>
      <c r="X5" s="76">
        <f>IFERROR(Inv_SY!L7/Inv_SY!$Z7-1,"")</f>
        <v>6.705254890357093E-2</v>
      </c>
      <c r="Y5" s="76">
        <f>IFERROR(Inv_SY!M7/Inv_SY!$Z7-1,"")</f>
        <v>3.2730569541767673E-2</v>
      </c>
      <c r="Z5" s="76">
        <f>IFERROR(Inv_SY!N7/Inv_SY!$Z7-1,"")</f>
        <v>-3.8928718445883082E-3</v>
      </c>
      <c r="AA5" s="76">
        <f>IFERROR(Inv_SY!O7/Inv_SY!$Z7-1,"")</f>
        <v>-1</v>
      </c>
      <c r="AB5" s="76">
        <f>IFERROR(Inv_SY!P7/Inv_SY!$Z7-1,"")</f>
        <v>3.2187423387310732E-2</v>
      </c>
      <c r="AC5" s="76">
        <f>IFERROR(Inv_SY!Q7/Inv_SY!$Z7-1,"")</f>
        <v>0.49735908272465323</v>
      </c>
      <c r="AD5" s="76">
        <f>IFERROR(Inv_SY!R7/Inv_SY!$Z7-1,"")</f>
        <v>5.7569637082616421E-2</v>
      </c>
      <c r="AE5" s="76">
        <f>IFERROR(Inv_SY!S7/Inv_SY!$Z7-1,"")</f>
        <v>-0.12212480142812188</v>
      </c>
      <c r="AF5" s="76">
        <f>IFERROR(Inv_SY!T7/Inv_SY!$Z7-1,"")</f>
        <v>0.30302139043281495</v>
      </c>
      <c r="AG5" s="76">
        <f>IFERROR(Inv_SY!U7/Inv_SY!$Z7-1,"")</f>
        <v>-0.12848150822790161</v>
      </c>
      <c r="AH5" s="76">
        <f>IFERROR(Inv_SY!V7/Inv_SY!$Y7-1,"")</f>
        <v>4.356380094261425E-2</v>
      </c>
      <c r="AI5" s="76">
        <f>IFERROR(Inv_SY!W7/Inv_SY!$Y7-1,"")</f>
        <v>-9.4505957285364151E-2</v>
      </c>
      <c r="AJ5" s="76">
        <f>IFERROR(Inv_SY!X7/Inv_SY!$Y7-1,"")</f>
        <v>5.09421563427499E-2</v>
      </c>
      <c r="AK5" s="76">
        <f>IFERROR(Inv_SY!V7/Inv_SY!$Z7-1,"")</f>
        <v>-7.0207055218073355E-3</v>
      </c>
      <c r="AL5" s="76">
        <f>IFERROR(Inv_SY!W7/Inv_SY!$Z7-1,"")</f>
        <v>-0.13839782974761383</v>
      </c>
      <c r="AM5" s="76">
        <f>IFERROR(Inv_SY!X7/Inv_SY!$Z7-1,"")</f>
        <v>0</v>
      </c>
    </row>
    <row r="6" spans="1:39" x14ac:dyDescent="0.25">
      <c r="A6" s="123">
        <f>YEAR(Inv_SY_D[[#This Row],[Date]])+IF(MONTH(Inv_SY_D[[#This Row],[Date]])&gt;=4,1,0)</f>
        <v>2026</v>
      </c>
      <c r="B6" s="123">
        <v>4</v>
      </c>
      <c r="C6" s="123">
        <f>YEAR(Inv_SY_D[[#This Row],[Month Year]])</f>
        <v>2025</v>
      </c>
      <c r="D6" s="123" t="s">
        <v>4</v>
      </c>
      <c r="E6" s="123" t="s">
        <v>4</v>
      </c>
      <c r="F6" s="74" t="str">
        <f>TEXT(Inv_SY_D[[#This Row],[Date]],"mmm-yy")</f>
        <v>Apr-25</v>
      </c>
      <c r="G6" s="75">
        <f>DAY(EOMONTH(Inv_SY_D[[#This Row],[Month Year]],0))</f>
        <v>30</v>
      </c>
      <c r="H6" s="73">
        <f t="shared" si="0"/>
        <v>45749</v>
      </c>
      <c r="I6" s="124">
        <v>7.0991999999999997</v>
      </c>
      <c r="J6" s="76">
        <f>IFERROR(Inv_SY!J8/Inv_SY!$Y8-1,"")</f>
        <v>0.1019547294766745</v>
      </c>
      <c r="K6" s="76">
        <f>IFERROR(Inv_SY!K8/Inv_SY!$Y8-1,"")</f>
        <v>-8.691763641374628E-2</v>
      </c>
      <c r="L6" s="76">
        <f>IFERROR(Inv_SY!L8/Inv_SY!$Y8-1,"")</f>
        <v>9.7849482211359584E-2</v>
      </c>
      <c r="M6" s="76">
        <f>IFERROR(Inv_SY!M8/Inv_SY!$Y8-1,"")</f>
        <v>0.1291470118027207</v>
      </c>
      <c r="N6" s="76">
        <f>IFERROR(Inv_SY!N8/Inv_SY!$Y8-1,"")</f>
        <v>4.1878647390368284E-2</v>
      </c>
      <c r="O6" s="76">
        <f>IFERROR(Inv_SY!O8/Inv_SY!$Y8-1,"")</f>
        <v>-1</v>
      </c>
      <c r="P6" s="76">
        <f>IFERROR(Inv_SY!P8/Inv_SY!$Y8-1,"")</f>
        <v>4.9000080041013971E-2</v>
      </c>
      <c r="Q6" s="76">
        <f>IFERROR(Inv_SY!Q8/Inv_SY!$Y8-1,"")</f>
        <v>0.61215120794663358</v>
      </c>
      <c r="R6" s="76">
        <f>IFERROR(Inv_SY!R8/Inv_SY!$Y8-1,"")</f>
        <v>0.10544046219372105</v>
      </c>
      <c r="S6" s="76">
        <f>IFERROR(Inv_SY!S8/Inv_SY!$Y8-1,"")</f>
        <v>-8.2480093277552902E-2</v>
      </c>
      <c r="T6" s="76">
        <f>IFERROR(Inv_SY!T8/Inv_SY!$Y8-1,"")</f>
        <v>0.36195480720816375</v>
      </c>
      <c r="U6" s="76">
        <f>IFERROR(Inv_SY!U8/Inv_SY!$Y8-1,"")</f>
        <v>-8.8956102518154112E-2</v>
      </c>
      <c r="V6" s="76">
        <f>IFERROR(Inv_SY!J8/Inv_SY!$Z8-1,"")</f>
        <v>4.6039172844697163E-2</v>
      </c>
      <c r="W6" s="76">
        <f>IFERROR(Inv_SY!K8/Inv_SY!$Z8-1,"")</f>
        <v>-0.13324940236116734</v>
      </c>
      <c r="X6" s="76">
        <f>IFERROR(Inv_SY!L8/Inv_SY!$Z8-1,"")</f>
        <v>4.2142234668504974E-2</v>
      </c>
      <c r="Y6" s="76">
        <f>IFERROR(Inv_SY!M8/Inv_SY!$Z8-1,"")</f>
        <v>7.1851660192163047E-2</v>
      </c>
      <c r="Z6" s="76">
        <f>IFERROR(Inv_SY!N8/Inv_SY!$Z8-1,"")</f>
        <v>-1.098851943006085E-2</v>
      </c>
      <c r="AA6" s="76">
        <f>IFERROR(Inv_SY!O8/Inv_SY!$Z8-1,"")</f>
        <v>-1</v>
      </c>
      <c r="AB6" s="76">
        <f>IFERROR(Inv_SY!P8/Inv_SY!$Z8-1,"")</f>
        <v>-4.2284436119841562E-3</v>
      </c>
      <c r="AC6" s="76">
        <f>IFERROR(Inv_SY!Q8/Inv_SY!$Z8-1,"")</f>
        <v>0.53034718301172457</v>
      </c>
      <c r="AD6" s="76">
        <f>IFERROR(Inv_SY!R8/Inv_SY!$Z8-1,"")</f>
        <v>4.9348031975261275E-2</v>
      </c>
      <c r="AE6" s="76">
        <f>IFERROR(Inv_SY!S8/Inv_SY!$Z8-1,"")</f>
        <v>-0.12903702972236508</v>
      </c>
      <c r="AF6" s="76">
        <f>IFERROR(Inv_SY!T8/Inv_SY!$Z8-1,"")</f>
        <v>0.29284628658063472</v>
      </c>
      <c r="AG6" s="76">
        <f>IFERROR(Inv_SY!U8/Inv_SY!$Z8-1,"")</f>
        <v>-0.13518443230449295</v>
      </c>
      <c r="AH6" s="76">
        <f>IFERROR(Inv_SY!V8/Inv_SY!$Y8-1,"")</f>
        <v>5.3454553217080258E-2</v>
      </c>
      <c r="AI6" s="76">
        <f>IFERROR(Inv_SY!W8/Inv_SY!$Y8-1,"")</f>
        <v>-9.8705799801569016E-2</v>
      </c>
      <c r="AJ6" s="76">
        <f>IFERROR(Inv_SY!X8/Inv_SY!$Y8-1,"")</f>
        <v>4.5251246584489202E-2</v>
      </c>
      <c r="AK6" s="76">
        <f>IFERROR(Inv_SY!V8/Inv_SY!$Z8-1,"")</f>
        <v>0</v>
      </c>
      <c r="AL6" s="76">
        <f>IFERROR(Inv_SY!W8/Inv_SY!$Z8-1,"")</f>
        <v>-0.14443940894647611</v>
      </c>
      <c r="AM6" s="76">
        <f>IFERROR(Inv_SY!X8/Inv_SY!$Z8-1,"")</f>
        <v>-7.7870531837747059E-3</v>
      </c>
    </row>
    <row r="7" spans="1:39" x14ac:dyDescent="0.25">
      <c r="A7" s="123">
        <f>YEAR(Inv_SY_D[[#This Row],[Date]])+IF(MONTH(Inv_SY_D[[#This Row],[Date]])&gt;=4,1,0)</f>
        <v>2026</v>
      </c>
      <c r="B7" s="123">
        <v>4</v>
      </c>
      <c r="C7" s="123">
        <f>YEAR(Inv_SY_D[[#This Row],[Month Year]])</f>
        <v>2025</v>
      </c>
      <c r="D7" s="123" t="s">
        <v>4</v>
      </c>
      <c r="E7" s="123" t="s">
        <v>4</v>
      </c>
      <c r="F7" s="74" t="str">
        <f>TEXT(Inv_SY_D[[#This Row],[Date]],"mmm-yy")</f>
        <v>Apr-25</v>
      </c>
      <c r="G7" s="75">
        <f>DAY(EOMONTH(Inv_SY_D[[#This Row],[Month Year]],0))</f>
        <v>30</v>
      </c>
      <c r="H7" s="73">
        <f t="shared" si="0"/>
        <v>45750</v>
      </c>
      <c r="I7" s="124">
        <v>7.0991999999999997</v>
      </c>
      <c r="J7" s="76">
        <f>IFERROR(Inv_SY!J9/Inv_SY!$Y9-1,"")</f>
        <v>0.11646169228729075</v>
      </c>
      <c r="K7" s="76">
        <f>IFERROR(Inv_SY!K9/Inv_SY!$Y9-1,"")</f>
        <v>-0.12207018262275349</v>
      </c>
      <c r="L7" s="76">
        <f>IFERROR(Inv_SY!L9/Inv_SY!$Y9-1,"")</f>
        <v>4.6755946494957179E-2</v>
      </c>
      <c r="M7" s="76">
        <f>IFERROR(Inv_SY!M9/Inv_SY!$Y9-1,"")</f>
        <v>5.1715268511889345E-2</v>
      </c>
      <c r="N7" s="76">
        <f>IFERROR(Inv_SY!N9/Inv_SY!$Y9-1,"")</f>
        <v>0.17079186176591077</v>
      </c>
      <c r="O7" s="76">
        <f>IFERROR(Inv_SY!O9/Inv_SY!$Y9-1,"")</f>
        <v>-1</v>
      </c>
      <c r="P7" s="76">
        <f>IFERROR(Inv_SY!P9/Inv_SY!$Y9-1,"")</f>
        <v>0.13585688719755318</v>
      </c>
      <c r="Q7" s="76">
        <f>IFERROR(Inv_SY!Q9/Inv_SY!$Y9-1,"")</f>
        <v>0.6995708465385333</v>
      </c>
      <c r="R7" s="76">
        <f>IFERROR(Inv_SY!R9/Inv_SY!$Y9-1,"")</f>
        <v>6.3053748927396569E-2</v>
      </c>
      <c r="S7" s="76">
        <f>IFERROR(Inv_SY!S9/Inv_SY!$Y9-1,"")</f>
        <v>-0.1188484147959058</v>
      </c>
      <c r="T7" s="76">
        <f>IFERROR(Inv_SY!T9/Inv_SY!$Y9-1,"")</f>
        <v>0.30840512840090661</v>
      </c>
      <c r="U7" s="76">
        <f>IFERROR(Inv_SY!U9/Inv_SY!$Y9-1,"")</f>
        <v>-0.12449538200381827</v>
      </c>
      <c r="V7" s="76">
        <f>IFERROR(Inv_SY!J9/Inv_SY!$Z9-1,"")</f>
        <v>9.8545958522656907E-2</v>
      </c>
      <c r="W7" s="76">
        <f>IFERROR(Inv_SY!K9/Inv_SY!$Z9-1,"")</f>
        <v>-0.13615822252669407</v>
      </c>
      <c r="X7" s="76">
        <f>IFERROR(Inv_SY!L9/Inv_SY!$Z9-1,"")</f>
        <v>2.9958772903151187E-2</v>
      </c>
      <c r="Y7" s="76">
        <f>IFERROR(Inv_SY!M9/Inv_SY!$Z9-1,"")</f>
        <v>3.4838513243862668E-2</v>
      </c>
      <c r="Z7" s="76">
        <f>IFERROR(Inv_SY!N9/Inv_SY!$Z9-1,"")</f>
        <v>0.15200429795239079</v>
      </c>
      <c r="AA7" s="76">
        <f>IFERROR(Inv_SY!O9/Inv_SY!$Z9-1,"")</f>
        <v>-1</v>
      </c>
      <c r="AB7" s="76">
        <f>IFERROR(Inv_SY!P9/Inv_SY!$Z9-1,"")</f>
        <v>0.11762992094664071</v>
      </c>
      <c r="AC7" s="76">
        <f>IFERROR(Inv_SY!Q9/Inv_SY!$Z9-1,"")</f>
        <v>0.67229802651159898</v>
      </c>
      <c r="AD7" s="76">
        <f>IFERROR(Inv_SY!R9/Inv_SY!$Z9-1,"")</f>
        <v>4.5995046354036395E-2</v>
      </c>
      <c r="AE7" s="76">
        <f>IFERROR(Inv_SY!S9/Inv_SY!$Z9-1,"")</f>
        <v>-0.13298815404164743</v>
      </c>
      <c r="AF7" s="76">
        <f>IFERROR(Inv_SY!T9/Inv_SY!$Z9-1,"")</f>
        <v>0.28740930015292743</v>
      </c>
      <c r="AG7" s="76">
        <f>IFERROR(Inv_SY!U9/Inv_SY!$Z9-1,"")</f>
        <v>-0.13854450500918769</v>
      </c>
      <c r="AH7" s="76">
        <f>IFERROR(Inv_SY!V9/Inv_SY!$Y9-1,"")</f>
        <v>1.630858829859716E-2</v>
      </c>
      <c r="AI7" s="76">
        <f>IFERROR(Inv_SY!W9/Inv_SY!$Y9-1,"")</f>
        <v>-2.0713789873670119E-2</v>
      </c>
      <c r="AJ7" s="76">
        <f>IFERROR(Inv_SY!X9/Inv_SY!$Y9-1,"")</f>
        <v>4.405201575073292E-3</v>
      </c>
      <c r="AK7" s="76">
        <f>IFERROR(Inv_SY!V9/Inv_SY!$Z9-1,"")</f>
        <v>0</v>
      </c>
      <c r="AL7" s="76">
        <f>IFERROR(Inv_SY!W9/Inv_SY!$Z9-1,"")</f>
        <v>-3.6428284281496248E-2</v>
      </c>
      <c r="AM7" s="76">
        <f>IFERROR(Inv_SY!X9/Inv_SY!$Z9-1,"")</f>
        <v>-1.1712374430930872E-2</v>
      </c>
    </row>
    <row r="8" spans="1:39" x14ac:dyDescent="0.25">
      <c r="A8" s="123">
        <f>YEAR(Inv_SY_D[[#This Row],[Date]])+IF(MONTH(Inv_SY_D[[#This Row],[Date]])&gt;=4,1,0)</f>
        <v>2026</v>
      </c>
      <c r="B8" s="123">
        <v>4</v>
      </c>
      <c r="C8" s="123">
        <f>YEAR(Inv_SY_D[[#This Row],[Month Year]])</f>
        <v>2025</v>
      </c>
      <c r="D8" s="123" t="s">
        <v>4</v>
      </c>
      <c r="E8" s="123" t="s">
        <v>4</v>
      </c>
      <c r="F8" s="74" t="str">
        <f>TEXT(Inv_SY_D[[#This Row],[Date]],"mmm-yy")</f>
        <v>Apr-25</v>
      </c>
      <c r="G8" s="75">
        <f>DAY(EOMONTH(Inv_SY_D[[#This Row],[Month Year]],0))</f>
        <v>30</v>
      </c>
      <c r="H8" s="73">
        <f t="shared" si="0"/>
        <v>45751</v>
      </c>
      <c r="I8" s="124">
        <v>7.0991999999999997</v>
      </c>
      <c r="J8" s="76">
        <f>IFERROR(Inv_SY!J10/Inv_SY!$Y10-1,"")</f>
        <v>0.11315379296007277</v>
      </c>
      <c r="K8" s="76">
        <f>IFERROR(Inv_SY!K10/Inv_SY!$Y10-1,"")</f>
        <v>-5.4512740968458484E-2</v>
      </c>
      <c r="L8" s="76">
        <f>IFERROR(Inv_SY!L10/Inv_SY!$Y10-1,"")</f>
        <v>0.10861762073343595</v>
      </c>
      <c r="M8" s="76">
        <f>IFERROR(Inv_SY!M10/Inv_SY!$Y10-1,"")</f>
        <v>0.10445223233239354</v>
      </c>
      <c r="N8" s="76">
        <f>IFERROR(Inv_SY!N10/Inv_SY!$Y10-1,"")</f>
        <v>0.11952460030791934</v>
      </c>
      <c r="O8" s="76">
        <f>IFERROR(Inv_SY!O10/Inv_SY!$Y10-1,"")</f>
        <v>-1</v>
      </c>
      <c r="P8" s="76">
        <f>IFERROR(Inv_SY!P10/Inv_SY!$Y10-1,"")</f>
        <v>0.15073905500768925</v>
      </c>
      <c r="Q8" s="76">
        <f>IFERROR(Inv_SY!Q10/Inv_SY!$Y10-1,"")</f>
        <v>0.6825893775092382</v>
      </c>
      <c r="R8" s="76">
        <f>IFERROR(Inv_SY!R10/Inv_SY!$Y10-1,"")</f>
        <v>2.7982498702193714E-2</v>
      </c>
      <c r="S8" s="76">
        <f>IFERROR(Inv_SY!S10/Inv_SY!$Y10-1,"")</f>
        <v>-0.14616188987717138</v>
      </c>
      <c r="T8" s="76">
        <f>IFERROR(Inv_SY!T10/Inv_SY!$Y10-1,"")</f>
        <v>0.26701010269327208</v>
      </c>
      <c r="U8" s="76">
        <f>IFERROR(Inv_SY!U10/Inv_SY!$Y10-1,"")</f>
        <v>-0.15277633367161381</v>
      </c>
      <c r="V8" s="76">
        <f>IFERROR(Inv_SY!J10/Inv_SY!$Z10-1,"")</f>
        <v>4.8106186542543838E-2</v>
      </c>
      <c r="W8" s="76">
        <f>IFERROR(Inv_SY!K10/Inv_SY!$Z10-1,"")</f>
        <v>-0.10976268350760032</v>
      </c>
      <c r="X8" s="76">
        <f>IFERROR(Inv_SY!L10/Inv_SY!$Z10-1,"")</f>
        <v>4.3835087432943176E-2</v>
      </c>
      <c r="Y8" s="76">
        <f>IFERROR(Inv_SY!M10/Inv_SY!$Z10-1,"")</f>
        <v>3.9913105241357938E-2</v>
      </c>
      <c r="Z8" s="76">
        <f>IFERROR(Inv_SY!N10/Inv_SY!$Z10-1,"")</f>
        <v>5.4104713104442315E-2</v>
      </c>
      <c r="AA8" s="76">
        <f>IFERROR(Inv_SY!O10/Inv_SY!$Z10-1,"")</f>
        <v>-1</v>
      </c>
      <c r="AB8" s="76">
        <f>IFERROR(Inv_SY!P10/Inv_SY!$Z10-1,"")</f>
        <v>8.3495138117847478E-2</v>
      </c>
      <c r="AC8" s="76">
        <f>IFERROR(Inv_SY!Q10/Inv_SY!$Z10-1,"")</f>
        <v>0.58426656507961616</v>
      </c>
      <c r="AD8" s="76">
        <f>IFERROR(Inv_SY!R10/Inv_SY!$Z10-1,"")</f>
        <v>-3.2088087592872294E-2</v>
      </c>
      <c r="AE8" s="76">
        <f>IFERROR(Inv_SY!S10/Inv_SY!$Z10-1,"")</f>
        <v>-0.19605627615408039</v>
      </c>
      <c r="AF8" s="76">
        <f>IFERROR(Inv_SY!T10/Inv_SY!$Z10-1,"")</f>
        <v>0.19297183861130174</v>
      </c>
      <c r="AG8" s="76">
        <f>IFERROR(Inv_SY!U10/Inv_SY!$Z10-1,"")</f>
        <v>-0.20228420216514664</v>
      </c>
      <c r="AH8" s="76">
        <f>IFERROR(Inv_SY!V10/Inv_SY!$Y10-1,"")</f>
        <v>6.2062038420081844E-2</v>
      </c>
      <c r="AI8" s="76">
        <f>IFERROR(Inv_SY!W10/Inv_SY!$Y10-1,"")</f>
        <v>-3.4344692539872268E-2</v>
      </c>
      <c r="AJ8" s="76">
        <f>IFERROR(Inv_SY!X10/Inv_SY!$Y10-1,"")</f>
        <v>-2.7717345880209687E-2</v>
      </c>
      <c r="AK8" s="76">
        <f>IFERROR(Inv_SY!V10/Inv_SY!$Z10-1,"")</f>
        <v>0</v>
      </c>
      <c r="AL8" s="76">
        <f>IFERROR(Inv_SY!W10/Inv_SY!$Z10-1,"")</f>
        <v>-9.0773163405188817E-2</v>
      </c>
      <c r="AM8" s="76">
        <f>IFERROR(Inv_SY!X10/Inv_SY!$Z10-1,"")</f>
        <v>-8.4533088513216059E-2</v>
      </c>
    </row>
    <row r="9" spans="1:39" x14ac:dyDescent="0.25">
      <c r="A9" s="123">
        <f>YEAR(Inv_SY_D[[#This Row],[Date]])+IF(MONTH(Inv_SY_D[[#This Row],[Date]])&gt;=4,1,0)</f>
        <v>2026</v>
      </c>
      <c r="B9" s="123">
        <v>4</v>
      </c>
      <c r="C9" s="123">
        <f>YEAR(Inv_SY_D[[#This Row],[Month Year]])</f>
        <v>2025</v>
      </c>
      <c r="D9" s="123" t="s">
        <v>4</v>
      </c>
      <c r="E9" s="123" t="s">
        <v>4</v>
      </c>
      <c r="F9" s="74" t="str">
        <f>TEXT(Inv_SY_D[[#This Row],[Date]],"mmm-yy")</f>
        <v>Apr-25</v>
      </c>
      <c r="G9" s="75">
        <f>DAY(EOMONTH(Inv_SY_D[[#This Row],[Month Year]],0))</f>
        <v>30</v>
      </c>
      <c r="H9" s="73">
        <f t="shared" si="0"/>
        <v>45752</v>
      </c>
      <c r="I9" s="124">
        <v>7.0991999999999997</v>
      </c>
      <c r="J9" s="76">
        <f>IFERROR(Inv_SY!J11/Inv_SY!$Y11-1,"")</f>
        <v>4.0457768874637035E-2</v>
      </c>
      <c r="K9" s="76">
        <f>IFERROR(Inv_SY!K11/Inv_SY!$Y11-1,"")</f>
        <v>-0.13832163547025145</v>
      </c>
      <c r="L9" s="76">
        <f>IFERROR(Inv_SY!L11/Inv_SY!$Y11-1,"")</f>
        <v>3.6036644570290877E-2</v>
      </c>
      <c r="M9" s="76">
        <f>IFERROR(Inv_SY!M11/Inv_SY!$Y11-1,"")</f>
        <v>5.6734708983400939E-2</v>
      </c>
      <c r="N9" s="76">
        <f>IFERROR(Inv_SY!N11/Inv_SY!$Y11-1,"")</f>
        <v>0.1963677139143758</v>
      </c>
      <c r="O9" s="76">
        <f>IFERROR(Inv_SY!O11/Inv_SY!$Y11-1,"")</f>
        <v>-1</v>
      </c>
      <c r="P9" s="76">
        <f>IFERROR(Inv_SY!P11/Inv_SY!$Y11-1,"")</f>
        <v>0.18432471413422902</v>
      </c>
      <c r="Q9" s="76">
        <f>IFERROR(Inv_SY!Q11/Inv_SY!$Y11-1,"")</f>
        <v>0.76576371293214196</v>
      </c>
      <c r="R9" s="76">
        <f>IFERROR(Inv_SY!R11/Inv_SY!$Y11-1,"")</f>
        <v>5.1878107054504907E-2</v>
      </c>
      <c r="S9" s="76">
        <f>IFERROR(Inv_SY!S11/Inv_SY!$Y11-1,"")</f>
        <v>-0.12621801066527161</v>
      </c>
      <c r="T9" s="76">
        <f>IFERROR(Inv_SY!T11/Inv_SY!$Y11-1,"")</f>
        <v>0.29670058226535678</v>
      </c>
      <c r="U9" s="76">
        <f>IFERROR(Inv_SY!U11/Inv_SY!$Y11-1,"")</f>
        <v>-0.13323508139476081</v>
      </c>
      <c r="V9" s="76">
        <f>IFERROR(Inv_SY!J11/Inv_SY!$Z11-1,"")</f>
        <v>2.7187173841657364E-2</v>
      </c>
      <c r="W9" s="76">
        <f>IFERROR(Inv_SY!K11/Inv_SY!$Z11-1,"")</f>
        <v>-0.1493119754594685</v>
      </c>
      <c r="X9" s="76">
        <f>IFERROR(Inv_SY!L11/Inv_SY!$Z11-1,"")</f>
        <v>2.2822439091975344E-2</v>
      </c>
      <c r="Y9" s="76">
        <f>IFERROR(Inv_SY!M11/Inv_SY!$Z11-1,"")</f>
        <v>4.3256508522290238E-2</v>
      </c>
      <c r="Z9" s="76">
        <f>IFERROR(Inv_SY!N11/Inv_SY!$Z11-1,"")</f>
        <v>0.18110855403606441</v>
      </c>
      <c r="AA9" s="76">
        <f>IFERROR(Inv_SY!O11/Inv_SY!$Z11-1,"")</f>
        <v>-1</v>
      </c>
      <c r="AB9" s="76">
        <f>IFERROR(Inv_SY!P11/Inv_SY!$Z11-1,"")</f>
        <v>0.16921915758115147</v>
      </c>
      <c r="AC9" s="76">
        <f>IFERROR(Inv_SY!Q11/Inv_SY!$Z11-1,"")</f>
        <v>0.74324214996318272</v>
      </c>
      <c r="AD9" s="76">
        <f>IFERROR(Inv_SY!R11/Inv_SY!$Z11-1,"")</f>
        <v>3.8461850479405646E-2</v>
      </c>
      <c r="AE9" s="76">
        <f>IFERROR(Inv_SY!S11/Inv_SY!$Z11-1,"")</f>
        <v>-0.13736272722605458</v>
      </c>
      <c r="AF9" s="76">
        <f>IFERROR(Inv_SY!T11/Inv_SY!$Z11-1,"")</f>
        <v>0.28016171944838297</v>
      </c>
      <c r="AG9" s="76">
        <f>IFERROR(Inv_SY!U11/Inv_SY!$Z11-1,"")</f>
        <v>-0.1442902982115325</v>
      </c>
      <c r="AH9" s="76">
        <f>IFERROR(Inv_SY!V11/Inv_SY!$Y11-1,"")</f>
        <v>-7.8324064201225063E-3</v>
      </c>
      <c r="AI9" s="76">
        <f>IFERROR(Inv_SY!W11/Inv_SY!$Y11-1,"")</f>
        <v>1.2919354301658359E-2</v>
      </c>
      <c r="AJ9" s="76">
        <f>IFERROR(Inv_SY!X11/Inv_SY!$Y11-1,"")</f>
        <v>-5.0869478815362967E-3</v>
      </c>
      <c r="AK9" s="76">
        <f>IFERROR(Inv_SY!V11/Inv_SY!$Z11-1,"")</f>
        <v>-2.0487080865473239E-2</v>
      </c>
      <c r="AL9" s="76">
        <f>IFERROR(Inv_SY!W11/Inv_SY!$Z11-1,"")</f>
        <v>0</v>
      </c>
      <c r="AM9" s="76">
        <f>IFERROR(Inv_SY!X11/Inv_SY!$Z11-1,"")</f>
        <v>-1.7776639479466727E-2</v>
      </c>
    </row>
    <row r="10" spans="1:39" x14ac:dyDescent="0.25">
      <c r="A10" s="123">
        <f>YEAR(Inv_SY_D[[#This Row],[Date]])+IF(MONTH(Inv_SY_D[[#This Row],[Date]])&gt;=4,1,0)</f>
        <v>2026</v>
      </c>
      <c r="B10" s="123">
        <v>4</v>
      </c>
      <c r="C10" s="123">
        <f>YEAR(Inv_SY_D[[#This Row],[Month Year]])</f>
        <v>2025</v>
      </c>
      <c r="D10" s="123" t="s">
        <v>4</v>
      </c>
      <c r="E10" s="123" t="s">
        <v>4</v>
      </c>
      <c r="F10" s="74" t="str">
        <f>TEXT(Inv_SY_D[[#This Row],[Date]],"mmm-yy")</f>
        <v>Apr-25</v>
      </c>
      <c r="G10" s="75">
        <f>DAY(EOMONTH(Inv_SY_D[[#This Row],[Month Year]],0))</f>
        <v>30</v>
      </c>
      <c r="H10" s="73">
        <f t="shared" si="0"/>
        <v>45753</v>
      </c>
      <c r="I10" s="124">
        <v>7.0991999999999997</v>
      </c>
      <c r="J10" s="76">
        <f>IFERROR(Inv_SY!J12/Inv_SY!$Y12-1,"")</f>
        <v>9.1030350139527982E-2</v>
      </c>
      <c r="K10" s="76">
        <f>IFERROR(Inv_SY!K12/Inv_SY!$Y12-1,"")</f>
        <v>-0.11711858757608518</v>
      </c>
      <c r="L10" s="76">
        <f>IFERROR(Inv_SY!L12/Inv_SY!$Y12-1,"")</f>
        <v>6.1942067228621722E-2</v>
      </c>
      <c r="M10" s="76">
        <f>IFERROR(Inv_SY!M12/Inv_SY!$Y12-1,"")</f>
        <v>5.708087704300624E-2</v>
      </c>
      <c r="N10" s="76">
        <f>IFERROR(Inv_SY!N12/Inv_SY!$Y12-1,"")</f>
        <v>0.10847741772970743</v>
      </c>
      <c r="O10" s="76">
        <f>IFERROR(Inv_SY!O12/Inv_SY!$Y12-1,"")</f>
        <v>-1</v>
      </c>
      <c r="P10" s="76">
        <f>IFERROR(Inv_SY!P12/Inv_SY!$Y12-1,"")</f>
        <v>0.13813380244360962</v>
      </c>
      <c r="Q10" s="76">
        <f>IFERROR(Inv_SY!Q12/Inv_SY!$Y12-1,"")</f>
        <v>0.66559753966275914</v>
      </c>
      <c r="R10" s="76">
        <f>IFERROR(Inv_SY!R12/Inv_SY!$Y12-1,"")</f>
        <v>8.6378690468610575E-2</v>
      </c>
      <c r="S10" s="76">
        <f>IFERROR(Inv_SY!S12/Inv_SY!$Y12-1,"")</f>
        <v>-9.7265384202467331E-2</v>
      </c>
      <c r="T10" s="76">
        <f>IFERROR(Inv_SY!T12/Inv_SY!$Y12-1,"")</f>
        <v>0.33953366650361017</v>
      </c>
      <c r="U10" s="76">
        <f>IFERROR(Inv_SY!U12/Inv_SY!$Y12-1,"")</f>
        <v>-0.10446171956588945</v>
      </c>
      <c r="V10" s="76">
        <f>IFERROR(Inv_SY!J12/Inv_SY!$Z12-1,"")</f>
        <v>6.1534902423831417E-2</v>
      </c>
      <c r="W10" s="76">
        <f>IFERROR(Inv_SY!K12/Inv_SY!$Z12-1,"")</f>
        <v>-0.14098683517889443</v>
      </c>
      <c r="X10" s="76">
        <f>IFERROR(Inv_SY!L12/Inv_SY!$Z12-1,"")</f>
        <v>3.3233006369742135E-2</v>
      </c>
      <c r="Y10" s="76">
        <f>IFERROR(Inv_SY!M12/Inv_SY!$Z12-1,"")</f>
        <v>2.8503235975461783E-2</v>
      </c>
      <c r="Z10" s="76">
        <f>IFERROR(Inv_SY!N12/Inv_SY!$Z12-1,"")</f>
        <v>7.8510297461700462E-2</v>
      </c>
      <c r="AA10" s="76">
        <f>IFERROR(Inv_SY!O12/Inv_SY!$Z12-1,"")</f>
        <v>-1</v>
      </c>
      <c r="AB10" s="76">
        <f>IFERROR(Inv_SY!P12/Inv_SY!$Z12-1,"")</f>
        <v>0.10736493697698979</v>
      </c>
      <c r="AC10" s="76">
        <f>IFERROR(Inv_SY!Q12/Inv_SY!$Z12-1,"")</f>
        <v>0.62056896173160148</v>
      </c>
      <c r="AD10" s="76">
        <f>IFERROR(Inv_SY!R12/Inv_SY!$Z12-1,"")</f>
        <v>5.7008997993909238E-2</v>
      </c>
      <c r="AE10" s="76">
        <f>IFERROR(Inv_SY!S12/Inv_SY!$Z12-1,"")</f>
        <v>-0.12167035300833084</v>
      </c>
      <c r="AF10" s="76">
        <f>IFERROR(Inv_SY!T12/Inv_SY!$Z12-1,"")</f>
        <v>0.3033200586798499</v>
      </c>
      <c r="AG10" s="76">
        <f>IFERROR(Inv_SY!U12/Inv_SY!$Z12-1,"")</f>
        <v>-0.12867213912440234</v>
      </c>
      <c r="AH10" s="76">
        <f>IFERROR(Inv_SY!V12/Inv_SY!$Y12-1,"")</f>
        <v>1.6515899824905533E-2</v>
      </c>
      <c r="AI10" s="76">
        <f>IFERROR(Inv_SY!W12/Inv_SY!$Y12-1,"")</f>
        <v>-4.4301559673064039E-2</v>
      </c>
      <c r="AJ10" s="76">
        <f>IFERROR(Inv_SY!X12/Inv_SY!$Y12-1,"")</f>
        <v>2.7785659848158284E-2</v>
      </c>
      <c r="AK10" s="76">
        <f>IFERROR(Inv_SY!V12/Inv_SY!$Z12-1,"")</f>
        <v>-1.0965087822803365E-2</v>
      </c>
      <c r="AL10" s="76">
        <f>IFERROR(Inv_SY!W12/Inv_SY!$Z12-1,"")</f>
        <v>-7.0138378396787826E-2</v>
      </c>
      <c r="AM10" s="76">
        <f>IFERROR(Inv_SY!X12/Inv_SY!$Z12-1,"")</f>
        <v>0</v>
      </c>
    </row>
    <row r="11" spans="1:39" x14ac:dyDescent="0.25">
      <c r="A11" s="123">
        <f>YEAR(Inv_SY_D[[#This Row],[Date]])+IF(MONTH(Inv_SY_D[[#This Row],[Date]])&gt;=4,1,0)</f>
        <v>2026</v>
      </c>
      <c r="B11" s="123">
        <v>4</v>
      </c>
      <c r="C11" s="123">
        <f>YEAR(Inv_SY_D[[#This Row],[Month Year]])</f>
        <v>2025</v>
      </c>
      <c r="D11" s="123" t="s">
        <v>4</v>
      </c>
      <c r="E11" s="123" t="s">
        <v>4</v>
      </c>
      <c r="F11" s="74" t="str">
        <f>TEXT(Inv_SY_D[[#This Row],[Date]],"mmm-yy")</f>
        <v>Apr-25</v>
      </c>
      <c r="G11" s="75">
        <f>DAY(EOMONTH(Inv_SY_D[[#This Row],[Month Year]],0))</f>
        <v>30</v>
      </c>
      <c r="H11" s="73">
        <f t="shared" si="0"/>
        <v>45754</v>
      </c>
      <c r="I11" s="124">
        <v>7.0991999999999997</v>
      </c>
      <c r="J11" s="76">
        <f>IFERROR(Inv_SY!J13/Inv_SY!$Y13-1,"")</f>
        <v>3.8828323115368324E-2</v>
      </c>
      <c r="K11" s="76">
        <f>IFERROR(Inv_SY!K13/Inv_SY!$Y13-1,"")</f>
        <v>-0.11819820701188088</v>
      </c>
      <c r="L11" s="76">
        <f>IFERROR(Inv_SY!L13/Inv_SY!$Y13-1,"")</f>
        <v>3.4814304546537889E-2</v>
      </c>
      <c r="M11" s="76">
        <f>IFERROR(Inv_SY!M13/Inv_SY!$Y13-1,"")</f>
        <v>2.9784506482817497E-2</v>
      </c>
      <c r="N11" s="76">
        <f>IFERROR(Inv_SY!N13/Inv_SY!$Y13-1,"")</f>
        <v>0.16963459983914353</v>
      </c>
      <c r="O11" s="76">
        <f>IFERROR(Inv_SY!O13/Inv_SY!$Y13-1,"")</f>
        <v>-1</v>
      </c>
      <c r="P11" s="76">
        <f>IFERROR(Inv_SY!P13/Inv_SY!$Y13-1,"")</f>
        <v>0.19942159242892288</v>
      </c>
      <c r="Q11" s="76">
        <f>IFERROR(Inv_SY!Q13/Inv_SY!$Y13-1,"")</f>
        <v>0.75700010983401289</v>
      </c>
      <c r="R11" s="76">
        <f>IFERROR(Inv_SY!R13/Inv_SY!$Y13-1,"")</f>
        <v>5.8356322193748866E-2</v>
      </c>
      <c r="S11" s="76">
        <f>IFERROR(Inv_SY!S13/Inv_SY!$Y13-1,"")</f>
        <v>-0.1205772782535578</v>
      </c>
      <c r="T11" s="76">
        <f>IFERROR(Inv_SY!T13/Inv_SY!$Y13-1,"")</f>
        <v>0.30517091177674516</v>
      </c>
      <c r="U11" s="76">
        <f>IFERROR(Inv_SY!U13/Inv_SY!$Y13-1,"")</f>
        <v>-0.12766996742421877</v>
      </c>
      <c r="V11" s="76">
        <f>IFERROR(Inv_SY!J13/Inv_SY!$Z13-1,"")</f>
        <v>3.0679457933606047E-2</v>
      </c>
      <c r="W11" s="76">
        <f>IFERROR(Inv_SY!K13/Inv_SY!$Z13-1,"")</f>
        <v>-0.12511531137667831</v>
      </c>
      <c r="X11" s="76">
        <f>IFERROR(Inv_SY!L13/Inv_SY!$Z13-1,"")</f>
        <v>2.6696926469455429E-2</v>
      </c>
      <c r="Y11" s="76">
        <f>IFERROR(Inv_SY!M13/Inv_SY!$Z13-1,"")</f>
        <v>2.1706583574024885E-2</v>
      </c>
      <c r="Z11" s="76">
        <f>IFERROR(Inv_SY!N13/Inv_SY!$Z13-1,"")</f>
        <v>0.16045965297455433</v>
      </c>
      <c r="AA11" s="76">
        <f>IFERROR(Inv_SY!O13/Inv_SY!$Z13-1,"")</f>
        <v>-1</v>
      </c>
      <c r="AB11" s="76">
        <f>IFERROR(Inv_SY!P13/Inv_SY!$Z13-1,"")</f>
        <v>0.19001298791235866</v>
      </c>
      <c r="AC11" s="76">
        <f>IFERROR(Inv_SY!Q13/Inv_SY!$Z13-1,"")</f>
        <v>0.74321770065167381</v>
      </c>
      <c r="AD11" s="76">
        <f>IFERROR(Inv_SY!R13/Inv_SY!$Z13-1,"")</f>
        <v>5.005427382645089E-2</v>
      </c>
      <c r="AE11" s="76">
        <f>IFERROR(Inv_SY!S13/Inv_SY!$Z13-1,"")</f>
        <v>-0.12747572050607459</v>
      </c>
      <c r="AF11" s="76">
        <f>IFERROR(Inv_SY!T13/Inv_SY!$Z13-1,"")</f>
        <v>0.29493277948619401</v>
      </c>
      <c r="AG11" s="76">
        <f>IFERROR(Inv_SY!U13/Inv_SY!$Z13-1,"")</f>
        <v>-0.13451277260317707</v>
      </c>
      <c r="AH11" s="76">
        <f>IFERROR(Inv_SY!V13/Inv_SY!$Y13-1,"")</f>
        <v>-9.1786605895990414E-3</v>
      </c>
      <c r="AI11" s="76">
        <f>IFERROR(Inv_SY!W13/Inv_SY!$Y13-1,"")</f>
        <v>7.9063040589748557E-3</v>
      </c>
      <c r="AJ11" s="76">
        <f>IFERROR(Inv_SY!X13/Inv_SY!$Y13-1,"")</f>
        <v>1.2723565306242968E-3</v>
      </c>
      <c r="AK11" s="76">
        <f>IFERROR(Inv_SY!V13/Inv_SY!$Z13-1,"")</f>
        <v>-1.6950945320780675E-2</v>
      </c>
      <c r="AL11" s="76">
        <f>IFERROR(Inv_SY!W13/Inv_SY!$Z13-1,"")</f>
        <v>0</v>
      </c>
      <c r="AM11" s="76">
        <f>IFERROR(Inv_SY!X13/Inv_SY!$Z13-1,"")</f>
        <v>-6.581908954864879E-3</v>
      </c>
    </row>
    <row r="12" spans="1:39" x14ac:dyDescent="0.25">
      <c r="A12" s="123">
        <f>YEAR(Inv_SY_D[[#This Row],[Date]])+IF(MONTH(Inv_SY_D[[#This Row],[Date]])&gt;=4,1,0)</f>
        <v>2026</v>
      </c>
      <c r="B12" s="123">
        <v>4</v>
      </c>
      <c r="C12" s="123">
        <f>YEAR(Inv_SY_D[[#This Row],[Month Year]])</f>
        <v>2025</v>
      </c>
      <c r="D12" s="123" t="s">
        <v>4</v>
      </c>
      <c r="E12" s="123" t="s">
        <v>4</v>
      </c>
      <c r="F12" s="74" t="str">
        <f>TEXT(Inv_SY_D[[#This Row],[Date]],"mmm-yy")</f>
        <v>Apr-25</v>
      </c>
      <c r="G12" s="75">
        <f>DAY(EOMONTH(Inv_SY_D[[#This Row],[Month Year]],0))</f>
        <v>30</v>
      </c>
      <c r="H12" s="73">
        <f t="shared" si="0"/>
        <v>45755</v>
      </c>
      <c r="I12" s="124">
        <v>7.0991999999999997</v>
      </c>
      <c r="J12" s="76">
        <f>IFERROR(Inv_SY!J14/Inv_SY!$Y14-1,"")</f>
        <v>4.0267684459313946E-2</v>
      </c>
      <c r="K12" s="76">
        <f>IFERROR(Inv_SY!K14/Inv_SY!$Y14-1,"")</f>
        <v>-0.13875521338969765</v>
      </c>
      <c r="L12" s="76">
        <f>IFERROR(Inv_SY!L14/Inv_SY!$Y14-1,"")</f>
        <v>5.9949942313039184E-2</v>
      </c>
      <c r="M12" s="76">
        <f>IFERROR(Inv_SY!M14/Inv_SY!$Y14-1,"")</f>
        <v>3.2370991358834811E-2</v>
      </c>
      <c r="N12" s="76">
        <f>IFERROR(Inv_SY!N14/Inv_SY!$Y14-1,"")</f>
        <v>0.17093586239902137</v>
      </c>
      <c r="O12" s="76">
        <f>IFERROR(Inv_SY!O14/Inv_SY!$Y14-1,"")</f>
        <v>-1</v>
      </c>
      <c r="P12" s="76">
        <f>IFERROR(Inv_SY!P14/Inv_SY!$Y14-1,"")</f>
        <v>0.17962362050691305</v>
      </c>
      <c r="Q12" s="76">
        <f>IFERROR(Inv_SY!Q14/Inv_SY!$Y14-1,"")</f>
        <v>0.78968789291251307</v>
      </c>
      <c r="R12" s="76">
        <f>IFERROR(Inv_SY!R14/Inv_SY!$Y14-1,"")</f>
        <v>5.6149158000446064E-2</v>
      </c>
      <c r="S12" s="76">
        <f>IFERROR(Inv_SY!S14/Inv_SY!$Y14-1,"")</f>
        <v>-0.12291823094519294</v>
      </c>
      <c r="T12" s="76">
        <f>IFERROR(Inv_SY!T14/Inv_SY!$Y14-1,"")</f>
        <v>0.3024797616505166</v>
      </c>
      <c r="U12" s="76">
        <f>IFERROR(Inv_SY!U14/Inv_SY!$Y14-1,"")</f>
        <v>-0.12887206225450754</v>
      </c>
      <c r="V12" s="76">
        <f>IFERROR(Inv_SY!J14/Inv_SY!$Z14-1,"")</f>
        <v>3.1085849062098214E-2</v>
      </c>
      <c r="W12" s="76">
        <f>IFERROR(Inv_SY!K14/Inv_SY!$Z14-1,"")</f>
        <v>-0.14635691820616148</v>
      </c>
      <c r="X12" s="76">
        <f>IFERROR(Inv_SY!L14/Inv_SY!$Z14-1,"")</f>
        <v>5.0594383118998554E-2</v>
      </c>
      <c r="Y12" s="76">
        <f>IFERROR(Inv_SY!M14/Inv_SY!$Z14-1,"")</f>
        <v>2.3258855460425165E-2</v>
      </c>
      <c r="Z12" s="76">
        <f>IFERROR(Inv_SY!N14/Inv_SY!$Z14-1,"")</f>
        <v>0.1606006952974568</v>
      </c>
      <c r="AA12" s="76">
        <f>IFERROR(Inv_SY!O14/Inv_SY!$Z14-1,"")</f>
        <v>-1</v>
      </c>
      <c r="AB12" s="76">
        <f>IFERROR(Inv_SY!P14/Inv_SY!$Z14-1,"")</f>
        <v>0.16921177163765599</v>
      </c>
      <c r="AC12" s="76">
        <f>IFERROR(Inv_SY!Q14/Inv_SY!$Z14-1,"")</f>
        <v>0.77389136295142569</v>
      </c>
      <c r="AD12" s="76">
        <f>IFERROR(Inv_SY!R14/Inv_SY!$Z14-1,"")</f>
        <v>4.682714611010419E-2</v>
      </c>
      <c r="AE12" s="76">
        <f>IFERROR(Inv_SY!S14/Inv_SY!$Z14-1,"")</f>
        <v>-0.13065971955785294</v>
      </c>
      <c r="AF12" s="76">
        <f>IFERROR(Inv_SY!T14/Inv_SY!$Z14-1,"")</f>
        <v>0.29098353336395233</v>
      </c>
      <c r="AG12" s="76">
        <f>IFERROR(Inv_SY!U14/Inv_SY!$Z14-1,"")</f>
        <v>-0.13656099987487824</v>
      </c>
      <c r="AH12" s="76">
        <f>IFERROR(Inv_SY!V14/Inv_SY!$Y14-1,"")</f>
        <v>-8.1270846386497508E-3</v>
      </c>
      <c r="AI12" s="76">
        <f>IFERROR(Inv_SY!W14/Inv_SY!$Y14-1,"")</f>
        <v>8.9050154316130392E-3</v>
      </c>
      <c r="AJ12" s="76">
        <f>IFERROR(Inv_SY!X14/Inv_SY!$Y14-1,"")</f>
        <v>-7.779307929633994E-4</v>
      </c>
      <c r="AK12" s="76">
        <f>IFERROR(Inv_SY!V14/Inv_SY!$Z14-1,"")</f>
        <v>-1.6881767668660452E-2</v>
      </c>
      <c r="AL12" s="76">
        <f>IFERROR(Inv_SY!W14/Inv_SY!$Z14-1,"")</f>
        <v>0</v>
      </c>
      <c r="AM12" s="76">
        <f>IFERROR(Inv_SY!X14/Inv_SY!$Z14-1,"")</f>
        <v>-9.5974805125079721E-3</v>
      </c>
    </row>
    <row r="13" spans="1:39" x14ac:dyDescent="0.25">
      <c r="A13" s="123">
        <f>YEAR(Inv_SY_D[[#This Row],[Date]])+IF(MONTH(Inv_SY_D[[#This Row],[Date]])&gt;=4,1,0)</f>
        <v>2026</v>
      </c>
      <c r="B13" s="123">
        <v>4</v>
      </c>
      <c r="C13" s="123">
        <f>YEAR(Inv_SY_D[[#This Row],[Month Year]])</f>
        <v>2025</v>
      </c>
      <c r="D13" s="123" t="s">
        <v>4</v>
      </c>
      <c r="E13" s="123" t="s">
        <v>4</v>
      </c>
      <c r="F13" s="74" t="str">
        <f>TEXT(Inv_SY_D[[#This Row],[Date]],"mmm-yy")</f>
        <v>Apr-25</v>
      </c>
      <c r="G13" s="75">
        <f>DAY(EOMONTH(Inv_SY_D[[#This Row],[Month Year]],0))</f>
        <v>30</v>
      </c>
      <c r="H13" s="73">
        <f t="shared" ref="H13:H76" si="1">H12+1</f>
        <v>45756</v>
      </c>
      <c r="I13" s="124">
        <v>7.0991999999999997</v>
      </c>
      <c r="J13" s="76">
        <f>IFERROR(Inv_SY!J15/Inv_SY!$Y15-1,"")</f>
        <v>6.9890755980038577E-2</v>
      </c>
      <c r="K13" s="76">
        <f>IFERROR(Inv_SY!K15/Inv_SY!$Y15-1,"")</f>
        <v>-0.14249598323746393</v>
      </c>
      <c r="L13" s="76">
        <f>IFERROR(Inv_SY!L15/Inv_SY!$Y15-1,"")</f>
        <v>3.0978656411447369E-2</v>
      </c>
      <c r="M13" s="76">
        <f>IFERROR(Inv_SY!M15/Inv_SY!$Y15-1,"")</f>
        <v>2.64787693555113E-2</v>
      </c>
      <c r="N13" s="76">
        <f>IFERROR(Inv_SY!N15/Inv_SY!$Y15-1,"")</f>
        <v>0.16886887484212254</v>
      </c>
      <c r="O13" s="76">
        <f>IFERROR(Inv_SY!O15/Inv_SY!$Y15-1,"")</f>
        <v>-1</v>
      </c>
      <c r="P13" s="76">
        <f>IFERROR(Inv_SY!P15/Inv_SY!$Y15-1,"")</f>
        <v>0.20704161753111361</v>
      </c>
      <c r="Q13" s="76">
        <f>IFERROR(Inv_SY!Q15/Inv_SY!$Y15-1,"")</f>
        <v>0.7565335254429546</v>
      </c>
      <c r="R13" s="76">
        <f>IFERROR(Inv_SY!R15/Inv_SY!$Y15-1,"")</f>
        <v>5.7737052043169257E-2</v>
      </c>
      <c r="S13" s="76">
        <f>IFERROR(Inv_SY!S15/Inv_SY!$Y15-1,"")</f>
        <v>-0.12136766087966899</v>
      </c>
      <c r="T13" s="76">
        <f>IFERROR(Inv_SY!T15/Inv_SY!$Y15-1,"")</f>
        <v>0.30400987752317565</v>
      </c>
      <c r="U13" s="76">
        <f>IFERROR(Inv_SY!U15/Inv_SY!$Y15-1,"")</f>
        <v>-0.12770843997436454</v>
      </c>
      <c r="V13" s="76">
        <f>IFERROR(Inv_SY!J15/Inv_SY!$Z15-1,"")</f>
        <v>5.9552989290716285E-2</v>
      </c>
      <c r="W13" s="76">
        <f>IFERROR(Inv_SY!K15/Inv_SY!$Z15-1,"")</f>
        <v>-0.15078157352871546</v>
      </c>
      <c r="X13" s="76">
        <f>IFERROR(Inv_SY!L15/Inv_SY!$Z15-1,"")</f>
        <v>2.1016875966032078E-2</v>
      </c>
      <c r="Y13" s="76">
        <f>IFERROR(Inv_SY!M15/Inv_SY!$Z15-1,"")</f>
        <v>1.6560468846951615E-2</v>
      </c>
      <c r="Z13" s="76">
        <f>IFERROR(Inv_SY!N15/Inv_SY!$Z15-1,"")</f>
        <v>0.15757473695842816</v>
      </c>
      <c r="AA13" s="76">
        <f>IFERROR(Inv_SY!O15/Inv_SY!$Z15-1,"")</f>
        <v>-1</v>
      </c>
      <c r="AB13" s="76">
        <f>IFERROR(Inv_SY!P15/Inv_SY!$Z15-1,"")</f>
        <v>0.1953786374029145</v>
      </c>
      <c r="AC13" s="76">
        <f>IFERROR(Inv_SY!Q15/Inv_SY!$Z15-1,"")</f>
        <v>0.73956110684179688</v>
      </c>
      <c r="AD13" s="76">
        <f>IFERROR(Inv_SY!R15/Inv_SY!$Z15-1,"")</f>
        <v>4.7516719919019179E-2</v>
      </c>
      <c r="AE13" s="76">
        <f>IFERROR(Inv_SY!S15/Inv_SY!$Z15-1,"")</f>
        <v>-0.12985740254418066</v>
      </c>
      <c r="AF13" s="76">
        <f>IFERROR(Inv_SY!T15/Inv_SY!$Z15-1,"")</f>
        <v>0.29140994636286011</v>
      </c>
      <c r="AG13" s="76">
        <f>IFERROR(Inv_SY!U15/Inv_SY!$Z15-1,"")</f>
        <v>-0.13613691417344287</v>
      </c>
      <c r="AH13" s="76">
        <f>IFERROR(Inv_SY!V15/Inv_SY!$Y15-1,"")</f>
        <v>-1.042343651276012E-2</v>
      </c>
      <c r="AI13" s="76">
        <f>IFERROR(Inv_SY!W15/Inv_SY!$Y15-1,"")</f>
        <v>9.7567245751839504E-3</v>
      </c>
      <c r="AJ13" s="76">
        <f>IFERROR(Inv_SY!X15/Inv_SY!$Y15-1,"")</f>
        <v>6.6671193757650293E-4</v>
      </c>
      <c r="AK13" s="76">
        <f>IFERROR(Inv_SY!V15/Inv_SY!$Z15-1,"")</f>
        <v>-1.9985171276214242E-2</v>
      </c>
      <c r="AL13" s="76">
        <f>IFERROR(Inv_SY!W15/Inv_SY!$Z15-1,"")</f>
        <v>0</v>
      </c>
      <c r="AM13" s="76">
        <f>IFERROR(Inv_SY!X15/Inv_SY!$Z15-1,"")</f>
        <v>-9.0021808385895019E-3</v>
      </c>
    </row>
    <row r="14" spans="1:39" x14ac:dyDescent="0.25">
      <c r="A14" s="123">
        <f>YEAR(Inv_SY_D[[#This Row],[Date]])+IF(MONTH(Inv_SY_D[[#This Row],[Date]])&gt;=4,1,0)</f>
        <v>2026</v>
      </c>
      <c r="B14" s="123">
        <v>4</v>
      </c>
      <c r="C14" s="123">
        <f>YEAR(Inv_SY_D[[#This Row],[Month Year]])</f>
        <v>2025</v>
      </c>
      <c r="D14" s="123" t="s">
        <v>4</v>
      </c>
      <c r="E14" s="123" t="s">
        <v>4</v>
      </c>
      <c r="F14" s="74" t="str">
        <f>TEXT(Inv_SY_D[[#This Row],[Date]],"mmm-yy")</f>
        <v>Apr-25</v>
      </c>
      <c r="G14" s="75">
        <f>DAY(EOMONTH(Inv_SY_D[[#This Row],[Month Year]],0))</f>
        <v>30</v>
      </c>
      <c r="H14" s="73">
        <f t="shared" si="1"/>
        <v>45757</v>
      </c>
      <c r="I14" s="124">
        <v>7.0991999999999997</v>
      </c>
      <c r="J14" s="76">
        <f>IFERROR(Inv_SY!J16/Inv_SY!$Y16-1,"")</f>
        <v>2.9867681775595623E-2</v>
      </c>
      <c r="K14" s="76">
        <f>IFERROR(Inv_SY!K16/Inv_SY!$Y16-1,"")</f>
        <v>-0.11647506298773003</v>
      </c>
      <c r="L14" s="76">
        <f>IFERROR(Inv_SY!L16/Inv_SY!$Y16-1,"")</f>
        <v>2.4795870954635868E-2</v>
      </c>
      <c r="M14" s="76">
        <f>IFERROR(Inv_SY!M16/Inv_SY!$Y16-1,"")</f>
        <v>2.1052837138429314E-2</v>
      </c>
      <c r="N14" s="76">
        <f>IFERROR(Inv_SY!N16/Inv_SY!$Y16-1,"")</f>
        <v>0.16897398672851183</v>
      </c>
      <c r="O14" s="76">
        <f>IFERROR(Inv_SY!O16/Inv_SY!$Y16-1,"")</f>
        <v>-1</v>
      </c>
      <c r="P14" s="76">
        <f>IFERROR(Inv_SY!P16/Inv_SY!$Y16-1,"")</f>
        <v>0.20795798331197601</v>
      </c>
      <c r="Q14" s="76">
        <f>IFERROR(Inv_SY!Q16/Inv_SY!$Y16-1,"")</f>
        <v>0.75695076041190101</v>
      </c>
      <c r="R14" s="76">
        <f>IFERROR(Inv_SY!R16/Inv_SY!$Y16-1,"")</f>
        <v>6.245804252147491E-2</v>
      </c>
      <c r="S14" s="76">
        <f>IFERROR(Inv_SY!S16/Inv_SY!$Y16-1,"")</f>
        <v>-0.11792944288994167</v>
      </c>
      <c r="T14" s="76">
        <f>IFERROR(Inv_SY!T16/Inv_SY!$Y16-1,"")</f>
        <v>0.31026044790063056</v>
      </c>
      <c r="U14" s="76">
        <f>IFERROR(Inv_SY!U16/Inv_SY!$Y16-1,"")</f>
        <v>-0.12354256969713873</v>
      </c>
      <c r="V14" s="76">
        <f>IFERROR(Inv_SY!J16/Inv_SY!$Z16-1,"")</f>
        <v>1.9544082428292864E-2</v>
      </c>
      <c r="W14" s="76">
        <f>IFERROR(Inv_SY!K16/Inv_SY!$Z16-1,"")</f>
        <v>-0.12533169343110873</v>
      </c>
      <c r="X14" s="76">
        <f>IFERROR(Inv_SY!L16/Inv_SY!$Z16-1,"")</f>
        <v>1.4523112452043074E-2</v>
      </c>
      <c r="Y14" s="76">
        <f>IFERROR(Inv_SY!M16/Inv_SY!$Z16-1,"")</f>
        <v>1.0817599554441504E-2</v>
      </c>
      <c r="Z14" s="76">
        <f>IFERROR(Inv_SY!N16/Inv_SY!$Z16-1,"")</f>
        <v>0.15725595799534697</v>
      </c>
      <c r="AA14" s="76">
        <f>IFERROR(Inv_SY!O16/Inv_SY!$Z16-1,"")</f>
        <v>-1</v>
      </c>
      <c r="AB14" s="76">
        <f>IFERROR(Inv_SY!P16/Inv_SY!$Z16-1,"")</f>
        <v>0.19584917121041712</v>
      </c>
      <c r="AC14" s="76">
        <f>IFERROR(Inv_SY!Q16/Inv_SY!$Z16-1,"")</f>
        <v>0.73933873505718783</v>
      </c>
      <c r="AD14" s="76">
        <f>IFERROR(Inv_SY!R16/Inv_SY!$Z16-1,"")</f>
        <v>5.1807750888475335E-2</v>
      </c>
      <c r="AE14" s="76">
        <f>IFERROR(Inv_SY!S16/Inv_SY!$Z16-1,"")</f>
        <v>-0.12677149433868351</v>
      </c>
      <c r="AF14" s="76">
        <f>IFERROR(Inv_SY!T16/Inv_SY!$Z16-1,"")</f>
        <v>0.29712613546019906</v>
      </c>
      <c r="AG14" s="76">
        <f>IFERROR(Inv_SY!U16/Inv_SY!$Z16-1,"")</f>
        <v>-0.13232835404160248</v>
      </c>
      <c r="AH14" s="76">
        <f>IFERROR(Inv_SY!V16/Inv_SY!$Y16-1,"")</f>
        <v>-1.5281170099613273E-2</v>
      </c>
      <c r="AI14" s="76">
        <f>IFERROR(Inv_SY!W16/Inv_SY!$Y16-1,"")</f>
        <v>1.0125701796742881E-2</v>
      </c>
      <c r="AJ14" s="76">
        <f>IFERROR(Inv_SY!X16/Inv_SY!$Y16-1,"")</f>
        <v>5.1554683028705028E-3</v>
      </c>
      <c r="AK14" s="76">
        <f>IFERROR(Inv_SY!V16/Inv_SY!$Z16-1,"")</f>
        <v>-2.5152188337713044E-2</v>
      </c>
      <c r="AL14" s="76">
        <f>IFERROR(Inv_SY!W16/Inv_SY!$Z16-1,"")</f>
        <v>0</v>
      </c>
      <c r="AM14" s="76">
        <f>IFERROR(Inv_SY!X16/Inv_SY!$Z16-1,"")</f>
        <v>-4.9204108805781521E-3</v>
      </c>
    </row>
    <row r="15" spans="1:39" x14ac:dyDescent="0.25">
      <c r="A15" s="123">
        <f>YEAR(Inv_SY_D[[#This Row],[Date]])+IF(MONTH(Inv_SY_D[[#This Row],[Date]])&gt;=4,1,0)</f>
        <v>2026</v>
      </c>
      <c r="B15" s="123">
        <v>4</v>
      </c>
      <c r="C15" s="123">
        <f>YEAR(Inv_SY_D[[#This Row],[Month Year]])</f>
        <v>2025</v>
      </c>
      <c r="D15" s="123" t="s">
        <v>4</v>
      </c>
      <c r="E15" s="123" t="s">
        <v>4</v>
      </c>
      <c r="F15" s="74" t="str">
        <f>TEXT(Inv_SY_D[[#This Row],[Date]],"mmm-yy")</f>
        <v>Apr-25</v>
      </c>
      <c r="G15" s="75">
        <f>DAY(EOMONTH(Inv_SY_D[[#This Row],[Month Year]],0))</f>
        <v>30</v>
      </c>
      <c r="H15" s="73">
        <f t="shared" si="1"/>
        <v>45758</v>
      </c>
      <c r="I15" s="124">
        <v>7.0991999999999997</v>
      </c>
      <c r="J15" s="76">
        <f>IFERROR(Inv_SY!J17/Inv_SY!$Y17-1,"")</f>
        <v>8.3198125155155012E-2</v>
      </c>
      <c r="K15" s="76">
        <f>IFERROR(Inv_SY!K17/Inv_SY!$Y17-1,"")</f>
        <v>-0.10231096387027561</v>
      </c>
      <c r="L15" s="76">
        <f>IFERROR(Inv_SY!L17/Inv_SY!$Y17-1,"")</f>
        <v>7.8520835068596861E-2</v>
      </c>
      <c r="M15" s="76">
        <f>IFERROR(Inv_SY!M17/Inv_SY!$Y17-1,"")</f>
        <v>7.5096959401712349E-2</v>
      </c>
      <c r="N15" s="76">
        <f>IFERROR(Inv_SY!N17/Inv_SY!$Y17-1,"")</f>
        <v>-0.18419218088187228</v>
      </c>
      <c r="O15" s="76">
        <f>IFERROR(Inv_SY!O17/Inv_SY!$Y17-1,"")</f>
        <v>-3.2880550335488534E-2</v>
      </c>
      <c r="P15" s="76">
        <f>IFERROR(Inv_SY!P17/Inv_SY!$Y17-1,"")</f>
        <v>-0.17918164047210861</v>
      </c>
      <c r="Q15" s="76">
        <f>IFERROR(Inv_SY!Q17/Inv_SY!$Y17-1,"")</f>
        <v>0.22630314008650831</v>
      </c>
      <c r="R15" s="76">
        <f>IFERROR(Inv_SY!R17/Inv_SY!$Y17-1,"")</f>
        <v>0.10009619103354184</v>
      </c>
      <c r="S15" s="76">
        <f>IFERROR(Inv_SY!S17/Inv_SY!$Y17-1,"")</f>
        <v>-8.5077475589708573E-2</v>
      </c>
      <c r="T15" s="76">
        <f>IFERROR(Inv_SY!T17/Inv_SY!$Y17-1,"")</f>
        <v>0.35618651289399339</v>
      </c>
      <c r="U15" s="76">
        <f>IFERROR(Inv_SY!U17/Inv_SY!$Y17-1,"")</f>
        <v>-9.3383398703757781E-2</v>
      </c>
      <c r="V15" s="76">
        <f>IFERROR(Inv_SY!J17/Inv_SY!$Z17-1,"")</f>
        <v>4.0663124524614291E-2</v>
      </c>
      <c r="W15" s="76">
        <f>IFERROR(Inv_SY!K17/Inv_SY!$Z17-1,"")</f>
        <v>-0.1375613975915656</v>
      </c>
      <c r="X15" s="76">
        <f>IFERROR(Inv_SY!L17/Inv_SY!$Z17-1,"")</f>
        <v>3.6169502164357326E-2</v>
      </c>
      <c r="Y15" s="76">
        <f>IFERROR(Inv_SY!M17/Inv_SY!$Z17-1,"")</f>
        <v>3.2880075173359113E-2</v>
      </c>
      <c r="Z15" s="76">
        <f>IFERROR(Inv_SY!N17/Inv_SY!$Z17-1,"")</f>
        <v>-0.21622730473847906</v>
      </c>
      <c r="AA15" s="76">
        <f>IFERROR(Inv_SY!O17/Inv_SY!$Z17-1,"")</f>
        <v>-7.0857376038908182E-2</v>
      </c>
      <c r="AB15" s="76">
        <f>IFERROR(Inv_SY!P17/Inv_SY!$Z17-1,"")</f>
        <v>-0.21141351812152509</v>
      </c>
      <c r="AC15" s="76">
        <f>IFERROR(Inv_SY!Q17/Inv_SY!$Z17-1,"")</f>
        <v>0.17814869481423412</v>
      </c>
      <c r="AD15" s="76">
        <f>IFERROR(Inv_SY!R17/Inv_SY!$Z17-1,"")</f>
        <v>5.6897637516321709E-2</v>
      </c>
      <c r="AE15" s="76">
        <f>IFERROR(Inv_SY!S17/Inv_SY!$Z17-1,"")</f>
        <v>-0.12100463355733659</v>
      </c>
      <c r="AF15" s="76">
        <f>IFERROR(Inv_SY!T17/Inv_SY!$Z17-1,"")</f>
        <v>0.30293181013791703</v>
      </c>
      <c r="AG15" s="76">
        <f>IFERROR(Inv_SY!U17/Inv_SY!$Z17-1,"")</f>
        <v>-0.12898439986157528</v>
      </c>
      <c r="AH15" s="76">
        <f>IFERROR(Inv_SY!V17/Inv_SY!$Y17-1,"")</f>
        <v>2.7114182680777921E-2</v>
      </c>
      <c r="AI15" s="76">
        <f>IFERROR(Inv_SY!W17/Inv_SY!$Y17-1,"")</f>
        <v>-6.7987160331418828E-2</v>
      </c>
      <c r="AJ15" s="76">
        <f>IFERROR(Inv_SY!X17/Inv_SY!$Y17-1,"")</f>
        <v>4.0872977650641129E-2</v>
      </c>
      <c r="AK15" s="76">
        <f>IFERROR(Inv_SY!V17/Inv_SY!$Z17-1,"")</f>
        <v>-1.3218514905553702E-2</v>
      </c>
      <c r="AL15" s="76">
        <f>IFERROR(Inv_SY!W17/Inv_SY!$Z17-1,"")</f>
        <v>-0.10458542043023211</v>
      </c>
      <c r="AM15" s="76">
        <f>IFERROR(Inv_SY!X17/Inv_SY!$Z17-1,"")</f>
        <v>0</v>
      </c>
    </row>
    <row r="16" spans="1:39" x14ac:dyDescent="0.25">
      <c r="A16" s="123">
        <f>YEAR(Inv_SY_D[[#This Row],[Date]])+IF(MONTH(Inv_SY_D[[#This Row],[Date]])&gt;=4,1,0)</f>
        <v>2026</v>
      </c>
      <c r="B16" s="123">
        <v>4</v>
      </c>
      <c r="C16" s="123">
        <f>YEAR(Inv_SY_D[[#This Row],[Month Year]])</f>
        <v>2025</v>
      </c>
      <c r="D16" s="123" t="s">
        <v>4</v>
      </c>
      <c r="E16" s="123" t="s">
        <v>4</v>
      </c>
      <c r="F16" s="74" t="str">
        <f>TEXT(Inv_SY_D[[#This Row],[Date]],"mmm-yy")</f>
        <v>Apr-25</v>
      </c>
      <c r="G16" s="75">
        <f>DAY(EOMONTH(Inv_SY_D[[#This Row],[Month Year]],0))</f>
        <v>30</v>
      </c>
      <c r="H16" s="73">
        <f t="shared" si="1"/>
        <v>45759</v>
      </c>
      <c r="I16" s="124">
        <v>7.0991999999999997</v>
      </c>
      <c r="J16" s="76">
        <f>IFERROR(Inv_SY!J18/Inv_SY!$Y18-1,"")</f>
        <v>3.7761185968284483E-2</v>
      </c>
      <c r="K16" s="76">
        <f>IFERROR(Inv_SY!K18/Inv_SY!$Y18-1,"")</f>
        <v>-0.14075957232347802</v>
      </c>
      <c r="L16" s="76">
        <f>IFERROR(Inv_SY!L18/Inv_SY!$Y18-1,"")</f>
        <v>3.3011972101363085E-2</v>
      </c>
      <c r="M16" s="76">
        <f>IFERROR(Inv_SY!M18/Inv_SY!$Y18-1,"")</f>
        <v>5.2747937613805362E-2</v>
      </c>
      <c r="N16" s="76">
        <f>IFERROR(Inv_SY!N18/Inv_SY!$Y18-1,"")</f>
        <v>-0.10200351027242682</v>
      </c>
      <c r="O16" s="76">
        <f>IFERROR(Inv_SY!O18/Inv_SY!$Y18-1,"")</f>
        <v>3.7475724032179247E-2</v>
      </c>
      <c r="P16" s="76">
        <f>IFERROR(Inv_SY!P18/Inv_SY!$Y18-1,"")</f>
        <v>-0.11532763176623817</v>
      </c>
      <c r="Q16" s="76">
        <f>IFERROR(Inv_SY!Q18/Inv_SY!$Y18-1,"")</f>
        <v>0.32176829798943563</v>
      </c>
      <c r="R16" s="76">
        <f>IFERROR(Inv_SY!R18/Inv_SY!$Y18-1,"")</f>
        <v>5.8842917103266057E-2</v>
      </c>
      <c r="S16" s="76">
        <f>IFERROR(Inv_SY!S18/Inv_SY!$Y18-1,"")</f>
        <v>-0.11885074833104547</v>
      </c>
      <c r="T16" s="76">
        <f>IFERROR(Inv_SY!T18/Inv_SY!$Y18-1,"")</f>
        <v>0.30586107084870329</v>
      </c>
      <c r="U16" s="76">
        <f>IFERROR(Inv_SY!U18/Inv_SY!$Y18-1,"")</f>
        <v>-0.12718072727595575</v>
      </c>
      <c r="V16" s="76">
        <f>IFERROR(Inv_SY!J18/Inv_SY!$Z18-1,"")</f>
        <v>2.8823315535896787E-2</v>
      </c>
      <c r="W16" s="76">
        <f>IFERROR(Inv_SY!K18/Inv_SY!$Z18-1,"")</f>
        <v>-0.14815990653975186</v>
      </c>
      <c r="X16" s="76">
        <f>IFERROR(Inv_SY!L18/Inv_SY!$Z18-1,"")</f>
        <v>2.4115004970016507E-2</v>
      </c>
      <c r="Y16" s="76">
        <f>IFERROR(Inv_SY!M18/Inv_SY!$Z18-1,"")</f>
        <v>4.3680991584622131E-2</v>
      </c>
      <c r="Z16" s="76">
        <f>IFERROR(Inv_SY!N18/Inv_SY!$Z18-1,"")</f>
        <v>-0.1097376367578331</v>
      </c>
      <c r="AA16" s="76">
        <f>IFERROR(Inv_SY!O18/Inv_SY!$Z18-1,"")</f>
        <v>2.854031218258779E-2</v>
      </c>
      <c r="AB16" s="76">
        <f>IFERROR(Inv_SY!P18/Inv_SY!$Z18-1,"")</f>
        <v>-0.12294700230090416</v>
      </c>
      <c r="AC16" s="76">
        <f>IFERROR(Inv_SY!Q18/Inv_SY!$Z18-1,"")</f>
        <v>0.31038437464676005</v>
      </c>
      <c r="AD16" s="76">
        <f>IFERROR(Inv_SY!R18/Inv_SY!$Z18-1,"")</f>
        <v>4.9723477169221875E-2</v>
      </c>
      <c r="AE16" s="76">
        <f>IFERROR(Inv_SY!S18/Inv_SY!$Z18-1,"")</f>
        <v>-0.12643977550752838</v>
      </c>
      <c r="AF16" s="76">
        <f>IFERROR(Inv_SY!T18/Inv_SY!$Z18-1,"")</f>
        <v>0.29461415083304043</v>
      </c>
      <c r="AG16" s="76">
        <f>IFERROR(Inv_SY!U18/Inv_SY!$Z18-1,"")</f>
        <v>-0.13469801128693892</v>
      </c>
      <c r="AH16" s="76">
        <f>IFERROR(Inv_SY!V18/Inv_SY!$Y18-1,"")</f>
        <v>-1.084038212563454E-2</v>
      </c>
      <c r="AI16" s="76">
        <f>IFERROR(Inv_SY!W18/Inv_SY!$Y18-1,"")</f>
        <v>8.6874687785745142E-3</v>
      </c>
      <c r="AJ16" s="76">
        <f>IFERROR(Inv_SY!X18/Inv_SY!$Y18-1,"")</f>
        <v>2.1529133470601369E-3</v>
      </c>
      <c r="AK16" s="76">
        <f>IFERROR(Inv_SY!V18/Inv_SY!$Z18-1,"")</f>
        <v>-1.9359664423962086E-2</v>
      </c>
      <c r="AL16" s="76">
        <f>IFERROR(Inv_SY!W18/Inv_SY!$Z18-1,"")</f>
        <v>0</v>
      </c>
      <c r="AM16" s="76">
        <f>IFERROR(Inv_SY!X18/Inv_SY!$Z18-1,"")</f>
        <v>-6.4782756143754172E-3</v>
      </c>
    </row>
    <row r="17" spans="1:39" x14ac:dyDescent="0.25">
      <c r="A17" s="123">
        <f>YEAR(Inv_SY_D[[#This Row],[Date]])+IF(MONTH(Inv_SY_D[[#This Row],[Date]])&gt;=4,1,0)</f>
        <v>2026</v>
      </c>
      <c r="B17" s="123">
        <v>4</v>
      </c>
      <c r="C17" s="123">
        <f>YEAR(Inv_SY_D[[#This Row],[Month Year]])</f>
        <v>2025</v>
      </c>
      <c r="D17" s="123" t="s">
        <v>4</v>
      </c>
      <c r="E17" s="123" t="s">
        <v>4</v>
      </c>
      <c r="F17" s="74" t="str">
        <f>TEXT(Inv_SY_D[[#This Row],[Date]],"mmm-yy")</f>
        <v>Apr-25</v>
      </c>
      <c r="G17" s="75">
        <f>DAY(EOMONTH(Inv_SY_D[[#This Row],[Month Year]],0))</f>
        <v>30</v>
      </c>
      <c r="H17" s="73">
        <f t="shared" si="1"/>
        <v>45760</v>
      </c>
      <c r="I17" s="124">
        <v>7.0991999999999997</v>
      </c>
      <c r="J17" s="76">
        <f>IFERROR(Inv_SY!J19/Inv_SY!$Y19-1,"")</f>
        <v>6.3386571844544548E-2</v>
      </c>
      <c r="K17" s="76">
        <f>IFERROR(Inv_SY!K19/Inv_SY!$Y19-1,"")</f>
        <v>-0.14246554691183655</v>
      </c>
      <c r="L17" s="76">
        <f>IFERROR(Inv_SY!L19/Inv_SY!$Y19-1,"")</f>
        <v>3.1605199519202598E-2</v>
      </c>
      <c r="M17" s="76">
        <f>IFERROR(Inv_SY!M19/Inv_SY!$Y19-1,"")</f>
        <v>2.694365378841912E-2</v>
      </c>
      <c r="N17" s="76">
        <f>IFERROR(Inv_SY!N19/Inv_SY!$Y19-1,"")</f>
        <v>-9.2145551784745372E-2</v>
      </c>
      <c r="O17" s="76">
        <f>IFERROR(Inv_SY!O19/Inv_SY!$Y19-1,"")</f>
        <v>3.7183224910530388E-2</v>
      </c>
      <c r="P17" s="76">
        <f>IFERROR(Inv_SY!P19/Inv_SY!$Y19-1,"")</f>
        <v>-0.11576113640149077</v>
      </c>
      <c r="Q17" s="76">
        <f>IFERROR(Inv_SY!Q19/Inv_SY!$Y19-1,"")</f>
        <v>0.32149966991169587</v>
      </c>
      <c r="R17" s="76">
        <f>IFERROR(Inv_SY!R19/Inv_SY!$Y19-1,"")</f>
        <v>5.6573109455000381E-2</v>
      </c>
      <c r="S17" s="76">
        <f>IFERROR(Inv_SY!S19/Inv_SY!$Y19-1,"")</f>
        <v>-0.12039003339033594</v>
      </c>
      <c r="T17" s="76">
        <f>IFERROR(Inv_SY!T19/Inv_SY!$Y19-1,"")</f>
        <v>0.30412611472922202</v>
      </c>
      <c r="U17" s="76">
        <f>IFERROR(Inv_SY!U19/Inv_SY!$Y19-1,"")</f>
        <v>-0.12854578412219875</v>
      </c>
      <c r="V17" s="76">
        <f>IFERROR(Inv_SY!J19/Inv_SY!$Z19-1,"")</f>
        <v>5.1554990628758235E-2</v>
      </c>
      <c r="W17" s="76">
        <f>IFERROR(Inv_SY!K19/Inv_SY!$Z19-1,"")</f>
        <v>-0.15200675120732465</v>
      </c>
      <c r="X17" s="76">
        <f>IFERROR(Inv_SY!L19/Inv_SY!$Z19-1,"")</f>
        <v>2.0127228079740878E-2</v>
      </c>
      <c r="Y17" s="76">
        <f>IFERROR(Inv_SY!M19/Inv_SY!$Z19-1,"")</f>
        <v>1.551754820692941E-2</v>
      </c>
      <c r="Z17" s="76">
        <f>IFERROR(Inv_SY!N19/Inv_SY!$Z19-1,"")</f>
        <v>-0.1022466325399215</v>
      </c>
      <c r="AA17" s="76">
        <f>IFERROR(Inv_SY!O19/Inv_SY!$Z19-1,"")</f>
        <v>2.5643190565453056E-2</v>
      </c>
      <c r="AB17" s="76">
        <f>IFERROR(Inv_SY!P19/Inv_SY!$Z19-1,"")</f>
        <v>-0.12559946256228949</v>
      </c>
      <c r="AC17" s="76">
        <f>IFERROR(Inv_SY!Q19/Inv_SY!$Z19-1,"")</f>
        <v>0.30679623930125111</v>
      </c>
      <c r="AD17" s="76">
        <f>IFERROR(Inv_SY!R19/Inv_SY!$Z19-1,"")</f>
        <v>4.4817337014458225E-2</v>
      </c>
      <c r="AE17" s="76">
        <f>IFERROR(Inv_SY!S19/Inv_SY!$Z19-1,"")</f>
        <v>-0.13017685695357217</v>
      </c>
      <c r="AF17" s="76">
        <f>IFERROR(Inv_SY!T19/Inv_SY!$Z19-1,"")</f>
        <v>0.28961598788486831</v>
      </c>
      <c r="AG17" s="76">
        <f>IFERROR(Inv_SY!U19/Inv_SY!$Z19-1,"")</f>
        <v>-0.13824186417812112</v>
      </c>
      <c r="AH17" s="76">
        <f>IFERROR(Inv_SY!V19/Inv_SY!$Y19-1,"")</f>
        <v>-1.170493419762586E-2</v>
      </c>
      <c r="AI17" s="76">
        <f>IFERROR(Inv_SY!W19/Inv_SY!$Y19-1,"")</f>
        <v>1.125150973674871E-2</v>
      </c>
      <c r="AJ17" s="76">
        <f>IFERROR(Inv_SY!X19/Inv_SY!$Y19-1,"")</f>
        <v>4.5342446087737187E-4</v>
      </c>
      <c r="AK17" s="76">
        <f>IFERROR(Inv_SY!V19/Inv_SY!$Z19-1,"")</f>
        <v>-2.2701023151353028E-2</v>
      </c>
      <c r="AL17" s="76">
        <f>IFERROR(Inv_SY!W19/Inv_SY!$Z19-1,"")</f>
        <v>0</v>
      </c>
      <c r="AM17" s="76">
        <f>IFERROR(Inv_SY!X19/Inv_SY!$Z19-1,"")</f>
        <v>-1.0677942304068821E-2</v>
      </c>
    </row>
    <row r="18" spans="1:39" x14ac:dyDescent="0.25">
      <c r="A18" s="123">
        <f>YEAR(Inv_SY_D[[#This Row],[Date]])+IF(MONTH(Inv_SY_D[[#This Row],[Date]])&gt;=4,1,0)</f>
        <v>2026</v>
      </c>
      <c r="B18" s="123">
        <v>4</v>
      </c>
      <c r="C18" s="123">
        <f>YEAR(Inv_SY_D[[#This Row],[Month Year]])</f>
        <v>2025</v>
      </c>
      <c r="D18" s="123" t="s">
        <v>4</v>
      </c>
      <c r="E18" s="123" t="s">
        <v>4</v>
      </c>
      <c r="F18" s="74" t="str">
        <f>TEXT(Inv_SY_D[[#This Row],[Date]],"mmm-yy")</f>
        <v>Apr-25</v>
      </c>
      <c r="G18" s="75">
        <f>DAY(EOMONTH(Inv_SY_D[[#This Row],[Month Year]],0))</f>
        <v>30</v>
      </c>
      <c r="H18" s="73">
        <f t="shared" si="1"/>
        <v>45761</v>
      </c>
      <c r="I18" s="124">
        <v>7.0991999999999997</v>
      </c>
      <c r="J18" s="76">
        <f>IFERROR(Inv_SY!J20/Inv_SY!$Y20-1,"")</f>
        <v>3.5994012724433366E-2</v>
      </c>
      <c r="K18" s="76">
        <f>IFERROR(Inv_SY!K20/Inv_SY!$Y20-1,"")</f>
        <v>-0.12293886510978991</v>
      </c>
      <c r="L18" s="76">
        <f>IFERROR(Inv_SY!L20/Inv_SY!$Y20-1,"")</f>
        <v>3.1454319409337073E-2</v>
      </c>
      <c r="M18" s="76">
        <f>IFERROR(Inv_SY!M20/Inv_SY!$Y20-1,"")</f>
        <v>2.7483550725278194E-2</v>
      </c>
      <c r="N18" s="76">
        <f>IFERROR(Inv_SY!N20/Inv_SY!$Y20-1,"")</f>
        <v>-0.10944784864521984</v>
      </c>
      <c r="O18" s="76">
        <f>IFERROR(Inv_SY!O20/Inv_SY!$Y20-1,"")</f>
        <v>4.6361302796131598E-2</v>
      </c>
      <c r="P18" s="76">
        <f>IFERROR(Inv_SY!P20/Inv_SY!$Y20-1,"")</f>
        <v>-8.8086533047096349E-2</v>
      </c>
      <c r="Q18" s="76">
        <f>IFERROR(Inv_SY!Q20/Inv_SY!$Y20-1,"")</f>
        <v>0.33359545419456316</v>
      </c>
      <c r="R18" s="76">
        <f>IFERROR(Inv_SY!R20/Inv_SY!$Y20-1,"")</f>
        <v>4.9788872086525382E-2</v>
      </c>
      <c r="S18" s="76">
        <f>IFERROR(Inv_SY!S20/Inv_SY!$Y20-1,"")</f>
        <v>-0.12631084760522382</v>
      </c>
      <c r="T18" s="76">
        <f>IFERROR(Inv_SY!T20/Inv_SY!$Y20-1,"")</f>
        <v>0.29552947950819397</v>
      </c>
      <c r="U18" s="76">
        <f>IFERROR(Inv_SY!U20/Inv_SY!$Y20-1,"")</f>
        <v>-0.13428469413561051</v>
      </c>
      <c r="V18" s="76">
        <f>IFERROR(Inv_SY!J20/Inv_SY!$Z20-1,"")</f>
        <v>1.6997732343207339E-2</v>
      </c>
      <c r="W18" s="76">
        <f>IFERROR(Inv_SY!K20/Inv_SY!$Z20-1,"")</f>
        <v>-0.13902090711506776</v>
      </c>
      <c r="X18" s="76">
        <f>IFERROR(Inv_SY!L20/Inv_SY!$Z20-1,"")</f>
        <v>1.2541280133753663E-2</v>
      </c>
      <c r="Y18" s="76">
        <f>IFERROR(Inv_SY!M20/Inv_SY!$Z20-1,"")</f>
        <v>8.6433205917604283E-3</v>
      </c>
      <c r="Z18" s="76">
        <f>IFERROR(Inv_SY!N20/Inv_SY!$Z20-1,"")</f>
        <v>-0.12577726575908044</v>
      </c>
      <c r="AA18" s="76">
        <f>IFERROR(Inv_SY!O20/Inv_SY!$Z20-1,"")</f>
        <v>2.7174924840424719E-2</v>
      </c>
      <c r="AB18" s="76">
        <f>IFERROR(Inv_SY!P20/Inv_SY!$Z20-1,"")</f>
        <v>-0.10480763730917375</v>
      </c>
      <c r="AC18" s="76">
        <f>IFERROR(Inv_SY!Q20/Inv_SY!$Z20-1,"")</f>
        <v>0.30914226928050437</v>
      </c>
      <c r="AD18" s="76">
        <f>IFERROR(Inv_SY!R20/Inv_SY!$Z20-1,"")</f>
        <v>3.0539645247073421E-2</v>
      </c>
      <c r="AE18" s="76">
        <f>IFERROR(Inv_SY!S20/Inv_SY!$Z20-1,"")</f>
        <v>-0.14233105998201234</v>
      </c>
      <c r="AF18" s="76">
        <f>IFERROR(Inv_SY!T20/Inv_SY!$Z20-1,"")</f>
        <v>0.27177428311457574</v>
      </c>
      <c r="AG18" s="76">
        <f>IFERROR(Inv_SY!U20/Inv_SY!$Z20-1,"")</f>
        <v>-0.15015869579829488</v>
      </c>
      <c r="AH18" s="76">
        <f>IFERROR(Inv_SY!V20/Inv_SY!$Y20-1,"")</f>
        <v>-1.2546608771621615E-2</v>
      </c>
      <c r="AI18" s="76">
        <f>IFERROR(Inv_SY!W20/Inv_SY!$Y20-1,"")</f>
        <v>1.8678783420153389E-2</v>
      </c>
      <c r="AJ18" s="76">
        <f>IFERROR(Inv_SY!X20/Inv_SY!$Y20-1,"")</f>
        <v>-6.1321746485318851E-3</v>
      </c>
      <c r="AK18" s="76">
        <f>IFERROR(Inv_SY!V20/Inv_SY!$Z20-1,"")</f>
        <v>-3.0652834534295126E-2</v>
      </c>
      <c r="AL18" s="76">
        <f>IFERROR(Inv_SY!W20/Inv_SY!$Z20-1,"")</f>
        <v>0</v>
      </c>
      <c r="AM18" s="76">
        <f>IFERROR(Inv_SY!X20/Inv_SY!$Z20-1,"")</f>
        <v>-2.4356017296624177E-2</v>
      </c>
    </row>
    <row r="19" spans="1:39" x14ac:dyDescent="0.25">
      <c r="A19" s="123">
        <f>YEAR(Inv_SY_D[[#This Row],[Date]])+IF(MONTH(Inv_SY_D[[#This Row],[Date]])&gt;=4,1,0)</f>
        <v>2026</v>
      </c>
      <c r="B19" s="123">
        <v>4</v>
      </c>
      <c r="C19" s="123">
        <f>YEAR(Inv_SY_D[[#This Row],[Month Year]])</f>
        <v>2025</v>
      </c>
      <c r="D19" s="123" t="s">
        <v>4</v>
      </c>
      <c r="E19" s="123" t="s">
        <v>4</v>
      </c>
      <c r="F19" s="74" t="str">
        <f>TEXT(Inv_SY_D[[#This Row],[Date]],"mmm-yy")</f>
        <v>Apr-25</v>
      </c>
      <c r="G19" s="75">
        <f>DAY(EOMONTH(Inv_SY_D[[#This Row],[Month Year]],0))</f>
        <v>30</v>
      </c>
      <c r="H19" s="73">
        <f t="shared" si="1"/>
        <v>45762</v>
      </c>
      <c r="I19" s="124">
        <v>7.0991999999999997</v>
      </c>
      <c r="J19" s="76">
        <f>IFERROR(Inv_SY!J21/Inv_SY!$Y21-1,"")</f>
        <v>4.1283372782622507E-2</v>
      </c>
      <c r="K19" s="76">
        <f>IFERROR(Inv_SY!K21/Inv_SY!$Y21-1,"")</f>
        <v>-0.13745274285528331</v>
      </c>
      <c r="L19" s="76">
        <f>IFERROR(Inv_SY!L21/Inv_SY!$Y21-1,"")</f>
        <v>6.8023915679501279E-2</v>
      </c>
      <c r="M19" s="76">
        <f>IFERROR(Inv_SY!M21/Inv_SY!$Y21-1,"")</f>
        <v>3.2826889633963852E-2</v>
      </c>
      <c r="N19" s="76">
        <f>IFERROR(Inv_SY!N21/Inv_SY!$Y21-1,"")</f>
        <v>-0.11167738855159859</v>
      </c>
      <c r="O19" s="76">
        <f>IFERROR(Inv_SY!O21/Inv_SY!$Y21-1,"")</f>
        <v>4.3807696110580663E-2</v>
      </c>
      <c r="P19" s="76">
        <f>IFERROR(Inv_SY!P21/Inv_SY!$Y21-1,"")</f>
        <v>-0.10966392451563178</v>
      </c>
      <c r="Q19" s="76">
        <f>IFERROR(Inv_SY!Q21/Inv_SY!$Y21-1,"")</f>
        <v>0.36885994488626483</v>
      </c>
      <c r="R19" s="76">
        <f>IFERROR(Inv_SY!R21/Inv_SY!$Y21-1,"")</f>
        <v>4.3085301331840631E-2</v>
      </c>
      <c r="S19" s="76">
        <f>IFERROR(Inv_SY!S21/Inv_SY!$Y21-1,"")</f>
        <v>-0.132300780956778</v>
      </c>
      <c r="T19" s="76">
        <f>IFERROR(Inv_SY!T21/Inv_SY!$Y21-1,"")</f>
        <v>0.28723981071506999</v>
      </c>
      <c r="U19" s="76">
        <f>IFERROR(Inv_SY!U21/Inv_SY!$Y21-1,"")</f>
        <v>-0.1396644086888188</v>
      </c>
      <c r="V19" s="76">
        <f>IFERROR(Inv_SY!J21/Inv_SY!$Z21-1,"")</f>
        <v>2.2828429284994733E-2</v>
      </c>
      <c r="W19" s="76">
        <f>IFERROR(Inv_SY!K21/Inv_SY!$Z21-1,"")</f>
        <v>-0.15273989840843627</v>
      </c>
      <c r="X19" s="76">
        <f>IFERROR(Inv_SY!L21/Inv_SY!$Z21-1,"")</f>
        <v>4.9095042393732191E-2</v>
      </c>
      <c r="Y19" s="76">
        <f>IFERROR(Inv_SY!M21/Inv_SY!$Z21-1,"")</f>
        <v>1.4521822647165283E-2</v>
      </c>
      <c r="Z19" s="76">
        <f>IFERROR(Inv_SY!N21/Inv_SY!$Z21-1,"")</f>
        <v>-0.12742136759750988</v>
      </c>
      <c r="AA19" s="76">
        <f>IFERROR(Inv_SY!O21/Inv_SY!$Z21-1,"")</f>
        <v>2.5308013355988646E-2</v>
      </c>
      <c r="AB19" s="76">
        <f>IFERROR(Inv_SY!P21/Inv_SY!$Z21-1,"")</f>
        <v>-0.12544358872274852</v>
      </c>
      <c r="AC19" s="76">
        <f>IFERROR(Inv_SY!Q21/Inv_SY!$Z21-1,"")</f>
        <v>0.34459927425677628</v>
      </c>
      <c r="AD19" s="76">
        <f>IFERROR(Inv_SY!R21/Inv_SY!$Z21-1,"")</f>
        <v>2.4598421772971557E-2</v>
      </c>
      <c r="AE19" s="76">
        <f>IFERROR(Inv_SY!S21/Inv_SY!$Z21-1,"")</f>
        <v>-0.14767924610751415</v>
      </c>
      <c r="AF19" s="76">
        <f>IFERROR(Inv_SY!T21/Inv_SY!$Z21-1,"")</f>
        <v>0.26442571553638605</v>
      </c>
      <c r="AG19" s="76">
        <f>IFERROR(Inv_SY!U21/Inv_SY!$Z21-1,"")</f>
        <v>-0.15491236629733884</v>
      </c>
      <c r="AH19" s="76">
        <f>IFERROR(Inv_SY!V21/Inv_SY!$Y21-1,"")</f>
        <v>-5.486304549704224E-3</v>
      </c>
      <c r="AI19" s="76">
        <f>IFERROR(Inv_SY!W21/Inv_SY!$Y21-1,"")</f>
        <v>1.8043049028788394E-2</v>
      </c>
      <c r="AJ19" s="76">
        <f>IFERROR(Inv_SY!X21/Inv_SY!$Y21-1,"")</f>
        <v>-1.2556744479084281E-2</v>
      </c>
      <c r="AK19" s="76">
        <f>IFERROR(Inv_SY!V21/Inv_SY!$Z21-1,"")</f>
        <v>-2.3112336556827984E-2</v>
      </c>
      <c r="AL19" s="76">
        <f>IFERROR(Inv_SY!W21/Inv_SY!$Z21-1,"")</f>
        <v>0</v>
      </c>
      <c r="AM19" s="76">
        <f>IFERROR(Inv_SY!X21/Inv_SY!$Z21-1,"")</f>
        <v>-3.0057465189772592E-2</v>
      </c>
    </row>
    <row r="20" spans="1:39" x14ac:dyDescent="0.25">
      <c r="A20" s="123">
        <f>YEAR(Inv_SY_D[[#This Row],[Date]])+IF(MONTH(Inv_SY_D[[#This Row],[Date]])&gt;=4,1,0)</f>
        <v>2026</v>
      </c>
      <c r="B20" s="123">
        <v>4</v>
      </c>
      <c r="C20" s="123">
        <f>YEAR(Inv_SY_D[[#This Row],[Month Year]])</f>
        <v>2025</v>
      </c>
      <c r="D20" s="123" t="s">
        <v>4</v>
      </c>
      <c r="E20" s="123" t="s">
        <v>4</v>
      </c>
      <c r="F20" s="74" t="str">
        <f>TEXT(Inv_SY_D[[#This Row],[Date]],"mmm-yy")</f>
        <v>Apr-25</v>
      </c>
      <c r="G20" s="75">
        <f>DAY(EOMONTH(Inv_SY_D[[#This Row],[Month Year]],0))</f>
        <v>30</v>
      </c>
      <c r="H20" s="73">
        <f t="shared" si="1"/>
        <v>45763</v>
      </c>
      <c r="I20" s="124">
        <v>7.0991999999999997</v>
      </c>
      <c r="J20" s="76">
        <f>IFERROR(Inv_SY!J22/Inv_SY!$Y22-1,"")</f>
        <v>4.7946038990063888E-2</v>
      </c>
      <c r="K20" s="76">
        <f>IFERROR(Inv_SY!K22/Inv_SY!$Y22-1,"")</f>
        <v>-0.13144733248002172</v>
      </c>
      <c r="L20" s="76">
        <f>IFERROR(Inv_SY!L22/Inv_SY!$Y22-1,"")</f>
        <v>4.4003197181219145E-2</v>
      </c>
      <c r="M20" s="76">
        <f>IFERROR(Inv_SY!M22/Inv_SY!$Y22-1,"")</f>
        <v>6.3919421381235964E-2</v>
      </c>
      <c r="N20" s="76">
        <f>IFERROR(Inv_SY!N22/Inv_SY!$Y22-1,"")</f>
        <v>-9.7767413594789132E-2</v>
      </c>
      <c r="O20" s="76">
        <f>IFERROR(Inv_SY!O22/Inv_SY!$Y22-1,"")</f>
        <v>3.577401442756023E-2</v>
      </c>
      <c r="P20" s="76">
        <f>IFERROR(Inv_SY!P22/Inv_SY!$Y22-1,"")</f>
        <v>-0.11649534371564207</v>
      </c>
      <c r="Q20" s="76">
        <f>IFERROR(Inv_SY!Q22/Inv_SY!$Y22-1,"")</f>
        <v>0.32012871845205626</v>
      </c>
      <c r="R20" s="76">
        <f>IFERROR(Inv_SY!R22/Inv_SY!$Y22-1,"")</f>
        <v>4.7384644529478992E-2</v>
      </c>
      <c r="S20" s="76">
        <f>IFERROR(Inv_SY!S22/Inv_SY!$Y22-1,"")</f>
        <v>-0.12846794781820647</v>
      </c>
      <c r="T20" s="76">
        <f>IFERROR(Inv_SY!T22/Inv_SY!$Y22-1,"")</f>
        <v>0.292602741939054</v>
      </c>
      <c r="U20" s="76">
        <f>IFERROR(Inv_SY!U22/Inv_SY!$Y22-1,"")</f>
        <v>-0.13597712347833424</v>
      </c>
      <c r="V20" s="76">
        <f>IFERROR(Inv_SY!J22/Inv_SY!$Z22-1,"")</f>
        <v>3.876284164091981E-2</v>
      </c>
      <c r="W20" s="76">
        <f>IFERROR(Inv_SY!K22/Inv_SY!$Z22-1,"")</f>
        <v>-0.13905849780457247</v>
      </c>
      <c r="X20" s="76">
        <f>IFERROR(Inv_SY!L22/Inv_SY!$Z22-1,"")</f>
        <v>3.4854551128706834E-2</v>
      </c>
      <c r="Y20" s="76">
        <f>IFERROR(Inv_SY!M22/Inv_SY!$Z22-1,"")</f>
        <v>5.4596248577847284E-2</v>
      </c>
      <c r="Z20" s="76">
        <f>IFERROR(Inv_SY!N22/Inv_SY!$Z22-1,"")</f>
        <v>-0.10567371753365662</v>
      </c>
      <c r="AA20" s="76">
        <f>IFERROR(Inv_SY!O22/Inv_SY!$Z22-1,"")</f>
        <v>2.6697481066386253E-2</v>
      </c>
      <c r="AB20" s="76">
        <f>IFERROR(Inv_SY!P22/Inv_SY!$Z22-1,"")</f>
        <v>-0.12423753397704718</v>
      </c>
      <c r="AC20" s="76">
        <f>IFERROR(Inv_SY!Q22/Inv_SY!$Z22-1,"")</f>
        <v>0.30856037228081523</v>
      </c>
      <c r="AD20" s="76">
        <f>IFERROR(Inv_SY!R22/Inv_SY!$Z22-1,"")</f>
        <v>3.8206366704748085E-2</v>
      </c>
      <c r="AE20" s="76">
        <f>IFERROR(Inv_SY!S22/Inv_SY!$Z22-1,"")</f>
        <v>-0.13610522162192551</v>
      </c>
      <c r="AF20" s="76">
        <f>IFERROR(Inv_SY!T22/Inv_SY!$Z22-1,"")</f>
        <v>0.28127560711376209</v>
      </c>
      <c r="AG20" s="76">
        <f>IFERROR(Inv_SY!U22/Inv_SY!$Z22-1,"")</f>
        <v>-0.14354859404462439</v>
      </c>
      <c r="AH20" s="76">
        <f>IFERROR(Inv_SY!V22/Inv_SY!$Y22-1,"")</f>
        <v>-4.7841735672171648E-4</v>
      </c>
      <c r="AI20" s="76">
        <f>IFERROR(Inv_SY!W22/Inv_SY!$Y22-1,"")</f>
        <v>8.8405139084850592E-3</v>
      </c>
      <c r="AJ20" s="76">
        <f>IFERROR(Inv_SY!X22/Inv_SY!$Y22-1,"")</f>
        <v>-8.3620965517635648E-3</v>
      </c>
      <c r="AK20" s="76">
        <f>IFERROR(Inv_SY!V22/Inv_SY!$Z22-1,"")</f>
        <v>-9.2372690596088658E-3</v>
      </c>
      <c r="AL20" s="76">
        <f>IFERROR(Inv_SY!W22/Inv_SY!$Z22-1,"")</f>
        <v>0</v>
      </c>
      <c r="AM20" s="76">
        <f>IFERROR(Inv_SY!X22/Inv_SY!$Z22-1,"")</f>
        <v>-1.7051863226231534E-2</v>
      </c>
    </row>
    <row r="21" spans="1:39" x14ac:dyDescent="0.25">
      <c r="A21" s="123">
        <f>YEAR(Inv_SY_D[[#This Row],[Date]])+IF(MONTH(Inv_SY_D[[#This Row],[Date]])&gt;=4,1,0)</f>
        <v>2026</v>
      </c>
      <c r="B21" s="123">
        <v>4</v>
      </c>
      <c r="C21" s="123">
        <f>YEAR(Inv_SY_D[[#This Row],[Month Year]])</f>
        <v>2025</v>
      </c>
      <c r="D21" s="123" t="s">
        <v>4</v>
      </c>
      <c r="E21" s="123" t="s">
        <v>4</v>
      </c>
      <c r="F21" s="74" t="str">
        <f>TEXT(Inv_SY_D[[#This Row],[Date]],"mmm-yy")</f>
        <v>Apr-25</v>
      </c>
      <c r="G21" s="75">
        <f>DAY(EOMONTH(Inv_SY_D[[#This Row],[Month Year]],0))</f>
        <v>30</v>
      </c>
      <c r="H21" s="73">
        <f t="shared" si="1"/>
        <v>45764</v>
      </c>
      <c r="I21" s="124">
        <v>7.0991999999999997</v>
      </c>
      <c r="J21" s="76">
        <f>IFERROR(Inv_SY!J23/Inv_SY!$Y23-1,"")</f>
        <v>6.0599068454037841E-2</v>
      </c>
      <c r="K21" s="76">
        <f>IFERROR(Inv_SY!K23/Inv_SY!$Y23-1,"")</f>
        <v>-0.14465384945567772</v>
      </c>
      <c r="L21" s="76">
        <f>IFERROR(Inv_SY!L23/Inv_SY!$Y23-1,"")</f>
        <v>2.7908425558783367E-2</v>
      </c>
      <c r="M21" s="76">
        <f>IFERROR(Inv_SY!M23/Inv_SY!$Y23-1,"")</f>
        <v>2.4369866538521023E-2</v>
      </c>
      <c r="N21" s="76">
        <f>IFERROR(Inv_SY!N23/Inv_SY!$Y23-1,"")</f>
        <v>-0.11526914671819777</v>
      </c>
      <c r="O21" s="76">
        <f>IFERROR(Inv_SY!O23/Inv_SY!$Y23-1,"")</f>
        <v>6.708964208711099E-2</v>
      </c>
      <c r="P21" s="76">
        <f>IFERROR(Inv_SY!P23/Inv_SY!$Y23-1,"")</f>
        <v>-0.11304963457047001</v>
      </c>
      <c r="Q21" s="76">
        <f>IFERROR(Inv_SY!Q23/Inv_SY!$Y23-1,"")</f>
        <v>0.32525001638180062</v>
      </c>
      <c r="R21" s="76">
        <f>IFERROR(Inv_SY!R23/Inv_SY!$Y23-1,"")</f>
        <v>5.7307045459826123E-2</v>
      </c>
      <c r="S21" s="76">
        <f>IFERROR(Inv_SY!S23/Inv_SY!$Y23-1,"")</f>
        <v>-0.12010042648354091</v>
      </c>
      <c r="T21" s="76">
        <f>IFERROR(Inv_SY!T23/Inv_SY!$Y23-1,"")</f>
        <v>0.30506765977900385</v>
      </c>
      <c r="U21" s="76">
        <f>IFERROR(Inv_SY!U23/Inv_SY!$Y23-1,"")</f>
        <v>-0.12772606544233056</v>
      </c>
      <c r="V21" s="76">
        <f>IFERROR(Inv_SY!J23/Inv_SY!$Z23-1,"")</f>
        <v>4.6614877425687817E-2</v>
      </c>
      <c r="W21" s="76">
        <f>IFERROR(Inv_SY!K23/Inv_SY!$Z23-1,"")</f>
        <v>-0.15593174354435624</v>
      </c>
      <c r="X21" s="76">
        <f>IFERROR(Inv_SY!L23/Inv_SY!$Z23-1,"")</f>
        <v>1.4355266584565873E-2</v>
      </c>
      <c r="Y21" s="76">
        <f>IFERROR(Inv_SY!M23/Inv_SY!$Z23-1,"")</f>
        <v>1.0863364106606932E-2</v>
      </c>
      <c r="Z21" s="76">
        <f>IFERROR(Inv_SY!N23/Inv_SY!$Z23-1,"")</f>
        <v>-0.12693448344058622</v>
      </c>
      <c r="AA21" s="76">
        <f>IFERROR(Inv_SY!O23/Inv_SY!$Z23-1,"")</f>
        <v>5.3019871668519958E-2</v>
      </c>
      <c r="AB21" s="76">
        <f>IFERROR(Inv_SY!P23/Inv_SY!$Z23-1,"")</f>
        <v>-0.12474423596297435</v>
      </c>
      <c r="AC21" s="76">
        <f>IFERROR(Inv_SY!Q23/Inv_SY!$Z23-1,"")</f>
        <v>0.30777635461777431</v>
      </c>
      <c r="AD21" s="76">
        <f>IFERROR(Inv_SY!R23/Inv_SY!$Z23-1,"")</f>
        <v>4.3366260351573649E-2</v>
      </c>
      <c r="AE21" s="76">
        <f>IFERROR(Inv_SY!S23/Inv_SY!$Z23-1,"")</f>
        <v>-0.13170206190620215</v>
      </c>
      <c r="AF21" s="76">
        <f>IFERROR(Inv_SY!T23/Inv_SY!$Z23-1,"")</f>
        <v>0.28786010604630663</v>
      </c>
      <c r="AG21" s="76">
        <f>IFERROR(Inv_SY!U23/Inv_SY!$Z23-1,"")</f>
        <v>-0.1392271554326181</v>
      </c>
      <c r="AH21" s="76">
        <f>IFERROR(Inv_SY!V23/Inv_SY!$Y23-1,"")</f>
        <v>-1.4486153514472244E-2</v>
      </c>
      <c r="AI21" s="76">
        <f>IFERROR(Inv_SY!W23/Inv_SY!$Y23-1,"")</f>
        <v>1.3361353187283598E-2</v>
      </c>
      <c r="AJ21" s="76">
        <f>IFERROR(Inv_SY!X23/Inv_SY!$Y23-1,"")</f>
        <v>1.1248003271886464E-3</v>
      </c>
      <c r="AK21" s="76">
        <f>IFERROR(Inv_SY!V23/Inv_SY!$Z23-1,"")</f>
        <v>-2.7480332276505481E-2</v>
      </c>
      <c r="AL21" s="76">
        <f>IFERROR(Inv_SY!W23/Inv_SY!$Z23-1,"")</f>
        <v>0</v>
      </c>
      <c r="AM21" s="76">
        <f>IFERROR(Inv_SY!X23/Inv_SY!$Z23-1,"")</f>
        <v>-1.2075211691868537E-2</v>
      </c>
    </row>
    <row r="22" spans="1:39" x14ac:dyDescent="0.25">
      <c r="A22" s="123">
        <f>YEAR(Inv_SY_D[[#This Row],[Date]])+IF(MONTH(Inv_SY_D[[#This Row],[Date]])&gt;=4,1,0)</f>
        <v>2026</v>
      </c>
      <c r="B22" s="123">
        <v>4</v>
      </c>
      <c r="C22" s="123">
        <f>YEAR(Inv_SY_D[[#This Row],[Month Year]])</f>
        <v>2025</v>
      </c>
      <c r="D22" s="123" t="s">
        <v>4</v>
      </c>
      <c r="E22" s="123" t="s">
        <v>4</v>
      </c>
      <c r="F22" s="74" t="str">
        <f>TEXT(Inv_SY_D[[#This Row],[Date]],"mmm-yy")</f>
        <v>Apr-25</v>
      </c>
      <c r="G22" s="75">
        <f>DAY(EOMONTH(Inv_SY_D[[#This Row],[Month Year]],0))</f>
        <v>30</v>
      </c>
      <c r="H22" s="73">
        <f t="shared" si="1"/>
        <v>45765</v>
      </c>
      <c r="I22" s="124">
        <v>7.0991999999999997</v>
      </c>
      <c r="J22" s="76">
        <f>IFERROR(Inv_SY!J24/Inv_SY!$Y24-1,"")</f>
        <v>3.1802803014604919E-2</v>
      </c>
      <c r="K22" s="76">
        <f>IFERROR(Inv_SY!K24/Inv_SY!$Y24-1,"")</f>
        <v>-0.10814203666228905</v>
      </c>
      <c r="L22" s="76">
        <f>IFERROR(Inv_SY!L24/Inv_SY!$Y24-1,"")</f>
        <v>2.7353471886508496E-2</v>
      </c>
      <c r="M22" s="76">
        <f>IFERROR(Inv_SY!M24/Inv_SY!$Y24-1,"")</f>
        <v>2.5786707177039236E-2</v>
      </c>
      <c r="N22" s="76">
        <f>IFERROR(Inv_SY!N24/Inv_SY!$Y24-1,"")</f>
        <v>-0.12339012448624143</v>
      </c>
      <c r="O22" s="76">
        <f>IFERROR(Inv_SY!O24/Inv_SY!$Y24-1,"")</f>
        <v>3.0235228747070186E-2</v>
      </c>
      <c r="P22" s="76">
        <f>IFERROR(Inv_SY!P24/Inv_SY!$Y24-1,"")</f>
        <v>-7.9852733404744303E-2</v>
      </c>
      <c r="Q22" s="76">
        <f>IFERROR(Inv_SY!Q24/Inv_SY!$Y24-1,"")</f>
        <v>0.31301061954961451</v>
      </c>
      <c r="R22" s="76">
        <f>IFERROR(Inv_SY!R24/Inv_SY!$Y24-1,"")</f>
        <v>5.8891172946143211E-2</v>
      </c>
      <c r="S22" s="76">
        <f>IFERROR(Inv_SY!S24/Inv_SY!$Y24-1,"")</f>
        <v>-0.12093191176896556</v>
      </c>
      <c r="T22" s="76">
        <f>IFERROR(Inv_SY!T24/Inv_SY!$Y24-1,"")</f>
        <v>0.30493492428850577</v>
      </c>
      <c r="U22" s="76">
        <f>IFERROR(Inv_SY!U24/Inv_SY!$Y24-1,"")</f>
        <v>-0.1268743937017518</v>
      </c>
      <c r="V22" s="76">
        <f>IFERROR(Inv_SY!J24/Inv_SY!$Z24-1,"")</f>
        <v>2.2374547874648876E-2</v>
      </c>
      <c r="W22" s="76">
        <f>IFERROR(Inv_SY!K24/Inv_SY!$Z24-1,"")</f>
        <v>-0.11629152453185287</v>
      </c>
      <c r="X22" s="76">
        <f>IFERROR(Inv_SY!L24/Inv_SY!$Z24-1,"")</f>
        <v>1.7965873186867709E-2</v>
      </c>
      <c r="Y22" s="76">
        <f>IFERROR(Inv_SY!M24/Inv_SY!$Z24-1,"")</f>
        <v>1.6413425028373174E-2</v>
      </c>
      <c r="Z22" s="76">
        <f>IFERROR(Inv_SY!N24/Inv_SY!$Z24-1,"")</f>
        <v>-0.13140028063274667</v>
      </c>
      <c r="AA22" s="76">
        <f>IFERROR(Inv_SY!O24/Inv_SY!$Z24-1,"")</f>
        <v>2.0821297555548846E-2</v>
      </c>
      <c r="AB22" s="76">
        <f>IFERROR(Inv_SY!P24/Inv_SY!$Z24-1,"")</f>
        <v>-8.826071908810007E-2</v>
      </c>
      <c r="AC22" s="76">
        <f>IFERROR(Inv_SY!Q24/Inv_SY!$Z24-1,"")</f>
        <v>0.30101278518977681</v>
      </c>
      <c r="AD22" s="76">
        <f>IFERROR(Inv_SY!R24/Inv_SY!$Z24-1,"")</f>
        <v>4.9215393703428534E-2</v>
      </c>
      <c r="AE22" s="76">
        <f>IFERROR(Inv_SY!S24/Inv_SY!$Z24-1,"")</f>
        <v>-0.12896453020828402</v>
      </c>
      <c r="AF22" s="76">
        <f>IFERROR(Inv_SY!T24/Inv_SY!$Z24-1,"")</f>
        <v>0.2930108828231357</v>
      </c>
      <c r="AG22" s="76">
        <f>IFERROR(Inv_SY!U24/Inv_SY!$Z24-1,"")</f>
        <v>-0.13485271180803837</v>
      </c>
      <c r="AH22" s="76">
        <f>IFERROR(Inv_SY!V24/Inv_SY!$Y24-1,"")</f>
        <v>-1.0701969724367433E-2</v>
      </c>
      <c r="AI22" s="76">
        <f>IFERROR(Inv_SY!W24/Inv_SY!$Y24-1,"")</f>
        <v>9.2219188746001102E-3</v>
      </c>
      <c r="AJ22" s="76">
        <f>IFERROR(Inv_SY!X24/Inv_SY!$Y24-1,"")</f>
        <v>1.4800508497676557E-3</v>
      </c>
      <c r="AK22" s="76">
        <f>IFERROR(Inv_SY!V24/Inv_SY!$Z24-1,"")</f>
        <v>-1.9741831034729262E-2</v>
      </c>
      <c r="AL22" s="76">
        <f>IFERROR(Inv_SY!W24/Inv_SY!$Z24-1,"")</f>
        <v>0</v>
      </c>
      <c r="AM22" s="76">
        <f>IFERROR(Inv_SY!X24/Inv_SY!$Z24-1,"")</f>
        <v>-7.6711255275406787E-3</v>
      </c>
    </row>
    <row r="23" spans="1:39" x14ac:dyDescent="0.25">
      <c r="A23" s="123">
        <f>YEAR(Inv_SY_D[[#This Row],[Date]])+IF(MONTH(Inv_SY_D[[#This Row],[Date]])&gt;=4,1,0)</f>
        <v>2026</v>
      </c>
      <c r="B23" s="123">
        <v>4</v>
      </c>
      <c r="C23" s="123">
        <f>YEAR(Inv_SY_D[[#This Row],[Month Year]])</f>
        <v>2025</v>
      </c>
      <c r="D23" s="123" t="s">
        <v>4</v>
      </c>
      <c r="E23" s="123" t="s">
        <v>4</v>
      </c>
      <c r="F23" s="74" t="str">
        <f>TEXT(Inv_SY_D[[#This Row],[Date]],"mmm-yy")</f>
        <v>Apr-25</v>
      </c>
      <c r="G23" s="75">
        <f>DAY(EOMONTH(Inv_SY_D[[#This Row],[Month Year]],0))</f>
        <v>30</v>
      </c>
      <c r="H23" s="73">
        <f t="shared" si="1"/>
        <v>45766</v>
      </c>
      <c r="I23" s="124">
        <v>7.0991999999999997</v>
      </c>
      <c r="J23" s="76">
        <f>IFERROR(Inv_SY!J25/Inv_SY!$Y25-1,"")</f>
        <v>3.3575665775198216E-2</v>
      </c>
      <c r="K23" s="76">
        <f>IFERROR(Inv_SY!K25/Inv_SY!$Y25-1,"")</f>
        <v>-0.14389034088815567</v>
      </c>
      <c r="L23" s="76">
        <f>IFERROR(Inv_SY!L25/Inv_SY!$Y25-1,"")</f>
        <v>2.8825191084177249E-2</v>
      </c>
      <c r="M23" s="76">
        <f>IFERROR(Inv_SY!M25/Inv_SY!$Y25-1,"")</f>
        <v>5.2388459005779486E-2</v>
      </c>
      <c r="N23" s="76">
        <f>IFERROR(Inv_SY!N25/Inv_SY!$Y25-1,"")</f>
        <v>-9.3241429270445431E-2</v>
      </c>
      <c r="O23" s="76">
        <f>IFERROR(Inv_SY!O25/Inv_SY!$Y25-1,"")</f>
        <v>3.7040120203099658E-2</v>
      </c>
      <c r="P23" s="76">
        <f>IFERROR(Inv_SY!P25/Inv_SY!$Y25-1,"")</f>
        <v>-0.1154369871122386</v>
      </c>
      <c r="Q23" s="76">
        <f>IFERROR(Inv_SY!Q25/Inv_SY!$Y25-1,"")</f>
        <v>0.32155006774386341</v>
      </c>
      <c r="R23" s="76">
        <f>IFERROR(Inv_SY!R25/Inv_SY!$Y25-1,"")</f>
        <v>6.0089247168240156E-2</v>
      </c>
      <c r="S23" s="76">
        <f>IFERROR(Inv_SY!S25/Inv_SY!$Y25-1,"")</f>
        <v>-0.11955973400376763</v>
      </c>
      <c r="T23" s="76">
        <f>IFERROR(Inv_SY!T25/Inv_SY!$Y25-1,"")</f>
        <v>0.30662852448046207</v>
      </c>
      <c r="U23" s="76">
        <f>IFERROR(Inv_SY!U25/Inv_SY!$Y25-1,"")</f>
        <v>-0.12573228416666982</v>
      </c>
      <c r="V23" s="76">
        <f>IFERROR(Inv_SY!J25/Inv_SY!$Z25-1,"")</f>
        <v>2.232380964587688E-2</v>
      </c>
      <c r="W23" s="76">
        <f>IFERROR(Inv_SY!K25/Inv_SY!$Z25-1,"")</f>
        <v>-0.15321024172775621</v>
      </c>
      <c r="X23" s="76">
        <f>IFERROR(Inv_SY!L25/Inv_SY!$Z25-1,"")</f>
        <v>1.7625050237576989E-2</v>
      </c>
      <c r="Y23" s="76">
        <f>IFERROR(Inv_SY!M25/Inv_SY!$Z25-1,"")</f>
        <v>4.0931800412709496E-2</v>
      </c>
      <c r="Z23" s="76">
        <f>IFERROR(Inv_SY!N25/Inv_SY!$Z25-1,"")</f>
        <v>-0.10311271138332867</v>
      </c>
      <c r="AA23" s="76">
        <f>IFERROR(Inv_SY!O25/Inv_SY!$Z25-1,"")</f>
        <v>2.5750548844908128E-2</v>
      </c>
      <c r="AB23" s="76">
        <f>IFERROR(Inv_SY!P25/Inv_SY!$Z25-1,"")</f>
        <v>-0.12506664083562347</v>
      </c>
      <c r="AC23" s="76">
        <f>IFERROR(Inv_SY!Q25/Inv_SY!$Z25-1,"")</f>
        <v>0.3071632243589657</v>
      </c>
      <c r="AD23" s="76">
        <f>IFERROR(Inv_SY!R25/Inv_SY!$Z25-1,"")</f>
        <v>4.8548755176846869E-2</v>
      </c>
      <c r="AE23" s="76">
        <f>IFERROR(Inv_SY!S25/Inv_SY!$Z25-1,"")</f>
        <v>-0.12914450610269379</v>
      </c>
      <c r="AF23" s="76">
        <f>IFERROR(Inv_SY!T25/Inv_SY!$Z25-1,"")</f>
        <v>0.29240412208908517</v>
      </c>
      <c r="AG23" s="76">
        <f>IFERROR(Inv_SY!U25/Inv_SY!$Z25-1,"")</f>
        <v>-0.13524985978576021</v>
      </c>
      <c r="AH23" s="76">
        <f>IFERROR(Inv_SY!V25/Inv_SY!$Y25-1,"")</f>
        <v>-1.3812964863300525E-2</v>
      </c>
      <c r="AI23" s="76">
        <f>IFERROR(Inv_SY!W25/Inv_SY!$Y25-1,"")</f>
        <v>1.1006156780422716E-2</v>
      </c>
      <c r="AJ23" s="76">
        <f>IFERROR(Inv_SY!X25/Inv_SY!$Y25-1,"")</f>
        <v>2.8068080828780317E-3</v>
      </c>
      <c r="AK23" s="76">
        <f>IFERROR(Inv_SY!V25/Inv_SY!$Z25-1,"")</f>
        <v>-2.454893224662491E-2</v>
      </c>
      <c r="AL23" s="76">
        <f>IFERROR(Inv_SY!W25/Inv_SY!$Z25-1,"")</f>
        <v>0</v>
      </c>
      <c r="AM23" s="76">
        <f>IFERROR(Inv_SY!X25/Inv_SY!$Z25-1,"")</f>
        <v>-8.1100877997180021E-3</v>
      </c>
    </row>
    <row r="24" spans="1:39" x14ac:dyDescent="0.25">
      <c r="A24" s="123">
        <f>YEAR(Inv_SY_D[[#This Row],[Date]])+IF(MONTH(Inv_SY_D[[#This Row],[Date]])&gt;=4,1,0)</f>
        <v>2026</v>
      </c>
      <c r="B24" s="123">
        <v>4</v>
      </c>
      <c r="C24" s="123">
        <f>YEAR(Inv_SY_D[[#This Row],[Month Year]])</f>
        <v>2025</v>
      </c>
      <c r="D24" s="123" t="s">
        <v>4</v>
      </c>
      <c r="E24" s="123" t="s">
        <v>4</v>
      </c>
      <c r="F24" s="130" t="str">
        <f>TEXT(Inv_SY_D[[#This Row],[Date]],"mmm-yy")</f>
        <v>Apr-25</v>
      </c>
      <c r="G24" s="131">
        <f>DAY(EOMONTH(Inv_SY_D[[#This Row],[Month Year]],0))</f>
        <v>30</v>
      </c>
      <c r="H24" s="73">
        <f t="shared" si="1"/>
        <v>45767</v>
      </c>
      <c r="I24" s="124">
        <v>7.0991999999999997</v>
      </c>
      <c r="J24" s="76">
        <f>IFERROR(Inv_SY!J26/Inv_SY!$Y26-1,"")</f>
        <v>8.1769940158900711E-2</v>
      </c>
      <c r="K24" s="76">
        <f>IFERROR(Inv_SY!K26/Inv_SY!$Y26-1,"")</f>
        <v>-0.13569460155123225</v>
      </c>
      <c r="L24" s="76">
        <f>IFERROR(Inv_SY!L26/Inv_SY!$Y26-1,"")</f>
        <v>3.9059890597285873E-2</v>
      </c>
      <c r="M24" s="76">
        <f>IFERROR(Inv_SY!M26/Inv_SY!$Y26-1,"")</f>
        <v>3.5262671832773318E-2</v>
      </c>
      <c r="N24" s="76">
        <f>IFERROR(Inv_SY!N26/Inv_SY!$Y26-1,"")</f>
        <v>-0.1182613214588516</v>
      </c>
      <c r="O24" s="76">
        <f>IFERROR(Inv_SY!O26/Inv_SY!$Y26-1,"")</f>
        <v>7.3384126669296723E-2</v>
      </c>
      <c r="P24" s="76">
        <f>IFERROR(Inv_SY!P26/Inv_SY!$Y26-1,"")</f>
        <v>-0.11679248174513435</v>
      </c>
      <c r="Q24" s="76">
        <f>IFERROR(Inv_SY!Q26/Inv_SY!$Y26-1,"")</f>
        <v>0.32027820432348952</v>
      </c>
      <c r="R24" s="76">
        <f>IFERROR(Inv_SY!R26/Inv_SY!$Y26-1,"")</f>
        <v>4.6328272700840278E-2</v>
      </c>
      <c r="S24" s="76">
        <f>IFERROR(Inv_SY!S26/Inv_SY!$Y26-1,"")</f>
        <v>-0.13124913184983567</v>
      </c>
      <c r="T24" s="76">
        <f>IFERROR(Inv_SY!T26/Inv_SY!$Y26-1,"")</f>
        <v>0.28976651926262909</v>
      </c>
      <c r="U24" s="76">
        <f>IFERROR(Inv_SY!U26/Inv_SY!$Y26-1,"")</f>
        <v>-0.13749242040854504</v>
      </c>
      <c r="V24" s="76">
        <f>IFERROR(Inv_SY!J26/Inv_SY!$Z26-1,"")</f>
        <v>6.8922015988276186E-2</v>
      </c>
      <c r="W24" s="76">
        <f>IFERROR(Inv_SY!K26/Inv_SY!$Z26-1,"")</f>
        <v>-0.14595975110595183</v>
      </c>
      <c r="X24" s="76">
        <f>IFERROR(Inv_SY!L26/Inv_SY!$Z26-1,"")</f>
        <v>2.6719223522389868E-2</v>
      </c>
      <c r="Y24" s="76">
        <f>IFERROR(Inv_SY!M26/Inv_SY!$Z26-1,"")</f>
        <v>2.2967103421589918E-2</v>
      </c>
      <c r="Z24" s="76">
        <f>IFERROR(Inv_SY!N26/Inv_SY!$Z26-1,"")</f>
        <v>-0.1287335219329554</v>
      </c>
      <c r="AA24" s="76">
        <f>IFERROR(Inv_SY!O26/Inv_SY!$Z26-1,"")</f>
        <v>6.0635798810072528E-2</v>
      </c>
      <c r="AB24" s="76">
        <f>IFERROR(Inv_SY!P26/Inv_SY!$Z26-1,"")</f>
        <v>-0.12728212727900556</v>
      </c>
      <c r="AC24" s="76">
        <f>IFERROR(Inv_SY!Q26/Inv_SY!$Z26-1,"")</f>
        <v>0.30459757425275114</v>
      </c>
      <c r="AD24" s="76">
        <f>IFERROR(Inv_SY!R26/Inv_SY!$Z26-1,"")</f>
        <v>3.3901280781221788E-2</v>
      </c>
      <c r="AE24" s="76">
        <f>IFERROR(Inv_SY!S26/Inv_SY!$Z26-1,"")</f>
        <v>-0.14156707919039313</v>
      </c>
      <c r="AF24" s="76">
        <f>IFERROR(Inv_SY!T26/Inv_SY!$Z26-1,"")</f>
        <v>0.27444826921506116</v>
      </c>
      <c r="AG24" s="76">
        <f>IFERROR(Inv_SY!U26/Inv_SY!$Z26-1,"")</f>
        <v>-0.14773621769648981</v>
      </c>
      <c r="AH24" s="76">
        <f>IFERROR(Inv_SY!V26/Inv_SY!$Y26-1,"")</f>
        <v>-1.6357647212109638E-3</v>
      </c>
      <c r="AI24" s="76">
        <f>IFERROR(Inv_SY!W26/Inv_SY!$Y26-1,"")</f>
        <v>1.2019514967839706E-2</v>
      </c>
      <c r="AJ24" s="76">
        <f>IFERROR(Inv_SY!X26/Inv_SY!$Y26-1,"")</f>
        <v>-1.0383750246628409E-2</v>
      </c>
      <c r="AK24" s="76">
        <f>IFERROR(Inv_SY!V26/Inv_SY!$Z26-1,"")</f>
        <v>-1.3493099181476342E-2</v>
      </c>
      <c r="AL24" s="76">
        <f>IFERROR(Inv_SY!W26/Inv_SY!$Z26-1,"")</f>
        <v>0</v>
      </c>
      <c r="AM24" s="76">
        <f>IFERROR(Inv_SY!X26/Inv_SY!$Z26-1,"")</f>
        <v>-2.2137186964403699E-2</v>
      </c>
    </row>
    <row r="25" spans="1:39" x14ac:dyDescent="0.25">
      <c r="A25" s="123">
        <f>YEAR(Inv_SY_D[[#This Row],[Date]])+IF(MONTH(Inv_SY_D[[#This Row],[Date]])&gt;=4,1,0)</f>
        <v>2026</v>
      </c>
      <c r="B25" s="123">
        <v>4</v>
      </c>
      <c r="C25" s="123">
        <f>YEAR(Inv_SY_D[[#This Row],[Month Year]])</f>
        <v>2025</v>
      </c>
      <c r="D25" s="123" t="s">
        <v>4</v>
      </c>
      <c r="E25" s="123" t="s">
        <v>4</v>
      </c>
      <c r="F25" s="130" t="str">
        <f>TEXT(Inv_SY_D[[#This Row],[Date]],"mmm-yy")</f>
        <v>Apr-25</v>
      </c>
      <c r="G25" s="131">
        <f>DAY(EOMONTH(Inv_SY_D[[#This Row],[Month Year]],0))</f>
        <v>30</v>
      </c>
      <c r="H25" s="73">
        <f t="shared" si="1"/>
        <v>45768</v>
      </c>
      <c r="I25" s="124">
        <v>7.0991999999999997</v>
      </c>
      <c r="J25" s="76">
        <f>IFERROR(Inv_SY!J27/Inv_SY!$Y27-1,"")</f>
        <v>4.981267122098032E-2</v>
      </c>
      <c r="K25" s="76">
        <f>IFERROR(Inv_SY!K27/Inv_SY!$Y27-1,"")</f>
        <v>-0.13022653558374708</v>
      </c>
      <c r="L25" s="76">
        <f>IFERROR(Inv_SY!L27/Inv_SY!$Y27-1,"")</f>
        <v>8.3205950344656943E-2</v>
      </c>
      <c r="M25" s="76">
        <f>IFERROR(Inv_SY!M27/Inv_SY!$Y27-1,"")</f>
        <v>0.1129980080978561</v>
      </c>
      <c r="N25" s="76">
        <f>IFERROR(Inv_SY!N27/Inv_SY!$Y27-1,"")</f>
        <v>-0.10680505731549761</v>
      </c>
      <c r="O25" s="76">
        <f>IFERROR(Inv_SY!O27/Inv_SY!$Y27-1,"")</f>
        <v>4.981267122098032E-2</v>
      </c>
      <c r="P25" s="76">
        <f>IFERROR(Inv_SY!P27/Inv_SY!$Y27-1,"")</f>
        <v>-0.10431893753652433</v>
      </c>
      <c r="Q25" s="76">
        <f>IFERROR(Inv_SY!Q27/Inv_SY!$Y27-1,"")</f>
        <v>0.3843256001699451</v>
      </c>
      <c r="R25" s="76">
        <f>IFERROR(Inv_SY!R27/Inv_SY!$Y27-1,"")</f>
        <v>-5.2402798304063136E-2</v>
      </c>
      <c r="S25" s="76">
        <f>IFERROR(Inv_SY!S27/Inv_SY!$Y27-1,"")</f>
        <v>-0.16837901872769423</v>
      </c>
      <c r="T25" s="76">
        <f>IFERROR(Inv_SY!T27/Inv_SY!$Y27-1,"")</f>
        <v>0.37667901445055052</v>
      </c>
      <c r="U25" s="76">
        <f>IFERROR(Inv_SY!U27/Inv_SY!$Y27-1,"")</f>
        <v>-0.15572434439928384</v>
      </c>
      <c r="V25" s="76">
        <f>IFERROR(Inv_SY!J27/Inv_SY!$Z27-1,"")</f>
        <v>2.2030671196330065E-2</v>
      </c>
      <c r="W25" s="76">
        <f>IFERROR(Inv_SY!K27/Inv_SY!$Z27-1,"")</f>
        <v>-0.15324401962854206</v>
      </c>
      <c r="X25" s="76">
        <f>IFERROR(Inv_SY!L27/Inv_SY!$Z27-1,"")</f>
        <v>5.4540238295119225E-2</v>
      </c>
      <c r="Y25" s="76">
        <f>IFERROR(Inv_SY!M27/Inv_SY!$Z27-1,"")</f>
        <v>8.3543885913897942E-2</v>
      </c>
      <c r="Z25" s="76">
        <f>IFERROR(Inv_SY!N27/Inv_SY!$Z27-1,"")</f>
        <v>-0.13044236195082615</v>
      </c>
      <c r="AA25" s="76">
        <f>IFERROR(Inv_SY!O27/Inv_SY!$Z27-1,"")</f>
        <v>2.2030671196330065E-2</v>
      </c>
      <c r="AB25" s="76">
        <f>IFERROR(Inv_SY!P27/Inv_SY!$Z27-1,"")</f>
        <v>-0.12802203427139036</v>
      </c>
      <c r="AC25" s="76">
        <f>IFERROR(Inv_SY!Q27/Inv_SY!$Z27-1,"")</f>
        <v>0.34769112726601703</v>
      </c>
      <c r="AD25" s="76">
        <f>IFERROR(Inv_SY!R27/Inv_SY!$Z27-1,"")</f>
        <v>-7.7479791754958005E-2</v>
      </c>
      <c r="AE25" s="76">
        <f>IFERROR(Inv_SY!S27/Inv_SY!$Z27-1,"")</f>
        <v>-0.19038684427178465</v>
      </c>
      <c r="AF25" s="76">
        <f>IFERROR(Inv_SY!T27/Inv_SY!$Z27-1,"")</f>
        <v>0.34024689902474048</v>
      </c>
      <c r="AG25" s="76">
        <f>IFERROR(Inv_SY!U27/Inv_SY!$Z27-1,"")</f>
        <v>-0.17806706032157371</v>
      </c>
      <c r="AH25" s="76">
        <f>IFERROR(Inv_SY!V27/Inv_SY!$Y27-1,"")</f>
        <v>5.7079111673372651E-3</v>
      </c>
      <c r="AI25" s="76">
        <f>IFERROR(Inv_SY!W27/Inv_SY!$Y27-1,"")</f>
        <v>2.7183137265470059E-2</v>
      </c>
      <c r="AJ25" s="76">
        <f>IFERROR(Inv_SY!X27/Inv_SY!$Y27-1,"")</f>
        <v>-3.2891048432807102E-2</v>
      </c>
      <c r="AK25" s="76">
        <f>IFERROR(Inv_SY!V27/Inv_SY!$Z27-1,"")</f>
        <v>-2.0906910675445256E-2</v>
      </c>
      <c r="AL25" s="76">
        <f>IFERROR(Inv_SY!W27/Inv_SY!$Z27-1,"")</f>
        <v>0</v>
      </c>
      <c r="AM25" s="76">
        <f>IFERROR(Inv_SY!X27/Inv_SY!$Z27-1,"")</f>
        <v>-5.8484396325084176E-2</v>
      </c>
    </row>
    <row r="26" spans="1:39" x14ac:dyDescent="0.25">
      <c r="A26" s="123">
        <f>YEAR(Inv_SY_D[[#This Row],[Date]])+IF(MONTH(Inv_SY_D[[#This Row],[Date]])&gt;=4,1,0)</f>
        <v>2026</v>
      </c>
      <c r="B26" s="123">
        <v>4</v>
      </c>
      <c r="C26" s="123">
        <f>YEAR(Inv_SY_D[[#This Row],[Month Year]])</f>
        <v>2025</v>
      </c>
      <c r="D26" s="123" t="s">
        <v>4</v>
      </c>
      <c r="E26" s="123" t="s">
        <v>4</v>
      </c>
      <c r="F26" s="130" t="str">
        <f>TEXT(Inv_SY_D[[#This Row],[Date]],"mmm-yy")</f>
        <v>Apr-25</v>
      </c>
      <c r="G26" s="131">
        <f>DAY(EOMONTH(Inv_SY_D[[#This Row],[Month Year]],0))</f>
        <v>30</v>
      </c>
      <c r="H26" s="73">
        <f t="shared" si="1"/>
        <v>45769</v>
      </c>
      <c r="I26" s="124">
        <v>7.0991999999999997</v>
      </c>
      <c r="J26" s="76">
        <f>IFERROR(Inv_SY!J28/Inv_SY!$Y28-1,"")</f>
        <v>3.3911569857110413E-2</v>
      </c>
      <c r="K26" s="76">
        <f>IFERROR(Inv_SY!K28/Inv_SY!$Y28-1,"")</f>
        <v>-0.14325986113989919</v>
      </c>
      <c r="L26" s="76">
        <f>IFERROR(Inv_SY!L28/Inv_SY!$Y28-1,"")</f>
        <v>2.9852169056225453E-2</v>
      </c>
      <c r="M26" s="76">
        <f>IFERROR(Inv_SY!M28/Inv_SY!$Y28-1,"")</f>
        <v>3.6248854144691034E-2</v>
      </c>
      <c r="N26" s="76">
        <f>IFERROR(Inv_SY!N28/Inv_SY!$Y28-1,"")</f>
        <v>-0.10039154557740448</v>
      </c>
      <c r="O26" s="76">
        <f>IFERROR(Inv_SY!O28/Inv_SY!$Y28-1,"")</f>
        <v>4.5954526186339884E-2</v>
      </c>
      <c r="P26" s="76">
        <f>IFERROR(Inv_SY!P28/Inv_SY!$Y28-1,"")</f>
        <v>-0.107317447981231</v>
      </c>
      <c r="Q26" s="76">
        <f>IFERROR(Inv_SY!Q28/Inv_SY!$Y28-1,"")</f>
        <v>0.33261717001454372</v>
      </c>
      <c r="R26" s="76">
        <f>IFERROR(Inv_SY!R28/Inv_SY!$Y28-1,"")</f>
        <v>5.9046196970834464E-2</v>
      </c>
      <c r="S26" s="76">
        <f>IFERROR(Inv_SY!S28/Inv_SY!$Y28-1,"")</f>
        <v>-0.11945364153448557</v>
      </c>
      <c r="T26" s="76">
        <f>IFERROR(Inv_SY!T28/Inv_SY!$Y28-1,"")</f>
        <v>0.30475095188735546</v>
      </c>
      <c r="U26" s="76">
        <f>IFERROR(Inv_SY!U28/Inv_SY!$Y28-1,"")</f>
        <v>-0.12784661855678714</v>
      </c>
      <c r="V26" s="76">
        <f>IFERROR(Inv_SY!J28/Inv_SY!$Z28-1,"")</f>
        <v>1.8101302940987107E-2</v>
      </c>
      <c r="W26" s="76">
        <f>IFERROR(Inv_SY!K28/Inv_SY!$Z28-1,"")</f>
        <v>-0.15636087545102306</v>
      </c>
      <c r="X26" s="76">
        <f>IFERROR(Inv_SY!L28/Inv_SY!$Z28-1,"")</f>
        <v>1.4103977284681823E-2</v>
      </c>
      <c r="Y26" s="76">
        <f>IFERROR(Inv_SY!M28/Inv_SY!$Z28-1,"")</f>
        <v>2.0402846175345601E-2</v>
      </c>
      <c r="Z26" s="76">
        <f>IFERROR(Inv_SY!N28/Inv_SY!$Z28-1,"")</f>
        <v>-0.11414808936614251</v>
      </c>
      <c r="AA26" s="76">
        <f>IFERROR(Inv_SY!O28/Inv_SY!$Z28-1,"")</f>
        <v>2.9960101979036757E-2</v>
      </c>
      <c r="AB26" s="76">
        <f>IFERROR(Inv_SY!P28/Inv_SY!$Z28-1,"")</f>
        <v>-0.12096808293904782</v>
      </c>
      <c r="AC26" s="76">
        <f>IFERROR(Inv_SY!Q28/Inv_SY!$Z28-1,"")</f>
        <v>0.31223918627861313</v>
      </c>
      <c r="AD26" s="76">
        <f>IFERROR(Inv_SY!R28/Inv_SY!$Z28-1,"")</f>
        <v>4.2851578844133265E-2</v>
      </c>
      <c r="AE26" s="76">
        <f>IFERROR(Inv_SY!S28/Inv_SY!$Z28-1,"")</f>
        <v>-0.13291869344534102</v>
      </c>
      <c r="AF26" s="76">
        <f>IFERROR(Inv_SY!T28/Inv_SY!$Z28-1,"")</f>
        <v>0.28479909003590542</v>
      </c>
      <c r="AG26" s="76">
        <f>IFERROR(Inv_SY!U28/Inv_SY!$Z28-1,"")</f>
        <v>-0.14118332756984353</v>
      </c>
      <c r="AH26" s="76">
        <f>IFERROR(Inv_SY!V28/Inv_SY!$Y28-1,"")</f>
        <v>-1.7154397024705115E-2</v>
      </c>
      <c r="AI26" s="76">
        <f>IFERROR(Inv_SY!W28/Inv_SY!$Y28-1,"")</f>
        <v>1.552916872854615E-2</v>
      </c>
      <c r="AJ26" s="76">
        <f>IFERROR(Inv_SY!X28/Inv_SY!$Y28-1,"")</f>
        <v>1.6252282961590758E-3</v>
      </c>
      <c r="AK26" s="76">
        <f>IFERROR(Inv_SY!V28/Inv_SY!$Z28-1,"")</f>
        <v>-3.2183778427724907E-2</v>
      </c>
      <c r="AL26" s="76">
        <f>IFERROR(Inv_SY!W28/Inv_SY!$Z28-1,"")</f>
        <v>0</v>
      </c>
      <c r="AM26" s="76">
        <f>IFERROR(Inv_SY!X28/Inv_SY!$Z28-1,"")</f>
        <v>-1.3691325528143117E-2</v>
      </c>
    </row>
    <row r="27" spans="1:39" x14ac:dyDescent="0.25">
      <c r="A27" s="123">
        <f>YEAR(Inv_SY_D[[#This Row],[Date]])+IF(MONTH(Inv_SY_D[[#This Row],[Date]])&gt;=4,1,0)</f>
        <v>2026</v>
      </c>
      <c r="B27" s="123">
        <v>4</v>
      </c>
      <c r="C27" s="123">
        <f>YEAR(Inv_SY_D[[#This Row],[Month Year]])</f>
        <v>2025</v>
      </c>
      <c r="D27" s="123" t="s">
        <v>4</v>
      </c>
      <c r="E27" s="123" t="s">
        <v>4</v>
      </c>
      <c r="F27" s="130" t="str">
        <f>TEXT(Inv_SY_D[[#This Row],[Date]],"mmm-yy")</f>
        <v>Apr-25</v>
      </c>
      <c r="G27" s="131">
        <f>DAY(EOMONTH(Inv_SY_D[[#This Row],[Month Year]],0))</f>
        <v>30</v>
      </c>
      <c r="H27" s="73">
        <f t="shared" si="1"/>
        <v>45770</v>
      </c>
      <c r="I27" s="124">
        <v>7.0991999999999997</v>
      </c>
      <c r="J27" s="76">
        <f>IFERROR(Inv_SY!J29/Inv_SY!$Y29-1,"")</f>
        <v>7.1058433903123053E-2</v>
      </c>
      <c r="K27" s="76">
        <f>IFERROR(Inv_SY!K29/Inv_SY!$Y29-1,"")</f>
        <v>-0.13269063848417617</v>
      </c>
      <c r="L27" s="76">
        <f>IFERROR(Inv_SY!L29/Inv_SY!$Y29-1,"")</f>
        <v>4.2558778242497874E-2</v>
      </c>
      <c r="M27" s="76">
        <f>IFERROR(Inv_SY!M29/Inv_SY!$Y29-1,"")</f>
        <v>3.819526061595635E-2</v>
      </c>
      <c r="N27" s="76">
        <f>IFERROR(Inv_SY!N29/Inv_SY!$Y29-1,"")</f>
        <v>-9.9797458340701417E-2</v>
      </c>
      <c r="O27" s="76">
        <f>IFERROR(Inv_SY!O29/Inv_SY!$Y29-1,"")</f>
        <v>8.2338074140642314E-2</v>
      </c>
      <c r="P27" s="76">
        <f>IFERROR(Inv_SY!P29/Inv_SY!$Y29-1,"")</f>
        <v>-9.67909631388022E-2</v>
      </c>
      <c r="Q27" s="76">
        <f>IFERROR(Inv_SY!Q29/Inv_SY!$Y29-1,"")</f>
        <v>0.34779404069596231</v>
      </c>
      <c r="R27" s="76">
        <f>IFERROR(Inv_SY!R29/Inv_SY!$Y29-1,"")</f>
        <v>2.6129249527312215E-2</v>
      </c>
      <c r="S27" s="76">
        <f>IFERROR(Inv_SY!S29/Inv_SY!$Y29-1,"")</f>
        <v>-0.14547258374707184</v>
      </c>
      <c r="T27" s="76">
        <f>IFERROR(Inv_SY!T29/Inv_SY!$Y29-1,"")</f>
        <v>0.26569639992672545</v>
      </c>
      <c r="U27" s="76">
        <f>IFERROR(Inv_SY!U29/Inv_SY!$Y29-1,"")</f>
        <v>-0.15396797146643182</v>
      </c>
      <c r="V27" s="76">
        <f>IFERROR(Inv_SY!J29/Inv_SY!$Z29-1,"")</f>
        <v>3.9508598838556619E-2</v>
      </c>
      <c r="W27" s="76">
        <f>IFERROR(Inv_SY!K29/Inv_SY!$Z29-1,"")</f>
        <v>-0.15823870051293165</v>
      </c>
      <c r="X27" s="76">
        <f>IFERROR(Inv_SY!L29/Inv_SY!$Z29-1,"")</f>
        <v>1.1848448668040579E-2</v>
      </c>
      <c r="Y27" s="76">
        <f>IFERROR(Inv_SY!M29/Inv_SY!$Z29-1,"")</f>
        <v>7.6134658226663099E-3</v>
      </c>
      <c r="Z27" s="76">
        <f>IFERROR(Inv_SY!N29/Inv_SY!$Z29-1,"")</f>
        <v>-0.12631444454336394</v>
      </c>
      <c r="AA27" s="76">
        <f>IFERROR(Inv_SY!O29/Inv_SY!$Z29-1,"")</f>
        <v>5.0455978222870623E-2</v>
      </c>
      <c r="AB27" s="76">
        <f>IFERROR(Inv_SY!P29/Inv_SY!$Z29-1,"")</f>
        <v>-0.1233965107352597</v>
      </c>
      <c r="AC27" s="76">
        <f>IFERROR(Inv_SY!Q29/Inv_SY!$Z29-1,"")</f>
        <v>0.30809249095884561</v>
      </c>
      <c r="AD27" s="76">
        <f>IFERROR(Inv_SY!R29/Inv_SY!$Z29-1,"")</f>
        <v>-4.0971205312633208E-3</v>
      </c>
      <c r="AE27" s="76">
        <f>IFERROR(Inv_SY!S29/Inv_SY!$Z29-1,"")</f>
        <v>-0.17064413199088002</v>
      </c>
      <c r="AF27" s="76">
        <f>IFERROR(Inv_SY!T29/Inv_SY!$Z29-1,"")</f>
        <v>0.22841317485189672</v>
      </c>
      <c r="AG27" s="76">
        <f>IFERROR(Inv_SY!U29/Inv_SY!$Z29-1,"")</f>
        <v>-0.17888927371723795</v>
      </c>
      <c r="AH27" s="76">
        <f>IFERROR(Inv_SY!V29/Inv_SY!$Y29-1,"")</f>
        <v>-1.7993125607899119E-3</v>
      </c>
      <c r="AI27" s="76">
        <f>IFERROR(Inv_SY!W29/Inv_SY!$Y29-1,"")</f>
        <v>3.0350720619162885E-2</v>
      </c>
      <c r="AJ27" s="76">
        <f>IFERROR(Inv_SY!X29/Inv_SY!$Y29-1,"")</f>
        <v>-2.8551408058373418E-2</v>
      </c>
      <c r="AK27" s="76">
        <f>IFERROR(Inv_SY!V29/Inv_SY!$Z29-1,"")</f>
        <v>-3.1202999654945662E-2</v>
      </c>
      <c r="AL27" s="76">
        <f>IFERROR(Inv_SY!W29/Inv_SY!$Z29-1,"")</f>
        <v>0</v>
      </c>
      <c r="AM27" s="76">
        <f>IFERROR(Inv_SY!X29/Inv_SY!$Z29-1,"")</f>
        <v>-5.7167066998449423E-2</v>
      </c>
    </row>
    <row r="28" spans="1:39" x14ac:dyDescent="0.25">
      <c r="A28" s="123">
        <f>YEAR(Inv_SY_D[[#This Row],[Date]])+IF(MONTH(Inv_SY_D[[#This Row],[Date]])&gt;=4,1,0)</f>
        <v>2026</v>
      </c>
      <c r="B28" s="123">
        <v>4</v>
      </c>
      <c r="C28" s="123">
        <f>YEAR(Inv_SY_D[[#This Row],[Month Year]])</f>
        <v>2025</v>
      </c>
      <c r="D28" s="123" t="s">
        <v>4</v>
      </c>
      <c r="E28" s="123" t="s">
        <v>4</v>
      </c>
      <c r="F28" s="130" t="str">
        <f>TEXT(Inv_SY_D[[#This Row],[Date]],"mmm-yy")</f>
        <v>Apr-25</v>
      </c>
      <c r="G28" s="131">
        <f>DAY(EOMONTH(Inv_SY_D[[#This Row],[Month Year]],0))</f>
        <v>30</v>
      </c>
      <c r="H28" s="73">
        <f t="shared" si="1"/>
        <v>45771</v>
      </c>
      <c r="I28" s="124">
        <v>7.0991999999999997</v>
      </c>
      <c r="J28" s="76">
        <f>IFERROR(Inv_SY!J30/Inv_SY!$Y30-1,"")</f>
        <v>4.3149939844854268E-2</v>
      </c>
      <c r="K28" s="76">
        <f>IFERROR(Inv_SY!K30/Inv_SY!$Y30-1,"")</f>
        <v>-0.110283298487589</v>
      </c>
      <c r="L28" s="76">
        <f>IFERROR(Inv_SY!L30/Inv_SY!$Y30-1,"")</f>
        <v>3.9036613942264653E-2</v>
      </c>
      <c r="M28" s="76">
        <f>IFERROR(Inv_SY!M30/Inv_SY!$Y30-1,"")</f>
        <v>3.456160011455256E-2</v>
      </c>
      <c r="N28" s="76">
        <f>IFERROR(Inv_SY!N30/Inv_SY!$Y30-1,"")</f>
        <v>-0.10257447609378612</v>
      </c>
      <c r="O28" s="76">
        <f>IFERROR(Inv_SY!O30/Inv_SY!$Y30-1,"")</f>
        <v>5.4757924137864622E-2</v>
      </c>
      <c r="P28" s="76">
        <f>IFERROR(Inv_SY!P30/Inv_SY!$Y30-1,"")</f>
        <v>-7.3835576877492759E-2</v>
      </c>
      <c r="Q28" s="76">
        <f>IFERROR(Inv_SY!Q30/Inv_SY!$Y30-1,"")</f>
        <v>0.34380797815048703</v>
      </c>
      <c r="R28" s="76">
        <f>IFERROR(Inv_SY!R30/Inv_SY!$Y30-1,"")</f>
        <v>2.9993610640769663E-2</v>
      </c>
      <c r="S28" s="76">
        <f>IFERROR(Inv_SY!S30/Inv_SY!$Y30-1,"")</f>
        <v>-0.14231435132171066</v>
      </c>
      <c r="T28" s="76">
        <f>IFERROR(Inv_SY!T30/Inv_SY!$Y30-1,"")</f>
        <v>0.27051275685434639</v>
      </c>
      <c r="U28" s="76">
        <f>IFERROR(Inv_SY!U30/Inv_SY!$Y30-1,"")</f>
        <v>-0.15078230867432685</v>
      </c>
      <c r="V28" s="76">
        <f>IFERROR(Inv_SY!J30/Inv_SY!$Z30-1,"")</f>
        <v>1.4100685310883154E-2</v>
      </c>
      <c r="W28" s="76">
        <f>IFERROR(Inv_SY!K30/Inv_SY!$Z30-1,"")</f>
        <v>-0.13505980082741864</v>
      </c>
      <c r="X28" s="76">
        <f>IFERROR(Inv_SY!L30/Inv_SY!$Z30-1,"")</f>
        <v>1.0101905789941634E-2</v>
      </c>
      <c r="Y28" s="76">
        <f>IFERROR(Inv_SY!M30/Inv_SY!$Z30-1,"")</f>
        <v>5.7515104957295282E-3</v>
      </c>
      <c r="Z28" s="76">
        <f>IFERROR(Inv_SY!N30/Inv_SY!$Z30-1,"")</f>
        <v>-0.12756565087457683</v>
      </c>
      <c r="AA28" s="76">
        <f>IFERROR(Inv_SY!O30/Inv_SY!$Z30-1,"")</f>
        <v>2.5385414741410317E-2</v>
      </c>
      <c r="AB28" s="76">
        <f>IFERROR(Inv_SY!P30/Inv_SY!$Z30-1,"")</f>
        <v>-9.9627061917117787E-2</v>
      </c>
      <c r="AC28" s="76">
        <f>IFERROR(Inv_SY!Q30/Inv_SY!$Z30-1,"")</f>
        <v>0.30638610952834</v>
      </c>
      <c r="AD28" s="76">
        <f>IFERROR(Inv_SY!R30/Inv_SY!$Z30-1,"")</f>
        <v>1.3107287069245022E-3</v>
      </c>
      <c r="AE28" s="76">
        <f>IFERROR(Inv_SY!S30/Inv_SY!$Z30-1,"")</f>
        <v>-0.16619886472377765</v>
      </c>
      <c r="AF28" s="76">
        <f>IFERROR(Inv_SY!T30/Inv_SY!$Z30-1,"")</f>
        <v>0.23513198650410461</v>
      </c>
      <c r="AG28" s="76">
        <f>IFERROR(Inv_SY!U30/Inv_SY!$Z30-1,"")</f>
        <v>-0.17443100952527046</v>
      </c>
      <c r="AH28" s="76">
        <f>IFERROR(Inv_SY!V30/Inv_SY!$Y30-1,"")</f>
        <v>-3.7446709252831889E-3</v>
      </c>
      <c r="AI28" s="76">
        <f>IFERROR(Inv_SY!W30/Inv_SY!$Y30-1,"")</f>
        <v>2.8645335670062888E-2</v>
      </c>
      <c r="AJ28" s="76">
        <f>IFERROR(Inv_SY!X30/Inv_SY!$Y30-1,"")</f>
        <v>-2.4900664744779699E-2</v>
      </c>
      <c r="AK28" s="76">
        <f>IFERROR(Inv_SY!V30/Inv_SY!$Z30-1,"")</f>
        <v>-3.14880216457184E-2</v>
      </c>
      <c r="AL28" s="76">
        <f>IFERROR(Inv_SY!W30/Inv_SY!$Z30-1,"")</f>
        <v>0</v>
      </c>
      <c r="AM28" s="76">
        <f>IFERROR(Inv_SY!X30/Inv_SY!$Z30-1,"")</f>
        <v>-5.205487115728058E-2</v>
      </c>
    </row>
    <row r="29" spans="1:39" x14ac:dyDescent="0.25">
      <c r="A29" s="123">
        <f>YEAR(Inv_SY_D[[#This Row],[Date]])+IF(MONTH(Inv_SY_D[[#This Row],[Date]])&gt;=4,1,0)</f>
        <v>2026</v>
      </c>
      <c r="B29" s="123">
        <v>4</v>
      </c>
      <c r="C29" s="123">
        <f>YEAR(Inv_SY_D[[#This Row],[Month Year]])</f>
        <v>2025</v>
      </c>
      <c r="D29" s="123" t="s">
        <v>4</v>
      </c>
      <c r="E29" s="123" t="s">
        <v>4</v>
      </c>
      <c r="F29" s="130" t="str">
        <f>TEXT(Inv_SY_D[[#This Row],[Date]],"mmm-yy")</f>
        <v>Apr-25</v>
      </c>
      <c r="G29" s="131">
        <f>DAY(EOMONTH(Inv_SY_D[[#This Row],[Month Year]],0))</f>
        <v>30</v>
      </c>
      <c r="H29" s="73">
        <f t="shared" si="1"/>
        <v>45772</v>
      </c>
      <c r="I29" s="124">
        <v>7.0991999999999997</v>
      </c>
      <c r="J29" s="76">
        <f>IFERROR(Inv_SY!J31/Inv_SY!$Y31-1,"")</f>
        <v>5.215117687456039E-2</v>
      </c>
      <c r="K29" s="76">
        <f>IFERROR(Inv_SY!K31/Inv_SY!$Y31-1,"")</f>
        <v>-0.1282529200495296</v>
      </c>
      <c r="L29" s="76">
        <f>IFERROR(Inv_SY!L31/Inv_SY!$Y31-1,"")</f>
        <v>8.056210376535522E-2</v>
      </c>
      <c r="M29" s="76">
        <f>IFERROR(Inv_SY!M31/Inv_SY!$Y31-1,"")</f>
        <v>4.2968912411745164E-2</v>
      </c>
      <c r="N29" s="76">
        <f>IFERROR(Inv_SY!N31/Inv_SY!$Y31-1,"")</f>
        <v>-0.10774135720087186</v>
      </c>
      <c r="O29" s="76">
        <f>IFERROR(Inv_SY!O31/Inv_SY!$Y31-1,"")</f>
        <v>4.8622621098456609E-2</v>
      </c>
      <c r="P29" s="76">
        <f>IFERROR(Inv_SY!P31/Inv_SY!$Y31-1,"")</f>
        <v>-0.10516269765325292</v>
      </c>
      <c r="Q29" s="76">
        <f>IFERROR(Inv_SY!Q31/Inv_SY!$Y31-1,"")</f>
        <v>0.37562225214628042</v>
      </c>
      <c r="R29" s="76">
        <f>IFERROR(Inv_SY!R31/Inv_SY!$Y31-1,"")</f>
        <v>2.6614015131910085E-2</v>
      </c>
      <c r="S29" s="76">
        <f>IFERROR(Inv_SY!S31/Inv_SY!$Y31-1,"")</f>
        <v>-0.14501412874098296</v>
      </c>
      <c r="T29" s="76">
        <f>IFERROR(Inv_SY!T31/Inv_SY!$Y31-1,"")</f>
        <v>0.26641672848206022</v>
      </c>
      <c r="U29" s="76">
        <f>IFERROR(Inv_SY!U31/Inv_SY!$Y31-1,"")</f>
        <v>-0.15344654523042578</v>
      </c>
      <c r="V29" s="76">
        <f>IFERROR(Inv_SY!J31/Inv_SY!$Z31-1,"")</f>
        <v>2.8606254276281051E-2</v>
      </c>
      <c r="W29" s="76">
        <f>IFERROR(Inv_SY!K31/Inv_SY!$Z31-1,"")</f>
        <v>-0.14776077973151991</v>
      </c>
      <c r="X29" s="76">
        <f>IFERROR(Inv_SY!L31/Inv_SY!$Z31-1,"")</f>
        <v>5.6381404589249673E-2</v>
      </c>
      <c r="Y29" s="76">
        <f>IFERROR(Inv_SY!M31/Inv_SY!$Z31-1,"")</f>
        <v>1.9629469511446285E-2</v>
      </c>
      <c r="Z29" s="76">
        <f>IFERROR(Inv_SY!N31/Inv_SY!$Z31-1,"")</f>
        <v>-0.12770822236634793</v>
      </c>
      <c r="AA29" s="76">
        <f>IFERROR(Inv_SY!O31/Inv_SY!$Z31-1,"")</f>
        <v>2.5156660130842168E-2</v>
      </c>
      <c r="AB29" s="76">
        <f>IFERROR(Inv_SY!P31/Inv_SY!$Z31-1,"")</f>
        <v>-0.12518726777671452</v>
      </c>
      <c r="AC29" s="76">
        <f>IFERROR(Inv_SY!Q31/Inv_SY!$Z31-1,"")</f>
        <v>0.34483872962296114</v>
      </c>
      <c r="AD29" s="76">
        <f>IFERROR(Inv_SY!R31/Inv_SY!$Z31-1,"")</f>
        <v>3.6405603130011954E-3</v>
      </c>
      <c r="AE29" s="76">
        <f>IFERROR(Inv_SY!S31/Inv_SY!$Z31-1,"")</f>
        <v>-0.16414690794977904</v>
      </c>
      <c r="AF29" s="76">
        <f>IFERROR(Inv_SY!T31/Inv_SY!$Z31-1,"")</f>
        <v>0.23807699508191282</v>
      </c>
      <c r="AG29" s="76">
        <f>IFERROR(Inv_SY!U31/Inv_SY!$Z31-1,"")</f>
        <v>-0.1723906247562067</v>
      </c>
      <c r="AH29" s="76">
        <f>IFERROR(Inv_SY!V31/Inv_SY!$Y31-1,"")</f>
        <v>5.1283849688239513E-3</v>
      </c>
      <c r="AI29" s="76">
        <f>IFERROR(Inv_SY!W31/Inv_SY!$Y31-1,"")</f>
        <v>2.2890121949380227E-2</v>
      </c>
      <c r="AJ29" s="76">
        <f>IFERROR(Inv_SY!X31/Inv_SY!$Y31-1,"")</f>
        <v>-2.8018506918204178E-2</v>
      </c>
      <c r="AK29" s="76">
        <f>IFERROR(Inv_SY!V31/Inv_SY!$Z31-1,"")</f>
        <v>-1.7364266796033645E-2</v>
      </c>
      <c r="AL29" s="76">
        <f>IFERROR(Inv_SY!W31/Inv_SY!$Z31-1,"")</f>
        <v>0</v>
      </c>
      <c r="AM29" s="76">
        <f>IFERROR(Inv_SY!X31/Inv_SY!$Z31-1,"")</f>
        <v>-4.9769401204662111E-2</v>
      </c>
    </row>
    <row r="30" spans="1:39" x14ac:dyDescent="0.25">
      <c r="A30" s="123">
        <f>YEAR(Inv_SY_D[[#This Row],[Date]])+IF(MONTH(Inv_SY_D[[#This Row],[Date]])&gt;=4,1,0)</f>
        <v>2026</v>
      </c>
      <c r="B30" s="123">
        <v>4</v>
      </c>
      <c r="C30" s="123">
        <f>YEAR(Inv_SY_D[[#This Row],[Month Year]])</f>
        <v>2025</v>
      </c>
      <c r="D30" s="123" t="s">
        <v>4</v>
      </c>
      <c r="E30" s="123" t="s">
        <v>4</v>
      </c>
      <c r="F30" s="130" t="str">
        <f>TEXT(Inv_SY_D[[#This Row],[Date]],"mmm-yy")</f>
        <v>Apr-25</v>
      </c>
      <c r="G30" s="131">
        <f>DAY(EOMONTH(Inv_SY_D[[#This Row],[Month Year]],0))</f>
        <v>30</v>
      </c>
      <c r="H30" s="73">
        <f t="shared" si="1"/>
        <v>45773</v>
      </c>
      <c r="I30" s="124">
        <v>7.0991999999999997</v>
      </c>
      <c r="J30" s="76">
        <f>IFERROR(Inv_SY!J32/Inv_SY!$Y32-1,"")</f>
        <v>3.3754878598984517E-2</v>
      </c>
      <c r="K30" s="76">
        <f>IFERROR(Inv_SY!K32/Inv_SY!$Y32-1,"")</f>
        <v>-0.14437143231084804</v>
      </c>
      <c r="L30" s="76">
        <f>IFERROR(Inv_SY!L32/Inv_SY!$Y32-1,"")</f>
        <v>2.8747309816772759E-2</v>
      </c>
      <c r="M30" s="76">
        <f>IFERROR(Inv_SY!M32/Inv_SY!$Y32-1,"")</f>
        <v>5.7684193252373728E-2</v>
      </c>
      <c r="N30" s="76">
        <f>IFERROR(Inv_SY!N32/Inv_SY!$Y32-1,"")</f>
        <v>-8.7853983325264617E-2</v>
      </c>
      <c r="O30" s="76">
        <f>IFERROR(Inv_SY!O32/Inv_SY!$Y32-1,"")</f>
        <v>3.7870381296464473E-2</v>
      </c>
      <c r="P30" s="76">
        <f>IFERROR(Inv_SY!P32/Inv_SY!$Y32-1,"")</f>
        <v>-0.11381082363526274</v>
      </c>
      <c r="Q30" s="76">
        <f>IFERROR(Inv_SY!Q32/Inv_SY!$Y32-1,"")</f>
        <v>0.32284453429633686</v>
      </c>
      <c r="R30" s="76">
        <f>IFERROR(Inv_SY!R32/Inv_SY!$Y32-1,"")</f>
        <v>5.6590891345734029E-2</v>
      </c>
      <c r="S30" s="76">
        <f>IFERROR(Inv_SY!S32/Inv_SY!$Y32-1,"")</f>
        <v>-0.12243889776001327</v>
      </c>
      <c r="T30" s="76">
        <f>IFERROR(Inv_SY!T32/Inv_SY!$Y32-1,"")</f>
        <v>0.30172820099131625</v>
      </c>
      <c r="U30" s="76">
        <f>IFERROR(Inv_SY!U32/Inv_SY!$Y32-1,"")</f>
        <v>-0.12923338842096266</v>
      </c>
      <c r="V30" s="76">
        <f>IFERROR(Inv_SY!J32/Inv_SY!$Z32-1,"")</f>
        <v>2.0036750766669442E-2</v>
      </c>
      <c r="W30" s="76">
        <f>IFERROR(Inv_SY!K32/Inv_SY!$Z32-1,"")</f>
        <v>-0.1557257894331554</v>
      </c>
      <c r="X30" s="76">
        <f>IFERROR(Inv_SY!L32/Inv_SY!$Z32-1,"")</f>
        <v>1.5095633393883423E-2</v>
      </c>
      <c r="Y30" s="76">
        <f>IFERROR(Inv_SY!M32/Inv_SY!$Z32-1,"")</f>
        <v>4.3648518771282729E-2</v>
      </c>
      <c r="Z30" s="76">
        <f>IFERROR(Inv_SY!N32/Inv_SY!$Z32-1,"")</f>
        <v>-9.9958337962448351E-2</v>
      </c>
      <c r="AA30" s="76">
        <f>IFERROR(Inv_SY!O32/Inv_SY!$Z32-1,"")</f>
        <v>2.4097639944767879E-2</v>
      </c>
      <c r="AB30" s="76">
        <f>IFERROR(Inv_SY!P32/Inv_SY!$Z32-1,"")</f>
        <v>-0.12557072596477936</v>
      </c>
      <c r="AC30" s="76">
        <f>IFERROR(Inv_SY!Q32/Inv_SY!$Z32-1,"")</f>
        <v>0.30529013063697974</v>
      </c>
      <c r="AD30" s="76">
        <f>IFERROR(Inv_SY!R32/Inv_SY!$Z32-1,"")</f>
        <v>4.2569725193092323E-2</v>
      </c>
      <c r="AE30" s="76">
        <f>IFERROR(Inv_SY!S32/Inv_SY!$Z32-1,"")</f>
        <v>-0.13408430387167369</v>
      </c>
      <c r="AF30" s="76">
        <f>IFERROR(Inv_SY!T32/Inv_SY!$Z32-1,"")</f>
        <v>0.28445401517240176</v>
      </c>
      <c r="AG30" s="76">
        <f>IFERROR(Inv_SY!U32/Inv_SY!$Z32-1,"")</f>
        <v>-0.14078863032312616</v>
      </c>
      <c r="AH30" s="76">
        <f>IFERROR(Inv_SY!V32/Inv_SY!$Y32-1,"")</f>
        <v>-1.2664476927274126E-2</v>
      </c>
      <c r="AI30" s="76">
        <f>IFERROR(Inv_SY!W32/Inv_SY!$Y32-1,"")</f>
        <v>1.3448660376211174E-2</v>
      </c>
      <c r="AJ30" s="76">
        <f>IFERROR(Inv_SY!X32/Inv_SY!$Y32-1,"")</f>
        <v>-7.8418344893693703E-4</v>
      </c>
      <c r="AK30" s="76">
        <f>IFERROR(Inv_SY!V32/Inv_SY!$Z32-1,"")</f>
        <v>-2.5766610904386367E-2</v>
      </c>
      <c r="AL30" s="76">
        <f>IFERROR(Inv_SY!W32/Inv_SY!$Z32-1,"")</f>
        <v>0</v>
      </c>
      <c r="AM30" s="76">
        <f>IFERROR(Inv_SY!X32/Inv_SY!$Z32-1,"")</f>
        <v>-1.4043971225799146E-2</v>
      </c>
    </row>
    <row r="31" spans="1:39" x14ac:dyDescent="0.25">
      <c r="A31" s="123">
        <f>YEAR(Inv_SY_D[[#This Row],[Date]])+IF(MONTH(Inv_SY_D[[#This Row],[Date]])&gt;=4,1,0)</f>
        <v>2026</v>
      </c>
      <c r="B31" s="123">
        <v>4</v>
      </c>
      <c r="C31" s="123">
        <f>YEAR(Inv_SY_D[[#This Row],[Month Year]])</f>
        <v>2025</v>
      </c>
      <c r="D31" s="123" t="s">
        <v>4</v>
      </c>
      <c r="E31" s="123" t="s">
        <v>4</v>
      </c>
      <c r="F31" s="130" t="str">
        <f>TEXT(Inv_SY_D[[#This Row],[Date]],"mmm-yy")</f>
        <v>Apr-25</v>
      </c>
      <c r="G31" s="131">
        <f>DAY(EOMONTH(Inv_SY_D[[#This Row],[Month Year]],0))</f>
        <v>30</v>
      </c>
      <c r="H31" s="73">
        <f t="shared" si="1"/>
        <v>45774</v>
      </c>
      <c r="I31" s="124">
        <v>7.0991999999999997</v>
      </c>
      <c r="J31" s="76">
        <f>IFERROR(Inv_SY!J33/Inv_SY!$Y33-1,"")</f>
        <v>4.8532362708134658E-2</v>
      </c>
      <c r="K31" s="76">
        <f>IFERROR(Inv_SY!K33/Inv_SY!$Y33-1,"")</f>
        <v>-8.1001572528978882E-2</v>
      </c>
      <c r="L31" s="76">
        <f>IFERROR(Inv_SY!L33/Inv_SY!$Y33-1,"")</f>
        <v>4.4582791406476918E-2</v>
      </c>
      <c r="M31" s="76">
        <f>IFERROR(Inv_SY!M33/Inv_SY!$Y33-1,"")</f>
        <v>4.3128493017261293E-2</v>
      </c>
      <c r="N31" s="76">
        <f>IFERROR(Inv_SY!N33/Inv_SY!$Y33-1,"")</f>
        <v>-0.1069387554278749</v>
      </c>
      <c r="O31" s="76">
        <f>IFERROR(Inv_SY!O33/Inv_SY!$Y33-1,"")</f>
        <v>9.6940136577639668E-2</v>
      </c>
      <c r="P31" s="76">
        <f>IFERROR(Inv_SY!P33/Inv_SY!$Y33-1,"")</f>
        <v>-9.4147420941809945E-2</v>
      </c>
      <c r="Q31" s="76">
        <f>IFERROR(Inv_SY!Q33/Inv_SY!$Y33-1,"")</f>
        <v>0.33829073336557025</v>
      </c>
      <c r="R31" s="76">
        <f>IFERROR(Inv_SY!R33/Inv_SY!$Y33-1,"")</f>
        <v>1.4183790574841204E-2</v>
      </c>
      <c r="S31" s="76">
        <f>IFERROR(Inv_SY!S33/Inv_SY!$Y33-1,"")</f>
        <v>-0.15726009658161855</v>
      </c>
      <c r="T31" s="76">
        <f>IFERROR(Inv_SY!T33/Inv_SY!$Y33-1,"")</f>
        <v>0.25105045043170215</v>
      </c>
      <c r="U31" s="76">
        <f>IFERROR(Inv_SY!U33/Inv_SY!$Y33-1,"")</f>
        <v>-0.16268265950713157</v>
      </c>
      <c r="V31" s="76">
        <f>IFERROR(Inv_SY!J33/Inv_SY!$Z33-1,"")</f>
        <v>1.7227120488925829E-2</v>
      </c>
      <c r="W31" s="76">
        <f>IFERROR(Inv_SY!K33/Inv_SY!$Z33-1,"")</f>
        <v>-0.10843941745800612</v>
      </c>
      <c r="X31" s="76">
        <f>IFERROR(Inv_SY!L33/Inv_SY!$Z33-1,"")</f>
        <v>1.339546856740137E-2</v>
      </c>
      <c r="Y31" s="76">
        <f>IFERROR(Inv_SY!M33/Inv_SY!$Z33-1,"")</f>
        <v>1.1984590071507872E-2</v>
      </c>
      <c r="Z31" s="76">
        <f>IFERROR(Inv_SY!N33/Inv_SY!$Z33-1,"")</f>
        <v>-0.13360221339278722</v>
      </c>
      <c r="AA31" s="76">
        <f>IFERROR(Inv_SY!O33/Inv_SY!$Z33-1,"")</f>
        <v>6.4189619858401548E-2</v>
      </c>
      <c r="AB31" s="76">
        <f>IFERROR(Inv_SY!P33/Inv_SY!$Z33-1,"")</f>
        <v>-0.12119278016092772</v>
      </c>
      <c r="AC31" s="76">
        <f>IFERROR(Inv_SY!Q33/Inv_SY!$Z33-1,"")</f>
        <v>0.29833439338239165</v>
      </c>
      <c r="AD31" s="76">
        <f>IFERROR(Inv_SY!R33/Inv_SY!$Z33-1,"")</f>
        <v>-1.6095932157549453E-2</v>
      </c>
      <c r="AE31" s="76">
        <f>IFERROR(Inv_SY!S33/Inv_SY!$Z33-1,"")</f>
        <v>-0.1824211481071677</v>
      </c>
      <c r="AF31" s="76">
        <f>IFERROR(Inv_SY!T33/Inv_SY!$Z33-1,"")</f>
        <v>0.21369877796823955</v>
      </c>
      <c r="AG31" s="76">
        <f>IFERROR(Inv_SY!U33/Inv_SY!$Z33-1,"")</f>
        <v>-0.18768181364937664</v>
      </c>
      <c r="AH31" s="76">
        <f>IFERROR(Inv_SY!V33/Inv_SY!$Y33-1,"")</f>
        <v>9.2689649313004718E-3</v>
      </c>
      <c r="AI31" s="76">
        <f>IFERROR(Inv_SY!W33/Inv_SY!$Y33-1,"")</f>
        <v>3.0775076272211654E-2</v>
      </c>
      <c r="AJ31" s="76">
        <f>IFERROR(Inv_SY!X33/Inv_SY!$Y33-1,"")</f>
        <v>-4.0044041203512126E-2</v>
      </c>
      <c r="AK31" s="76">
        <f>IFERROR(Inv_SY!V33/Inv_SY!$Z33-1,"")</f>
        <v>-2.0864019547977231E-2</v>
      </c>
      <c r="AL31" s="76">
        <f>IFERROR(Inv_SY!W33/Inv_SY!$Z33-1,"")</f>
        <v>0</v>
      </c>
      <c r="AM31" s="76">
        <f>IFERROR(Inv_SY!X33/Inv_SY!$Z33-1,"")</f>
        <v>-6.8704724343782608E-2</v>
      </c>
    </row>
    <row r="32" spans="1:39" x14ac:dyDescent="0.25">
      <c r="A32" s="123">
        <f>YEAR(Inv_SY_D[[#This Row],[Date]])+IF(MONTH(Inv_SY_D[[#This Row],[Date]])&gt;=4,1,0)</f>
        <v>2026</v>
      </c>
      <c r="B32" s="123">
        <v>4</v>
      </c>
      <c r="C32" s="123">
        <f>YEAR(Inv_SY_D[[#This Row],[Month Year]])</f>
        <v>2025</v>
      </c>
      <c r="D32" s="123" t="s">
        <v>4</v>
      </c>
      <c r="E32" s="123" t="s">
        <v>4</v>
      </c>
      <c r="F32" s="130" t="str">
        <f>TEXT(Inv_SY_D[[#This Row],[Date]],"mmm-yy")</f>
        <v>Apr-25</v>
      </c>
      <c r="G32" s="131">
        <f>DAY(EOMONTH(Inv_SY_D[[#This Row],[Month Year]],0))</f>
        <v>30</v>
      </c>
      <c r="H32" s="73">
        <f t="shared" si="1"/>
        <v>45775</v>
      </c>
      <c r="I32" s="124">
        <v>7.0991999999999997</v>
      </c>
      <c r="J32" s="76">
        <f>IFERROR(Inv_SY!J34/Inv_SY!$Y34-1,"")</f>
        <v>4.7092850843720058E-2</v>
      </c>
      <c r="K32" s="76">
        <f>IFERROR(Inv_SY!K34/Inv_SY!$Y34-1,"")</f>
        <v>-0.13214705265742011</v>
      </c>
      <c r="L32" s="76">
        <f>IFERROR(Inv_SY!L34/Inv_SY!$Y34-1,"")</f>
        <v>7.3324742017544686E-2</v>
      </c>
      <c r="M32" s="76">
        <f>IFERROR(Inv_SY!M34/Inv_SY!$Y34-1,"")</f>
        <v>3.8957017069629174E-2</v>
      </c>
      <c r="N32" s="76">
        <f>IFERROR(Inv_SY!N34/Inv_SY!$Y34-1,"")</f>
        <v>-0.11945868687937011</v>
      </c>
      <c r="O32" s="76">
        <f>IFERROR(Inv_SY!O34/Inv_SY!$Y34-1,"")</f>
        <v>3.4797065863872545E-2</v>
      </c>
      <c r="P32" s="76">
        <f>IFERROR(Inv_SY!P34/Inv_SY!$Y34-1,"")</f>
        <v>-9.0110437747257799E-2</v>
      </c>
      <c r="Q32" s="76">
        <f>IFERROR(Inv_SY!Q34/Inv_SY!$Y34-1,"")</f>
        <v>0.31895380107847271</v>
      </c>
      <c r="R32" s="76">
        <f>IFERROR(Inv_SY!R34/Inv_SY!$Y34-1,"")</f>
        <v>4.6614864246991239E-2</v>
      </c>
      <c r="S32" s="76">
        <f>IFERROR(Inv_SY!S34/Inv_SY!$Y34-1,"")</f>
        <v>-0.13049157719052717</v>
      </c>
      <c r="T32" s="76">
        <f>IFERROR(Inv_SY!T34/Inv_SY!$Y34-1,"")</f>
        <v>0.29021171394819478</v>
      </c>
      <c r="U32" s="76">
        <f>IFERROR(Inv_SY!U34/Inv_SY!$Y34-1,"")</f>
        <v>-0.13676593856757002</v>
      </c>
      <c r="V32" s="76">
        <f>IFERROR(Inv_SY!J34/Inv_SY!$Z34-1,"")</f>
        <v>3.7062870044002105E-2</v>
      </c>
      <c r="W32" s="76">
        <f>IFERROR(Inv_SY!K34/Inv_SY!$Z34-1,"")</f>
        <v>-0.14046011523998936</v>
      </c>
      <c r="X32" s="76">
        <f>IFERROR(Inv_SY!L34/Inv_SY!$Z34-1,"")</f>
        <v>6.3043488979073858E-2</v>
      </c>
      <c r="Y32" s="76">
        <f>IFERROR(Inv_SY!M34/Inv_SY!$Z34-1,"")</f>
        <v>2.9004968476666448E-2</v>
      </c>
      <c r="Z32" s="76">
        <f>IFERROR(Inv_SY!N34/Inv_SY!$Z34-1,"")</f>
        <v>-0.12789328984398962</v>
      </c>
      <c r="AA32" s="76">
        <f>IFERROR(Inv_SY!O34/Inv_SY!$Z34-1,"")</f>
        <v>2.4884864960336595E-2</v>
      </c>
      <c r="AB32" s="76">
        <f>IFERROR(Inv_SY!P34/Inv_SY!$Z34-1,"")</f>
        <v>-9.8826164181551657E-2</v>
      </c>
      <c r="AC32" s="76">
        <f>IFERROR(Inv_SY!Q34/Inv_SY!$Z34-1,"")</f>
        <v>0.30631969581276275</v>
      </c>
      <c r="AD32" s="76">
        <f>IFERROR(Inv_SY!R34/Inv_SY!$Z34-1,"")</f>
        <v>3.6589462025365949E-2</v>
      </c>
      <c r="AE32" s="76">
        <f>IFERROR(Inv_SY!S34/Inv_SY!$Z34-1,"")</f>
        <v>-0.13882049738031244</v>
      </c>
      <c r="AF32" s="76">
        <f>IFERROR(Inv_SY!T34/Inv_SY!$Z34-1,"")</f>
        <v>0.27785292579674836</v>
      </c>
      <c r="AG32" s="76">
        <f>IFERROR(Inv_SY!U34/Inv_SY!$Z34-1,"")</f>
        <v>-0.1450347573784837</v>
      </c>
      <c r="AH32" s="76">
        <f>IFERROR(Inv_SY!V34/Inv_SY!$Y34-1,"")</f>
        <v>1.3471367754092078E-4</v>
      </c>
      <c r="AI32" s="76">
        <f>IFERROR(Inv_SY!W34/Inv_SY!$Y34-1,"")</f>
        <v>9.6715262781439382E-3</v>
      </c>
      <c r="AJ32" s="76">
        <f>IFERROR(Inv_SY!X34/Inv_SY!$Y34-1,"")</f>
        <v>-9.806239955685081E-3</v>
      </c>
      <c r="AK32" s="76">
        <f>IFERROR(Inv_SY!V34/Inv_SY!$Z34-1,"")</f>
        <v>-9.4454605803906411E-3</v>
      </c>
      <c r="AL32" s="76">
        <f>IFERROR(Inv_SY!W34/Inv_SY!$Z34-1,"")</f>
        <v>0</v>
      </c>
      <c r="AM32" s="76">
        <f>IFERROR(Inv_SY!X34/Inv_SY!$Z34-1,"")</f>
        <v>-1.9291190973393157E-2</v>
      </c>
    </row>
    <row r="33" spans="1:39" x14ac:dyDescent="0.25">
      <c r="A33" s="123">
        <f>YEAR(Inv_SY_D[[#This Row],[Date]])+IF(MONTH(Inv_SY_D[[#This Row],[Date]])&gt;=4,1,0)</f>
        <v>2026</v>
      </c>
      <c r="B33" s="123">
        <v>4</v>
      </c>
      <c r="C33" s="123">
        <f>YEAR(Inv_SY_D[[#This Row],[Month Year]])</f>
        <v>2025</v>
      </c>
      <c r="D33" s="123" t="s">
        <v>4</v>
      </c>
      <c r="E33" s="123" t="s">
        <v>4</v>
      </c>
      <c r="F33" s="130" t="str">
        <f>TEXT(Inv_SY_D[[#This Row],[Date]],"mmm-yy")</f>
        <v>Apr-25</v>
      </c>
      <c r="G33" s="131">
        <f>DAY(EOMONTH(Inv_SY_D[[#This Row],[Month Year]],0))</f>
        <v>30</v>
      </c>
      <c r="H33" s="73">
        <f t="shared" si="1"/>
        <v>45776</v>
      </c>
      <c r="I33" s="124">
        <v>7.0991999999999997</v>
      </c>
      <c r="J33" s="76">
        <f>IFERROR(Inv_SY!J35/Inv_SY!$Y35-1,"")</f>
        <v>4.0345294311581181E-2</v>
      </c>
      <c r="K33" s="76">
        <f>IFERROR(Inv_SY!K35/Inv_SY!$Y35-1,"")</f>
        <v>-0.1383266298136363</v>
      </c>
      <c r="L33" s="76">
        <f>IFERROR(Inv_SY!L35/Inv_SY!$Y35-1,"")</f>
        <v>3.5581757851612883E-2</v>
      </c>
      <c r="M33" s="76">
        <f>IFERROR(Inv_SY!M35/Inv_SY!$Y35-1,"")</f>
        <v>6.8563992816393249E-2</v>
      </c>
      <c r="N33" s="76">
        <f>IFERROR(Inv_SY!N35/Inv_SY!$Y35-1,"")</f>
        <v>-9.2433852096385549E-2</v>
      </c>
      <c r="O33" s="76">
        <f>IFERROR(Inv_SY!O35/Inv_SY!$Y35-1,"")</f>
        <v>2.8308504836365156E-2</v>
      </c>
      <c r="P33" s="76">
        <f>IFERROR(Inv_SY!P35/Inv_SY!$Y35-1,"")</f>
        <v>-0.12275105013557097</v>
      </c>
      <c r="Q33" s="76">
        <f>IFERROR(Inv_SY!Q35/Inv_SY!$Y35-1,"")</f>
        <v>0.31075479995855315</v>
      </c>
      <c r="R33" s="76">
        <f>IFERROR(Inv_SY!R35/Inv_SY!$Y35-1,"")</f>
        <v>5.7359200501300611E-2</v>
      </c>
      <c r="S33" s="76">
        <f>IFERROR(Inv_SY!S35/Inv_SY!$Y35-1,"")</f>
        <v>-0.12205649141682084</v>
      </c>
      <c r="T33" s="76">
        <f>IFERROR(Inv_SY!T35/Inv_SY!$Y35-1,"")</f>
        <v>0.30316484993351733</v>
      </c>
      <c r="U33" s="76">
        <f>IFERROR(Inv_SY!U35/Inv_SY!$Y35-1,"")</f>
        <v>-0.12794858944459575</v>
      </c>
      <c r="V33" s="76">
        <f>IFERROR(Inv_SY!J35/Inv_SY!$Z35-1,"")</f>
        <v>3.5169314548566089E-2</v>
      </c>
      <c r="W33" s="76">
        <f>IFERROR(Inv_SY!K35/Inv_SY!$Z35-1,"")</f>
        <v>-0.14261367177057138</v>
      </c>
      <c r="X33" s="76">
        <f>IFERROR(Inv_SY!L35/Inv_SY!$Z35-1,"")</f>
        <v>3.0429477881783518E-2</v>
      </c>
      <c r="Y33" s="76">
        <f>IFERROR(Inv_SY!M35/Inv_SY!$Z35-1,"")</f>
        <v>6.3247617923801069E-2</v>
      </c>
      <c r="Z33" s="76">
        <f>IFERROR(Inv_SY!N35/Inv_SY!$Z35-1,"")</f>
        <v>-9.6949222176715644E-2</v>
      </c>
      <c r="AA33" s="76">
        <f>IFERROR(Inv_SY!O35/Inv_SY!$Z35-1,"")</f>
        <v>2.3192411131446322E-2</v>
      </c>
      <c r="AB33" s="76">
        <f>IFERROR(Inv_SY!P35/Inv_SY!$Z35-1,"")</f>
        <v>-0.12711558452280947</v>
      </c>
      <c r="AC33" s="76">
        <f>IFERROR(Inv_SY!Q35/Inv_SY!$Z35-1,"")</f>
        <v>0.30423346482496183</v>
      </c>
      <c r="AD33" s="76">
        <f>IFERROR(Inv_SY!R35/Inv_SY!$Z35-1,"")</f>
        <v>5.2098572271464416E-2</v>
      </c>
      <c r="AE33" s="76">
        <f>IFERROR(Inv_SY!S35/Inv_SY!$Z35-1,"")</f>
        <v>-0.12642448140855156</v>
      </c>
      <c r="AF33" s="76">
        <f>IFERROR(Inv_SY!T35/Inv_SY!$Z35-1,"")</f>
        <v>0.29668127671219358</v>
      </c>
      <c r="AG33" s="76">
        <f>IFERROR(Inv_SY!U35/Inv_SY!$Z35-1,"")</f>
        <v>-0.13228726476520691</v>
      </c>
      <c r="AH33" s="76">
        <f>IFERROR(Inv_SY!V35/Inv_SY!$Y35-1,"")</f>
        <v>-5.1500519355797136E-3</v>
      </c>
      <c r="AI33" s="76">
        <f>IFERROR(Inv_SY!W35/Inv_SY!$Y35-1,"")</f>
        <v>5.0001286652052723E-3</v>
      </c>
      <c r="AJ33" s="76">
        <f>IFERROR(Inv_SY!X35/Inv_SY!$Y35-1,"")</f>
        <v>1.4992327037433029E-4</v>
      </c>
      <c r="AK33" s="76">
        <f>IFERROR(Inv_SY!V35/Inv_SY!$Z35-1,"")</f>
        <v>-1.0099680896823338E-2</v>
      </c>
      <c r="AL33" s="76">
        <f>IFERROR(Inv_SY!W35/Inv_SY!$Z35-1,"")</f>
        <v>0</v>
      </c>
      <c r="AM33" s="76">
        <f>IFERROR(Inv_SY!X35/Inv_SY!$Z35-1,"")</f>
        <v>-4.82607440187377E-3</v>
      </c>
    </row>
    <row r="34" spans="1:39" x14ac:dyDescent="0.25">
      <c r="A34" s="123">
        <f>YEAR(Inv_SY_D[[#This Row],[Date]])+IF(MONTH(Inv_SY_D[[#This Row],[Date]])&gt;=4,1,0)</f>
        <v>2026</v>
      </c>
      <c r="B34" s="123">
        <v>4</v>
      </c>
      <c r="C34" s="123">
        <f>YEAR(Inv_SY_D[[#This Row],[Month Year]])</f>
        <v>2025</v>
      </c>
      <c r="D34" s="123" t="s">
        <v>4</v>
      </c>
      <c r="E34" s="123" t="s">
        <v>4</v>
      </c>
      <c r="F34" s="130" t="str">
        <f>TEXT(Inv_SY_D[[#This Row],[Date]],"mmm-yy")</f>
        <v>Apr-25</v>
      </c>
      <c r="G34" s="131">
        <f>DAY(EOMONTH(Inv_SY_D[[#This Row],[Month Year]],0))</f>
        <v>30</v>
      </c>
      <c r="H34" s="73">
        <f t="shared" si="1"/>
        <v>45777</v>
      </c>
      <c r="I34" s="124">
        <v>7.0991999999999997</v>
      </c>
      <c r="J34" s="76">
        <f>IFERROR(Inv_SY!J36/Inv_SY!$Y36-1,"")</f>
        <v>6.3888375495477323E-2</v>
      </c>
      <c r="K34" s="76">
        <f>IFERROR(Inv_SY!K36/Inv_SY!$Y36-1,"")</f>
        <v>-0.14558349539307169</v>
      </c>
      <c r="L34" s="76">
        <f>IFERROR(Inv_SY!L36/Inv_SY!$Y36-1,"")</f>
        <v>2.7360065431948799E-2</v>
      </c>
      <c r="M34" s="76">
        <f>IFERROR(Inv_SY!M36/Inv_SY!$Y36-1,"")</f>
        <v>2.2709716688105397E-2</v>
      </c>
      <c r="N34" s="76">
        <f>IFERROR(Inv_SY!N36/Inv_SY!$Y36-1,"")</f>
        <v>-0.11845254687870155</v>
      </c>
      <c r="O34" s="76">
        <f>IFERROR(Inv_SY!O36/Inv_SY!$Y36-1,"")</f>
        <v>6.8467952865121307E-2</v>
      </c>
      <c r="P34" s="76">
        <f>IFERROR(Inv_SY!P36/Inv_SY!$Y36-1,"")</f>
        <v>-0.11575077943920176</v>
      </c>
      <c r="Q34" s="76">
        <f>IFERROR(Inv_SY!Q36/Inv_SY!$Y36-1,"")</f>
        <v>0.3200498351513934</v>
      </c>
      <c r="R34" s="76">
        <f>IFERROR(Inv_SY!R36/Inv_SY!$Y36-1,"")</f>
        <v>6.0728826794693269E-2</v>
      </c>
      <c r="S34" s="76">
        <f>IFERROR(Inv_SY!S36/Inv_SY!$Y36-1,"")</f>
        <v>-0.11886812934215241</v>
      </c>
      <c r="T34" s="76">
        <f>IFERROR(Inv_SY!T36/Inv_SY!$Y36-1,"")</f>
        <v>0.30761123174944993</v>
      </c>
      <c r="U34" s="76">
        <f>IFERROR(Inv_SY!U36/Inv_SY!$Y36-1,"")</f>
        <v>-0.12531406464629224</v>
      </c>
      <c r="V34" s="76">
        <f>IFERROR(Inv_SY!J36/Inv_SY!$Z36-1,"")</f>
        <v>5.2281283780257981E-2</v>
      </c>
      <c r="W34" s="76">
        <f>IFERROR(Inv_SY!K36/Inv_SY!$Z36-1,"")</f>
        <v>-0.15490523530526046</v>
      </c>
      <c r="X34" s="76">
        <f>IFERROR(Inv_SY!L36/Inv_SY!$Z36-1,"")</f>
        <v>1.6151499967109739E-2</v>
      </c>
      <c r="Y34" s="76">
        <f>IFERROR(Inv_SY!M36/Inv_SY!$Z36-1,"")</f>
        <v>1.1551886832020575E-2</v>
      </c>
      <c r="Z34" s="76">
        <f>IFERROR(Inv_SY!N36/Inv_SY!$Z36-1,"")</f>
        <v>-0.12807028721253277</v>
      </c>
      <c r="AA34" s="76">
        <f>IFERROR(Inv_SY!O36/Inv_SY!$Z36-1,"")</f>
        <v>5.6810897661465853E-2</v>
      </c>
      <c r="AB34" s="76">
        <f>IFERROR(Inv_SY!P36/Inv_SY!$Z36-1,"")</f>
        <v>-0.12539799623239256</v>
      </c>
      <c r="AC34" s="76">
        <f>IFERROR(Inv_SY!Q36/Inv_SY!$Z36-1,"")</f>
        <v>0.305648005167936</v>
      </c>
      <c r="AD34" s="76">
        <f>IFERROR(Inv_SY!R36/Inv_SY!$Z36-1,"")</f>
        <v>4.9156205962315846E-2</v>
      </c>
      <c r="AE34" s="76">
        <f>IFERROR(Inv_SY!S36/Inv_SY!$Z36-1,"")</f>
        <v>-0.12848133564414377</v>
      </c>
      <c r="AF34" s="76">
        <f>IFERROR(Inv_SY!T36/Inv_SY!$Z36-1,"")</f>
        <v>0.29334510774212785</v>
      </c>
      <c r="AG34" s="76">
        <f>IFERROR(Inv_SY!U36/Inv_SY!$Z36-1,"")</f>
        <v>-0.13485694537279203</v>
      </c>
      <c r="AH34" s="76">
        <f>IFERROR(Inv_SY!V36/Inv_SY!$Y36-1,"")</f>
        <v>-1.4494025472859828E-2</v>
      </c>
      <c r="AI34" s="76">
        <f>IFERROR(Inv_SY!W36/Inv_SY!$Y36-1,"")</f>
        <v>1.1030407833085842E-2</v>
      </c>
      <c r="AJ34" s="76">
        <f>IFERROR(Inv_SY!X36/Inv_SY!$Y36-1,"")</f>
        <v>3.463617639773986E-3</v>
      </c>
      <c r="AK34" s="76">
        <f>IFERROR(Inv_SY!V36/Inv_SY!$Z36-1,"")</f>
        <v>-2.5245960070233275E-2</v>
      </c>
      <c r="AL34" s="76">
        <f>IFERROR(Inv_SY!W36/Inv_SY!$Z36-1,"")</f>
        <v>0</v>
      </c>
      <c r="AM34" s="76">
        <f>IFERROR(Inv_SY!X36/Inv_SY!$Z36-1,"")</f>
        <v>-7.4842360177174161E-3</v>
      </c>
    </row>
    <row r="35" spans="1:39" x14ac:dyDescent="0.25">
      <c r="A35" s="123">
        <f>YEAR(Inv_SY_D[[#This Row],[Date]])+IF(MONTH(Inv_SY_D[[#This Row],[Date]])&gt;=4,1,0)</f>
        <v>2026</v>
      </c>
      <c r="B35" s="123">
        <v>4</v>
      </c>
      <c r="C35" s="123">
        <f>YEAR(Inv_SY_D[[#This Row],[Month Year]])</f>
        <v>2025</v>
      </c>
      <c r="D35" s="123" t="s">
        <v>4</v>
      </c>
      <c r="E35" s="123" t="s">
        <v>4</v>
      </c>
      <c r="F35" s="130" t="str">
        <f>TEXT(Inv_SY_D[[#This Row],[Date]],"mmm-yy")</f>
        <v>May-25</v>
      </c>
      <c r="G35" s="131">
        <f>DAY(EOMONTH(Inv_SY_D[[#This Row],[Month Year]],0))</f>
        <v>31</v>
      </c>
      <c r="H35" s="73">
        <f t="shared" si="1"/>
        <v>45778</v>
      </c>
      <c r="I35" s="124">
        <v>7.0991999999999997</v>
      </c>
      <c r="J35" s="76">
        <f>IFERROR(Inv_SY!J37/Inv_SY!$Y37-1,"")</f>
        <v>3.8345146904054772E-2</v>
      </c>
      <c r="K35" s="76">
        <f>IFERROR(Inv_SY!K37/Inv_SY!$Y37-1,"")</f>
        <v>-0.1148419455524019</v>
      </c>
      <c r="L35" s="76">
        <f>IFERROR(Inv_SY!L37/Inv_SY!$Y37-1,"")</f>
        <v>3.4276829711485046E-2</v>
      </c>
      <c r="M35" s="76">
        <f>IFERROR(Inv_SY!M37/Inv_SY!$Y37-1,"")</f>
        <v>3.1693576509187249E-2</v>
      </c>
      <c r="N35" s="76">
        <f>IFERROR(Inv_SY!N37/Inv_SY!$Y37-1,"")</f>
        <v>-0.11887866621978926</v>
      </c>
      <c r="O35" s="76">
        <f>IFERROR(Inv_SY!O37/Inv_SY!$Y37-1,"")</f>
        <v>3.5738976047586135E-2</v>
      </c>
      <c r="P35" s="76">
        <f>IFERROR(Inv_SY!P37/Inv_SY!$Y37-1,"")</f>
        <v>-9.1887304261215497E-2</v>
      </c>
      <c r="Q35" s="76">
        <f>IFERROR(Inv_SY!Q37/Inv_SY!$Y37-1,"")</f>
        <v>0.32001546279459658</v>
      </c>
      <c r="R35" s="76">
        <f>IFERROR(Inv_SY!R37/Inv_SY!$Y37-1,"")</f>
        <v>5.5048929792773871E-2</v>
      </c>
      <c r="S35" s="76">
        <f>IFERROR(Inv_SY!S37/Inv_SY!$Y37-1,"")</f>
        <v>-0.12355970017515927</v>
      </c>
      <c r="T35" s="76">
        <f>IFERROR(Inv_SY!T37/Inv_SY!$Y37-1,"")</f>
        <v>0.30105033288431149</v>
      </c>
      <c r="U35" s="76">
        <f>IFERROR(Inv_SY!U37/Inv_SY!$Y37-1,"")</f>
        <v>-0.12978460054583008</v>
      </c>
      <c r="V35" s="76">
        <f>IFERROR(Inv_SY!J37/Inv_SY!$Z37-1,"")</f>
        <v>2.8305424304420512E-2</v>
      </c>
      <c r="W35" s="76">
        <f>IFERROR(Inv_SY!K37/Inv_SY!$Z37-1,"")</f>
        <v>-0.12340050755847731</v>
      </c>
      <c r="X35" s="76">
        <f>IFERROR(Inv_SY!L37/Inv_SY!$Z37-1,"")</f>
        <v>2.4276443527283087E-2</v>
      </c>
      <c r="Y35" s="76">
        <f>IFERROR(Inv_SY!M37/Inv_SY!$Z37-1,"")</f>
        <v>2.1718167709078751E-2</v>
      </c>
      <c r="Z35" s="76">
        <f>IFERROR(Inv_SY!N37/Inv_SY!$Z37-1,"")</f>
        <v>-0.12739819731611979</v>
      </c>
      <c r="AA35" s="76">
        <f>IFERROR(Inv_SY!O37/Inv_SY!$Z37-1,"")</f>
        <v>2.5724452422035027E-2</v>
      </c>
      <c r="AB35" s="76">
        <f>IFERROR(Inv_SY!P37/Inv_SY!$Z37-1,"")</f>
        <v>-0.10066781388425106</v>
      </c>
      <c r="AC35" s="76">
        <f>IFERROR(Inv_SY!Q37/Inv_SY!$Z37-1,"")</f>
        <v>0.30725227984603687</v>
      </c>
      <c r="AD35" s="76">
        <f>IFERROR(Inv_SY!R37/Inv_SY!$Z37-1,"")</f>
        <v>4.4847698905584821E-2</v>
      </c>
      <c r="AE35" s="76">
        <f>IFERROR(Inv_SY!S37/Inv_SY!$Z37-1,"")</f>
        <v>-0.13203397051929044</v>
      </c>
      <c r="AF35" s="76">
        <f>IFERROR(Inv_SY!T37/Inv_SY!$Z37-1,"")</f>
        <v>0.28847052310789323</v>
      </c>
      <c r="AG35" s="76">
        <f>IFERROR(Inv_SY!U37/Inv_SY!$Z37-1,"")</f>
        <v>-0.13819868254784962</v>
      </c>
      <c r="AH35" s="76">
        <f>IFERROR(Inv_SY!V37/Inv_SY!$Y37-1,"")</f>
        <v>-8.0069084827766313E-3</v>
      </c>
      <c r="AI35" s="76">
        <f>IFERROR(Inv_SY!W37/Inv_SY!$Y37-1,"")</f>
        <v>9.7633663718397212E-3</v>
      </c>
      <c r="AJ35" s="76">
        <f>IFERROR(Inv_SY!X37/Inv_SY!$Y37-1,"")</f>
        <v>-1.7564578890627569E-3</v>
      </c>
      <c r="AK35" s="76">
        <f>IFERROR(Inv_SY!V37/Inv_SY!$Z37-1,"")</f>
        <v>-1.7598454693861898E-2</v>
      </c>
      <c r="AL35" s="76">
        <f>IFERROR(Inv_SY!W37/Inv_SY!$Z37-1,"")</f>
        <v>0</v>
      </c>
      <c r="AM35" s="76">
        <f>IFERROR(Inv_SY!X37/Inv_SY!$Z37-1,"")</f>
        <v>-1.1408439486465194E-2</v>
      </c>
    </row>
    <row r="36" spans="1:39" x14ac:dyDescent="0.25">
      <c r="A36" s="123">
        <f>YEAR(Inv_SY_D[[#This Row],[Date]])+IF(MONTH(Inv_SY_D[[#This Row],[Date]])&gt;=4,1,0)</f>
        <v>2026</v>
      </c>
      <c r="B36" s="123">
        <v>4</v>
      </c>
      <c r="C36" s="123">
        <f>YEAR(Inv_SY_D[[#This Row],[Month Year]])</f>
        <v>2025</v>
      </c>
      <c r="D36" s="123" t="s">
        <v>4</v>
      </c>
      <c r="E36" s="123" t="s">
        <v>4</v>
      </c>
      <c r="F36" s="130" t="str">
        <f>TEXT(Inv_SY_D[[#This Row],[Date]],"mmm-yy")</f>
        <v>May-25</v>
      </c>
      <c r="G36" s="131">
        <f>DAY(EOMONTH(Inv_SY_D[[#This Row],[Month Year]],0))</f>
        <v>31</v>
      </c>
      <c r="H36" s="73">
        <f t="shared" si="1"/>
        <v>45779</v>
      </c>
      <c r="I36" s="124">
        <v>7.0991999999999997</v>
      </c>
      <c r="J36" s="76">
        <f>IFERROR(Inv_SY!J38/Inv_SY!$Y38-1,"")</f>
        <v>2.9498429921566593E-2</v>
      </c>
      <c r="K36" s="76">
        <f>IFERROR(Inv_SY!K38/Inv_SY!$Y38-1,"")</f>
        <v>-0.14699725533683217</v>
      </c>
      <c r="L36" s="76">
        <f>IFERROR(Inv_SY!L38/Inv_SY!$Y38-1,"")</f>
        <v>5.4982148066408332E-2</v>
      </c>
      <c r="M36" s="76">
        <f>IFERROR(Inv_SY!M38/Inv_SY!$Y38-1,"")</f>
        <v>2.1082103217486381E-2</v>
      </c>
      <c r="N36" s="76">
        <f>IFERROR(Inv_SY!N38/Inv_SY!$Y38-1,"")</f>
        <v>-0.11907987587296975</v>
      </c>
      <c r="O36" s="76">
        <f>IFERROR(Inv_SY!O38/Inv_SY!$Y38-1,"")</f>
        <v>3.5393566247332142E-2</v>
      </c>
      <c r="P36" s="76">
        <f>IFERROR(Inv_SY!P38/Inv_SY!$Y38-1,"")</f>
        <v>-0.11637941484230196</v>
      </c>
      <c r="Q36" s="76">
        <f>IFERROR(Inv_SY!Q38/Inv_SY!$Y38-1,"")</f>
        <v>0.3557540446394083</v>
      </c>
      <c r="R36" s="76">
        <f>IFERROR(Inv_SY!R38/Inv_SY!$Y38-1,"")</f>
        <v>6.4933505565487826E-2</v>
      </c>
      <c r="S36" s="76">
        <f>IFERROR(Inv_SY!S38/Inv_SY!$Y38-1,"")</f>
        <v>-0.11534350371922952</v>
      </c>
      <c r="T36" s="76">
        <f>IFERROR(Inv_SY!T38/Inv_SY!$Y38-1,"")</f>
        <v>0.31265414660008872</v>
      </c>
      <c r="U36" s="76">
        <f>IFERROR(Inv_SY!U38/Inv_SY!$Y38-1,"")</f>
        <v>-0.12187222358913619</v>
      </c>
      <c r="V36" s="76">
        <f>IFERROR(Inv_SY!J38/Inv_SY!$Z38-1,"")</f>
        <v>1.9806830793265284E-2</v>
      </c>
      <c r="W36" s="76">
        <f>IFERROR(Inv_SY!K38/Inv_SY!$Z38-1,"")</f>
        <v>-0.15502734107212168</v>
      </c>
      <c r="X36" s="76">
        <f>IFERROR(Inv_SY!L38/Inv_SY!$Z38-1,"")</f>
        <v>4.5050647668342769E-2</v>
      </c>
      <c r="Y36" s="76">
        <f>IFERROR(Inv_SY!M38/Inv_SY!$Z38-1,"")</f>
        <v>1.1469734578691604E-2</v>
      </c>
      <c r="Z36" s="76">
        <f>IFERROR(Inv_SY!N38/Inv_SY!$Z38-1,"")</f>
        <v>-0.12737277313143669</v>
      </c>
      <c r="AA36" s="76">
        <f>IFERROR(Inv_SY!O38/Inv_SY!$Z38-1,"")</f>
        <v>2.5646470873077032E-2</v>
      </c>
      <c r="AB36" s="76">
        <f>IFERROR(Inv_SY!P38/Inv_SY!$Z38-1,"")</f>
        <v>-0.1246977339809876</v>
      </c>
      <c r="AC36" s="76">
        <f>IFERROR(Inv_SY!Q38/Inv_SY!$Z38-1,"")</f>
        <v>0.34299110655681297</v>
      </c>
      <c r="AD36" s="76">
        <f>IFERROR(Inv_SY!R38/Inv_SY!$Z38-1,"")</f>
        <v>5.490832404576107E-2</v>
      </c>
      <c r="AE36" s="76">
        <f>IFERROR(Inv_SY!S38/Inv_SY!$Z38-1,"")</f>
        <v>-0.1236715748255196</v>
      </c>
      <c r="AF36" s="76">
        <f>IFERROR(Inv_SY!T38/Inv_SY!$Z38-1,"")</f>
        <v>0.30029694680919672</v>
      </c>
      <c r="AG36" s="76">
        <f>IFERROR(Inv_SY!U38/Inv_SY!$Z38-1,"")</f>
        <v>-0.13013883395497128</v>
      </c>
      <c r="AH36" s="76">
        <f>IFERROR(Inv_SY!V38/Inv_SY!$Y38-1,"")</f>
        <v>-1.6919591592790439E-2</v>
      </c>
      <c r="AI36" s="76">
        <f>IFERROR(Inv_SY!W38/Inv_SY!$Y38-1,"")</f>
        <v>9.5033675355582492E-3</v>
      </c>
      <c r="AJ36" s="76">
        <f>IFERROR(Inv_SY!X38/Inv_SY!$Y38-1,"")</f>
        <v>7.4162240572319682E-3</v>
      </c>
      <c r="AK36" s="76">
        <f>IFERROR(Inv_SY!V38/Inv_SY!$Z38-1,"")</f>
        <v>-2.6174215934369305E-2</v>
      </c>
      <c r="AL36" s="76">
        <f>IFERROR(Inv_SY!W38/Inv_SY!$Z38-1,"")</f>
        <v>0</v>
      </c>
      <c r="AM36" s="76">
        <f>IFERROR(Inv_SY!X38/Inv_SY!$Z38-1,"")</f>
        <v>-2.0674953105123128E-3</v>
      </c>
    </row>
    <row r="37" spans="1:39" x14ac:dyDescent="0.25">
      <c r="A37" s="123">
        <f>YEAR(Inv_SY_D[[#This Row],[Date]])+IF(MONTH(Inv_SY_D[[#This Row],[Date]])&gt;=4,1,0)</f>
        <v>2026</v>
      </c>
      <c r="B37" s="164">
        <v>4</v>
      </c>
      <c r="C37" s="123">
        <f>YEAR(Inv_SY_D[[#This Row],[Month Year]])</f>
        <v>2025</v>
      </c>
      <c r="D37" s="164" t="s">
        <v>4</v>
      </c>
      <c r="E37" s="164" t="s">
        <v>4</v>
      </c>
      <c r="F37" s="165" t="str">
        <f>TEXT(Inv_SY_D[[#This Row],[Date]],"mmm-yy")</f>
        <v>May-25</v>
      </c>
      <c r="G37" s="166">
        <f>DAY(EOMONTH(Inv_SY_D[[#This Row],[Month Year]],0))</f>
        <v>31</v>
      </c>
      <c r="H37" s="167">
        <f t="shared" si="1"/>
        <v>45780</v>
      </c>
      <c r="I37" s="124">
        <v>7.0991999999999997</v>
      </c>
      <c r="J37" s="76">
        <f>IFERROR(Inv_SY!J39/Inv_SY!$Y39-1,"")</f>
        <v>3.8728346314097273E-2</v>
      </c>
      <c r="K37" s="76">
        <f>IFERROR(Inv_SY!K39/Inv_SY!$Y39-1,"")</f>
        <v>-0.13957253321642316</v>
      </c>
      <c r="L37" s="76">
        <f>IFERROR(Inv_SY!L39/Inv_SY!$Y39-1,"")</f>
        <v>3.4206171826990595E-2</v>
      </c>
      <c r="M37" s="76">
        <f>IFERROR(Inv_SY!M39/Inv_SY!$Y39-1,"")</f>
        <v>5.6471105682342815E-2</v>
      </c>
      <c r="N37" s="76">
        <f>IFERROR(Inv_SY!N39/Inv_SY!$Y39-1,"")</f>
        <v>-0.10155205702819969</v>
      </c>
      <c r="O37" s="76">
        <f>IFERROR(Inv_SY!O39/Inv_SY!$Y39-1,"")</f>
        <v>2.8429595967966792E-2</v>
      </c>
      <c r="P37" s="76">
        <f>IFERROR(Inv_SY!P39/Inv_SY!$Y39-1,"")</f>
        <v>-0.1225030135160754</v>
      </c>
      <c r="Q37" s="76">
        <f>IFERROR(Inv_SY!Q39/Inv_SY!$Y39-1,"")</f>
        <v>0.31021394146677195</v>
      </c>
      <c r="R37" s="76">
        <f>IFERROR(Inv_SY!R39/Inv_SY!$Y39-1,"")</f>
        <v>6.4276241980091964E-2</v>
      </c>
      <c r="S37" s="76">
        <f>IFERROR(Inv_SY!S39/Inv_SY!$Y39-1,"")</f>
        <v>-0.1158932240654782</v>
      </c>
      <c r="T37" s="76">
        <f>IFERROR(Inv_SY!T39/Inv_SY!$Y39-1,"")</f>
        <v>0.31161955719313883</v>
      </c>
      <c r="U37" s="76">
        <f>IFERROR(Inv_SY!U39/Inv_SY!$Y39-1,"")</f>
        <v>-0.12258615297647268</v>
      </c>
      <c r="V37" s="76">
        <f>IFERROR(Inv_SY!J39/Inv_SY!$Z39-1,"")</f>
        <v>3.1814029349549022E-2</v>
      </c>
      <c r="W37" s="76">
        <f>IFERROR(Inv_SY!K39/Inv_SY!$Z39-1,"")</f>
        <v>-0.14529998664681787</v>
      </c>
      <c r="X37" s="76">
        <f>IFERROR(Inv_SY!L39/Inv_SY!$Z39-1,"")</f>
        <v>2.7321956811507064E-2</v>
      </c>
      <c r="Y37" s="76">
        <f>IFERROR(Inv_SY!M39/Inv_SY!$Z39-1,"")</f>
        <v>4.9438683668930672E-2</v>
      </c>
      <c r="Z37" s="76">
        <f>IFERROR(Inv_SY!N39/Inv_SY!$Z39-1,"")</f>
        <v>-0.10753259455362396</v>
      </c>
      <c r="AA37" s="76">
        <f>IFERROR(Inv_SY!O39/Inv_SY!$Z39-1,"")</f>
        <v>2.1583832850518681E-2</v>
      </c>
      <c r="AB37" s="76">
        <f>IFERROR(Inv_SY!P39/Inv_SY!$Z39-1,"")</f>
        <v>-0.12834409056140239</v>
      </c>
      <c r="AC37" s="76">
        <f>IFERROR(Inv_SY!Q39/Inv_SY!$Z39-1,"")</f>
        <v>0.30149247495936637</v>
      </c>
      <c r="AD37" s="76">
        <f>IFERROR(Inv_SY!R39/Inv_SY!$Z39-1,"")</f>
        <v>5.7191864913652246E-2</v>
      </c>
      <c r="AE37" s="76">
        <f>IFERROR(Inv_SY!S39/Inv_SY!$Z39-1,"")</f>
        <v>-0.12177829931254158</v>
      </c>
      <c r="AF37" s="76">
        <f>IFERROR(Inv_SY!T39/Inv_SY!$Z39-1,"")</f>
        <v>0.30288873417524909</v>
      </c>
      <c r="AG37" s="76">
        <f>IFERROR(Inv_SY!U39/Inv_SY!$Z39-1,"")</f>
        <v>-0.1284266766022425</v>
      </c>
      <c r="AH37" s="76">
        <f>IFERROR(Inv_SY!V39/Inv_SY!$Y39-1,"")</f>
        <v>-9.0997369313575716E-3</v>
      </c>
      <c r="AI37" s="76">
        <f>IFERROR(Inv_SY!W39/Inv_SY!$Y39-1,"")</f>
        <v>2.3986098213617524E-3</v>
      </c>
      <c r="AJ37" s="76">
        <f>IFERROR(Inv_SY!X39/Inv_SY!$Y39-1,"")</f>
        <v>6.7011271099957082E-3</v>
      </c>
      <c r="AK37" s="76">
        <f>IFERROR(Inv_SY!V39/Inv_SY!$Z39-1,"")</f>
        <v>-1.5695685259351944E-2</v>
      </c>
      <c r="AL37" s="76">
        <f>IFERROR(Inv_SY!W39/Inv_SY!$Z39-1,"")</f>
        <v>-4.2738774923054557E-3</v>
      </c>
      <c r="AM37" s="76">
        <f>IFERROR(Inv_SY!X39/Inv_SY!$Z39-1,"")</f>
        <v>0</v>
      </c>
    </row>
    <row r="38" spans="1:39" x14ac:dyDescent="0.25">
      <c r="A38" s="123">
        <f>YEAR(Inv_SY_D[[#This Row],[Date]])+IF(MONTH(Inv_SY_D[[#This Row],[Date]])&gt;=4,1,0)</f>
        <v>2026</v>
      </c>
      <c r="B38" s="164">
        <v>4</v>
      </c>
      <c r="C38" s="123">
        <f>YEAR(Inv_SY_D[[#This Row],[Month Year]])</f>
        <v>2025</v>
      </c>
      <c r="D38" s="164" t="s">
        <v>4</v>
      </c>
      <c r="E38" s="164" t="s">
        <v>4</v>
      </c>
      <c r="F38" s="165" t="str">
        <f>TEXT(Inv_SY_D[[#This Row],[Date]],"mmm-yy")</f>
        <v>May-25</v>
      </c>
      <c r="G38" s="166">
        <f>DAY(EOMONTH(Inv_SY_D[[#This Row],[Month Year]],0))</f>
        <v>31</v>
      </c>
      <c r="H38" s="167">
        <f t="shared" si="1"/>
        <v>45781</v>
      </c>
      <c r="I38" s="124">
        <v>7.0991999999999997</v>
      </c>
      <c r="J38" s="76">
        <f>IFERROR(Inv_SY!J40/Inv_SY!$Y40-1,"")</f>
        <v>7.8094397038074748E-2</v>
      </c>
      <c r="K38" s="76">
        <f>IFERROR(Inv_SY!K40/Inv_SY!$Y40-1,"")</f>
        <v>-0.13680572533804036</v>
      </c>
      <c r="L38" s="76">
        <f>IFERROR(Inv_SY!L40/Inv_SY!$Y40-1,"")</f>
        <v>3.8058648369986736E-2</v>
      </c>
      <c r="M38" s="76">
        <f>IFERROR(Inv_SY!M40/Inv_SY!$Y40-1,"")</f>
        <v>3.6450382770257805E-2</v>
      </c>
      <c r="N38" s="76">
        <f>IFERROR(Inv_SY!N40/Inv_SY!$Y40-1,"")</f>
        <v>-0.12514815796476175</v>
      </c>
      <c r="O38" s="76">
        <f>IFERROR(Inv_SY!O40/Inv_SY!$Y40-1,"")</f>
        <v>6.3979874415682092E-2</v>
      </c>
      <c r="P38" s="76">
        <f>IFERROR(Inv_SY!P40/Inv_SY!$Y40-1,"")</f>
        <v>-0.1232467101676733</v>
      </c>
      <c r="Q38" s="76">
        <f>IFERROR(Inv_SY!Q40/Inv_SY!$Y40-1,"")</f>
        <v>0.31065159600679104</v>
      </c>
      <c r="R38" s="76">
        <f>IFERROR(Inv_SY!R40/Inv_SY!$Y40-1,"")</f>
        <v>5.5866137652605508E-2</v>
      </c>
      <c r="S38" s="76">
        <f>IFERROR(Inv_SY!S40/Inv_SY!$Y40-1,"")</f>
        <v>-0.12335438507290541</v>
      </c>
      <c r="T38" s="76">
        <f>IFERROR(Inv_SY!T40/Inv_SY!$Y40-1,"")</f>
        <v>0.30121519980101485</v>
      </c>
      <c r="U38" s="76">
        <f>IFERROR(Inv_SY!U40/Inv_SY!$Y40-1,"")</f>
        <v>-0.12932428211400526</v>
      </c>
      <c r="V38" s="76">
        <f>IFERROR(Inv_SY!J40/Inv_SY!$Z40-1,"")</f>
        <v>7.366514034874605E-2</v>
      </c>
      <c r="W38" s="76">
        <f>IFERROR(Inv_SY!K40/Inv_SY!$Z40-1,"")</f>
        <v>-0.14035208364000429</v>
      </c>
      <c r="X38" s="76">
        <f>IFERROR(Inv_SY!L40/Inv_SY!$Z40-1,"")</f>
        <v>3.3793875058076184E-2</v>
      </c>
      <c r="Y38" s="76">
        <f>IFERROR(Inv_SY!M40/Inv_SY!$Z40-1,"")</f>
        <v>3.2192216877127589E-2</v>
      </c>
      <c r="Z38" s="76">
        <f>IFERROR(Inv_SY!N40/Inv_SY!$Z40-1,"")</f>
        <v>-0.12874241036432155</v>
      </c>
      <c r="AA38" s="76">
        <f>IFERROR(Inv_SY!O40/Inv_SY!$Z40-1,"")</f>
        <v>5.960860601004514E-2</v>
      </c>
      <c r="AB38" s="76">
        <f>IFERROR(Inv_SY!P40/Inv_SY!$Z40-1,"")</f>
        <v>-0.12684877449947007</v>
      </c>
      <c r="AC38" s="76">
        <f>IFERROR(Inv_SY!Q40/Inv_SY!$Z40-1,"")</f>
        <v>0.30526689837276044</v>
      </c>
      <c r="AD38" s="76">
        <f>IFERROR(Inv_SY!R40/Inv_SY!$Z40-1,"")</f>
        <v>5.1528203825955465E-2</v>
      </c>
      <c r="AE38" s="76">
        <f>IFERROR(Inv_SY!S40/Inv_SY!$Z40-1,"")</f>
        <v>-0.12695600703175636</v>
      </c>
      <c r="AF38" s="76">
        <f>IFERROR(Inv_SY!T40/Inv_SY!$Z40-1,"")</f>
        <v>0.2958692707767947</v>
      </c>
      <c r="AG38" s="76">
        <f>IFERROR(Inv_SY!U40/Inv_SY!$Z40-1,"")</f>
        <v>-0.13290137727216367</v>
      </c>
      <c r="AH38" s="76">
        <f>IFERROR(Inv_SY!V40/Inv_SY!$Y40-1,"")</f>
        <v>-2.7840718229794614E-3</v>
      </c>
      <c r="AI38" s="76">
        <f>IFERROR(Inv_SY!W40/Inv_SY!$Y40-1,"")</f>
        <v>4.1253613653602361E-3</v>
      </c>
      <c r="AJ38" s="76">
        <f>IFERROR(Inv_SY!X40/Inv_SY!$Y40-1,"")</f>
        <v>-1.3412895423808857E-3</v>
      </c>
      <c r="AK38" s="76">
        <f>IFERROR(Inv_SY!V40/Inv_SY!$Z40-1,"")</f>
        <v>-6.8810463854278581E-3</v>
      </c>
      <c r="AL38" s="76">
        <f>IFERROR(Inv_SY!W40/Inv_SY!$Z40-1,"")</f>
        <v>0</v>
      </c>
      <c r="AM38" s="76">
        <f>IFERROR(Inv_SY!X40/Inv_SY!$Z40-1,"")</f>
        <v>-5.4441916498432219E-3</v>
      </c>
    </row>
    <row r="39" spans="1:39" x14ac:dyDescent="0.25">
      <c r="A39" s="123">
        <f>YEAR(Inv_SY_D[[#This Row],[Date]])+IF(MONTH(Inv_SY_D[[#This Row],[Date]])&gt;=4,1,0)</f>
        <v>2026</v>
      </c>
      <c r="B39" s="164">
        <v>4</v>
      </c>
      <c r="C39" s="123">
        <f>YEAR(Inv_SY_D[[#This Row],[Month Year]])</f>
        <v>2025</v>
      </c>
      <c r="D39" s="164" t="s">
        <v>4</v>
      </c>
      <c r="E39" s="164" t="s">
        <v>4</v>
      </c>
      <c r="F39" s="165" t="str">
        <f>TEXT(Inv_SY_D[[#This Row],[Date]],"mmm-yy")</f>
        <v>May-25</v>
      </c>
      <c r="G39" s="166">
        <f>DAY(EOMONTH(Inv_SY_D[[#This Row],[Month Year]],0))</f>
        <v>31</v>
      </c>
      <c r="H39" s="167">
        <f t="shared" si="1"/>
        <v>45782</v>
      </c>
      <c r="I39" s="124">
        <v>7.0991999999999997</v>
      </c>
      <c r="J39" s="76">
        <f>IFERROR(Inv_SY!J41/Inv_SY!$Y41-1,"")</f>
        <v>3.280356830425335E-2</v>
      </c>
      <c r="K39" s="76">
        <f>IFERROR(Inv_SY!K41/Inv_SY!$Y41-1,"")</f>
        <v>-0.12067753172215057</v>
      </c>
      <c r="L39" s="76">
        <f>IFERROR(Inv_SY!L41/Inv_SY!$Y41-1,"")</f>
        <v>2.8749083260681818E-2</v>
      </c>
      <c r="M39" s="76">
        <f>IFERROR(Inv_SY!M41/Inv_SY!$Y41-1,"")</f>
        <v>2.4040258534343995E-2</v>
      </c>
      <c r="N39" s="76">
        <f>IFERROR(Inv_SY!N41/Inv_SY!$Y41-1,"")</f>
        <v>-0.12199163083585274</v>
      </c>
      <c r="O39" s="76">
        <f>IFERROR(Inv_SY!O41/Inv_SY!$Y41-1,"")</f>
        <v>3.2627598228552435E-2</v>
      </c>
      <c r="P39" s="76">
        <f>IFERROR(Inv_SY!P41/Inv_SY!$Y41-1,"")</f>
        <v>-9.5478588322924662E-2</v>
      </c>
      <c r="Q39" s="76">
        <f>IFERROR(Inv_SY!Q41/Inv_SY!$Y41-1,"")</f>
        <v>0.3154187182927839</v>
      </c>
      <c r="R39" s="76">
        <f>IFERROR(Inv_SY!R41/Inv_SY!$Y41-1,"")</f>
        <v>5.6496043499792314E-2</v>
      </c>
      <c r="S39" s="76">
        <f>IFERROR(Inv_SY!S41/Inv_SY!$Y41-1,"")</f>
        <v>-0.12219199758642807</v>
      </c>
      <c r="T39" s="76">
        <f>IFERROR(Inv_SY!T41/Inv_SY!$Y41-1,"")</f>
        <v>0.30225597865107479</v>
      </c>
      <c r="U39" s="76">
        <f>IFERROR(Inv_SY!U41/Inv_SY!$Y41-1,"")</f>
        <v>-0.12907835247139809</v>
      </c>
      <c r="V39" s="76">
        <f>IFERROR(Inv_SY!J41/Inv_SY!$Z41-1,"")</f>
        <v>1.7818286428300301E-2</v>
      </c>
      <c r="W39" s="76">
        <f>IFERROR(Inv_SY!K41/Inv_SY!$Z41-1,"")</f>
        <v>-0.1334359065490669</v>
      </c>
      <c r="X39" s="76">
        <f>IFERROR(Inv_SY!L41/Inv_SY!$Z41-1,"")</f>
        <v>1.3822629222959071E-2</v>
      </c>
      <c r="Y39" s="76">
        <f>IFERROR(Inv_SY!M41/Inv_SY!$Z41-1,"")</f>
        <v>9.1821263614888515E-3</v>
      </c>
      <c r="Z39" s="76">
        <f>IFERROR(Inv_SY!N41/Inv_SY!$Z41-1,"")</f>
        <v>-0.13473093897261035</v>
      </c>
      <c r="AA39" s="76">
        <f>IFERROR(Inv_SY!O41/Inv_SY!$Z41-1,"")</f>
        <v>1.7644869559488852E-2</v>
      </c>
      <c r="AB39" s="76">
        <f>IFERROR(Inv_SY!P41/Inv_SY!$Z41-1,"")</f>
        <v>-0.10860258279078938</v>
      </c>
      <c r="AC39" s="76">
        <f>IFERROR(Inv_SY!Q41/Inv_SY!$Z41-1,"")</f>
        <v>0.29633288156306881</v>
      </c>
      <c r="AD39" s="76">
        <f>IFERROR(Inv_SY!R41/Inv_SY!$Z41-1,"")</f>
        <v>4.1166999818555094E-2</v>
      </c>
      <c r="AE39" s="76">
        <f>IFERROR(Inv_SY!S41/Inv_SY!$Z41-1,"")</f>
        <v>-0.13492839853702931</v>
      </c>
      <c r="AF39" s="76">
        <f>IFERROR(Inv_SY!T41/Inv_SY!$Z41-1,"")</f>
        <v>0.28336112437905436</v>
      </c>
      <c r="AG39" s="76">
        <f>IFERROR(Inv_SY!U41/Inv_SY!$Z41-1,"")</f>
        <v>-0.14171483706596022</v>
      </c>
      <c r="AH39" s="76">
        <f>IFERROR(Inv_SY!V41/Inv_SY!$Y41-1,"")</f>
        <v>-1.4132442808593715E-2</v>
      </c>
      <c r="AI39" s="76">
        <f>IFERROR(Inv_SY!W41/Inv_SY!$Y41-1,"")</f>
        <v>1.4722944238444668E-2</v>
      </c>
      <c r="AJ39" s="76">
        <f>IFERROR(Inv_SY!X41/Inv_SY!$Y41-1,"")</f>
        <v>-5.9050142985073162E-4</v>
      </c>
      <c r="AK39" s="76">
        <f>IFERROR(Inv_SY!V41/Inv_SY!$Z41-1,"")</f>
        <v>-2.8436714879542246E-2</v>
      </c>
      <c r="AL39" s="76">
        <f>IFERROR(Inv_SY!W41/Inv_SY!$Z41-1,"")</f>
        <v>0</v>
      </c>
      <c r="AM39" s="76">
        <f>IFERROR(Inv_SY!X41/Inv_SY!$Z41-1,"")</f>
        <v>-1.5091257919459089E-2</v>
      </c>
    </row>
    <row r="40" spans="1:39" x14ac:dyDescent="0.25">
      <c r="A40" s="123">
        <f>YEAR(Inv_SY_D[[#This Row],[Date]])+IF(MONTH(Inv_SY_D[[#This Row],[Date]])&gt;=4,1,0)</f>
        <v>2026</v>
      </c>
      <c r="B40" s="164">
        <v>4</v>
      </c>
      <c r="C40" s="123">
        <f>YEAR(Inv_SY_D[[#This Row],[Month Year]])</f>
        <v>2025</v>
      </c>
      <c r="D40" s="164" t="s">
        <v>4</v>
      </c>
      <c r="E40" s="164" t="s">
        <v>4</v>
      </c>
      <c r="F40" s="165" t="str">
        <f>TEXT(Inv_SY_D[[#This Row],[Date]],"mmm-yy")</f>
        <v>May-25</v>
      </c>
      <c r="G40" s="166">
        <f>DAY(EOMONTH(Inv_SY_D[[#This Row],[Month Year]],0))</f>
        <v>31</v>
      </c>
      <c r="H40" s="167">
        <f t="shared" si="1"/>
        <v>45783</v>
      </c>
      <c r="I40" s="124">
        <v>7.0991999999999997</v>
      </c>
      <c r="J40" s="76">
        <f>IFERROR(Inv_SY!J42/Inv_SY!$Y42-1,"")</f>
        <v>3.200251349420058E-2</v>
      </c>
      <c r="K40" s="76">
        <f>IFERROR(Inv_SY!K42/Inv_SY!$Y42-1,"")</f>
        <v>-0.14502511068042145</v>
      </c>
      <c r="L40" s="76">
        <f>IFERROR(Inv_SY!L42/Inv_SY!$Y42-1,"")</f>
        <v>5.8347492874821105E-2</v>
      </c>
      <c r="M40" s="76">
        <f>IFERROR(Inv_SY!M42/Inv_SY!$Y42-1,"")</f>
        <v>2.3106269251196743E-2</v>
      </c>
      <c r="N40" s="76">
        <f>IFERROR(Inv_SY!N42/Inv_SY!$Y42-1,"")</f>
        <v>-0.11367949030323088</v>
      </c>
      <c r="O40" s="76">
        <f>IFERROR(Inv_SY!O42/Inv_SY!$Y42-1,"")</f>
        <v>4.1929652992831468E-2</v>
      </c>
      <c r="P40" s="76">
        <f>IFERROR(Inv_SY!P42/Inv_SY!$Y42-1,"")</f>
        <v>-0.11112587915208538</v>
      </c>
      <c r="Q40" s="76">
        <f>IFERROR(Inv_SY!Q42/Inv_SY!$Y42-1,"")</f>
        <v>0.36466657028525096</v>
      </c>
      <c r="R40" s="76">
        <f>IFERROR(Inv_SY!R42/Inv_SY!$Y42-1,"")</f>
        <v>5.5988107990700975E-2</v>
      </c>
      <c r="S40" s="76">
        <f>IFERROR(Inv_SY!S42/Inv_SY!$Y42-1,"")</f>
        <v>-0.12285253591031053</v>
      </c>
      <c r="T40" s="76">
        <f>IFERROR(Inv_SY!T42/Inv_SY!$Y42-1,"")</f>
        <v>0.30072040966625035</v>
      </c>
      <c r="U40" s="76">
        <f>IFERROR(Inv_SY!U42/Inv_SY!$Y42-1,"")</f>
        <v>-0.12954978183692456</v>
      </c>
      <c r="V40" s="76">
        <f>IFERROR(Inv_SY!J42/Inv_SY!$Z42-1,"")</f>
        <v>1.5944560240210404E-2</v>
      </c>
      <c r="W40" s="76">
        <f>IFERROR(Inv_SY!K42/Inv_SY!$Z42-1,"")</f>
        <v>-0.15832851510677748</v>
      </c>
      <c r="X40" s="76">
        <f>IFERROR(Inv_SY!L42/Inv_SY!$Z42-1,"")</f>
        <v>4.1879611891159962E-2</v>
      </c>
      <c r="Y40" s="76">
        <f>IFERROR(Inv_SY!M42/Inv_SY!$Z42-1,"")</f>
        <v>7.1867415071469321E-3</v>
      </c>
      <c r="Z40" s="76">
        <f>IFERROR(Inv_SY!N42/Inv_SY!$Z42-1,"")</f>
        <v>-0.12747063240478884</v>
      </c>
      <c r="AA40" s="76">
        <f>IFERROR(Inv_SY!O42/Inv_SY!$Z42-1,"")</f>
        <v>2.5717233504573001E-2</v>
      </c>
      <c r="AB40" s="76">
        <f>IFERROR(Inv_SY!P42/Inv_SY!$Z42-1,"")</f>
        <v>-0.12495675542866502</v>
      </c>
      <c r="AC40" s="76">
        <f>IFERROR(Inv_SY!Q42/Inv_SY!$Z42-1,"")</f>
        <v>0.34343236619525586</v>
      </c>
      <c r="AD40" s="76">
        <f>IFERROR(Inv_SY!R42/Inv_SY!$Z42-1,"")</f>
        <v>3.9556939022448612E-2</v>
      </c>
      <c r="AE40" s="76">
        <f>IFERROR(Inv_SY!S42/Inv_SY!$Z42-1,"")</f>
        <v>-0.13650094547427383</v>
      </c>
      <c r="AF40" s="76">
        <f>IFERROR(Inv_SY!T42/Inv_SY!$Z42-1,"")</f>
        <v>0.28048120747263194</v>
      </c>
      <c r="AG40" s="76">
        <f>IFERROR(Inv_SY!U42/Inv_SY!$Z42-1,"")</f>
        <v>-0.14309398229227244</v>
      </c>
      <c r="AH40" s="76">
        <f>IFERROR(Inv_SY!V42/Inv_SY!$Y42-1,"")</f>
        <v>-1.4477392216115992E-2</v>
      </c>
      <c r="AI40" s="76">
        <f>IFERROR(Inv_SY!W42/Inv_SY!$Y42-1,"")</f>
        <v>1.5805934577959091E-2</v>
      </c>
      <c r="AJ40" s="76">
        <f>IFERROR(Inv_SY!X42/Inv_SY!$Y42-1,"")</f>
        <v>-1.3285423618432102E-3</v>
      </c>
      <c r="AK40" s="76">
        <f>IFERROR(Inv_SY!V42/Inv_SY!$Z42-1,"")</f>
        <v>-2.9812118400998622E-2</v>
      </c>
      <c r="AL40" s="76">
        <f>IFERROR(Inv_SY!W42/Inv_SY!$Z42-1,"")</f>
        <v>0</v>
      </c>
      <c r="AM40" s="76">
        <f>IFERROR(Inv_SY!X42/Inv_SY!$Z42-1,"")</f>
        <v>-1.6867864575846658E-2</v>
      </c>
    </row>
    <row r="41" spans="1:39" x14ac:dyDescent="0.25">
      <c r="A41" s="123">
        <f>YEAR(Inv_SY_D[[#This Row],[Date]])+IF(MONTH(Inv_SY_D[[#This Row],[Date]])&gt;=4,1,0)</f>
        <v>2026</v>
      </c>
      <c r="B41" s="164">
        <v>4</v>
      </c>
      <c r="C41" s="123">
        <f>YEAR(Inv_SY_D[[#This Row],[Month Year]])</f>
        <v>2025</v>
      </c>
      <c r="D41" s="164" t="s">
        <v>4</v>
      </c>
      <c r="E41" s="164" t="s">
        <v>4</v>
      </c>
      <c r="F41" s="165" t="str">
        <f>TEXT(Inv_SY_D[[#This Row],[Date]],"mmm-yy")</f>
        <v>May-25</v>
      </c>
      <c r="G41" s="166">
        <f>DAY(EOMONTH(Inv_SY_D[[#This Row],[Month Year]],0))</f>
        <v>31</v>
      </c>
      <c r="H41" s="167">
        <f t="shared" si="1"/>
        <v>45784</v>
      </c>
      <c r="I41" s="124">
        <v>7.0991999999999997</v>
      </c>
      <c r="J41" s="76">
        <f>IFERROR(Inv_SY!J43/Inv_SY!$Y43-1,"")</f>
        <v>2.7374710536581803E-2</v>
      </c>
      <c r="K41" s="76">
        <f>IFERROR(Inv_SY!K43/Inv_SY!$Y43-1,"")</f>
        <v>-0.14894641189763436</v>
      </c>
      <c r="L41" s="76">
        <f>IFERROR(Inv_SY!L43/Inv_SY!$Y43-1,"")</f>
        <v>2.2858070545276998E-2</v>
      </c>
      <c r="M41" s="76">
        <f>IFERROR(Inv_SY!M43/Inv_SY!$Y43-1,"")</f>
        <v>4.7251497960110855E-2</v>
      </c>
      <c r="N41" s="76">
        <f>IFERROR(Inv_SY!N43/Inv_SY!$Y43-1,"")</f>
        <v>-9.0478707772584266E-2</v>
      </c>
      <c r="O41" s="76">
        <f>IFERROR(Inv_SY!O43/Inv_SY!$Y43-1,"")</f>
        <v>3.9775237952707654E-2</v>
      </c>
      <c r="P41" s="76">
        <f>IFERROR(Inv_SY!P43/Inv_SY!$Y43-1,"")</f>
        <v>-0.11293448168671472</v>
      </c>
      <c r="Q41" s="76">
        <f>IFERROR(Inv_SY!Q43/Inv_SY!$Y43-1,"")</f>
        <v>0.32424511240377196</v>
      </c>
      <c r="R41" s="76">
        <f>IFERROR(Inv_SY!R43/Inv_SY!$Y43-1,"")</f>
        <v>6.3487815528748825E-2</v>
      </c>
      <c r="S41" s="76">
        <f>IFERROR(Inv_SY!S43/Inv_SY!$Y43-1,"")</f>
        <v>-0.1165957760239974</v>
      </c>
      <c r="T41" s="76">
        <f>IFERROR(Inv_SY!T43/Inv_SY!$Y43-1,"")</f>
        <v>0.30975161669302187</v>
      </c>
      <c r="U41" s="76">
        <f>IFERROR(Inv_SY!U43/Inv_SY!$Y43-1,"")</f>
        <v>-0.12347391805928531</v>
      </c>
      <c r="V41" s="76">
        <f>IFERROR(Inv_SY!J43/Inv_SY!$Z43-1,"")</f>
        <v>1.3514260105419895E-2</v>
      </c>
      <c r="W41" s="76">
        <f>IFERROR(Inv_SY!K43/Inv_SY!$Z43-1,"")</f>
        <v>-0.16042809034579708</v>
      </c>
      <c r="X41" s="76">
        <f>IFERROR(Inv_SY!L43/Inv_SY!$Z43-1,"")</f>
        <v>9.0585547118551268E-3</v>
      </c>
      <c r="Y41" s="76">
        <f>IFERROR(Inv_SY!M43/Inv_SY!$Z43-1,"")</f>
        <v>3.312288711582112E-2</v>
      </c>
      <c r="Z41" s="76">
        <f>IFERROR(Inv_SY!N43/Inv_SY!$Z43-1,"")</f>
        <v>-0.10274918188267823</v>
      </c>
      <c r="AA41" s="76">
        <f>IFERROR(Inv_SY!O43/Inv_SY!$Z43-1,"")</f>
        <v>2.5747490337948653E-2</v>
      </c>
      <c r="AB41" s="76">
        <f>IFERROR(Inv_SY!P43/Inv_SY!$Z43-1,"")</f>
        <v>-0.12490200192998857</v>
      </c>
      <c r="AC41" s="76">
        <f>IFERROR(Inv_SY!Q43/Inv_SY!$Z43-1,"")</f>
        <v>0.30637954344345109</v>
      </c>
      <c r="AD41" s="76">
        <f>IFERROR(Inv_SY!R43/Inv_SY!$Z43-1,"")</f>
        <v>4.9140158339890938E-2</v>
      </c>
      <c r="AE41" s="76">
        <f>IFERROR(Inv_SY!S43/Inv_SY!$Z43-1,"")</f>
        <v>-0.12851390125281814</v>
      </c>
      <c r="AF41" s="76">
        <f>IFERROR(Inv_SY!T43/Inv_SY!$Z43-1,"")</f>
        <v>0.29208158143312479</v>
      </c>
      <c r="AG41" s="76">
        <f>IFERROR(Inv_SY!U43/Inv_SY!$Z43-1,"")</f>
        <v>-0.13529924934860094</v>
      </c>
      <c r="AH41" s="76">
        <f>IFERROR(Inv_SY!V43/Inv_SY!$Y43-1,"")</f>
        <v>-1.9377499144955346E-2</v>
      </c>
      <c r="AI41" s="76">
        <f>IFERROR(Inv_SY!W43/Inv_SY!$Y43-1,"")</f>
        <v>1.3675634351430155E-2</v>
      </c>
      <c r="AJ41" s="76">
        <f>IFERROR(Inv_SY!X43/Inv_SY!$Y43-1,"")</f>
        <v>5.7018647935249689E-3</v>
      </c>
      <c r="AK41" s="76">
        <f>IFERROR(Inv_SY!V43/Inv_SY!$Z43-1,"")</f>
        <v>-3.2607209225792966E-2</v>
      </c>
      <c r="AL41" s="76">
        <f>IFERROR(Inv_SY!W43/Inv_SY!$Z43-1,"")</f>
        <v>0</v>
      </c>
      <c r="AM41" s="76">
        <f>IFERROR(Inv_SY!X43/Inv_SY!$Z43-1,"")</f>
        <v>-7.8661943600991657E-3</v>
      </c>
    </row>
    <row r="42" spans="1:39" x14ac:dyDescent="0.25">
      <c r="A42" s="123">
        <f>YEAR(Inv_SY_D[[#This Row],[Date]])+IF(MONTH(Inv_SY_D[[#This Row],[Date]])&gt;=4,1,0)</f>
        <v>2026</v>
      </c>
      <c r="B42" s="164">
        <v>4</v>
      </c>
      <c r="C42" s="123">
        <f>YEAR(Inv_SY_D[[#This Row],[Month Year]])</f>
        <v>2025</v>
      </c>
      <c r="D42" s="164" t="s">
        <v>4</v>
      </c>
      <c r="E42" s="164" t="s">
        <v>4</v>
      </c>
      <c r="F42" s="165" t="str">
        <f>TEXT(Inv_SY_D[[#This Row],[Date]],"mmm-yy")</f>
        <v>May-25</v>
      </c>
      <c r="G42" s="166">
        <f>DAY(EOMONTH(Inv_SY_D[[#This Row],[Month Year]],0))</f>
        <v>31</v>
      </c>
      <c r="H42" s="167">
        <f t="shared" si="1"/>
        <v>45785</v>
      </c>
      <c r="I42" s="124">
        <v>7.0991999999999997</v>
      </c>
      <c r="J42" s="76">
        <f>IFERROR(Inv_SY!J44/Inv_SY!$Y44-1,"")</f>
        <v>4.5034301703641866E-2</v>
      </c>
      <c r="K42" s="76">
        <f>IFERROR(Inv_SY!K44/Inv_SY!$Y44-1,"")</f>
        <v>-0.13429862751264843</v>
      </c>
      <c r="L42" s="76">
        <f>IFERROR(Inv_SY!L44/Inv_SY!$Y44-1,"")</f>
        <v>7.8946444048952902E-2</v>
      </c>
      <c r="M42" s="76">
        <f>IFERROR(Inv_SY!M44/Inv_SY!$Y44-1,"")</f>
        <v>8.5953458653383219E-2</v>
      </c>
      <c r="N42" s="76">
        <f>IFERROR(Inv_SY!N44/Inv_SY!$Y44-1,"")</f>
        <v>-0.11077588746770106</v>
      </c>
      <c r="O42" s="76">
        <f>IFERROR(Inv_SY!O44/Inv_SY!$Y44-1,"")</f>
        <v>4.5034301703641866E-2</v>
      </c>
      <c r="P42" s="76">
        <f>IFERROR(Inv_SY!P44/Inv_SY!$Y44-1,"")</f>
        <v>-0.10840963451404351</v>
      </c>
      <c r="Q42" s="76">
        <f>IFERROR(Inv_SY!Q44/Inv_SY!$Y44-1,"")</f>
        <v>0.37928040096913906</v>
      </c>
      <c r="R42" s="76">
        <f>IFERROR(Inv_SY!R44/Inv_SY!$Y44-1,"")</f>
        <v>-5.9299293800577413E-2</v>
      </c>
      <c r="S42" s="76">
        <f>IFERROR(Inv_SY!S44/Inv_SY!$Y44-1,"")</f>
        <v>-0.17323308592297093</v>
      </c>
      <c r="T42" s="76">
        <f>IFERROR(Inv_SY!T44/Inv_SY!$Y44-1,"")</f>
        <v>0.40114689606434428</v>
      </c>
      <c r="U42" s="76">
        <f>IFERROR(Inv_SY!U44/Inv_SY!$Y44-1,"")</f>
        <v>-0.16030141746729365</v>
      </c>
      <c r="V42" s="76">
        <f>IFERROR(Inv_SY!J44/Inv_SY!$Z44-1,"")</f>
        <v>3.334944444444421E-2</v>
      </c>
      <c r="W42" s="76">
        <f>IFERROR(Inv_SY!K44/Inv_SY!$Z44-1,"")</f>
        <v>-0.14397830687830693</v>
      </c>
      <c r="X42" s="76">
        <f>IFERROR(Inv_SY!L44/Inv_SY!$Z44-1,"")</f>
        <v>6.6882404458598721E-2</v>
      </c>
      <c r="Y42" s="76">
        <f>IFERROR(Inv_SY!M44/Inv_SY!$Z44-1,"")</f>
        <v>7.3811071428571129E-2</v>
      </c>
      <c r="Z42" s="76">
        <f>IFERROR(Inv_SY!N44/Inv_SY!$Z44-1,"")</f>
        <v>-0.12071858198924712</v>
      </c>
      <c r="AA42" s="76">
        <f>IFERROR(Inv_SY!O44/Inv_SY!$Z44-1,"")</f>
        <v>3.334944444444421E-2</v>
      </c>
      <c r="AB42" s="76">
        <f>IFERROR(Inv_SY!P44/Inv_SY!$Z44-1,"")</f>
        <v>-0.11837878685420622</v>
      </c>
      <c r="AC42" s="76">
        <f>IFERROR(Inv_SY!Q44/Inv_SY!$Z44-1,"")</f>
        <v>0.36385823293172703</v>
      </c>
      <c r="AD42" s="76">
        <f>IFERROR(Inv_SY!R44/Inv_SY!$Z44-1,"")</f>
        <v>-6.9817564308681579E-2</v>
      </c>
      <c r="AE42" s="76">
        <f>IFERROR(Inv_SY!S44/Inv_SY!$Z44-1,"")</f>
        <v>-0.1824774268617021</v>
      </c>
      <c r="AF42" s="76">
        <f>IFERROR(Inv_SY!T44/Inv_SY!$Z44-1,"")</f>
        <v>0.38548023186682534</v>
      </c>
      <c r="AG42" s="76">
        <f>IFERROR(Inv_SY!U44/Inv_SY!$Z44-1,"")</f>
        <v>-0.16969035145888578</v>
      </c>
      <c r="AH42" s="76">
        <f>IFERROR(Inv_SY!V44/Inv_SY!$Y44-1,"")</f>
        <v>-1.0128321430743825E-2</v>
      </c>
      <c r="AI42" s="76">
        <f>IFERROR(Inv_SY!W44/Inv_SY!$Y44-1,"")</f>
        <v>1.130775007623841E-2</v>
      </c>
      <c r="AJ42" s="76">
        <f>IFERROR(Inv_SY!X44/Inv_SY!$Y44-1,"")</f>
        <v>-1.1794286454945846E-3</v>
      </c>
      <c r="AK42" s="76">
        <f>IFERROR(Inv_SY!V44/Inv_SY!$Z44-1,"")</f>
        <v>-2.119638804841173E-2</v>
      </c>
      <c r="AL42" s="76">
        <f>IFERROR(Inv_SY!W44/Inv_SY!$Z44-1,"")</f>
        <v>0</v>
      </c>
      <c r="AM42" s="76">
        <f>IFERROR(Inv_SY!X44/Inv_SY!$Z44-1,"")</f>
        <v>-1.2347555648408282E-2</v>
      </c>
    </row>
    <row r="43" spans="1:39" x14ac:dyDescent="0.25">
      <c r="A43" s="123">
        <f>YEAR(Inv_SY_D[[#This Row],[Date]])+IF(MONTH(Inv_SY_D[[#This Row],[Date]])&gt;=4,1,0)</f>
        <v>2026</v>
      </c>
      <c r="B43" s="164">
        <v>4</v>
      </c>
      <c r="C43" s="123">
        <f>YEAR(Inv_SY_D[[#This Row],[Month Year]])</f>
        <v>2025</v>
      </c>
      <c r="D43" s="164" t="s">
        <v>4</v>
      </c>
      <c r="E43" s="164" t="s">
        <v>4</v>
      </c>
      <c r="F43" s="165" t="str">
        <f>TEXT(Inv_SY_D[[#This Row],[Date]],"mmm-yy")</f>
        <v>May-25</v>
      </c>
      <c r="G43" s="166">
        <f>DAY(EOMONTH(Inv_SY_D[[#This Row],[Month Year]],0))</f>
        <v>31</v>
      </c>
      <c r="H43" s="167">
        <f t="shared" si="1"/>
        <v>45786</v>
      </c>
      <c r="I43" s="124">
        <v>7.0991999999999997</v>
      </c>
      <c r="J43" s="76">
        <f>IFERROR(Inv_SY!J45/Inv_SY!$Y45-1,"")</f>
        <v>2.8997599981681832E-2</v>
      </c>
      <c r="K43" s="76">
        <f>IFERROR(Inv_SY!K45/Inv_SY!$Y45-1,"")</f>
        <v>-0.12248107878701442</v>
      </c>
      <c r="L43" s="76">
        <f>IFERROR(Inv_SY!L45/Inv_SY!$Y45-1,"")</f>
        <v>2.4006793255863856E-2</v>
      </c>
      <c r="M43" s="76">
        <f>IFERROR(Inv_SY!M45/Inv_SY!$Y45-1,"")</f>
        <v>2.0444973437574676E-2</v>
      </c>
      <c r="N43" s="76">
        <f>IFERROR(Inv_SY!N45/Inv_SY!$Y45-1,"")</f>
        <v>-0.12116589299696556</v>
      </c>
      <c r="O43" s="76">
        <f>IFERROR(Inv_SY!O45/Inv_SY!$Y45-1,"")</f>
        <v>3.2807406351329504E-2</v>
      </c>
      <c r="P43" s="76">
        <f>IFERROR(Inv_SY!P45/Inv_SY!$Y45-1,"")</f>
        <v>-0.11871268747090391</v>
      </c>
      <c r="Q43" s="76">
        <f>IFERROR(Inv_SY!Q45/Inv_SY!$Y45-1,"")</f>
        <v>0.3538255130421053</v>
      </c>
      <c r="R43" s="76">
        <f>IFERROR(Inv_SY!R45/Inv_SY!$Y45-1,"")</f>
        <v>6.7668922160054379E-2</v>
      </c>
      <c r="S43" s="76">
        <f>IFERROR(Inv_SY!S45/Inv_SY!$Y45-1,"")</f>
        <v>-0.11240703179323919</v>
      </c>
      <c r="T43" s="76">
        <f>IFERROR(Inv_SY!T45/Inv_SY!$Y45-1,"")</f>
        <v>0.31636349436744271</v>
      </c>
      <c r="U43" s="76">
        <f>IFERROR(Inv_SY!U45/Inv_SY!$Y45-1,"")</f>
        <v>-0.11953627974513648</v>
      </c>
      <c r="V43" s="76">
        <f>IFERROR(Inv_SY!J45/Inv_SY!$Z45-1,"")</f>
        <v>1.8525793742147689E-2</v>
      </c>
      <c r="W43" s="76">
        <f>IFERROR(Inv_SY!K45/Inv_SY!$Z45-1,"")</f>
        <v>-0.13141133101950853</v>
      </c>
      <c r="X43" s="76">
        <f>IFERROR(Inv_SY!L45/Inv_SY!$Z45-1,"")</f>
        <v>1.3585776990001852E-2</v>
      </c>
      <c r="Y43" s="76">
        <f>IFERROR(Inv_SY!M45/Inv_SY!$Z45-1,"")</f>
        <v>1.0060204765485414E-2</v>
      </c>
      <c r="Z43" s="76">
        <f>IFERROR(Inv_SY!N45/Inv_SY!$Z45-1,"")</f>
        <v>-0.13010952948882293</v>
      </c>
      <c r="AA43" s="76">
        <f>IFERROR(Inv_SY!O45/Inv_SY!$Z45-1,"")</f>
        <v>2.2296828831751769E-2</v>
      </c>
      <c r="AB43" s="76">
        <f>IFERROR(Inv_SY!P45/Inv_SY!$Z45-1,"")</f>
        <v>-0.12768128951461022</v>
      </c>
      <c r="AC43" s="76">
        <f>IFERROR(Inv_SY!Q45/Inv_SY!$Z45-1,"")</f>
        <v>0.34004802857084204</v>
      </c>
      <c r="AD43" s="76">
        <f>IFERROR(Inv_SY!R45/Inv_SY!$Z45-1,"")</f>
        <v>5.6803569236945961E-2</v>
      </c>
      <c r="AE43" s="76">
        <f>IFERROR(Inv_SY!S45/Inv_SY!$Z45-1,"")</f>
        <v>-0.12143980464207749</v>
      </c>
      <c r="AF43" s="76">
        <f>IFERROR(Inv_SY!T45/Inv_SY!$Z45-1,"")</f>
        <v>0.30296724985330847</v>
      </c>
      <c r="AG43" s="76">
        <f>IFERROR(Inv_SY!U45/Inv_SY!$Z45-1,"")</f>
        <v>-0.12849650033225202</v>
      </c>
      <c r="AH43" s="76">
        <f>IFERROR(Inv_SY!V45/Inv_SY!$Y45-1,"")</f>
        <v>-1.7538051491743145E-2</v>
      </c>
      <c r="AI43" s="76">
        <f>IFERROR(Inv_SY!W45/Inv_SY!$Y45-1,"")</f>
        <v>7.2567151683300413E-3</v>
      </c>
      <c r="AJ43" s="76">
        <f>IFERROR(Inv_SY!X45/Inv_SY!$Y45-1,"")</f>
        <v>1.0281336323412882E-2</v>
      </c>
      <c r="AK43" s="76">
        <f>IFERROR(Inv_SY!V45/Inv_SY!$Z45-1,"")</f>
        <v>-2.7536278079129617E-2</v>
      </c>
      <c r="AL43" s="76">
        <f>IFERROR(Inv_SY!W45/Inv_SY!$Z45-1,"")</f>
        <v>-2.9938404742683167E-3</v>
      </c>
      <c r="AM43" s="76">
        <f>IFERROR(Inv_SY!X45/Inv_SY!$Z45-1,"")</f>
        <v>0</v>
      </c>
    </row>
    <row r="44" spans="1:39" x14ac:dyDescent="0.25">
      <c r="A44" s="123">
        <f>YEAR(Inv_SY_D[[#This Row],[Date]])+IF(MONTH(Inv_SY_D[[#This Row],[Date]])&gt;=4,1,0)</f>
        <v>2026</v>
      </c>
      <c r="B44" s="164">
        <v>4</v>
      </c>
      <c r="C44" s="123">
        <f>YEAR(Inv_SY_D[[#This Row],[Month Year]])</f>
        <v>2025</v>
      </c>
      <c r="D44" s="164" t="s">
        <v>4</v>
      </c>
      <c r="E44" s="164" t="s">
        <v>4</v>
      </c>
      <c r="F44" s="165" t="str">
        <f>TEXT(Inv_SY_D[[#This Row],[Date]],"mmm-yy")</f>
        <v>May-25</v>
      </c>
      <c r="G44" s="166">
        <f>DAY(EOMONTH(Inv_SY_D[[#This Row],[Month Year]],0))</f>
        <v>31</v>
      </c>
      <c r="H44" s="167">
        <f t="shared" si="1"/>
        <v>45787</v>
      </c>
      <c r="I44" s="124">
        <v>7.0991999999999997</v>
      </c>
      <c r="J44" s="76">
        <f>IFERROR(Inv_SY!J46/Inv_SY!$Y46-1,"")</f>
        <v>4.8550463538698629E-2</v>
      </c>
      <c r="K44" s="76">
        <f>IFERROR(Inv_SY!K46/Inv_SY!$Y46-1,"")</f>
        <v>-0.13175550081321807</v>
      </c>
      <c r="L44" s="76">
        <f>IFERROR(Inv_SY!L46/Inv_SY!$Y46-1,"")</f>
        <v>7.713279924107197E-2</v>
      </c>
      <c r="M44" s="76">
        <f>IFERROR(Inv_SY!M46/Inv_SY!$Y46-1,"")</f>
        <v>3.9716245849565013E-2</v>
      </c>
      <c r="N44" s="76">
        <f>IFERROR(Inv_SY!N46/Inv_SY!$Y46-1,"")</f>
        <v>-9.1870851503902617E-2</v>
      </c>
      <c r="O44" s="76">
        <f>IFERROR(Inv_SY!O46/Inv_SY!$Y46-1,"")</f>
        <v>3.2724234692762533E-2</v>
      </c>
      <c r="P44" s="76">
        <f>IFERROR(Inv_SY!P46/Inv_SY!$Y46-1,"")</f>
        <v>-0.11911218805178847</v>
      </c>
      <c r="Q44" s="76">
        <f>IFERROR(Inv_SY!Q46/Inv_SY!$Y46-1,"")</f>
        <v>0.31572741218843081</v>
      </c>
      <c r="R44" s="76">
        <f>IFERROR(Inv_SY!R46/Inv_SY!$Y46-1,"")</f>
        <v>4.6515743461992498E-2</v>
      </c>
      <c r="S44" s="76">
        <f>IFERROR(Inv_SY!S46/Inv_SY!$Y46-1,"")</f>
        <v>-0.13032908243319119</v>
      </c>
      <c r="T44" s="76">
        <f>IFERROR(Inv_SY!T46/Inv_SY!$Y46-1,"")</f>
        <v>0.290206699614874</v>
      </c>
      <c r="U44" s="76">
        <f>IFERROR(Inv_SY!U46/Inv_SY!$Y46-1,"")</f>
        <v>-0.13711370310816906</v>
      </c>
      <c r="V44" s="76">
        <f>IFERROR(Inv_SY!J46/Inv_SY!$Z46-1,"")</f>
        <v>4.001770895203749E-2</v>
      </c>
      <c r="W44" s="76">
        <f>IFERROR(Inv_SY!K46/Inv_SY!$Z46-1,"")</f>
        <v>-0.1388209854898228</v>
      </c>
      <c r="X44" s="76">
        <f>IFERROR(Inv_SY!L46/Inv_SY!$Z46-1,"")</f>
        <v>6.8367451122155698E-2</v>
      </c>
      <c r="Y44" s="76">
        <f>IFERROR(Inv_SY!M46/Inv_SY!$Z46-1,"")</f>
        <v>3.1255381185351538E-2</v>
      </c>
      <c r="Z44" s="76">
        <f>IFERROR(Inv_SY!N46/Inv_SY!$Z46-1,"")</f>
        <v>-9.9260904178105624E-2</v>
      </c>
      <c r="AA44" s="76">
        <f>IFERROR(Inv_SY!O46/Inv_SY!$Z46-1,"")</f>
        <v>2.4320268687548108E-2</v>
      </c>
      <c r="AB44" s="76">
        <f>IFERROR(Inv_SY!P46/Inv_SY!$Z46-1,"")</f>
        <v>-0.12628055979840758</v>
      </c>
      <c r="AC44" s="76">
        <f>IFERROR(Inv_SY!Q46/Inv_SY!$Z46-1,"")</f>
        <v>0.30502046054276732</v>
      </c>
      <c r="AD44" s="76">
        <f>IFERROR(Inv_SY!R46/Inv_SY!$Z46-1,"")</f>
        <v>3.7999546749912128E-2</v>
      </c>
      <c r="AE44" s="76">
        <f>IFERROR(Inv_SY!S46/Inv_SY!$Z46-1,"")</f>
        <v>-0.13740617482768636</v>
      </c>
      <c r="AF44" s="76">
        <f>IFERROR(Inv_SY!T46/Inv_SY!$Z46-1,"")</f>
        <v>0.27970742703172502</v>
      </c>
      <c r="AG44" s="76">
        <f>IFERROR(Inv_SY!U46/Inv_SY!$Z46-1,"")</f>
        <v>-0.1441355845183615</v>
      </c>
      <c r="AH44" s="76">
        <f>IFERROR(Inv_SY!V46/Inv_SY!$Y46-1,"")</f>
        <v>1.6793745170977648E-3</v>
      </c>
      <c r="AI44" s="76">
        <f>IFERROR(Inv_SY!W46/Inv_SY!$Y46-1,"")</f>
        <v>8.2044320142002913E-3</v>
      </c>
      <c r="AJ44" s="76">
        <f>IFERROR(Inv_SY!X46/Inv_SY!$Y46-1,"")</f>
        <v>-9.883806531297723E-3</v>
      </c>
      <c r="AK44" s="76">
        <f>IFERROR(Inv_SY!V46/Inv_SY!$Z46-1,"")</f>
        <v>-6.4719587515269517E-3</v>
      </c>
      <c r="AL44" s="76">
        <f>IFERROR(Inv_SY!W46/Inv_SY!$Z46-1,"")</f>
        <v>0</v>
      </c>
      <c r="AM44" s="76">
        <f>IFERROR(Inv_SY!X46/Inv_SY!$Z46-1,"")</f>
        <v>-1.7941042482189085E-2</v>
      </c>
    </row>
    <row r="45" spans="1:39" x14ac:dyDescent="0.25">
      <c r="A45" s="123">
        <f>YEAR(Inv_SY_D[[#This Row],[Date]])+IF(MONTH(Inv_SY_D[[#This Row],[Date]])&gt;=4,1,0)</f>
        <v>2026</v>
      </c>
      <c r="B45" s="164">
        <v>4</v>
      </c>
      <c r="C45" s="123">
        <f>YEAR(Inv_SY_D[[#This Row],[Month Year]])</f>
        <v>2025</v>
      </c>
      <c r="D45" s="164" t="s">
        <v>4</v>
      </c>
      <c r="E45" s="164" t="s">
        <v>4</v>
      </c>
      <c r="F45" s="165" t="str">
        <f>TEXT(Inv_SY_D[[#This Row],[Date]],"mmm-yy")</f>
        <v>May-25</v>
      </c>
      <c r="G45" s="166">
        <f>DAY(EOMONTH(Inv_SY_D[[#This Row],[Month Year]],0))</f>
        <v>31</v>
      </c>
      <c r="H45" s="167">
        <f t="shared" si="1"/>
        <v>45788</v>
      </c>
      <c r="I45" s="124">
        <v>7.0991999999999997</v>
      </c>
      <c r="J45" s="76">
        <f>IFERROR(Inv_SY!J47/Inv_SY!$Y47-1,"")</f>
        <v>4.5630613978296264E-2</v>
      </c>
      <c r="K45" s="76">
        <f>IFERROR(Inv_SY!K47/Inv_SY!$Y47-1,"")</f>
        <v>-0.13383088474737326</v>
      </c>
      <c r="L45" s="76">
        <f>IFERROR(Inv_SY!L47/Inv_SY!$Y47-1,"")</f>
        <v>4.1044549373433048E-2</v>
      </c>
      <c r="M45" s="76">
        <f>IFERROR(Inv_SY!M47/Inv_SY!$Y47-1,"")</f>
        <v>7.2475377447552836E-2</v>
      </c>
      <c r="N45" s="76">
        <f>IFERROR(Inv_SY!N47/Inv_SY!$Y47-1,"")</f>
        <v>-0.11524206519809133</v>
      </c>
      <c r="O45" s="76">
        <f>IFERROR(Inv_SY!O47/Inv_SY!$Y47-1,"")</f>
        <v>7.6188774123415293E-2</v>
      </c>
      <c r="P45" s="76">
        <f>IFERROR(Inv_SY!P47/Inv_SY!$Y47-1,"")</f>
        <v>-0.11267102008841767</v>
      </c>
      <c r="Q45" s="76">
        <f>IFERROR(Inv_SY!Q47/Inv_SY!$Y47-1,"")</f>
        <v>0.3247920132518598</v>
      </c>
      <c r="R45" s="76">
        <f>IFERROR(Inv_SY!R47/Inv_SY!$Y47-1,"")</f>
        <v>4.0861133058906818E-2</v>
      </c>
      <c r="S45" s="76">
        <f>IFERROR(Inv_SY!S47/Inv_SY!$Y47-1,"")</f>
        <v>-0.13453815431038718</v>
      </c>
      <c r="T45" s="76">
        <f>IFERROR(Inv_SY!T47/Inv_SY!$Y47-1,"")</f>
        <v>0.28307569149489797</v>
      </c>
      <c r="U45" s="76">
        <f>IFERROR(Inv_SY!U47/Inv_SY!$Y47-1,"")</f>
        <v>-0.14206962451251648</v>
      </c>
      <c r="V45" s="76">
        <f>IFERROR(Inv_SY!J47/Inv_SY!$Z47-1,"")</f>
        <v>2.9585458024675049E-2</v>
      </c>
      <c r="W45" s="76">
        <f>IFERROR(Inv_SY!K47/Inv_SY!$Z47-1,"")</f>
        <v>-0.14712221186676755</v>
      </c>
      <c r="X45" s="76">
        <f>IFERROR(Inv_SY!L47/Inv_SY!$Z47-1,"")</f>
        <v>2.5069766380219294E-2</v>
      </c>
      <c r="Y45" s="76">
        <f>IFERROR(Inv_SY!M47/Inv_SY!$Z47-1,"")</f>
        <v>5.601828977479073E-2</v>
      </c>
      <c r="Z45" s="76">
        <f>IFERROR(Inv_SY!N47/Inv_SY!$Z47-1,"")</f>
        <v>-0.12881863693893669</v>
      </c>
      <c r="AA45" s="76">
        <f>IFERROR(Inv_SY!O47/Inv_SY!$Z47-1,"")</f>
        <v>5.9674704541377244E-2</v>
      </c>
      <c r="AB45" s="76">
        <f>IFERROR(Inv_SY!P47/Inv_SY!$Z47-1,"")</f>
        <v>-0.12628704440381189</v>
      </c>
      <c r="AC45" s="76">
        <f>IFERROR(Inv_SY!Q47/Inv_SY!$Z47-1,"")</f>
        <v>0.30446313785879564</v>
      </c>
      <c r="AD45" s="76">
        <f>IFERROR(Inv_SY!R47/Inv_SY!$Z47-1,"")</f>
        <v>2.4889164581002543E-2</v>
      </c>
      <c r="AE45" s="76">
        <f>IFERROR(Inv_SY!S47/Inv_SY!$Z47-1,"")</f>
        <v>-0.14781862840932847</v>
      </c>
      <c r="AF45" s="76">
        <f>IFERROR(Inv_SY!T47/Inv_SY!$Z47-1,"")</f>
        <v>0.263386951231251</v>
      </c>
      <c r="AG45" s="76">
        <f>IFERROR(Inv_SY!U47/Inv_SY!$Z47-1,"")</f>
        <v>-0.15523452853122321</v>
      </c>
      <c r="AH45" s="76">
        <f>IFERROR(Inv_SY!V47/Inv_SY!$Y47-1,"")</f>
        <v>-3.7571757345444823E-4</v>
      </c>
      <c r="AI45" s="76">
        <f>IFERROR(Inv_SY!W47/Inv_SY!$Y47-1,"")</f>
        <v>1.55840934121243E-2</v>
      </c>
      <c r="AJ45" s="76">
        <f>IFERROR(Inv_SY!X47/Inv_SY!$Y47-1,"")</f>
        <v>-1.5208375838669963E-2</v>
      </c>
      <c r="AK45" s="76">
        <f>IFERROR(Inv_SY!V47/Inv_SY!$Z47-1,"")</f>
        <v>-1.5714908385338622E-2</v>
      </c>
      <c r="AL45" s="76">
        <f>IFERROR(Inv_SY!W47/Inv_SY!$Z47-1,"")</f>
        <v>0</v>
      </c>
      <c r="AM45" s="76">
        <f>IFERROR(Inv_SY!X47/Inv_SY!$Z47-1,"")</f>
        <v>-3.0319960159418069E-2</v>
      </c>
    </row>
    <row r="46" spans="1:39" x14ac:dyDescent="0.25">
      <c r="A46" s="123">
        <f>YEAR(Inv_SY_D[[#This Row],[Date]])+IF(MONTH(Inv_SY_D[[#This Row],[Date]])&gt;=4,1,0)</f>
        <v>2026</v>
      </c>
      <c r="B46" s="164">
        <v>4</v>
      </c>
      <c r="C46" s="123">
        <f>YEAR(Inv_SY_D[[#This Row],[Month Year]])</f>
        <v>2025</v>
      </c>
      <c r="D46" s="164" t="s">
        <v>4</v>
      </c>
      <c r="E46" s="164" t="s">
        <v>4</v>
      </c>
      <c r="F46" s="165" t="str">
        <f>TEXT(Inv_SY_D[[#This Row],[Date]],"mmm-yy")</f>
        <v>May-25</v>
      </c>
      <c r="G46" s="166">
        <f>DAY(EOMONTH(Inv_SY_D[[#This Row],[Month Year]],0))</f>
        <v>31</v>
      </c>
      <c r="H46" s="167">
        <f t="shared" si="1"/>
        <v>45789</v>
      </c>
      <c r="I46" s="124">
        <v>7.0991999999999997</v>
      </c>
      <c r="J46" s="76">
        <f>IFERROR(Inv_SY!J48/Inv_SY!$Y48-1,"")</f>
        <v>6.0915234731204526E-2</v>
      </c>
      <c r="K46" s="76">
        <f>IFERROR(Inv_SY!K48/Inv_SY!$Y48-1,"")</f>
        <v>-0.14680185797510692</v>
      </c>
      <c r="L46" s="76">
        <f>IFERROR(Inv_SY!L48/Inv_SY!$Y48-1,"")</f>
        <v>2.5218347927813412E-2</v>
      </c>
      <c r="M46" s="76">
        <f>IFERROR(Inv_SY!M48/Inv_SY!$Y48-1,"")</f>
        <v>2.0971524428381239E-2</v>
      </c>
      <c r="N46" s="76">
        <f>IFERROR(Inv_SY!N48/Inv_SY!$Y48-1,"")</f>
        <v>-0.11412195155543736</v>
      </c>
      <c r="O46" s="76">
        <f>IFERROR(Inv_SY!O48/Inv_SY!$Y48-1,"")</f>
        <v>4.0704525746335429E-2</v>
      </c>
      <c r="P46" s="76">
        <f>IFERROR(Inv_SY!P48/Inv_SY!$Y48-1,"")</f>
        <v>-8.6474661734414648E-2</v>
      </c>
      <c r="Q46" s="76">
        <f>IFERROR(Inv_SY!Q48/Inv_SY!$Y48-1,"")</f>
        <v>0.32543290537880476</v>
      </c>
      <c r="R46" s="76">
        <f>IFERROR(Inv_SY!R48/Inv_SY!$Y48-1,"")</f>
        <v>5.8779433646080737E-2</v>
      </c>
      <c r="S46" s="76">
        <f>IFERROR(Inv_SY!S48/Inv_SY!$Y48-1,"")</f>
        <v>-0.11951332873298781</v>
      </c>
      <c r="T46" s="76">
        <f>IFERROR(Inv_SY!T48/Inv_SY!$Y48-1,"")</f>
        <v>0.30460989455935961</v>
      </c>
      <c r="U46" s="76">
        <f>IFERROR(Inv_SY!U48/Inv_SY!$Y48-1,"")</f>
        <v>-0.12759039399438432</v>
      </c>
      <c r="V46" s="76">
        <f>IFERROR(Inv_SY!J48/Inv_SY!$Z48-1,"")</f>
        <v>4.5358021918294078E-2</v>
      </c>
      <c r="W46" s="76">
        <f>IFERROR(Inv_SY!K48/Inv_SY!$Z48-1,"")</f>
        <v>-0.15931311677555582</v>
      </c>
      <c r="X46" s="76">
        <f>IFERROR(Inv_SY!L48/Inv_SY!$Z48-1,"")</f>
        <v>1.0184592641553802E-2</v>
      </c>
      <c r="Y46" s="76">
        <f>IFERROR(Inv_SY!M48/Inv_SY!$Z48-1,"")</f>
        <v>6.0000443690169103E-3</v>
      </c>
      <c r="Z46" s="76">
        <f>IFERROR(Inv_SY!N48/Inv_SY!$Z48-1,"")</f>
        <v>-0.12711242701922842</v>
      </c>
      <c r="AA46" s="76">
        <f>IFERROR(Inv_SY!O48/Inv_SY!$Z48-1,"")</f>
        <v>2.5443681851962552E-2</v>
      </c>
      <c r="AB46" s="76">
        <f>IFERROR(Inv_SY!P48/Inv_SY!$Z48-1,"")</f>
        <v>-9.9870555800338323E-2</v>
      </c>
      <c r="AC46" s="76">
        <f>IFERROR(Inv_SY!Q48/Inv_SY!$Z48-1,"")</f>
        <v>0.30599681745851326</v>
      </c>
      <c r="AD46" s="76">
        <f>IFERROR(Inv_SY!R48/Inv_SY!$Z48-1,"")</f>
        <v>4.3253540123269651E-2</v>
      </c>
      <c r="AE46" s="76">
        <f>IFERROR(Inv_SY!S48/Inv_SY!$Z48-1,"")</f>
        <v>-0.13242474528673598</v>
      </c>
      <c r="AF46" s="76">
        <f>IFERROR(Inv_SY!T48/Inv_SY!$Z48-1,"")</f>
        <v>0.28547915432389592</v>
      </c>
      <c r="AG46" s="76">
        <f>IFERROR(Inv_SY!U48/Inv_SY!$Z48-1,"")</f>
        <v>-0.14038336883001801</v>
      </c>
      <c r="AH46" s="76">
        <f>IFERROR(Inv_SY!V48/Inv_SY!$Y48-1,"")</f>
        <v>-1.6473685272305416E-2</v>
      </c>
      <c r="AI46" s="76">
        <f>IFERROR(Inv_SY!W48/Inv_SY!$Y48-1,"")</f>
        <v>1.4882186281367948E-2</v>
      </c>
      <c r="AJ46" s="76">
        <f>IFERROR(Inv_SY!X48/Inv_SY!$Y48-1,"")</f>
        <v>1.5914989909375787E-3</v>
      </c>
      <c r="AK46" s="76">
        <f>IFERROR(Inv_SY!V48/Inv_SY!$Z48-1,"")</f>
        <v>-3.0896070477465565E-2</v>
      </c>
      <c r="AL46" s="76">
        <f>IFERROR(Inv_SY!W48/Inv_SY!$Z48-1,"")</f>
        <v>0</v>
      </c>
      <c r="AM46" s="76">
        <f>IFERROR(Inv_SY!X48/Inv_SY!$Z48-1,"")</f>
        <v>-1.3095793255696875E-2</v>
      </c>
    </row>
    <row r="47" spans="1:39" x14ac:dyDescent="0.25">
      <c r="A47" s="123">
        <f>YEAR(Inv_SY_D[[#This Row],[Date]])+IF(MONTH(Inv_SY_D[[#This Row],[Date]])&gt;=4,1,0)</f>
        <v>2026</v>
      </c>
      <c r="B47" s="164">
        <v>4</v>
      </c>
      <c r="C47" s="123">
        <f>YEAR(Inv_SY_D[[#This Row],[Month Year]])</f>
        <v>2025</v>
      </c>
      <c r="D47" s="164" t="s">
        <v>4</v>
      </c>
      <c r="E47" s="164" t="s">
        <v>4</v>
      </c>
      <c r="F47" s="165" t="str">
        <f>TEXT(Inv_SY_D[[#This Row],[Date]],"mmm-yy")</f>
        <v>May-25</v>
      </c>
      <c r="G47" s="166">
        <f>DAY(EOMONTH(Inv_SY_D[[#This Row],[Month Year]],0))</f>
        <v>31</v>
      </c>
      <c r="H47" s="167">
        <f t="shared" si="1"/>
        <v>45790</v>
      </c>
      <c r="I47" s="124">
        <v>7.0991999999999997</v>
      </c>
      <c r="J47" s="76">
        <f>IFERROR(Inv_SY!J49/Inv_SY!$Y49-1,"")</f>
        <v>4.7569284534830336E-2</v>
      </c>
      <c r="K47" s="76">
        <f>IFERROR(Inv_SY!K49/Inv_SY!$Y49-1,"")</f>
        <v>-0.12042576727665177</v>
      </c>
      <c r="L47" s="76">
        <f>IFERROR(Inv_SY!L49/Inv_SY!$Y49-1,"")</f>
        <v>4.2213171857861331E-2</v>
      </c>
      <c r="M47" s="76">
        <f>IFERROR(Inv_SY!M49/Inv_SY!$Y49-1,"")</f>
        <v>3.8198834330712472E-2</v>
      </c>
      <c r="N47" s="76">
        <f>IFERROR(Inv_SY!N49/Inv_SY!$Y49-1,"")</f>
        <v>-0.11397454514822603</v>
      </c>
      <c r="O47" s="76">
        <f>IFERROR(Inv_SY!O49/Inv_SY!$Y49-1,"")</f>
        <v>4.0982524558714095E-2</v>
      </c>
      <c r="P47" s="76">
        <f>IFERROR(Inv_SY!P49/Inv_SY!$Y49-1,"")</f>
        <v>-0.11173613183865705</v>
      </c>
      <c r="Q47" s="76">
        <f>IFERROR(Inv_SY!Q49/Inv_SY!$Y49-1,"")</f>
        <v>0.34463149813639316</v>
      </c>
      <c r="R47" s="76">
        <f>IFERROR(Inv_SY!R49/Inv_SY!$Y49-1,"")</f>
        <v>4.9288337111662806E-2</v>
      </c>
      <c r="S47" s="76">
        <f>IFERROR(Inv_SY!S49/Inv_SY!$Y49-1,"")</f>
        <v>-0.12760466273778726</v>
      </c>
      <c r="T47" s="76">
        <f>IFERROR(Inv_SY!T49/Inv_SY!$Y49-1,"")</f>
        <v>0.29268101552674941</v>
      </c>
      <c r="U47" s="76">
        <f>IFERROR(Inv_SY!U49/Inv_SY!$Y49-1,"")</f>
        <v>-0.13555327130425854</v>
      </c>
      <c r="V47" s="76">
        <f>IFERROR(Inv_SY!J49/Inv_SY!$Z49-1,"")</f>
        <v>3.5659353047583719E-2</v>
      </c>
      <c r="W47" s="76">
        <f>IFERROR(Inv_SY!K49/Inv_SY!$Z49-1,"")</f>
        <v>-0.13042574437061005</v>
      </c>
      <c r="X47" s="76">
        <f>IFERROR(Inv_SY!L49/Inv_SY!$Z49-1,"")</f>
        <v>3.0364134610224802E-2</v>
      </c>
      <c r="Y47" s="76">
        <f>IFERROR(Inv_SY!M49/Inv_SY!$Z49-1,"")</f>
        <v>2.6395436532056449E-2</v>
      </c>
      <c r="Z47" s="76">
        <f>IFERROR(Inv_SY!N49/Inv_SY!$Z49-1,"")</f>
        <v>-0.12404786690271685</v>
      </c>
      <c r="AA47" s="76">
        <f>IFERROR(Inv_SY!O49/Inv_SY!$Z49-1,"")</f>
        <v>2.9147478676836425E-2</v>
      </c>
      <c r="AB47" s="76">
        <f>IFERROR(Inv_SY!P49/Inv_SY!$Z49-1,"")</f>
        <v>-0.12183490236255212</v>
      </c>
      <c r="AC47" s="76">
        <f>IFERROR(Inv_SY!Q49/Inv_SY!$Z49-1,"")</f>
        <v>0.32934423336563445</v>
      </c>
      <c r="AD47" s="76">
        <f>IFERROR(Inv_SY!R49/Inv_SY!$Z49-1,"")</f>
        <v>3.7358861524837028E-2</v>
      </c>
      <c r="AE47" s="76">
        <f>IFERROR(Inv_SY!S49/Inv_SY!$Z49-1,"")</f>
        <v>-0.13752302217231394</v>
      </c>
      <c r="AF47" s="76">
        <f>IFERROR(Inv_SY!T49/Inv_SY!$Z49-1,"")</f>
        <v>0.27798438155983773</v>
      </c>
      <c r="AG47" s="76">
        <f>IFERROR(Inv_SY!U49/Inv_SY!$Z49-1,"")</f>
        <v>-0.14538126212561264</v>
      </c>
      <c r="AH47" s="76">
        <f>IFERROR(Inv_SY!V49/Inv_SY!$Y49-1,"")</f>
        <v>-3.9705345117702073E-3</v>
      </c>
      <c r="AI47" s="76">
        <f>IFERROR(Inv_SY!W49/Inv_SY!$Y49-1,"")</f>
        <v>1.1499854128869558E-2</v>
      </c>
      <c r="AJ47" s="76">
        <f>IFERROR(Inv_SY!X49/Inv_SY!$Y49-1,"")</f>
        <v>-7.5293196170991283E-3</v>
      </c>
      <c r="AK47" s="76">
        <f>IFERROR(Inv_SY!V49/Inv_SY!$Z49-1,"")</f>
        <v>-1.5294504074806148E-2</v>
      </c>
      <c r="AL47" s="76">
        <f>IFERROR(Inv_SY!W49/Inv_SY!$Z49-1,"")</f>
        <v>0</v>
      </c>
      <c r="AM47" s="76">
        <f>IFERROR(Inv_SY!X49/Inv_SY!$Z49-1,"")</f>
        <v>-1.8812828957209371E-2</v>
      </c>
    </row>
    <row r="48" spans="1:39" x14ac:dyDescent="0.25">
      <c r="A48" s="123">
        <f>YEAR(Inv_SY_D[[#This Row],[Date]])+IF(MONTH(Inv_SY_D[[#This Row],[Date]])&gt;=4,1,0)</f>
        <v>2026</v>
      </c>
      <c r="B48" s="164">
        <v>4</v>
      </c>
      <c r="C48" s="123">
        <f>YEAR(Inv_SY_D[[#This Row],[Month Year]])</f>
        <v>2025</v>
      </c>
      <c r="D48" s="164" t="s">
        <v>4</v>
      </c>
      <c r="E48" s="164" t="s">
        <v>4</v>
      </c>
      <c r="F48" s="165" t="str">
        <f>TEXT(Inv_SY_D[[#This Row],[Date]],"mmm-yy")</f>
        <v>May-25</v>
      </c>
      <c r="G48" s="166">
        <f>DAY(EOMONTH(Inv_SY_D[[#This Row],[Month Year]],0))</f>
        <v>31</v>
      </c>
      <c r="H48" s="167">
        <f t="shared" si="1"/>
        <v>45791</v>
      </c>
      <c r="I48" s="124">
        <v>7.0991999999999997</v>
      </c>
      <c r="J48" s="76">
        <f>IFERROR(Inv_SY!J50/Inv_SY!$Y50-1,"")</f>
        <v>3.7774589944229442E-2</v>
      </c>
      <c r="K48" s="76">
        <f>IFERROR(Inv_SY!K50/Inv_SY!$Y50-1,"")</f>
        <v>-0.1403288728320975</v>
      </c>
      <c r="L48" s="76">
        <f>IFERROR(Inv_SY!L50/Inv_SY!$Y50-1,"")</f>
        <v>5.6624626457467242E-2</v>
      </c>
      <c r="M48" s="76">
        <f>IFERROR(Inv_SY!M50/Inv_SY!$Y50-1,"")</f>
        <v>2.9718291767231397E-2</v>
      </c>
      <c r="N48" s="76">
        <f>IFERROR(Inv_SY!N50/Inv_SY!$Y50-1,"")</f>
        <v>-9.5518982240428318E-2</v>
      </c>
      <c r="O48" s="76">
        <f>IFERROR(Inv_SY!O50/Inv_SY!$Y50-1,"")</f>
        <v>3.9589071515625518E-2</v>
      </c>
      <c r="P48" s="76">
        <f>IFERROR(Inv_SY!P50/Inv_SY!$Y50-1,"")</f>
        <v>-0.11298943228722236</v>
      </c>
      <c r="Q48" s="76">
        <f>IFERROR(Inv_SY!Q50/Inv_SY!$Y50-1,"")</f>
        <v>0.3245081495702018</v>
      </c>
      <c r="R48" s="76">
        <f>IFERROR(Inv_SY!R50/Inv_SY!$Y50-1,"")</f>
        <v>5.5165374795529853E-2</v>
      </c>
      <c r="S48" s="76">
        <f>IFERROR(Inv_SY!S50/Inv_SY!$Y50-1,"")</f>
        <v>-0.12231837379474308</v>
      </c>
      <c r="T48" s="76">
        <f>IFERROR(Inv_SY!T50/Inv_SY!$Y50-1,"")</f>
        <v>0.30034250069009616</v>
      </c>
      <c r="U48" s="76">
        <f>IFERROR(Inv_SY!U50/Inv_SY!$Y50-1,"")</f>
        <v>-0.13022561162967006</v>
      </c>
      <c r="V48" s="76">
        <f>IFERROR(Inv_SY!J50/Inv_SY!$Z50-1,"")</f>
        <v>2.5236635874506641E-2</v>
      </c>
      <c r="W48" s="76">
        <f>IFERROR(Inv_SY!K50/Inv_SY!$Z50-1,"")</f>
        <v>-0.15071505612463421</v>
      </c>
      <c r="X48" s="76">
        <f>IFERROR(Inv_SY!L50/Inv_SY!$Z50-1,"")</f>
        <v>4.3858934211934875E-2</v>
      </c>
      <c r="Y48" s="76">
        <f>IFERROR(Inv_SY!M50/Inv_SY!$Z50-1,"")</f>
        <v>1.7277670487783059E-2</v>
      </c>
      <c r="Z48" s="76">
        <f>IFERROR(Inv_SY!N50/Inv_SY!$Z50-1,"")</f>
        <v>-0.10644653969605555</v>
      </c>
      <c r="AA48" s="76">
        <f>IFERROR(Inv_SY!O50/Inv_SY!$Z50-1,"")</f>
        <v>2.702919564629136E-2</v>
      </c>
      <c r="AB48" s="76">
        <f>IFERROR(Inv_SY!P50/Inv_SY!$Z50-1,"")</f>
        <v>-0.12370591914776419</v>
      </c>
      <c r="AC48" s="76">
        <f>IFERROR(Inv_SY!Q50/Inv_SY!$Z50-1,"")</f>
        <v>0.30850600179630305</v>
      </c>
      <c r="AD48" s="76">
        <f>IFERROR(Inv_SY!R50/Inv_SY!$Z50-1,"")</f>
        <v>4.2417312611950031E-2</v>
      </c>
      <c r="AE48" s="76">
        <f>IFERROR(Inv_SY!S50/Inv_SY!$Z50-1,"")</f>
        <v>-0.13292215232606408</v>
      </c>
      <c r="AF48" s="76">
        <f>IFERROR(Inv_SY!T50/Inv_SY!$Z50-1,"")</f>
        <v>0.28463231207443829</v>
      </c>
      <c r="AG48" s="76">
        <f>IFERROR(Inv_SY!U50/Inv_SY!$Z50-1,"")</f>
        <v>-0.14073385825478202</v>
      </c>
      <c r="AH48" s="76">
        <f>IFERROR(Inv_SY!V50/Inv_SY!$Y50-1,"")</f>
        <v>-1.0592982968062215E-2</v>
      </c>
      <c r="AI48" s="76">
        <f>IFERROR(Inv_SY!W50/Inv_SY!$Y50-1,"")</f>
        <v>1.2229326997301504E-2</v>
      </c>
      <c r="AJ48" s="76">
        <f>IFERROR(Inv_SY!X50/Inv_SY!$Y50-1,"")</f>
        <v>-1.6363440292395115E-3</v>
      </c>
      <c r="AK48" s="76">
        <f>IFERROR(Inv_SY!V50/Inv_SY!$Z50-1,"")</f>
        <v>-2.2546580460244492E-2</v>
      </c>
      <c r="AL48" s="76">
        <f>IFERROR(Inv_SY!W50/Inv_SY!$Z50-1,"")</f>
        <v>0</v>
      </c>
      <c r="AM48" s="76">
        <f>IFERROR(Inv_SY!X50/Inv_SY!$Z50-1,"")</f>
        <v>-1.3698151848329121E-2</v>
      </c>
    </row>
    <row r="49" spans="1:39" x14ac:dyDescent="0.25">
      <c r="A49" s="123">
        <f>YEAR(Inv_SY_D[[#This Row],[Date]])+IF(MONTH(Inv_SY_D[[#This Row],[Date]])&gt;=4,1,0)</f>
        <v>2026</v>
      </c>
      <c r="B49" s="164">
        <v>4</v>
      </c>
      <c r="C49" s="123">
        <f>YEAR(Inv_SY_D[[#This Row],[Month Year]])</f>
        <v>2025</v>
      </c>
      <c r="D49" s="164" t="s">
        <v>4</v>
      </c>
      <c r="E49" s="164" t="s">
        <v>4</v>
      </c>
      <c r="F49" s="165" t="str">
        <f>TEXT(Inv_SY_D[[#This Row],[Date]],"mmm-yy")</f>
        <v>May-25</v>
      </c>
      <c r="G49" s="166">
        <f>DAY(EOMONTH(Inv_SY_D[[#This Row],[Month Year]],0))</f>
        <v>31</v>
      </c>
      <c r="H49" s="167">
        <f t="shared" si="1"/>
        <v>45792</v>
      </c>
      <c r="I49" s="124">
        <v>7.0991999999999997</v>
      </c>
      <c r="J49" s="76">
        <f>IFERROR(Inv_SY!J51/Inv_SY!$Y51-1,"")</f>
        <v>3.5541389176123817E-2</v>
      </c>
      <c r="K49" s="76">
        <f>IFERROR(Inv_SY!K51/Inv_SY!$Y51-1,"")</f>
        <v>-0.14244131019217487</v>
      </c>
      <c r="L49" s="76">
        <f>IFERROR(Inv_SY!L51/Inv_SY!$Y51-1,"")</f>
        <v>3.0560188477263939E-2</v>
      </c>
      <c r="M49" s="76">
        <f>IFERROR(Inv_SY!M51/Inv_SY!$Y51-1,"")</f>
        <v>2.5319145794472142E-2</v>
      </c>
      <c r="N49" s="76">
        <f>IFERROR(Inv_SY!N51/Inv_SY!$Y51-1,"")</f>
        <v>-0.10804195364126279</v>
      </c>
      <c r="O49" s="76">
        <f>IFERROR(Inv_SY!O51/Inv_SY!$Y51-1,"")</f>
        <v>4.7029690224310361E-2</v>
      </c>
      <c r="P49" s="76">
        <f>IFERROR(Inv_SY!P51/Inv_SY!$Y51-1,"")</f>
        <v>-0.10628839780441601</v>
      </c>
      <c r="Q49" s="76">
        <f>IFERROR(Inv_SY!Q51/Inv_SY!$Y51-1,"")</f>
        <v>0.3348179871925594</v>
      </c>
      <c r="R49" s="76">
        <f>IFERROR(Inv_SY!R51/Inv_SY!$Y51-1,"")</f>
        <v>6.2823522143709232E-2</v>
      </c>
      <c r="S49" s="76">
        <f>IFERROR(Inv_SY!S51/Inv_SY!$Y51-1,"")</f>
        <v>-0.11717731569032885</v>
      </c>
      <c r="T49" s="76">
        <f>IFERROR(Inv_SY!T51/Inv_SY!$Y51-1,"")</f>
        <v>0.30863594358813962</v>
      </c>
      <c r="U49" s="76">
        <f>IFERROR(Inv_SY!U51/Inv_SY!$Y51-1,"")</f>
        <v>-0.1252784074208777</v>
      </c>
      <c r="V49" s="76">
        <f>IFERROR(Inv_SY!J51/Inv_SY!$Z51-1,"")</f>
        <v>2.0921804719984616E-2</v>
      </c>
      <c r="W49" s="76">
        <f>IFERROR(Inv_SY!K51/Inv_SY!$Z51-1,"")</f>
        <v>-0.15454816736155963</v>
      </c>
      <c r="X49" s="76">
        <f>IFERROR(Inv_SY!L51/Inv_SY!$Z51-1,"")</f>
        <v>1.6010927704051436E-2</v>
      </c>
      <c r="Y49" s="76">
        <f>IFERROR(Inv_SY!M51/Inv_SY!$Z51-1,"")</f>
        <v>1.0843877105921829E-2</v>
      </c>
      <c r="Z49" s="76">
        <f>IFERROR(Inv_SY!N51/Inv_SY!$Z51-1,"")</f>
        <v>-0.12063445465220668</v>
      </c>
      <c r="AA49" s="76">
        <f>IFERROR(Inv_SY!O51/Inv_SY!$Z51-1,"")</f>
        <v>3.2247916029366719E-2</v>
      </c>
      <c r="AB49" s="76">
        <f>IFERROR(Inv_SY!P51/Inv_SY!$Z51-1,"")</f>
        <v>-0.11890565519682694</v>
      </c>
      <c r="AC49" s="76">
        <f>IFERROR(Inv_SY!Q51/Inv_SY!$Z51-1,"")</f>
        <v>0.31597327031179678</v>
      </c>
      <c r="AD49" s="76">
        <f>IFERROR(Inv_SY!R51/Inv_SY!$Z51-1,"")</f>
        <v>4.7818773510423407E-2</v>
      </c>
      <c r="AE49" s="76">
        <f>IFERROR(Inv_SY!S51/Inv_SY!$Z51-1,"")</f>
        <v>-0.12964084532609665</v>
      </c>
      <c r="AF49" s="76">
        <f>IFERROR(Inv_SY!T51/Inv_SY!$Z51-1,"")</f>
        <v>0.29016086002354391</v>
      </c>
      <c r="AG49" s="76">
        <f>IFERROR(Inv_SY!U51/Inv_SY!$Z51-1,"")</f>
        <v>-0.13762756732118198</v>
      </c>
      <c r="AH49" s="76">
        <f>IFERROR(Inv_SY!V51/Inv_SY!$Y51-1,"")</f>
        <v>-1.8968114640729006E-2</v>
      </c>
      <c r="AI49" s="76">
        <f>IFERROR(Inv_SY!W51/Inv_SY!$Y51-1,"")</f>
        <v>1.4319984536082186E-2</v>
      </c>
      <c r="AJ49" s="76">
        <f>IFERROR(Inv_SY!X51/Inv_SY!$Y51-1,"")</f>
        <v>4.6481301046468193E-3</v>
      </c>
      <c r="AK49" s="76">
        <f>IFERROR(Inv_SY!V51/Inv_SY!$Z51-1,"")</f>
        <v>-3.2818143864173366E-2</v>
      </c>
      <c r="AL49" s="76">
        <f>IFERROR(Inv_SY!W51/Inv_SY!$Z51-1,"")</f>
        <v>0</v>
      </c>
      <c r="AM49" s="76">
        <f>IFERROR(Inv_SY!X51/Inv_SY!$Z51-1,"")</f>
        <v>-9.5353089546578174E-3</v>
      </c>
    </row>
    <row r="50" spans="1:39" x14ac:dyDescent="0.25">
      <c r="A50" s="123">
        <f>YEAR(Inv_SY_D[[#This Row],[Date]])+IF(MONTH(Inv_SY_D[[#This Row],[Date]])&gt;=4,1,0)</f>
        <v>2026</v>
      </c>
      <c r="B50" s="164">
        <v>4</v>
      </c>
      <c r="C50" s="123">
        <f>YEAR(Inv_SY_D[[#This Row],[Month Year]])</f>
        <v>2025</v>
      </c>
      <c r="D50" s="164" t="s">
        <v>4</v>
      </c>
      <c r="E50" s="164" t="s">
        <v>4</v>
      </c>
      <c r="F50" s="165" t="str">
        <f>TEXT(Inv_SY_D[[#This Row],[Date]],"mmm-yy")</f>
        <v>May-25</v>
      </c>
      <c r="G50" s="166">
        <f>DAY(EOMONTH(Inv_SY_D[[#This Row],[Month Year]],0))</f>
        <v>31</v>
      </c>
      <c r="H50" s="167">
        <f t="shared" si="1"/>
        <v>45793</v>
      </c>
      <c r="I50" s="124">
        <v>7.0991999999999997</v>
      </c>
      <c r="J50" s="76">
        <f>IFERROR(Inv_SY!J52/Inv_SY!$Y52-1,"")</f>
        <v>2.7143815144366812E-2</v>
      </c>
      <c r="K50" s="76">
        <f>IFERROR(Inv_SY!K52/Inv_SY!$Y52-1,"")</f>
        <v>-0.12120820695520373</v>
      </c>
      <c r="L50" s="76">
        <f>IFERROR(Inv_SY!L52/Inv_SY!$Y52-1,"")</f>
        <v>2.1617016083851137E-2</v>
      </c>
      <c r="M50" s="76">
        <f>IFERROR(Inv_SY!M52/Inv_SY!$Y52-1,"")</f>
        <v>1.9789781514347737E-2</v>
      </c>
      <c r="N50" s="76">
        <f>IFERROR(Inv_SY!N52/Inv_SY!$Y52-1,"")</f>
        <v>-8.8043101707954929E-2</v>
      </c>
      <c r="O50" s="76">
        <f>IFERROR(Inv_SY!O52/Inv_SY!$Y52-1,"")</f>
        <v>3.6370615102527815E-2</v>
      </c>
      <c r="P50" s="76">
        <f>IFERROR(Inv_SY!P52/Inv_SY!$Y52-1,"")</f>
        <v>-0.11650147774599551</v>
      </c>
      <c r="Q50" s="76">
        <f>IFERROR(Inv_SY!Q52/Inv_SY!$Y52-1,"")</f>
        <v>0.3213568911811191</v>
      </c>
      <c r="R50" s="76">
        <f>IFERROR(Inv_SY!R52/Inv_SY!$Y52-1,"")</f>
        <v>6.4597379241827735E-2</v>
      </c>
      <c r="S50" s="76">
        <f>IFERROR(Inv_SY!S52/Inv_SY!$Y52-1,"")</f>
        <v>-0.11687818396030247</v>
      </c>
      <c r="T50" s="76">
        <f>IFERROR(Inv_SY!T52/Inv_SY!$Y52-1,"")</f>
        <v>0.31148770658289515</v>
      </c>
      <c r="U50" s="76">
        <f>IFERROR(Inv_SY!U52/Inv_SY!$Y52-1,"")</f>
        <v>-0.12299904909588655</v>
      </c>
      <c r="V50" s="76">
        <f>IFERROR(Inv_SY!J52/Inv_SY!$Z52-1,"")</f>
        <v>1.497685721717934E-2</v>
      </c>
      <c r="W50" s="76">
        <f>IFERROR(Inv_SY!K52/Inv_SY!$Z52-1,"")</f>
        <v>-0.13161787171206252</v>
      </c>
      <c r="X50" s="76">
        <f>IFERROR(Inv_SY!L52/Inv_SY!$Z52-1,"")</f>
        <v>9.5155254560328473E-3</v>
      </c>
      <c r="Y50" s="76">
        <f>IFERROR(Inv_SY!M52/Inv_SY!$Z52-1,"")</f>
        <v>7.7099352617400196E-3</v>
      </c>
      <c r="Z50" s="76">
        <f>IFERROR(Inv_SY!N52/Inv_SY!$Z52-1,"")</f>
        <v>-9.8845621325296174E-2</v>
      </c>
      <c r="AA50" s="76">
        <f>IFERROR(Inv_SY!O52/Inv_SY!$Z52-1,"")</f>
        <v>2.4094361782388996E-2</v>
      </c>
      <c r="AB50" s="76">
        <f>IFERROR(Inv_SY!P52/Inv_SY!$Z52-1,"")</f>
        <v>-0.12696689572398923</v>
      </c>
      <c r="AC50" s="76">
        <f>IFERROR(Inv_SY!Q52/Inv_SY!$Z52-1,"")</f>
        <v>0.30570485349685361</v>
      </c>
      <c r="AD50" s="76">
        <f>IFERROR(Inv_SY!R52/Inv_SY!$Z52-1,"")</f>
        <v>5.1986767824371283E-2</v>
      </c>
      <c r="AE50" s="76">
        <f>IFERROR(Inv_SY!S52/Inv_SY!$Z52-1,"")</f>
        <v>-0.12733913969202371</v>
      </c>
      <c r="AF50" s="76">
        <f>IFERROR(Inv_SY!T52/Inv_SY!$Z52-1,"")</f>
        <v>0.29595257361246974</v>
      </c>
      <c r="AG50" s="76">
        <f>IFERROR(Inv_SY!U52/Inv_SY!$Z52-1,"")</f>
        <v>-0.13338750056142357</v>
      </c>
      <c r="AH50" s="76">
        <f>IFERROR(Inv_SY!V52/Inv_SY!$Y52-1,"")</f>
        <v>-1.8339543291409077E-2</v>
      </c>
      <c r="AI50" s="76">
        <f>IFERROR(Inv_SY!W52/Inv_SY!$Y52-1,"")</f>
        <v>1.1987423989692214E-2</v>
      </c>
      <c r="AJ50" s="76">
        <f>IFERROR(Inv_SY!X52/Inv_SY!$Y52-1,"")</f>
        <v>6.3521193017168631E-3</v>
      </c>
      <c r="AK50" s="76">
        <f>IFERROR(Inv_SY!V52/Inv_SY!$Z52-1,"")</f>
        <v>-2.9967731379051399E-2</v>
      </c>
      <c r="AL50" s="76">
        <f>IFERROR(Inv_SY!W52/Inv_SY!$Z52-1,"")</f>
        <v>0</v>
      </c>
      <c r="AM50" s="76">
        <f>IFERROR(Inv_SY!X52/Inv_SY!$Z52-1,"")</f>
        <v>-5.5685520930274235E-3</v>
      </c>
    </row>
    <row r="51" spans="1:39" x14ac:dyDescent="0.25">
      <c r="A51" s="123">
        <f>YEAR(Inv_SY_D[[#This Row],[Date]])+IF(MONTH(Inv_SY_D[[#This Row],[Date]])&gt;=4,1,0)</f>
        <v>2026</v>
      </c>
      <c r="B51" s="164">
        <v>4</v>
      </c>
      <c r="C51" s="123">
        <f>YEAR(Inv_SY_D[[#This Row],[Month Year]])</f>
        <v>2025</v>
      </c>
      <c r="D51" s="164" t="s">
        <v>4</v>
      </c>
      <c r="E51" s="164" t="s">
        <v>4</v>
      </c>
      <c r="F51" s="165" t="str">
        <f>TEXT(Inv_SY_D[[#This Row],[Date]],"mmm-yy")</f>
        <v>May-25</v>
      </c>
      <c r="G51" s="166">
        <f>DAY(EOMONTH(Inv_SY_D[[#This Row],[Month Year]],0))</f>
        <v>31</v>
      </c>
      <c r="H51" s="167">
        <f t="shared" si="1"/>
        <v>45794</v>
      </c>
      <c r="I51" s="124">
        <v>7.0991999999999997</v>
      </c>
      <c r="J51" s="76">
        <f>IFERROR(Inv_SY!J53/Inv_SY!$Y53-1,"")</f>
        <v>4.7589260873964312E-2</v>
      </c>
      <c r="K51" s="76">
        <f>IFERROR(Inv_SY!K53/Inv_SY!$Y53-1,"")</f>
        <v>-0.13305510119287545</v>
      </c>
      <c r="L51" s="76">
        <f>IFERROR(Inv_SY!L53/Inv_SY!$Y53-1,"")</f>
        <v>7.5275385238174897E-2</v>
      </c>
      <c r="M51" s="76">
        <f>IFERROR(Inv_SY!M53/Inv_SY!$Y53-1,"")</f>
        <v>3.8838830093494092E-2</v>
      </c>
      <c r="N51" s="76">
        <f>IFERROR(Inv_SY!N53/Inv_SY!$Y53-1,"")</f>
        <v>-9.6247452185329818E-2</v>
      </c>
      <c r="O51" s="76">
        <f>IFERROR(Inv_SY!O53/Inv_SY!$Y53-1,"")</f>
        <v>6.1308529233294218E-2</v>
      </c>
      <c r="P51" s="76">
        <f>IFERROR(Inv_SY!P53/Inv_SY!$Y53-1,"")</f>
        <v>-6.7171249060758442E-2</v>
      </c>
      <c r="Q51" s="76">
        <f>IFERROR(Inv_SY!Q53/Inv_SY!$Y53-1,"")</f>
        <v>0.35213148289598739</v>
      </c>
      <c r="R51" s="76">
        <f>IFERROR(Inv_SY!R53/Inv_SY!$Y53-1,"")</f>
        <v>1.8885998544431848E-2</v>
      </c>
      <c r="S51" s="76">
        <f>IFERROR(Inv_SY!S53/Inv_SY!$Y53-1,"")</f>
        <v>-0.15356738301211981</v>
      </c>
      <c r="T51" s="76">
        <f>IFERROR(Inv_SY!T53/Inv_SY!$Y53-1,"")</f>
        <v>0.25654343470365437</v>
      </c>
      <c r="U51" s="76">
        <f>IFERROR(Inv_SY!U53/Inv_SY!$Y53-1,"")</f>
        <v>-0.15956009766971924</v>
      </c>
      <c r="V51" s="76">
        <f>IFERROR(Inv_SY!J53/Inv_SY!$Z53-1,"")</f>
        <v>1.1672326366885644E-2</v>
      </c>
      <c r="W51" s="76">
        <f>IFERROR(Inv_SY!K53/Inv_SY!$Z53-1,"")</f>
        <v>-0.16277858568690728</v>
      </c>
      <c r="X51" s="76">
        <f>IFERROR(Inv_SY!L53/Inv_SY!$Z53-1,"")</f>
        <v>3.8409223058873954E-2</v>
      </c>
      <c r="Y51" s="76">
        <f>IFERROR(Inv_SY!M53/Inv_SY!$Z53-1,"")</f>
        <v>3.2219069181358417E-3</v>
      </c>
      <c r="Z51" s="76">
        <f>IFERROR(Inv_SY!N53/Inv_SY!$Z53-1,"")</f>
        <v>-0.12723289875566302</v>
      </c>
      <c r="AA51" s="76">
        <f>IFERROR(Inv_SY!O53/Inv_SY!$Z53-1,"")</f>
        <v>2.4921225201105957E-2</v>
      </c>
      <c r="AB51" s="76">
        <f>IFERROR(Inv_SY!P53/Inv_SY!$Z53-1,"")</f>
        <v>-9.9153582600387757E-2</v>
      </c>
      <c r="AC51" s="76">
        <f>IFERROR(Inv_SY!Q53/Inv_SY!$Z53-1,"")</f>
        <v>0.30577322042619182</v>
      </c>
      <c r="AD51" s="76">
        <f>IFERROR(Inv_SY!R53/Inv_SY!$Z53-1,"")</f>
        <v>-1.6046835388373037E-2</v>
      </c>
      <c r="AE51" s="76">
        <f>IFERROR(Inv_SY!S53/Inv_SY!$Z53-1,"")</f>
        <v>-0.18258759733127616</v>
      </c>
      <c r="AF51" s="76">
        <f>IFERROR(Inv_SY!T53/Inv_SY!$Z53-1,"")</f>
        <v>0.21346243918838947</v>
      </c>
      <c r="AG51" s="76">
        <f>IFERROR(Inv_SY!U53/Inv_SY!$Z53-1,"")</f>
        <v>-0.18837484984076514</v>
      </c>
      <c r="AH51" s="76">
        <f>IFERROR(Inv_SY!V53/Inv_SY!$Y53-1,"")</f>
        <v>4.2851086885709044E-4</v>
      </c>
      <c r="AI51" s="76">
        <f>IFERROR(Inv_SY!W53/Inv_SY!$Y53-1,"")</f>
        <v>3.5502537304804571E-2</v>
      </c>
      <c r="AJ51" s="76">
        <f>IFERROR(Inv_SY!X53/Inv_SY!$Y53-1,"")</f>
        <v>-3.5931048173661551E-2</v>
      </c>
      <c r="AK51" s="76">
        <f>IFERROR(Inv_SY!V53/Inv_SY!$Z53-1,"")</f>
        <v>-3.3871502166704426E-2</v>
      </c>
      <c r="AL51" s="76">
        <f>IFERROR(Inv_SY!W53/Inv_SY!$Z53-1,"")</f>
        <v>0</v>
      </c>
      <c r="AM51" s="76">
        <f>IFERROR(Inv_SY!X53/Inv_SY!$Z53-1,"")</f>
        <v>-6.898446204138986E-2</v>
      </c>
    </row>
    <row r="52" spans="1:39" x14ac:dyDescent="0.25">
      <c r="A52" s="123">
        <f>YEAR(Inv_SY_D[[#This Row],[Date]])+IF(MONTH(Inv_SY_D[[#This Row],[Date]])&gt;=4,1,0)</f>
        <v>2026</v>
      </c>
      <c r="B52" s="164">
        <v>4</v>
      </c>
      <c r="C52" s="123">
        <f>YEAR(Inv_SY_D[[#This Row],[Month Year]])</f>
        <v>2025</v>
      </c>
      <c r="D52" s="164" t="s">
        <v>4</v>
      </c>
      <c r="E52" s="164" t="s">
        <v>4</v>
      </c>
      <c r="F52" s="165" t="str">
        <f>TEXT(Inv_SY_D[[#This Row],[Date]],"mmm-yy")</f>
        <v>May-25</v>
      </c>
      <c r="G52" s="166">
        <f>DAY(EOMONTH(Inv_SY_D[[#This Row],[Month Year]],0))</f>
        <v>31</v>
      </c>
      <c r="H52" s="167">
        <f t="shared" si="1"/>
        <v>45795</v>
      </c>
      <c r="I52" s="124">
        <v>7.0991999999999997</v>
      </c>
      <c r="J52" s="76">
        <f>IFERROR(Inv_SY!J54/Inv_SY!$Y54-1,"")</f>
        <v>2.7818397664324035E-2</v>
      </c>
      <c r="K52" s="76">
        <f>IFERROR(Inv_SY!K54/Inv_SY!$Y54-1,"")</f>
        <v>-0.12472254156251494</v>
      </c>
      <c r="L52" s="76">
        <f>IFERROR(Inv_SY!L54/Inv_SY!$Y54-1,"")</f>
        <v>2.2340572707579165E-2</v>
      </c>
      <c r="M52" s="76">
        <f>IFERROR(Inv_SY!M54/Inv_SY!$Y54-1,"")</f>
        <v>1.9551984491499308E-2</v>
      </c>
      <c r="N52" s="76">
        <f>IFERROR(Inv_SY!N54/Inv_SY!$Y54-1,"")</f>
        <v>-0.11581103371065771</v>
      </c>
      <c r="O52" s="76">
        <f>IFERROR(Inv_SY!O54/Inv_SY!$Y54-1,"")</f>
        <v>4.4185064951222763E-2</v>
      </c>
      <c r="P52" s="76">
        <f>IFERROR(Inv_SY!P54/Inv_SY!$Y54-1,"")</f>
        <v>-9.0525223357737494E-2</v>
      </c>
      <c r="Q52" s="76">
        <f>IFERROR(Inv_SY!Q54/Inv_SY!$Y54-1,"")</f>
        <v>0.32311157237178789</v>
      </c>
      <c r="R52" s="76">
        <f>IFERROR(Inv_SY!R54/Inv_SY!$Y54-1,"")</f>
        <v>6.4978054623913595E-2</v>
      </c>
      <c r="S52" s="76">
        <f>IFERROR(Inv_SY!S54/Inv_SY!$Y54-1,"")</f>
        <v>-0.11596033951381357</v>
      </c>
      <c r="T52" s="76">
        <f>IFERROR(Inv_SY!T54/Inv_SY!$Y54-1,"")</f>
        <v>0.31109573586994244</v>
      </c>
      <c r="U52" s="76">
        <f>IFERROR(Inv_SY!U54/Inv_SY!$Y54-1,"")</f>
        <v>-0.12236614239987798</v>
      </c>
      <c r="V52" s="76">
        <f>IFERROR(Inv_SY!J54/Inv_SY!$Z54-1,"")</f>
        <v>1.5371884982117834E-2</v>
      </c>
      <c r="W52" s="76">
        <f>IFERROR(Inv_SY!K54/Inv_SY!$Z54-1,"")</f>
        <v>-0.13532183810327336</v>
      </c>
      <c r="X52" s="76">
        <f>IFERROR(Inv_SY!L54/Inv_SY!$Z54-1,"")</f>
        <v>9.9603945237143332E-3</v>
      </c>
      <c r="Y52" s="76">
        <f>IFERROR(Inv_SY!M54/Inv_SY!$Z54-1,"")</f>
        <v>7.2055751121973266E-3</v>
      </c>
      <c r="Z52" s="76">
        <f>IFERROR(Inv_SY!N54/Inv_SY!$Z54-1,"")</f>
        <v>-0.12651824541984258</v>
      </c>
      <c r="AA52" s="76">
        <f>IFERROR(Inv_SY!O54/Inv_SY!$Z54-1,"")</f>
        <v>3.1540357789899609E-2</v>
      </c>
      <c r="AB52" s="76">
        <f>IFERROR(Inv_SY!P54/Inv_SY!$Z54-1,"")</f>
        <v>-0.10153863717417466</v>
      </c>
      <c r="AC52" s="76">
        <f>IFERROR(Inv_SY!Q54/Inv_SY!$Z54-1,"")</f>
        <v>0.30708916510322526</v>
      </c>
      <c r="AD52" s="76">
        <f>IFERROR(Inv_SY!R54/Inv_SY!$Z54-1,"")</f>
        <v>5.2081551804670445E-2</v>
      </c>
      <c r="AE52" s="76">
        <f>IFERROR(Inv_SY!S54/Inv_SY!$Z54-1,"")</f>
        <v>-0.12666574318319612</v>
      </c>
      <c r="AF52" s="76">
        <f>IFERROR(Inv_SY!T54/Inv_SY!$Z54-1,"")</f>
        <v>0.2952188360779413</v>
      </c>
      <c r="AG52" s="76">
        <f>IFERROR(Inv_SY!U54/Inv_SY!$Z54-1,"")</f>
        <v>-0.1329939740905508</v>
      </c>
      <c r="AH52" s="76">
        <f>IFERROR(Inv_SY!V54/Inv_SY!$Y54-1,"")</f>
        <v>-1.9068464827055154E-2</v>
      </c>
      <c r="AI52" s="76">
        <f>IFERROR(Inv_SY!W54/Inv_SY!$Y54-1,"")</f>
        <v>1.2258082842647733E-2</v>
      </c>
      <c r="AJ52" s="76">
        <f>IFERROR(Inv_SY!X54/Inv_SY!$Y54-1,"")</f>
        <v>6.810381984407643E-3</v>
      </c>
      <c r="AK52" s="76">
        <f>IFERROR(Inv_SY!V54/Inv_SY!$Z54-1,"")</f>
        <v>-3.0947194397036415E-2</v>
      </c>
      <c r="AL52" s="76">
        <f>IFERROR(Inv_SY!W54/Inv_SY!$Z54-1,"")</f>
        <v>0</v>
      </c>
      <c r="AM52" s="76">
        <f>IFERROR(Inv_SY!X54/Inv_SY!$Z54-1,"")</f>
        <v>-5.3817311519427369E-3</v>
      </c>
    </row>
    <row r="53" spans="1:39" x14ac:dyDescent="0.25">
      <c r="A53" s="123">
        <f>YEAR(Inv_SY_D[[#This Row],[Date]])+IF(MONTH(Inv_SY_D[[#This Row],[Date]])&gt;=4,1,0)</f>
        <v>2026</v>
      </c>
      <c r="B53" s="164">
        <v>4</v>
      </c>
      <c r="C53" s="123">
        <f>YEAR(Inv_SY_D[[#This Row],[Month Year]])</f>
        <v>2025</v>
      </c>
      <c r="D53" s="164" t="s">
        <v>4</v>
      </c>
      <c r="E53" s="164" t="s">
        <v>4</v>
      </c>
      <c r="F53" s="165" t="str">
        <f>TEXT(Inv_SY_D[[#This Row],[Date]],"mmm-yy")</f>
        <v>May-25</v>
      </c>
      <c r="G53" s="166">
        <f>DAY(EOMONTH(Inv_SY_D[[#This Row],[Month Year]],0))</f>
        <v>31</v>
      </c>
      <c r="H53" s="167">
        <f t="shared" si="1"/>
        <v>45796</v>
      </c>
      <c r="I53" s="124">
        <v>7.0991999999999997</v>
      </c>
      <c r="J53" s="76">
        <f>IFERROR(Inv_SY!J55/Inv_SY!$Y55-1,"")</f>
        <v>9.6344874312139783E-3</v>
      </c>
      <c r="K53" s="76">
        <f>IFERROR(Inv_SY!K55/Inv_SY!$Y55-1,"")</f>
        <v>-0.16393391168478144</v>
      </c>
      <c r="L53" s="76">
        <f>IFERROR(Inv_SY!L55/Inv_SY!$Y55-1,"")</f>
        <v>5.0911169627310127E-3</v>
      </c>
      <c r="M53" s="76">
        <f>IFERROR(Inv_SY!M55/Inv_SY!$Y55-1,"")</f>
        <v>0.11335584510674823</v>
      </c>
      <c r="N53" s="76">
        <f>IFERROR(Inv_SY!N55/Inv_SY!$Y55-1,"")</f>
        <v>-0.13095407853613228</v>
      </c>
      <c r="O53" s="76">
        <f>IFERROR(Inv_SY!O55/Inv_SY!$Y55-1,"")</f>
        <v>2.0426304992830158E-2</v>
      </c>
      <c r="P53" s="76">
        <f>IFERROR(Inv_SY!P55/Inv_SY!$Y55-1,"")</f>
        <v>-0.12994072425876246</v>
      </c>
      <c r="Q53" s="76">
        <f>IFERROR(Inv_SY!Q55/Inv_SY!$Y55-1,"")</f>
        <v>0.44244126978687937</v>
      </c>
      <c r="R53" s="76">
        <f>IFERROR(Inv_SY!R55/Inv_SY!$Y55-1,"")</f>
        <v>5.8751908607284298E-2</v>
      </c>
      <c r="S53" s="76">
        <f>IFERROR(Inv_SY!S55/Inv_SY!$Y55-1,"")</f>
        <v>-0.12106242780913179</v>
      </c>
      <c r="T53" s="76">
        <f>IFERROR(Inv_SY!T55/Inv_SY!$Y55-1,"")</f>
        <v>0.30395782150563999</v>
      </c>
      <c r="U53" s="76">
        <f>IFERROR(Inv_SY!U55/Inv_SY!$Y55-1,"")</f>
        <v>-0.1271008308500341</v>
      </c>
      <c r="V53" s="76">
        <f>IFERROR(Inv_SY!J55/Inv_SY!$Z55-1,"")</f>
        <v>-5.4833232470435922E-3</v>
      </c>
      <c r="W53" s="76">
        <f>IFERROR(Inv_SY!K55/Inv_SY!$Z55-1,"")</f>
        <v>-0.17645278757007254</v>
      </c>
      <c r="X53" s="76">
        <f>IFERROR(Inv_SY!L55/Inv_SY!$Z55-1,"")</f>
        <v>-9.9586633387528378E-3</v>
      </c>
      <c r="Y53" s="76">
        <f>IFERROR(Inv_SY!M55/Inv_SY!$Z55-1,"")</f>
        <v>9.6684957678289773E-2</v>
      </c>
      <c r="Z53" s="76">
        <f>IFERROR(Inv_SY!N55/Inv_SY!$Z55-1,"")</f>
        <v>-0.14396677954323589</v>
      </c>
      <c r="AA53" s="76">
        <f>IFERROR(Inv_SY!O55/Inv_SY!$Z55-1,"")</f>
        <v>5.1469025139736502E-3</v>
      </c>
      <c r="AB53" s="76">
        <f>IFERROR(Inv_SY!P55/Inv_SY!$Z55-1,"")</f>
        <v>-0.14296859877499835</v>
      </c>
      <c r="AC53" s="76">
        <f>IFERROR(Inv_SY!Q55/Inv_SY!$Z55-1,"")</f>
        <v>0.42084280588473466</v>
      </c>
      <c r="AD53" s="76">
        <f>IFERROR(Inv_SY!R55/Inv_SY!$Z55-1,"")</f>
        <v>4.2898635854793143E-2</v>
      </c>
      <c r="AE53" s="76">
        <f>IFERROR(Inv_SY!S55/Inv_SY!$Z55-1,"")</f>
        <v>-0.13422324192533353</v>
      </c>
      <c r="AF53" s="76">
        <f>IFERROR(Inv_SY!T55/Inv_SY!$Z55-1,"")</f>
        <v>0.28443294619347559</v>
      </c>
      <c r="AG53" s="76">
        <f>IFERROR(Inv_SY!U55/Inv_SY!$Z55-1,"")</f>
        <v>-0.14017122864715426</v>
      </c>
      <c r="AH53" s="76">
        <f>IFERROR(Inv_SY!V55/Inv_SY!$Y55-1,"")</f>
        <v>-1.6358890424426731E-2</v>
      </c>
      <c r="AI53" s="76">
        <f>IFERROR(Inv_SY!W55/Inv_SY!$Y55-1,"")</f>
        <v>1.5201163571853193E-2</v>
      </c>
      <c r="AJ53" s="76">
        <f>IFERROR(Inv_SY!X55/Inv_SY!$Y55-1,"")</f>
        <v>1.1577268525733153E-3</v>
      </c>
      <c r="AK53" s="76">
        <f>IFERROR(Inv_SY!V55/Inv_SY!$Z55-1,"")</f>
        <v>-3.1087488006061759E-2</v>
      </c>
      <c r="AL53" s="76">
        <f>IFERROR(Inv_SY!W55/Inv_SY!$Z55-1,"")</f>
        <v>0</v>
      </c>
      <c r="AM53" s="76">
        <f>IFERROR(Inv_SY!X55/Inv_SY!$Z55-1,"")</f>
        <v>-1.3833156642443112E-2</v>
      </c>
    </row>
    <row r="54" spans="1:39" x14ac:dyDescent="0.25">
      <c r="A54" s="123">
        <f>YEAR(Inv_SY_D[[#This Row],[Date]])+IF(MONTH(Inv_SY_D[[#This Row],[Date]])&gt;=4,1,0)</f>
        <v>2026</v>
      </c>
      <c r="B54" s="164">
        <v>4</v>
      </c>
      <c r="C54" s="123">
        <f>YEAR(Inv_SY_D[[#This Row],[Month Year]])</f>
        <v>2025</v>
      </c>
      <c r="D54" s="164" t="s">
        <v>4</v>
      </c>
      <c r="E54" s="164" t="s">
        <v>4</v>
      </c>
      <c r="F54" s="165" t="str">
        <f>TEXT(Inv_SY_D[[#This Row],[Date]],"mmm-yy")</f>
        <v>May-25</v>
      </c>
      <c r="G54" s="166">
        <f>DAY(EOMONTH(Inv_SY_D[[#This Row],[Month Year]],0))</f>
        <v>31</v>
      </c>
      <c r="H54" s="167">
        <f t="shared" si="1"/>
        <v>45797</v>
      </c>
      <c r="I54" s="124">
        <v>7.0991999999999997</v>
      </c>
      <c r="J54" s="76">
        <f>IFERROR(Inv_SY!J56/Inv_SY!$Y56-1,"")</f>
        <v>4.3445100991025942E-2</v>
      </c>
      <c r="K54" s="76">
        <f>IFERROR(Inv_SY!K56/Inv_SY!$Y56-1,"")</f>
        <v>-0.1643904862467479</v>
      </c>
      <c r="L54" s="76">
        <f>IFERROR(Inv_SY!L56/Inv_SY!$Y56-1,"")</f>
        <v>4.3054889529805518E-3</v>
      </c>
      <c r="M54" s="76">
        <f>IFERROR(Inv_SY!M56/Inv_SY!$Y56-1,"")</f>
        <v>3.1798050995754945E-3</v>
      </c>
      <c r="N54" s="76">
        <f>IFERROR(Inv_SY!N56/Inv_SY!$Y56-1,"")</f>
        <v>-8.3177307201132811E-2</v>
      </c>
      <c r="O54" s="76">
        <f>IFERROR(Inv_SY!O56/Inv_SY!$Y56-1,"")</f>
        <v>4.4162522744102928E-2</v>
      </c>
      <c r="P54" s="76">
        <f>IFERROR(Inv_SY!P56/Inv_SY!$Y56-1,"")</f>
        <v>-0.11002383394508486</v>
      </c>
      <c r="Q54" s="76">
        <f>IFERROR(Inv_SY!Q56/Inv_SY!$Y56-1,"")</f>
        <v>0.33079844400512903</v>
      </c>
      <c r="R54" s="76">
        <f>IFERROR(Inv_SY!R56/Inv_SY!$Y56-1,"")</f>
        <v>7.4532271605319611E-2</v>
      </c>
      <c r="S54" s="76">
        <f>IFERROR(Inv_SY!S56/Inv_SY!$Y56-1,"")</f>
        <v>-0.10829460838078886</v>
      </c>
      <c r="T54" s="76">
        <f>IFERROR(Inv_SY!T56/Inv_SY!$Y56-1,"")</f>
        <v>0.32369271842171554</v>
      </c>
      <c r="U54" s="76">
        <f>IFERROR(Inv_SY!U56/Inv_SY!$Y56-1,"")</f>
        <v>-0.11429396314391504</v>
      </c>
      <c r="V54" s="76">
        <f>IFERROR(Inv_SY!J56/Inv_SY!$Z56-1,"")</f>
        <v>2.4101729533516414E-2</v>
      </c>
      <c r="W54" s="76">
        <f>IFERROR(Inv_SY!K56/Inv_SY!$Z56-1,"")</f>
        <v>-0.17988100434166876</v>
      </c>
      <c r="X54" s="76">
        <f>IFERROR(Inv_SY!L56/Inv_SY!$Z56-1,"")</f>
        <v>-1.4312312895130685E-2</v>
      </c>
      <c r="Y54" s="76">
        <f>IFERROR(Inv_SY!M56/Inv_SY!$Z56-1,"")</f>
        <v>-1.5417128836175409E-2</v>
      </c>
      <c r="Z54" s="76">
        <f>IFERROR(Inv_SY!N56/Inv_SY!$Z56-1,"")</f>
        <v>-0.10017335413320338</v>
      </c>
      <c r="AA54" s="76">
        <f>IFERROR(Inv_SY!O56/Inv_SY!$Z56-1,"")</f>
        <v>2.480585173163985E-2</v>
      </c>
      <c r="AB54" s="76">
        <f>IFERROR(Inv_SY!P56/Inv_SY!$Z56-1,"")</f>
        <v>-0.12652220032006722</v>
      </c>
      <c r="AC54" s="76">
        <f>IFERROR(Inv_SY!Q56/Inv_SY!$Z56-1,"")</f>
        <v>0.30612812008198431</v>
      </c>
      <c r="AD54" s="76">
        <f>IFERROR(Inv_SY!R56/Inv_SY!$Z56-1,"")</f>
        <v>5.4612606590837887E-2</v>
      </c>
      <c r="AE54" s="76">
        <f>IFERROR(Inv_SY!S56/Inv_SY!$Z56-1,"")</f>
        <v>-0.12482503111637155</v>
      </c>
      <c r="AF54" s="76">
        <f>IFERROR(Inv_SY!T56/Inv_SY!$Z56-1,"")</f>
        <v>0.2991541203452921</v>
      </c>
      <c r="AG54" s="76">
        <f>IFERROR(Inv_SY!U56/Inv_SY!$Z56-1,"")</f>
        <v>-0.13071316992038473</v>
      </c>
      <c r="AH54" s="76">
        <f>IFERROR(Inv_SY!V56/Inv_SY!$Y56-1,"")</f>
        <v>-3.4872038465579069E-2</v>
      </c>
      <c r="AI54" s="76">
        <f>IFERROR(Inv_SY!W56/Inv_SY!$Y56-1,"")</f>
        <v>1.8888134742552021E-2</v>
      </c>
      <c r="AJ54" s="76">
        <f>IFERROR(Inv_SY!X56/Inv_SY!$Y56-1,"")</f>
        <v>1.598390372302716E-2</v>
      </c>
      <c r="AK54" s="76">
        <f>IFERROR(Inv_SY!V56/Inv_SY!$Z56-1,"")</f>
        <v>-5.2763567829470226E-2</v>
      </c>
      <c r="AL54" s="76">
        <f>IFERROR(Inv_SY!W56/Inv_SY!$Z56-1,"")</f>
        <v>0</v>
      </c>
      <c r="AM54" s="76">
        <f>IFERROR(Inv_SY!X56/Inv_SY!$Z56-1,"")</f>
        <v>-2.8503924233632683E-3</v>
      </c>
    </row>
    <row r="55" spans="1:39" x14ac:dyDescent="0.25">
      <c r="A55" s="123">
        <f>YEAR(Inv_SY_D[[#This Row],[Date]])+IF(MONTH(Inv_SY_D[[#This Row],[Date]])&gt;=4,1,0)</f>
        <v>2026</v>
      </c>
      <c r="B55" s="164">
        <v>4</v>
      </c>
      <c r="C55" s="123">
        <f>YEAR(Inv_SY_D[[#This Row],[Month Year]])</f>
        <v>2025</v>
      </c>
      <c r="D55" s="164" t="s">
        <v>4</v>
      </c>
      <c r="E55" s="164" t="s">
        <v>4</v>
      </c>
      <c r="F55" s="165" t="str">
        <f>TEXT(Inv_SY_D[[#This Row],[Date]],"mmm-yy")</f>
        <v>May-25</v>
      </c>
      <c r="G55" s="166">
        <f>DAY(EOMONTH(Inv_SY_D[[#This Row],[Month Year]],0))</f>
        <v>31</v>
      </c>
      <c r="H55" s="167">
        <f t="shared" si="1"/>
        <v>45798</v>
      </c>
      <c r="I55" s="124">
        <v>7.0991999999999997</v>
      </c>
      <c r="J55" s="76">
        <f>IFERROR(Inv_SY!J57/Inv_SY!$Y57-1,"")</f>
        <v>1.5622435404174295E-2</v>
      </c>
      <c r="K55" s="76">
        <f>IFERROR(Inv_SY!K57/Inv_SY!$Y57-1,"")</f>
        <v>-0.1584251715066205</v>
      </c>
      <c r="L55" s="76">
        <f>IFERROR(Inv_SY!L57/Inv_SY!$Y57-1,"")</f>
        <v>6.6001626279011072E-2</v>
      </c>
      <c r="M55" s="76">
        <f>IFERROR(Inv_SY!M57/Inv_SY!$Y57-1,"")</f>
        <v>9.4488217911232741E-3</v>
      </c>
      <c r="N55" s="76">
        <f>IFERROR(Inv_SY!N57/Inv_SY!$Y57-1,"")</f>
        <v>-0.11972662578425819</v>
      </c>
      <c r="O55" s="76">
        <f>IFERROR(Inv_SY!O57/Inv_SY!$Y57-1,"")</f>
        <v>3.1623433952286062E-2</v>
      </c>
      <c r="P55" s="76">
        <f>IFERROR(Inv_SY!P57/Inv_SY!$Y57-1,"")</f>
        <v>-6.9968094149676752E-2</v>
      </c>
      <c r="Q55" s="76">
        <f>IFERROR(Inv_SY!Q57/Inv_SY!$Y57-1,"")</f>
        <v>0.320127919537746</v>
      </c>
      <c r="R55" s="76">
        <f>IFERROR(Inv_SY!R57/Inv_SY!$Y57-1,"")</f>
        <v>6.7415525028226897E-2</v>
      </c>
      <c r="S55" s="76">
        <f>IFERROR(Inv_SY!S57/Inv_SY!$Y57-1,"")</f>
        <v>-0.11473617713918538</v>
      </c>
      <c r="T55" s="76">
        <f>IFERROR(Inv_SY!T57/Inv_SY!$Y57-1,"")</f>
        <v>0.31410824163653395</v>
      </c>
      <c r="U55" s="76">
        <f>IFERROR(Inv_SY!U57/Inv_SY!$Y57-1,"")</f>
        <v>-0.12034778674518454</v>
      </c>
      <c r="V55" s="76">
        <f>IFERROR(Inv_SY!J57/Inv_SY!$Z57-1,"")</f>
        <v>8.5322036557622383E-4</v>
      </c>
      <c r="W55" s="76">
        <f>IFERROR(Inv_SY!K57/Inv_SY!$Z57-1,"")</f>
        <v>-0.17066338049039864</v>
      </c>
      <c r="X55" s="76">
        <f>IFERROR(Inv_SY!L57/Inv_SY!$Z57-1,"")</f>
        <v>5.0499795380853918E-2</v>
      </c>
      <c r="Y55" s="76">
        <f>IFERROR(Inv_SY!M57/Inv_SY!$Z57-1,"")</f>
        <v>-5.2306163541748774E-3</v>
      </c>
      <c r="Z55" s="76">
        <f>IFERROR(Inv_SY!N57/Inv_SY!$Z57-1,"")</f>
        <v>-0.13252759029955152</v>
      </c>
      <c r="AA55" s="76">
        <f>IFERROR(Inv_SY!O57/Inv_SY!$Z57-1,"")</f>
        <v>1.6621531863706407E-2</v>
      </c>
      <c r="AB55" s="76">
        <f>IFERROR(Inv_SY!P57/Inv_SY!$Z57-1,"")</f>
        <v>-8.349264887733443E-2</v>
      </c>
      <c r="AC55" s="76">
        <f>IFERROR(Inv_SY!Q57/Inv_SY!$Z57-1,"")</f>
        <v>0.30093057567998538</v>
      </c>
      <c r="AD55" s="76">
        <f>IFERROR(Inv_SY!R57/Inv_SY!$Z57-1,"")</f>
        <v>5.1893133167706162E-2</v>
      </c>
      <c r="AE55" s="76">
        <f>IFERROR(Inv_SY!S57/Inv_SY!$Z57-1,"")</f>
        <v>-0.12760971292369139</v>
      </c>
      <c r="AF55" s="76">
        <f>IFERROR(Inv_SY!T57/Inv_SY!$Z57-1,"")</f>
        <v>0.29499843613386179</v>
      </c>
      <c r="AG55" s="76">
        <f>IFERROR(Inv_SY!U57/Inv_SY!$Z57-1,"")</f>
        <v>-0.13313971831724458</v>
      </c>
      <c r="AH55" s="76">
        <f>IFERROR(Inv_SY!V57/Inv_SY!$Y57-1,"")</f>
        <v>-2.3648077277892976E-2</v>
      </c>
      <c r="AI55" s="76">
        <f>IFERROR(Inv_SY!W57/Inv_SY!$Y57-1,"")</f>
        <v>1.4756624386144779E-2</v>
      </c>
      <c r="AJ55" s="76">
        <f>IFERROR(Inv_SY!X57/Inv_SY!$Y57-1,"")</f>
        <v>8.8914528917478641E-3</v>
      </c>
      <c r="AK55" s="76">
        <f>IFERROR(Inv_SY!V57/Inv_SY!$Z57-1,"")</f>
        <v>-3.784621922253506E-2</v>
      </c>
      <c r="AL55" s="76">
        <f>IFERROR(Inv_SY!W57/Inv_SY!$Z57-1,"")</f>
        <v>0</v>
      </c>
      <c r="AM55" s="76">
        <f>IFERROR(Inv_SY!X57/Inv_SY!$Z57-1,"")</f>
        <v>-5.7798799765852449E-3</v>
      </c>
    </row>
    <row r="56" spans="1:39" x14ac:dyDescent="0.25">
      <c r="A56" s="123">
        <f>YEAR(Inv_SY_D[[#This Row],[Date]])+IF(MONTH(Inv_SY_D[[#This Row],[Date]])&gt;=4,1,0)</f>
        <v>2026</v>
      </c>
      <c r="B56" s="164">
        <v>4</v>
      </c>
      <c r="C56" s="123">
        <f>YEAR(Inv_SY_D[[#This Row],[Month Year]])</f>
        <v>2025</v>
      </c>
      <c r="D56" s="164" t="s">
        <v>4</v>
      </c>
      <c r="E56" s="164" t="s">
        <v>4</v>
      </c>
      <c r="F56" s="165" t="str">
        <f>TEXT(Inv_SY_D[[#This Row],[Date]],"mmm-yy")</f>
        <v>May-25</v>
      </c>
      <c r="G56" s="166">
        <f>DAY(EOMONTH(Inv_SY_D[[#This Row],[Month Year]],0))</f>
        <v>31</v>
      </c>
      <c r="H56" s="167">
        <f t="shared" si="1"/>
        <v>45799</v>
      </c>
      <c r="I56" s="124">
        <v>7.0991999999999997</v>
      </c>
      <c r="J56" s="76">
        <f>IFERROR(Inv_SY!J58/Inv_SY!$Y58-1,"")</f>
        <v>4.5927887260425182E-2</v>
      </c>
      <c r="K56" s="76">
        <f>IFERROR(Inv_SY!K58/Inv_SY!$Y58-1,"")</f>
        <v>-0.13370858523073903</v>
      </c>
      <c r="L56" s="76">
        <f>IFERROR(Inv_SY!L58/Inv_SY!$Y58-1,"")</f>
        <v>4.0377364679899275E-2</v>
      </c>
      <c r="M56" s="76">
        <f>IFERROR(Inv_SY!M58/Inv_SY!$Y58-1,"")</f>
        <v>9.143198575050282E-2</v>
      </c>
      <c r="N56" s="76">
        <f>IFERROR(Inv_SY!N58/Inv_SY!$Y58-1,"")</f>
        <v>-0.11066749068468917</v>
      </c>
      <c r="O56" s="76">
        <f>IFERROR(Inv_SY!O58/Inv_SY!$Y58-1,"")</f>
        <v>4.4404737520171489E-2</v>
      </c>
      <c r="P56" s="76">
        <f>IFERROR(Inv_SY!P58/Inv_SY!$Y58-1,"")</f>
        <v>-0.10902808503988126</v>
      </c>
      <c r="Q56" s="76">
        <f>IFERROR(Inv_SY!Q58/Inv_SY!$Y58-1,"")</f>
        <v>0.41035293211716639</v>
      </c>
      <c r="R56" s="76">
        <f>IFERROR(Inv_SY!R58/Inv_SY!$Y58-1,"")</f>
        <v>2.5247211466410846E-2</v>
      </c>
      <c r="S56" s="76">
        <f>IFERROR(Inv_SY!S58/Inv_SY!$Y58-1,"")</f>
        <v>-0.14939771114981593</v>
      </c>
      <c r="T56" s="76">
        <f>IFERROR(Inv_SY!T58/Inv_SY!$Y58-1,"")</f>
        <v>0.26271105696176233</v>
      </c>
      <c r="U56" s="76">
        <f>IFERROR(Inv_SY!U58/Inv_SY!$Y58-1,"")</f>
        <v>-0.15467651403649341</v>
      </c>
      <c r="V56" s="76">
        <f>IFERROR(Inv_SY!J58/Inv_SY!$Z58-1,"")</f>
        <v>1.8859191125684793E-2</v>
      </c>
      <c r="W56" s="76">
        <f>IFERROR(Inv_SY!K58/Inv_SY!$Z58-1,"")</f>
        <v>-0.15612827530320095</v>
      </c>
      <c r="X56" s="76">
        <f>IFERROR(Inv_SY!L58/Inv_SY!$Z58-1,"")</f>
        <v>1.3452316506888495E-2</v>
      </c>
      <c r="Y56" s="76">
        <f>IFERROR(Inv_SY!M58/Inv_SY!$Z58-1,"")</f>
        <v>6.3185639961406581E-2</v>
      </c>
      <c r="Z56" s="76">
        <f>IFERROR(Inv_SY!N58/Inv_SY!$Z58-1,"")</f>
        <v>-0.13368348609949399</v>
      </c>
      <c r="AA56" s="76">
        <f>IFERROR(Inv_SY!O58/Inv_SY!$Z58-1,"")</f>
        <v>1.737546062072326E-2</v>
      </c>
      <c r="AB56" s="76">
        <f>IFERROR(Inv_SY!P58/Inv_SY!$Z58-1,"")</f>
        <v>-0.13208650840194835</v>
      </c>
      <c r="AC56" s="76">
        <f>IFERROR(Inv_SY!Q58/Inv_SY!$Z58-1,"")</f>
        <v>0.37385288710716602</v>
      </c>
      <c r="AD56" s="76">
        <f>IFERROR(Inv_SY!R58/Inv_SY!$Z58-1,"")</f>
        <v>-1.2862671492753774E-3</v>
      </c>
      <c r="AE56" s="76">
        <f>IFERROR(Inv_SY!S58/Inv_SY!$Z58-1,"")</f>
        <v>-0.17141136540728918</v>
      </c>
      <c r="AF56" s="76">
        <f>IFERROR(Inv_SY!T58/Inv_SY!$Z58-1,"")</f>
        <v>0.2300319953140213</v>
      </c>
      <c r="AG56" s="76">
        <f>IFERROR(Inv_SY!U58/Inv_SY!$Z58-1,"")</f>
        <v>-0.17655355245932347</v>
      </c>
      <c r="AH56" s="76">
        <f>IFERROR(Inv_SY!V58/Inv_SY!$Y58-1,"")</f>
        <v>4.0885077841992246E-3</v>
      </c>
      <c r="AI56" s="76">
        <f>IFERROR(Inv_SY!W58/Inv_SY!$Y58-1,"")</f>
        <v>2.656765171331843E-2</v>
      </c>
      <c r="AJ56" s="76">
        <f>IFERROR(Inv_SY!X58/Inv_SY!$Y58-1,"")</f>
        <v>-3.0656159497517543E-2</v>
      </c>
      <c r="AK56" s="76">
        <f>IFERROR(Inv_SY!V58/Inv_SY!$Z58-1,"")</f>
        <v>-2.1897381913020597E-2</v>
      </c>
      <c r="AL56" s="76">
        <f>IFERROR(Inv_SY!W58/Inv_SY!$Z58-1,"")</f>
        <v>0</v>
      </c>
      <c r="AM56" s="76">
        <f>IFERROR(Inv_SY!X58/Inv_SY!$Z58-1,"")</f>
        <v>-5.5742854467828562E-2</v>
      </c>
    </row>
    <row r="57" spans="1:39" x14ac:dyDescent="0.25">
      <c r="A57" s="123">
        <f>YEAR(Inv_SY_D[[#This Row],[Date]])+IF(MONTH(Inv_SY_D[[#This Row],[Date]])&gt;=4,1,0)</f>
        <v>2026</v>
      </c>
      <c r="B57" s="164">
        <v>4</v>
      </c>
      <c r="C57" s="123">
        <f>YEAR(Inv_SY_D[[#This Row],[Month Year]])</f>
        <v>2025</v>
      </c>
      <c r="D57" s="164" t="s">
        <v>4</v>
      </c>
      <c r="E57" s="164" t="s">
        <v>4</v>
      </c>
      <c r="F57" s="165" t="str">
        <f>TEXT(Inv_SY_D[[#This Row],[Date]],"mmm-yy")</f>
        <v>May-25</v>
      </c>
      <c r="G57" s="166">
        <f>DAY(EOMONTH(Inv_SY_D[[#This Row],[Month Year]],0))</f>
        <v>31</v>
      </c>
      <c r="H57" s="167">
        <f t="shared" si="1"/>
        <v>45800</v>
      </c>
      <c r="I57" s="124">
        <v>7.0991999999999997</v>
      </c>
      <c r="J57" s="76">
        <f>IFERROR(Inv_SY!J59/Inv_SY!$Y59-1,"")</f>
        <v>8.3299341102446078E-2</v>
      </c>
      <c r="K57" s="76">
        <f>IFERROR(Inv_SY!K59/Inv_SY!$Y59-1,"")</f>
        <v>-0.12919935521848258</v>
      </c>
      <c r="L57" s="76">
        <f>IFERROR(Inv_SY!L59/Inv_SY!$Y59-1,"")</f>
        <v>4.5461943922470605E-2</v>
      </c>
      <c r="M57" s="76">
        <f>IFERROR(Inv_SY!M59/Inv_SY!$Y59-1,"")</f>
        <v>4.3850748402096906E-2</v>
      </c>
      <c r="N57" s="76">
        <f>IFERROR(Inv_SY!N59/Inv_SY!$Y59-1,"")</f>
        <v>-8.2798528775147262E-2</v>
      </c>
      <c r="O57" s="76">
        <f>IFERROR(Inv_SY!O59/Inv_SY!$Y59-1,"")</f>
        <v>4.3936134966382934E-2</v>
      </c>
      <c r="P57" s="76">
        <f>IFERROR(Inv_SY!P59/Inv_SY!$Y59-1,"")</f>
        <v>-0.10964932721824827</v>
      </c>
      <c r="Q57" s="76">
        <f>IFERROR(Inv_SY!Q59/Inv_SY!$Y59-1,"")</f>
        <v>0.33203811852233311</v>
      </c>
      <c r="R57" s="76">
        <f>IFERROR(Inv_SY!R59/Inv_SY!$Y59-1,"")</f>
        <v>3.2974257263163054E-2</v>
      </c>
      <c r="S57" s="76">
        <f>IFERROR(Inv_SY!S59/Inv_SY!$Y59-1,"")</f>
        <v>-0.14313049868024774</v>
      </c>
      <c r="T57" s="76">
        <f>IFERROR(Inv_SY!T59/Inv_SY!$Y59-1,"")</f>
        <v>0.27213289561470866</v>
      </c>
      <c r="U57" s="76">
        <f>IFERROR(Inv_SY!U59/Inv_SY!$Y59-1,"")</f>
        <v>-0.14839981896361565</v>
      </c>
      <c r="V57" s="76">
        <f>IFERROR(Inv_SY!J59/Inv_SY!$Z59-1,"")</f>
        <v>6.2804347219375112E-2</v>
      </c>
      <c r="W57" s="76">
        <f>IFERROR(Inv_SY!K59/Inv_SY!$Z59-1,"")</f>
        <v>-0.14567407574218294</v>
      </c>
      <c r="X57" s="76">
        <f>IFERROR(Inv_SY!L59/Inv_SY!$Z59-1,"")</f>
        <v>2.5682797630487197E-2</v>
      </c>
      <c r="Y57" s="76">
        <f>IFERROR(Inv_SY!M59/Inv_SY!$Z59-1,"")</f>
        <v>2.4102084397955359E-2</v>
      </c>
      <c r="Z57" s="76">
        <f>IFERROR(Inv_SY!N59/Inv_SY!$Z59-1,"")</f>
        <v>-0.10015110883225942</v>
      </c>
      <c r="AA57" s="76">
        <f>IFERROR(Inv_SY!O59/Inv_SY!$Z59-1,"")</f>
        <v>2.4185855529603284E-2</v>
      </c>
      <c r="AB57" s="76">
        <f>IFERROR(Inv_SY!P59/Inv_SY!$Z59-1,"")</f>
        <v>-0.12649391568987045</v>
      </c>
      <c r="AC57" s="76">
        <f>IFERROR(Inv_SY!Q59/Inv_SY!$Z59-1,"")</f>
        <v>0.3068372233908454</v>
      </c>
      <c r="AD57" s="76">
        <f>IFERROR(Inv_SY!R59/Inv_SY!$Z59-1,"")</f>
        <v>1.3431366133520806E-2</v>
      </c>
      <c r="AE57" s="76">
        <f>IFERROR(Inv_SY!S59/Inv_SY!$Z59-1,"")</f>
        <v>-0.15934165521087618</v>
      </c>
      <c r="AF57" s="76">
        <f>IFERROR(Inv_SY!T59/Inv_SY!$Z59-1,"")</f>
        <v>0.24806535036212551</v>
      </c>
      <c r="AG57" s="76">
        <f>IFERROR(Inv_SY!U59/Inv_SY!$Z59-1,"")</f>
        <v>-0.16451128496284795</v>
      </c>
      <c r="AH57" s="76">
        <f>IFERROR(Inv_SY!V59/Inv_SY!$Y59-1,"")</f>
        <v>4.152777846444744E-3</v>
      </c>
      <c r="AI57" s="76">
        <f>IFERROR(Inv_SY!W59/Inv_SY!$Y59-1,"")</f>
        <v>1.9283882246710959E-2</v>
      </c>
      <c r="AJ57" s="76">
        <f>IFERROR(Inv_SY!X59/Inv_SY!$Y59-1,"")</f>
        <v>-2.3436660093156259E-2</v>
      </c>
      <c r="AK57" s="76">
        <f>IFERROR(Inv_SY!V59/Inv_SY!$Z59-1,"")</f>
        <v>-1.4844838286772633E-2</v>
      </c>
      <c r="AL57" s="76">
        <f>IFERROR(Inv_SY!W59/Inv_SY!$Z59-1,"")</f>
        <v>0</v>
      </c>
      <c r="AM57" s="76">
        <f>IFERROR(Inv_SY!X59/Inv_SY!$Z59-1,"")</f>
        <v>-4.1912310283669263E-2</v>
      </c>
    </row>
    <row r="58" spans="1:39" x14ac:dyDescent="0.25">
      <c r="A58" s="123">
        <f>YEAR(Inv_SY_D[[#This Row],[Date]])+IF(MONTH(Inv_SY_D[[#This Row],[Date]])&gt;=4,1,0)</f>
        <v>2026</v>
      </c>
      <c r="B58" s="164">
        <v>4</v>
      </c>
      <c r="C58" s="123">
        <f>YEAR(Inv_SY_D[[#This Row],[Month Year]])</f>
        <v>2025</v>
      </c>
      <c r="D58" s="164" t="s">
        <v>4</v>
      </c>
      <c r="E58" s="164" t="s">
        <v>4</v>
      </c>
      <c r="F58" s="165" t="str">
        <f>TEXT(Inv_SY_D[[#This Row],[Date]],"mmm-yy")</f>
        <v>May-25</v>
      </c>
      <c r="G58" s="166">
        <f>DAY(EOMONTH(Inv_SY_D[[#This Row],[Month Year]],0))</f>
        <v>31</v>
      </c>
      <c r="H58" s="167">
        <f t="shared" si="1"/>
        <v>45801</v>
      </c>
      <c r="I58" s="124">
        <v>7.0991999999999997</v>
      </c>
      <c r="J58" s="76">
        <f>IFERROR(Inv_SY!J60/Inv_SY!$Y60-1,"")</f>
        <v>2.7962063562391837E-2</v>
      </c>
      <c r="K58" s="76">
        <f>IFERROR(Inv_SY!K60/Inv_SY!$Y60-1,"")</f>
        <v>-0.11006081091707776</v>
      </c>
      <c r="L58" s="76">
        <f>IFERROR(Inv_SY!L60/Inv_SY!$Y60-1,"")</f>
        <v>1.9148711171571353E-2</v>
      </c>
      <c r="M58" s="76">
        <f>IFERROR(Inv_SY!M60/Inv_SY!$Y60-1,"")</f>
        <v>2.0456287910940452E-2</v>
      </c>
      <c r="N58" s="76">
        <f>IFERROR(Inv_SY!N60/Inv_SY!$Y60-1,"")</f>
        <v>-0.1198474517548207</v>
      </c>
      <c r="O58" s="76">
        <f>IFERROR(Inv_SY!O60/Inv_SY!$Y60-1,"")</f>
        <v>7.9449050925857412E-2</v>
      </c>
      <c r="P58" s="76">
        <f>IFERROR(Inv_SY!P60/Inv_SY!$Y60-1,"")</f>
        <v>-0.12065483390994247</v>
      </c>
      <c r="Q58" s="76">
        <f>IFERROR(Inv_SY!Q60/Inv_SY!$Y60-1,"")</f>
        <v>0.31900799384068579</v>
      </c>
      <c r="R58" s="76">
        <f>IFERROR(Inv_SY!R60/Inv_SY!$Y60-1,"")</f>
        <v>6.1923083833134607E-2</v>
      </c>
      <c r="S58" s="76">
        <f>IFERROR(Inv_SY!S60/Inv_SY!$Y60-1,"")</f>
        <v>-0.11994412762559792</v>
      </c>
      <c r="T58" s="76">
        <f>IFERROR(Inv_SY!T60/Inv_SY!$Y60-1,"")</f>
        <v>0.30775657718348537</v>
      </c>
      <c r="U58" s="76">
        <f>IFERROR(Inv_SY!U60/Inv_SY!$Y60-1,"")</f>
        <v>-0.1245339983033672</v>
      </c>
      <c r="V58" s="76">
        <f>IFERROR(Inv_SY!J60/Inv_SY!$Z60-1,"")</f>
        <v>1.6079068767119287E-2</v>
      </c>
      <c r="W58" s="76">
        <f>IFERROR(Inv_SY!K60/Inv_SY!$Z60-1,"")</f>
        <v>-0.12034829440195782</v>
      </c>
      <c r="X58" s="76">
        <f>IFERROR(Inv_SY!L60/Inv_SY!$Z60-1,"")</f>
        <v>7.3675966151727224E-3</v>
      </c>
      <c r="Y58" s="76">
        <f>IFERROR(Inv_SY!M60/Inv_SY!$Z60-1,"")</f>
        <v>8.6600580811877492E-3</v>
      </c>
      <c r="Z58" s="76">
        <f>IFERROR(Inv_SY!N60/Inv_SY!$Z60-1,"")</f>
        <v>-0.13002180401992114</v>
      </c>
      <c r="AA58" s="76">
        <f>IFERROR(Inv_SY!O60/Inv_SY!$Z60-1,"")</f>
        <v>6.6970878910966425E-2</v>
      </c>
      <c r="AB58" s="76">
        <f>IFERROR(Inv_SY!P60/Inv_SY!$Z60-1,"")</f>
        <v>-0.13081985303106103</v>
      </c>
      <c r="AC58" s="76">
        <f>IFERROR(Inv_SY!Q60/Inv_SY!$Z60-1,"")</f>
        <v>0.30376057792787048</v>
      </c>
      <c r="AD58" s="76">
        <f>IFERROR(Inv_SY!R60/Inv_SY!$Z60-1,"")</f>
        <v>4.9647507792479617E-2</v>
      </c>
      <c r="AE58" s="76">
        <f>IFERROR(Inv_SY!S60/Inv_SY!$Z60-1,"")</f>
        <v>-0.13011736234082949</v>
      </c>
      <c r="AF58" s="76">
        <f>IFERROR(Inv_SY!T60/Inv_SY!$Z60-1,"")</f>
        <v>0.29263922494744965</v>
      </c>
      <c r="AG58" s="76">
        <f>IFERROR(Inv_SY!U60/Inv_SY!$Z60-1,"")</f>
        <v>-0.1346541752149033</v>
      </c>
      <c r="AH58" s="76">
        <f>IFERROR(Inv_SY!V60/Inv_SY!$Y60-1,"")</f>
        <v>-1.5384652424116907E-2</v>
      </c>
      <c r="AI58" s="76">
        <f>IFERROR(Inv_SY!W60/Inv_SY!$Y60-1,"")</f>
        <v>1.169495087591077E-2</v>
      </c>
      <c r="AJ58" s="76">
        <f>IFERROR(Inv_SY!X60/Inv_SY!$Y60-1,"")</f>
        <v>3.6897015482064699E-3</v>
      </c>
      <c r="AK58" s="76">
        <f>IFERROR(Inv_SY!V60/Inv_SY!$Z60-1,"")</f>
        <v>-2.6766569583630329E-2</v>
      </c>
      <c r="AL58" s="76">
        <f>IFERROR(Inv_SY!W60/Inv_SY!$Z60-1,"")</f>
        <v>0</v>
      </c>
      <c r="AM58" s="76">
        <f>IFERROR(Inv_SY!X60/Inv_SY!$Z60-1,"")</f>
        <v>-7.91271056633569E-3</v>
      </c>
    </row>
    <row r="59" spans="1:39" x14ac:dyDescent="0.25">
      <c r="A59" s="173">
        <f>YEAR(Inv_SY_D[[#This Row],[Date]])+IF(MONTH(Inv_SY_D[[#This Row],[Date]])&gt;=4,1,0)</f>
        <v>2026</v>
      </c>
      <c r="B59" s="164">
        <v>4</v>
      </c>
      <c r="C59" s="123">
        <f>YEAR(Inv_SY_D[[#This Row],[Month Year]])</f>
        <v>2025</v>
      </c>
      <c r="D59" s="164" t="s">
        <v>4</v>
      </c>
      <c r="E59" s="164" t="s">
        <v>4</v>
      </c>
      <c r="F59" s="174" t="str">
        <f>TEXT(Inv_SY_D[[#This Row],[Date]],"mmm-yy")</f>
        <v>May-25</v>
      </c>
      <c r="G59" s="175">
        <f>DAY(EOMONTH(Inv_SY_D[[#This Row],[Month Year]],0))</f>
        <v>31</v>
      </c>
      <c r="H59" s="167">
        <f t="shared" si="1"/>
        <v>45802</v>
      </c>
      <c r="I59" s="124">
        <v>7.0991999999999997</v>
      </c>
      <c r="J59" s="76">
        <f>IFERROR(Inv_SY!J61/Inv_SY!$Y61-1,"")</f>
        <v>2.9841833440441112E-2</v>
      </c>
      <c r="K59" s="76">
        <f>IFERROR(Inv_SY!K61/Inv_SY!$Y61-1,"")</f>
        <v>-0.14718192724963475</v>
      </c>
      <c r="L59" s="76">
        <f>IFERROR(Inv_SY!L61/Inv_SY!$Y61-1,"")</f>
        <v>7.3955388459377103E-2</v>
      </c>
      <c r="M59" s="76">
        <f>IFERROR(Inv_SY!M61/Inv_SY!$Y61-1,"")</f>
        <v>2.2173692493771213E-2</v>
      </c>
      <c r="N59" s="76">
        <f>IFERROR(Inv_SY!N61/Inv_SY!$Y61-1,"")</f>
        <v>-0.12506571096978636</v>
      </c>
      <c r="O59" s="76">
        <f>IFERROR(Inv_SY!O61/Inv_SY!$Y61-1,"")</f>
        <v>2.7058193233773231E-2</v>
      </c>
      <c r="P59" s="76">
        <f>IFERROR(Inv_SY!P61/Inv_SY!$Y61-1,"")</f>
        <v>-8.1808305840558759E-2</v>
      </c>
      <c r="Q59" s="76">
        <f>IFERROR(Inv_SY!Q61/Inv_SY!$Y61-1,"")</f>
        <v>0.31025356033791085</v>
      </c>
      <c r="R59" s="76">
        <f>IFERROR(Inv_SY!R61/Inv_SY!$Y61-1,"")</f>
        <v>6.287668317087336E-2</v>
      </c>
      <c r="S59" s="76">
        <f>IFERROR(Inv_SY!S61/Inv_SY!$Y61-1,"")</f>
        <v>-0.11822525247834559</v>
      </c>
      <c r="T59" s="76">
        <f>IFERROR(Inv_SY!T61/Inv_SY!$Y61-1,"")</f>
        <v>0.30990277986263015</v>
      </c>
      <c r="U59" s="76">
        <f>IFERROR(Inv_SY!U61/Inv_SY!$Y61-1,"")</f>
        <v>-0.12310945087654723</v>
      </c>
      <c r="V59" s="76">
        <f>IFERROR(Inv_SY!J61/Inv_SY!$Z61-1,"")</f>
        <v>2.2786049259761132E-2</v>
      </c>
      <c r="W59" s="76">
        <f>IFERROR(Inv_SY!K61/Inv_SY!$Z61-1,"")</f>
        <v>-0.15302486358346734</v>
      </c>
      <c r="X59" s="76">
        <f>IFERROR(Inv_SY!L61/Inv_SY!$Z61-1,"")</f>
        <v>6.6597367844373867E-2</v>
      </c>
      <c r="Y59" s="76">
        <f>IFERROR(Inv_SY!M61/Inv_SY!$Z61-1,"")</f>
        <v>1.5170445261804888E-2</v>
      </c>
      <c r="Z59" s="76">
        <f>IFERROR(Inv_SY!N61/Inv_SY!$Z61-1,"")</f>
        <v>-0.13106017275529203</v>
      </c>
      <c r="AA59" s="76">
        <f>IFERROR(Inv_SY!O61/Inv_SY!$Z61-1,"")</f>
        <v>2.0021480685160631E-2</v>
      </c>
      <c r="AB59" s="76">
        <f>IFERROR(Inv_SY!P61/Inv_SY!$Z61-1,"")</f>
        <v>-8.8099138296683144E-2</v>
      </c>
      <c r="AC59" s="76">
        <f>IFERROR(Inv_SY!Q61/Inv_SY!$Z61-1,"")</f>
        <v>0.3012765834434814</v>
      </c>
      <c r="AD59" s="76">
        <f>IFERROR(Inv_SY!R61/Inv_SY!$Z61-1,"")</f>
        <v>5.5594566399527201E-2</v>
      </c>
      <c r="AE59" s="76">
        <f>IFERROR(Inv_SY!S61/Inv_SY!$Z61-1,"")</f>
        <v>-0.12426658048859107</v>
      </c>
      <c r="AF59" s="76">
        <f>IFERROR(Inv_SY!T61/Inv_SY!$Z61-1,"")</f>
        <v>0.30092820628029004</v>
      </c>
      <c r="AG59" s="76">
        <f>IFERROR(Inv_SY!U61/Inv_SY!$Z61-1,"")</f>
        <v>-0.12911731564158913</v>
      </c>
      <c r="AH59" s="76">
        <f>IFERROR(Inv_SY!V61/Inv_SY!$Y61-1,"")</f>
        <v>-1.212396812015204E-2</v>
      </c>
      <c r="AI59" s="76">
        <f>IFERROR(Inv_SY!W61/Inv_SY!$Y61-1,"")</f>
        <v>6.8985925118811853E-3</v>
      </c>
      <c r="AJ59" s="76">
        <f>IFERROR(Inv_SY!X61/Inv_SY!$Y61-1,"")</f>
        <v>5.2253756082709657E-3</v>
      </c>
      <c r="AK59" s="76">
        <f>IFERROR(Inv_SY!V61/Inv_SY!$Z61-1,"")</f>
        <v>-1.8892230829897327E-2</v>
      </c>
      <c r="AL59" s="76">
        <f>IFERROR(Inv_SY!W61/Inv_SY!$Z61-1,"")</f>
        <v>0</v>
      </c>
      <c r="AM59" s="76">
        <f>IFERROR(Inv_SY!X61/Inv_SY!$Z61-1,"")</f>
        <v>-1.6617531458019696E-3</v>
      </c>
    </row>
    <row r="60" spans="1:39" x14ac:dyDescent="0.25">
      <c r="A60" s="173">
        <f>YEAR(Inv_SY_D[[#This Row],[Date]])+IF(MONTH(Inv_SY_D[[#This Row],[Date]])&gt;=4,1,0)</f>
        <v>2026</v>
      </c>
      <c r="B60" s="164">
        <v>4</v>
      </c>
      <c r="C60" s="123">
        <f>YEAR(Inv_SY_D[[#This Row],[Month Year]])</f>
        <v>2025</v>
      </c>
      <c r="D60" s="164" t="s">
        <v>4</v>
      </c>
      <c r="E60" s="164" t="s">
        <v>4</v>
      </c>
      <c r="F60" s="174" t="str">
        <f>TEXT(Inv_SY_D[[#This Row],[Date]],"mmm-yy")</f>
        <v>May-25</v>
      </c>
      <c r="G60" s="175">
        <f>DAY(EOMONTH(Inv_SY_D[[#This Row],[Month Year]],0))</f>
        <v>31</v>
      </c>
      <c r="H60" s="167">
        <f t="shared" si="1"/>
        <v>45803</v>
      </c>
      <c r="I60" s="124">
        <v>7.0991999999999997</v>
      </c>
      <c r="J60" s="76">
        <f>IFERROR(Inv_SY!J62/Inv_SY!$Y62-1,"")</f>
        <v>8.8409625365672984E-3</v>
      </c>
      <c r="K60" s="76">
        <f>IFERROR(Inv_SY!K62/Inv_SY!$Y62-1,"")</f>
        <v>-0.16447133708313022</v>
      </c>
      <c r="L60" s="76">
        <f>IFERROR(Inv_SY!L62/Inv_SY!$Y62-1,"")</f>
        <v>-2.2301089655147877E-3</v>
      </c>
      <c r="M60" s="76">
        <f>IFERROR(Inv_SY!M62/Inv_SY!$Y62-1,"")</f>
        <v>0.1366232250491155</v>
      </c>
      <c r="N60" s="76">
        <f>IFERROR(Inv_SY!N62/Inv_SY!$Y62-1,"")</f>
        <v>-0.14025208375629883</v>
      </c>
      <c r="O60" s="76">
        <f>IFERROR(Inv_SY!O62/Inv_SY!$Y62-1,"")</f>
        <v>8.8409625365672984E-3</v>
      </c>
      <c r="P60" s="76">
        <f>IFERROR(Inv_SY!P62/Inv_SY!$Y62-1,"")</f>
        <v>-0.14174699473922558</v>
      </c>
      <c r="Q60" s="76">
        <f>IFERROR(Inv_SY!Q62/Inv_SY!$Y62-1,"")</f>
        <v>0.46907264392814763</v>
      </c>
      <c r="R60" s="76">
        <f>IFERROR(Inv_SY!R62/Inv_SY!$Y62-1,"")</f>
        <v>6.1013926182366562E-2</v>
      </c>
      <c r="S60" s="76">
        <f>IFERROR(Inv_SY!S62/Inv_SY!$Y62-1,"")</f>
        <v>-0.12263543080978734</v>
      </c>
      <c r="T60" s="76">
        <f>IFERROR(Inv_SY!T62/Inv_SY!$Y62-1,"")</f>
        <v>0.304336305040392</v>
      </c>
      <c r="U60" s="76">
        <f>IFERROR(Inv_SY!U62/Inv_SY!$Y62-1,"")</f>
        <v>-0.12679296074813728</v>
      </c>
      <c r="V60" s="76">
        <f>IFERROR(Inv_SY!J62/Inv_SY!$Z62-1,"")</f>
        <v>-2.6218603661132267E-3</v>
      </c>
      <c r="W60" s="76">
        <f>IFERROR(Inv_SY!K62/Inv_SY!$Z62-1,"")</f>
        <v>-0.17396492174988332</v>
      </c>
      <c r="X60" s="76">
        <f>IFERROR(Inv_SY!L62/Inv_SY!$Z62-1,"")</f>
        <v>-1.3567138272689405E-2</v>
      </c>
      <c r="Y60" s="76">
        <f>IFERROR(Inv_SY!M62/Inv_SY!$Z62-1,"")</f>
        <v>0.12370849297573439</v>
      </c>
      <c r="Z60" s="76">
        <f>IFERROR(Inv_SY!N62/Inv_SY!$Z62-1,"")</f>
        <v>-0.15002085650722985</v>
      </c>
      <c r="AA60" s="76">
        <f>IFERROR(Inv_SY!O62/Inv_SY!$Z62-1,"")</f>
        <v>-2.6218603661132267E-3</v>
      </c>
      <c r="AB60" s="76">
        <f>IFERROR(Inv_SY!P62/Inv_SY!$Z62-1,"")</f>
        <v>-0.15149878176050358</v>
      </c>
      <c r="AC60" s="76">
        <f>IFERROR(Inv_SY!Q62/Inv_SY!$Z62-1,"")</f>
        <v>0.45238049900752464</v>
      </c>
      <c r="AD60" s="76">
        <f>IFERROR(Inv_SY!R62/Inv_SY!$Z62-1,"")</f>
        <v>4.8958294834362537E-2</v>
      </c>
      <c r="AE60" s="76">
        <f>IFERROR(Inv_SY!S62/Inv_SY!$Z62-1,"")</f>
        <v>-0.13260437046547613</v>
      </c>
      <c r="AF60" s="76">
        <f>IFERROR(Inv_SY!T62/Inv_SY!$Z62-1,"")</f>
        <v>0.28951595512852668</v>
      </c>
      <c r="AG60" s="76">
        <f>IFERROR(Inv_SY!U62/Inv_SY!$Z62-1,"")</f>
        <v>-0.13671466101608754</v>
      </c>
      <c r="AH60" s="76">
        <f>IFERROR(Inv_SY!V62/Inv_SY!$Y62-1,"")</f>
        <v>-1.2896520834421277E-2</v>
      </c>
      <c r="AI60" s="76">
        <f>IFERROR(Inv_SY!W62/Inv_SY!$Y62-1,"")</f>
        <v>1.1492955828055651E-2</v>
      </c>
      <c r="AJ60" s="76">
        <f>IFERROR(Inv_SY!X62/Inv_SY!$Y62-1,"")</f>
        <v>1.4035650063657368E-3</v>
      </c>
      <c r="AK60" s="76">
        <f>IFERROR(Inv_SY!V62/Inv_SY!$Z62-1,"")</f>
        <v>-2.4112354438010519E-2</v>
      </c>
      <c r="AL60" s="76">
        <f>IFERROR(Inv_SY!W62/Inv_SY!$Z62-1,"")</f>
        <v>0</v>
      </c>
      <c r="AM60" s="76">
        <f>IFERROR(Inv_SY!X62/Inv_SY!$Z62-1,"")</f>
        <v>-9.9747514439488816E-3</v>
      </c>
    </row>
    <row r="61" spans="1:39" x14ac:dyDescent="0.25">
      <c r="A61" s="173">
        <f>YEAR(Inv_SY_D[[#This Row],[Date]])+IF(MONTH(Inv_SY_D[[#This Row],[Date]])&gt;=4,1,0)</f>
        <v>2026</v>
      </c>
      <c r="B61" s="164">
        <v>4</v>
      </c>
      <c r="C61" s="123">
        <f>YEAR(Inv_SY_D[[#This Row],[Month Year]])</f>
        <v>2025</v>
      </c>
      <c r="D61" s="164" t="s">
        <v>4</v>
      </c>
      <c r="E61" s="164" t="s">
        <v>4</v>
      </c>
      <c r="F61" s="174" t="str">
        <f>TEXT(Inv_SY_D[[#This Row],[Date]],"mmm-yy")</f>
        <v>May-25</v>
      </c>
      <c r="G61" s="175">
        <f>DAY(EOMONTH(Inv_SY_D[[#This Row],[Month Year]],0))</f>
        <v>31</v>
      </c>
      <c r="H61" s="167">
        <f t="shared" si="1"/>
        <v>45804</v>
      </c>
      <c r="I61" s="124">
        <v>7.0991999999999997</v>
      </c>
      <c r="J61" s="76">
        <f>IFERROR(Inv_SY!J63/Inv_SY!$Y63-1,"")</f>
        <v>6.6138550522472306E-2</v>
      </c>
      <c r="K61" s="76">
        <f>IFERROR(Inv_SY!K63/Inv_SY!$Y63-1,"")</f>
        <v>-0.15788875418484238</v>
      </c>
      <c r="L61" s="76">
        <f>IFERROR(Inv_SY!L63/Inv_SY!$Y63-1,"")</f>
        <v>9.8287329896349362E-3</v>
      </c>
      <c r="M61" s="76">
        <f>IFERROR(Inv_SY!M63/Inv_SY!$Y63-1,"")</f>
        <v>9.3013983717165072E-3</v>
      </c>
      <c r="N61" s="76">
        <f>IFERROR(Inv_SY!N63/Inv_SY!$Y63-1,"")</f>
        <v>-7.5992346860507265E-2</v>
      </c>
      <c r="O61" s="76">
        <f>IFERROR(Inv_SY!O63/Inv_SY!$Y63-1,"")</f>
        <v>3.0461318352440925E-2</v>
      </c>
      <c r="P61" s="76">
        <f>IFERROR(Inv_SY!P63/Inv_SY!$Y63-1,"")</f>
        <v>-0.12209476183963985</v>
      </c>
      <c r="Q61" s="76">
        <f>IFERROR(Inv_SY!Q63/Inv_SY!$Y63-1,"")</f>
        <v>0.31389646184413156</v>
      </c>
      <c r="R61" s="76">
        <f>IFERROR(Inv_SY!R63/Inv_SY!$Y63-1,"")</f>
        <v>7.2471799233053247E-2</v>
      </c>
      <c r="S61" s="76">
        <f>IFERROR(Inv_SY!S63/Inv_SY!$Y63-1,"")</f>
        <v>-0.11023619267155871</v>
      </c>
      <c r="T61" s="76">
        <f>IFERROR(Inv_SY!T63/Inv_SY!$Y63-1,"")</f>
        <v>0.32065494344090917</v>
      </c>
      <c r="U61" s="76">
        <f>IFERROR(Inv_SY!U63/Inv_SY!$Y63-1,"")</f>
        <v>-0.1160875571265908</v>
      </c>
      <c r="V61" s="76">
        <f>IFERROR(Inv_SY!J63/Inv_SY!$Z63-1,"")</f>
        <v>5.1577872430614624E-2</v>
      </c>
      <c r="W61" s="76">
        <f>IFERROR(Inv_SY!K63/Inv_SY!$Z63-1,"")</f>
        <v>-0.1693898023008108</v>
      </c>
      <c r="X61" s="76">
        <f>IFERROR(Inv_SY!L63/Inv_SY!$Z63-1,"")</f>
        <v>-3.9628995348290896E-3</v>
      </c>
      <c r="Y61" s="76">
        <f>IFERROR(Inv_SY!M63/Inv_SY!$Z63-1,"")</f>
        <v>-4.4830321341972068E-3</v>
      </c>
      <c r="Z61" s="76">
        <f>IFERROR(Inv_SY!N63/Inv_SY!$Z63-1,"")</f>
        <v>-8.861188677413645E-2</v>
      </c>
      <c r="AA61" s="76">
        <f>IFERROR(Inv_SY!O63/Inv_SY!$Z63-1,"")</f>
        <v>1.6387898405954227E-2</v>
      </c>
      <c r="AB61" s="76">
        <f>IFERROR(Inv_SY!P63/Inv_SY!$Z63-1,"")</f>
        <v>-0.13408466274111686</v>
      </c>
      <c r="AC61" s="76">
        <f>IFERROR(Inv_SY!Q63/Inv_SY!$Z63-1,"")</f>
        <v>0.2959520554463253</v>
      </c>
      <c r="AD61" s="76">
        <f>IFERROR(Inv_SY!R63/Inv_SY!$Z63-1,"")</f>
        <v>5.7824625445391797E-2</v>
      </c>
      <c r="AE61" s="76">
        <f>IFERROR(Inv_SY!S63/Inv_SY!$Z63-1,"")</f>
        <v>-0.12238805076725001</v>
      </c>
      <c r="AF61" s="76">
        <f>IFERROR(Inv_SY!T63/Inv_SY!$Z63-1,"")</f>
        <v>0.30261823377269592</v>
      </c>
      <c r="AG61" s="76">
        <f>IFERROR(Inv_SY!U63/Inv_SY!$Z63-1,"")</f>
        <v>-0.12815950081135874</v>
      </c>
      <c r="AH61" s="76">
        <f>IFERROR(Inv_SY!V63/Inv_SY!$Y63-1,"")</f>
        <v>-2.4835206521524822E-2</v>
      </c>
      <c r="AI61" s="76">
        <f>IFERROR(Inv_SY!W63/Inv_SY!$Y63-1,"")</f>
        <v>1.0988701689502944E-2</v>
      </c>
      <c r="AJ61" s="76">
        <f>IFERROR(Inv_SY!X63/Inv_SY!$Y63-1,"")</f>
        <v>1.3846504832021767E-2</v>
      </c>
      <c r="AK61" s="76">
        <f>IFERROR(Inv_SY!V63/Inv_SY!$Z63-1,"")</f>
        <v>-3.8153419841355118E-2</v>
      </c>
      <c r="AL61" s="76">
        <f>IFERROR(Inv_SY!W63/Inv_SY!$Z63-1,"")</f>
        <v>-2.8187729887103607E-3</v>
      </c>
      <c r="AM61" s="76">
        <f>IFERROR(Inv_SY!X63/Inv_SY!$Z63-1,"")</f>
        <v>0</v>
      </c>
    </row>
    <row r="62" spans="1:39" x14ac:dyDescent="0.25">
      <c r="A62" s="173">
        <f>YEAR(Inv_SY_D[[#This Row],[Date]])+IF(MONTH(Inv_SY_D[[#This Row],[Date]])&gt;=4,1,0)</f>
        <v>2026</v>
      </c>
      <c r="B62" s="164">
        <v>4</v>
      </c>
      <c r="C62" s="123">
        <f>YEAR(Inv_SY_D[[#This Row],[Month Year]])</f>
        <v>2025</v>
      </c>
      <c r="D62" s="164" t="s">
        <v>4</v>
      </c>
      <c r="E62" s="164" t="s">
        <v>4</v>
      </c>
      <c r="F62" s="174" t="str">
        <f>TEXT(Inv_SY_D[[#This Row],[Date]],"mmm-yy")</f>
        <v>May-25</v>
      </c>
      <c r="G62" s="175">
        <f>DAY(EOMONTH(Inv_SY_D[[#This Row],[Month Year]],0))</f>
        <v>31</v>
      </c>
      <c r="H62" s="167">
        <f t="shared" si="1"/>
        <v>45805</v>
      </c>
      <c r="I62" s="124">
        <v>7.0991999999999997</v>
      </c>
      <c r="J62" s="76">
        <f>IFERROR(Inv_SY!J64/Inv_SY!$Y64-1,"")</f>
        <v>2.9662910579946411E-2</v>
      </c>
      <c r="K62" s="76">
        <f>IFERROR(Inv_SY!K64/Inv_SY!$Y64-1,"")</f>
        <v>-0.10843448160612512</v>
      </c>
      <c r="L62" s="76">
        <f>IFERROR(Inv_SY!L64/Inv_SY!$Y64-1,"")</f>
        <v>2.1062434425265675E-2</v>
      </c>
      <c r="M62" s="76">
        <f>IFERROR(Inv_SY!M64/Inv_SY!$Y64-1,"")</f>
        <v>2.1748739950915974E-2</v>
      </c>
      <c r="N62" s="76">
        <f>IFERROR(Inv_SY!N64/Inv_SY!$Y64-1,"")</f>
        <v>-0.11773308053017806</v>
      </c>
      <c r="O62" s="76">
        <f>IFERROR(Inv_SY!O64/Inv_SY!$Y64-1,"")</f>
        <v>8.2248177648393872E-2</v>
      </c>
      <c r="P62" s="76">
        <f>IFERROR(Inv_SY!P64/Inv_SY!$Y64-1,"")</f>
        <v>-0.11878767679965729</v>
      </c>
      <c r="Q62" s="76">
        <f>IFERROR(Inv_SY!Q64/Inv_SY!$Y64-1,"")</f>
        <v>0.32008789876466937</v>
      </c>
      <c r="R62" s="76">
        <f>IFERROR(Inv_SY!R64/Inv_SY!$Y64-1,"")</f>
        <v>5.8641197229261977E-2</v>
      </c>
      <c r="S62" s="76">
        <f>IFERROR(Inv_SY!S64/Inv_SY!$Y64-1,"")</f>
        <v>-0.12255141204980491</v>
      </c>
      <c r="T62" s="76">
        <f>IFERROR(Inv_SY!T64/Inv_SY!$Y64-1,"")</f>
        <v>0.30216285853822034</v>
      </c>
      <c r="U62" s="76">
        <f>IFERROR(Inv_SY!U64/Inv_SY!$Y64-1,"")</f>
        <v>-0.12820967109778814</v>
      </c>
      <c r="V62" s="76">
        <f>IFERROR(Inv_SY!J64/Inv_SY!$Z64-1,"")</f>
        <v>1.5739912498660136E-2</v>
      </c>
      <c r="W62" s="76">
        <f>IFERROR(Inv_SY!K64/Inv_SY!$Z64-1,"")</f>
        <v>-0.12049014067123343</v>
      </c>
      <c r="X62" s="76">
        <f>IFERROR(Inv_SY!L64/Inv_SY!$Z64-1,"")</f>
        <v>7.2557311155685422E-3</v>
      </c>
      <c r="Y62" s="76">
        <f>IFERROR(Inv_SY!M64/Inv_SY!$Z64-1,"")</f>
        <v>7.9327564870841361E-3</v>
      </c>
      <c r="Z62" s="76">
        <f>IFERROR(Inv_SY!N64/Inv_SY!$Z64-1,"")</f>
        <v>-0.12966300487798432</v>
      </c>
      <c r="AA62" s="76">
        <f>IFERROR(Inv_SY!O64/Inv_SY!$Z64-1,"")</f>
        <v>6.7614126886686554E-2</v>
      </c>
      <c r="AB62" s="76">
        <f>IFERROR(Inv_SY!P64/Inv_SY!$Z64-1,"")</f>
        <v>-0.1307033410030165</v>
      </c>
      <c r="AC62" s="76">
        <f>IFERROR(Inv_SY!Q64/Inv_SY!$Z64-1,"")</f>
        <v>0.30223780326955474</v>
      </c>
      <c r="AD62" s="76">
        <f>IFERROR(Inv_SY!R64/Inv_SY!$Z64-1,"")</f>
        <v>4.432635767707116E-2</v>
      </c>
      <c r="AE62" s="76">
        <f>IFERROR(Inv_SY!S64/Inv_SY!$Z64-1,"")</f>
        <v>-0.13441618340451644</v>
      </c>
      <c r="AF62" s="76">
        <f>IFERROR(Inv_SY!T64/Inv_SY!$Z64-1,"")</f>
        <v>0.28455514363010703</v>
      </c>
      <c r="AG62" s="76">
        <f>IFERROR(Inv_SY!U64/Inv_SY!$Z64-1,"")</f>
        <v>-0.13999793204403588</v>
      </c>
      <c r="AH62" s="76">
        <f>IFERROR(Inv_SY!V64/Inv_SY!$Y64-1,"")</f>
        <v>-1.3751860605416444E-2</v>
      </c>
      <c r="AI62" s="76">
        <f>IFERROR(Inv_SY!W64/Inv_SY!$Y64-1,"")</f>
        <v>1.3707247209609585E-2</v>
      </c>
      <c r="AJ62" s="76">
        <f>IFERROR(Inv_SY!X64/Inv_SY!$Y64-1,"")</f>
        <v>4.4613395806969436E-5</v>
      </c>
      <c r="AK62" s="76">
        <f>IFERROR(Inv_SY!V64/Inv_SY!$Z64-1,"")</f>
        <v>-2.7087808527177404E-2</v>
      </c>
      <c r="AL62" s="76">
        <f>IFERROR(Inv_SY!W64/Inv_SY!$Z64-1,"")</f>
        <v>0</v>
      </c>
      <c r="AM62" s="76">
        <f>IFERROR(Inv_SY!X64/Inv_SY!$Z64-1,"")</f>
        <v>-1.3477889056639492E-2</v>
      </c>
    </row>
    <row r="63" spans="1:39" x14ac:dyDescent="0.25">
      <c r="A63" s="173">
        <f>YEAR(Inv_SY_D[[#This Row],[Date]])+IF(MONTH(Inv_SY_D[[#This Row],[Date]])&gt;=4,1,0)</f>
        <v>2026</v>
      </c>
      <c r="B63" s="164">
        <v>4</v>
      </c>
      <c r="C63" s="123">
        <f>YEAR(Inv_SY_D[[#This Row],[Month Year]])</f>
        <v>2025</v>
      </c>
      <c r="D63" s="164" t="s">
        <v>4</v>
      </c>
      <c r="E63" s="164" t="s">
        <v>4</v>
      </c>
      <c r="F63" s="174" t="str">
        <f>TEXT(Inv_SY_D[[#This Row],[Date]],"mmm-yy")</f>
        <v>May-25</v>
      </c>
      <c r="G63" s="175">
        <f>DAY(EOMONTH(Inv_SY_D[[#This Row],[Month Year]],0))</f>
        <v>31</v>
      </c>
      <c r="H63" s="167">
        <f t="shared" si="1"/>
        <v>45806</v>
      </c>
      <c r="I63" s="124">
        <v>7.0991999999999997</v>
      </c>
      <c r="J63" s="76">
        <f>IFERROR(Inv_SY!J65/Inv_SY!$Y65-1,"")</f>
        <v>2.8067298250507466E-2</v>
      </c>
      <c r="K63" s="76">
        <f>IFERROR(Inv_SY!K65/Inv_SY!$Y65-1,"")</f>
        <v>-0.14981949790132265</v>
      </c>
      <c r="L63" s="76">
        <f>IFERROR(Inv_SY!L65/Inv_SY!$Y65-1,"")</f>
        <v>7.5670326375522068E-2</v>
      </c>
      <c r="M63" s="76">
        <f>IFERROR(Inv_SY!M65/Inv_SY!$Y65-1,"")</f>
        <v>1.8721231902775637E-2</v>
      </c>
      <c r="N63" s="76">
        <f>IFERROR(Inv_SY!N65/Inv_SY!$Y65-1,"")</f>
        <v>-0.12186169512778477</v>
      </c>
      <c r="O63" s="76">
        <f>IFERROR(Inv_SY!O65/Inv_SY!$Y65-1,"")</f>
        <v>2.0814750764667433E-2</v>
      </c>
      <c r="P63" s="76">
        <f>IFERROR(Inv_SY!P65/Inv_SY!$Y65-1,"")</f>
        <v>-6.6516814478889241E-2</v>
      </c>
      <c r="Q63" s="76">
        <f>IFERROR(Inv_SY!Q65/Inv_SY!$Y65-1,"")</f>
        <v>0.31522800186479505</v>
      </c>
      <c r="R63" s="76">
        <f>IFERROR(Inv_SY!R65/Inv_SY!$Y65-1,"")</f>
        <v>6.1434257694924721E-2</v>
      </c>
      <c r="S63" s="76">
        <f>IFERROR(Inv_SY!S65/Inv_SY!$Y65-1,"")</f>
        <v>-0.120805596045087</v>
      </c>
      <c r="T63" s="76">
        <f>IFERROR(Inv_SY!T65/Inv_SY!$Y65-1,"")</f>
        <v>0.30549322013490587</v>
      </c>
      <c r="U63" s="76">
        <f>IFERROR(Inv_SY!U65/Inv_SY!$Y65-1,"")</f>
        <v>-0.12594893378457706</v>
      </c>
      <c r="V63" s="76">
        <f>IFERROR(Inv_SY!J65/Inv_SY!$Z65-1,"")</f>
        <v>1.629502451527709E-2</v>
      </c>
      <c r="W63" s="76">
        <f>IFERROR(Inv_SY!K65/Inv_SY!$Z65-1,"")</f>
        <v>-0.15955481154479045</v>
      </c>
      <c r="X63" s="76">
        <f>IFERROR(Inv_SY!L65/Inv_SY!$Z65-1,"")</f>
        <v>6.3352956148391648E-2</v>
      </c>
      <c r="Y63" s="76">
        <f>IFERROR(Inv_SY!M65/Inv_SY!$Z65-1,"")</f>
        <v>7.055978837865462E-3</v>
      </c>
      <c r="Z63" s="76">
        <f>IFERROR(Inv_SY!N65/Inv_SY!$Z65-1,"")</f>
        <v>-0.13191715017429662</v>
      </c>
      <c r="AA63" s="76">
        <f>IFERROR(Inv_SY!O65/Inv_SY!$Z65-1,"")</f>
        <v>9.1255250696056223E-3</v>
      </c>
      <c r="AB63" s="76">
        <f>IFERROR(Inv_SY!P65/Inv_SY!$Z65-1,"")</f>
        <v>-7.720601703001595E-2</v>
      </c>
      <c r="AC63" s="76">
        <f>IFERROR(Inv_SY!Q65/Inv_SY!$Z65-1,"")</f>
        <v>0.30016748579883257</v>
      </c>
      <c r="AD63" s="76">
        <f>IFERROR(Inv_SY!R65/Inv_SY!$Z65-1,"")</f>
        <v>4.9279902960755351E-2</v>
      </c>
      <c r="AE63" s="76">
        <f>IFERROR(Inv_SY!S65/Inv_SY!$Z65-1,"")</f>
        <v>-0.1308731443538923</v>
      </c>
      <c r="AF63" s="76">
        <f>IFERROR(Inv_SY!T65/Inv_SY!$Z65-1,"")</f>
        <v>0.29054417587188075</v>
      </c>
      <c r="AG63" s="76">
        <f>IFERROR(Inv_SY!U65/Inv_SY!$Z65-1,"")</f>
        <v>-0.13595758635777722</v>
      </c>
      <c r="AH63" s="76">
        <f>IFERROR(Inv_SY!V65/Inv_SY!$Y65-1,"")</f>
        <v>-1.4072573729521753E-2</v>
      </c>
      <c r="AI63" s="76">
        <f>IFERROR(Inv_SY!W65/Inv_SY!$Y65-1,"")</f>
        <v>1.1583519992971691E-2</v>
      </c>
      <c r="AJ63" s="76">
        <f>IFERROR(Inv_SY!X65/Inv_SY!$Y65-1,"")</f>
        <v>2.4890537365496179E-3</v>
      </c>
      <c r="AK63" s="76">
        <f>IFERROR(Inv_SY!V65/Inv_SY!$Z65-1,"")</f>
        <v>-2.5362308910164555E-2</v>
      </c>
      <c r="AL63" s="76">
        <f>IFERROR(Inv_SY!W65/Inv_SY!$Z65-1,"")</f>
        <v>0</v>
      </c>
      <c r="AM63" s="76">
        <f>IFERROR(Inv_SY!X65/Inv_SY!$Z65-1,"")</f>
        <v>-8.9903266281811112E-3</v>
      </c>
    </row>
    <row r="64" spans="1:39" x14ac:dyDescent="0.25">
      <c r="A64" s="173">
        <f>YEAR(Inv_SY_D[[#This Row],[Date]])+IF(MONTH(Inv_SY_D[[#This Row],[Date]])&gt;=4,1,0)</f>
        <v>2026</v>
      </c>
      <c r="B64" s="164">
        <v>4</v>
      </c>
      <c r="C64" s="123">
        <f>YEAR(Inv_SY_D[[#This Row],[Month Year]])</f>
        <v>2025</v>
      </c>
      <c r="D64" s="164" t="s">
        <v>4</v>
      </c>
      <c r="E64" s="164" t="s">
        <v>4</v>
      </c>
      <c r="F64" s="174" t="str">
        <f>TEXT(Inv_SY_D[[#This Row],[Date]],"mmm-yy")</f>
        <v>May-25</v>
      </c>
      <c r="G64" s="175">
        <f>DAY(EOMONTH(Inv_SY_D[[#This Row],[Month Year]],0))</f>
        <v>31</v>
      </c>
      <c r="H64" s="167">
        <f t="shared" si="1"/>
        <v>45807</v>
      </c>
      <c r="I64" s="124">
        <v>7.0991999999999997</v>
      </c>
      <c r="J64" s="76">
        <f>IFERROR(Inv_SY!J66/Inv_SY!$Y66-1,"")</f>
        <v>2.5164430743564559E-2</v>
      </c>
      <c r="K64" s="76">
        <f>IFERROR(Inv_SY!K66/Inv_SY!$Y66-1,"")</f>
        <v>-0.15074256332544278</v>
      </c>
      <c r="L64" s="76">
        <f>IFERROR(Inv_SY!L66/Inv_SY!$Y66-1,"")</f>
        <v>1.9199369414448997E-2</v>
      </c>
      <c r="M64" s="76">
        <f>IFERROR(Inv_SY!M66/Inv_SY!$Y66-1,"")</f>
        <v>5.3188752606007972E-2</v>
      </c>
      <c r="N64" s="76">
        <f>IFERROR(Inv_SY!N66/Inv_SY!$Y66-1,"")</f>
        <v>-0.11883972902282269</v>
      </c>
      <c r="O64" s="76">
        <f>IFERROR(Inv_SY!O66/Inv_SY!$Y66-1,"")</f>
        <v>3.4411987539044064E-2</v>
      </c>
      <c r="P64" s="76">
        <f>IFERROR(Inv_SY!P66/Inv_SY!$Y66-1,"")</f>
        <v>-0.11747743995938387</v>
      </c>
      <c r="Q64" s="76">
        <f>IFERROR(Inv_SY!Q66/Inv_SY!$Y66-1,"")</f>
        <v>0.3631083090796543</v>
      </c>
      <c r="R64" s="76">
        <f>IFERROR(Inv_SY!R66/Inv_SY!$Y66-1,"")</f>
        <v>6.7400227992784556E-2</v>
      </c>
      <c r="S64" s="76">
        <f>IFERROR(Inv_SY!S66/Inv_SY!$Y66-1,"")</f>
        <v>-0.11385966166902817</v>
      </c>
      <c r="T64" s="76">
        <f>IFERROR(Inv_SY!T66/Inv_SY!$Y66-1,"")</f>
        <v>0.31486195151962915</v>
      </c>
      <c r="U64" s="76">
        <f>IFERROR(Inv_SY!U66/Inv_SY!$Y66-1,"")</f>
        <v>-0.11977937059460464</v>
      </c>
      <c r="V64" s="76">
        <f>IFERROR(Inv_SY!J66/Inv_SY!$Z66-1,"")</f>
        <v>1.4585793505802913E-2</v>
      </c>
      <c r="W64" s="76">
        <f>IFERROR(Inv_SY!K66/Inv_SY!$Z66-1,"")</f>
        <v>-0.15950602221518917</v>
      </c>
      <c r="X64" s="76">
        <f>IFERROR(Inv_SY!L66/Inv_SY!$Z66-1,"")</f>
        <v>8.6822854436652275E-3</v>
      </c>
      <c r="Y64" s="76">
        <f>IFERROR(Inv_SY!M66/Inv_SY!$Z66-1,"")</f>
        <v>4.2320933334685229E-2</v>
      </c>
      <c r="Z64" s="76">
        <f>IFERROR(Inv_SY!N66/Inv_SY!$Z66-1,"")</f>
        <v>-0.12793239218538899</v>
      </c>
      <c r="AA64" s="76">
        <f>IFERROR(Inv_SY!O66/Inv_SY!$Z66-1,"")</f>
        <v>2.3737925074127419E-2</v>
      </c>
      <c r="AB64" s="76">
        <f>IFERROR(Inv_SY!P66/Inv_SY!$Z66-1,"")</f>
        <v>-0.1265841605369199</v>
      </c>
      <c r="AC64" s="76">
        <f>IFERROR(Inv_SY!Q66/Inv_SY!$Z66-1,"")</f>
        <v>0.3490424403418233</v>
      </c>
      <c r="AD64" s="76">
        <f>IFERROR(Inv_SY!R66/Inv_SY!$Z66-1,"")</f>
        <v>5.6385760985526279E-2</v>
      </c>
      <c r="AE64" s="76">
        <f>IFERROR(Inv_SY!S66/Inv_SY!$Z66-1,"")</f>
        <v>-0.1230037139789113</v>
      </c>
      <c r="AF64" s="76">
        <f>IFERROR(Inv_SY!T66/Inv_SY!$Z66-1,"")</f>
        <v>0.30129393532073245</v>
      </c>
      <c r="AG64" s="76">
        <f>IFERROR(Inv_SY!U66/Inv_SY!$Z66-1,"")</f>
        <v>-0.12886233762743471</v>
      </c>
      <c r="AH64" s="76">
        <f>IFERROR(Inv_SY!V66/Inv_SY!$Y66-1,"")</f>
        <v>-1.9872037962001099E-2</v>
      </c>
      <c r="AI64" s="76">
        <f>IFERROR(Inv_SY!W66/Inv_SY!$Y66-1,"")</f>
        <v>1.042655762132072E-2</v>
      </c>
      <c r="AJ64" s="76">
        <f>IFERROR(Inv_SY!X66/Inv_SY!$Y66-1,"")</f>
        <v>9.4454803406804899E-3</v>
      </c>
      <c r="AK64" s="76">
        <f>IFERROR(Inv_SY!V66/Inv_SY!$Z66-1,"")</f>
        <v>-2.9985945395822444E-2</v>
      </c>
      <c r="AL64" s="76">
        <f>IFERROR(Inv_SY!W66/Inv_SY!$Z66-1,"")</f>
        <v>0</v>
      </c>
      <c r="AM64" s="76">
        <f>IFERROR(Inv_SY!X66/Inv_SY!$Z66-1,"")</f>
        <v>-9.7095357721954656E-4</v>
      </c>
    </row>
    <row r="65" spans="1:39" x14ac:dyDescent="0.25">
      <c r="A65" s="173">
        <f>YEAR(Inv_SY_D[[#This Row],[Date]])+IF(MONTH(Inv_SY_D[[#This Row],[Date]])&gt;=4,1,0)</f>
        <v>2026</v>
      </c>
      <c r="B65" s="164">
        <v>4</v>
      </c>
      <c r="C65" s="123">
        <f>YEAR(Inv_SY_D[[#This Row],[Month Year]])</f>
        <v>2025</v>
      </c>
      <c r="D65" s="164" t="s">
        <v>4</v>
      </c>
      <c r="E65" s="164" t="s">
        <v>4</v>
      </c>
      <c r="F65" s="174" t="str">
        <f>TEXT(Inv_SY_D[[#This Row],[Date]],"mmm-yy")</f>
        <v>May-25</v>
      </c>
      <c r="G65" s="175">
        <f>DAY(EOMONTH(Inv_SY_D[[#This Row],[Month Year]],0))</f>
        <v>31</v>
      </c>
      <c r="H65" s="167">
        <f t="shared" si="1"/>
        <v>45808</v>
      </c>
      <c r="I65" s="124">
        <v>7.0991999999999997</v>
      </c>
      <c r="J65" s="76">
        <f>IFERROR(Inv_SY!J67/Inv_SY!$Y67-1,"")</f>
        <v>6.0255344832649937E-2</v>
      </c>
      <c r="K65" s="76">
        <f>IFERROR(Inv_SY!K67/Inv_SY!$Y67-1,"")</f>
        <v>-0.14818912126062933</v>
      </c>
      <c r="L65" s="76">
        <f>IFERROR(Inv_SY!L67/Inv_SY!$Y67-1,"")</f>
        <v>2.4099875029839568E-2</v>
      </c>
      <c r="M65" s="76">
        <f>IFERROR(Inv_SY!M67/Inv_SY!$Y67-1,"")</f>
        <v>2.0812972689194575E-2</v>
      </c>
      <c r="N65" s="76">
        <f>IFERROR(Inv_SY!N67/Inv_SY!$Y67-1,"")</f>
        <v>-9.0443854343200458E-2</v>
      </c>
      <c r="O65" s="76">
        <f>IFERROR(Inv_SY!O67/Inv_SY!$Y67-1,"")</f>
        <v>3.7456078902176948E-2</v>
      </c>
      <c r="P65" s="76">
        <f>IFERROR(Inv_SY!P67/Inv_SY!$Y67-1,"")</f>
        <v>-0.11445785314471735</v>
      </c>
      <c r="Q65" s="76">
        <f>IFERROR(Inv_SY!Q67/Inv_SY!$Y67-1,"")</f>
        <v>0.32163598552477102</v>
      </c>
      <c r="R65" s="76">
        <f>IFERROR(Inv_SY!R67/Inv_SY!$Y67-1,"")</f>
        <v>6.3306494657485723E-2</v>
      </c>
      <c r="S65" s="76">
        <f>IFERROR(Inv_SY!S67/Inv_SY!$Y67-1,"")</f>
        <v>-0.11766121208924851</v>
      </c>
      <c r="T65" s="76">
        <f>IFERROR(Inv_SY!T67/Inv_SY!$Y67-1,"")</f>
        <v>0.30922023735021331</v>
      </c>
      <c r="U65" s="76">
        <f>IFERROR(Inv_SY!U67/Inv_SY!$Y67-1,"")</f>
        <v>-0.12388934440606836</v>
      </c>
      <c r="V65" s="76">
        <f>IFERROR(Inv_SY!J67/Inv_SY!$Z67-1,"")</f>
        <v>4.7479065991145486E-2</v>
      </c>
      <c r="W65" s="76">
        <f>IFERROR(Inv_SY!K67/Inv_SY!$Z67-1,"")</f>
        <v>-0.15845360458536939</v>
      </c>
      <c r="X65" s="76">
        <f>IFERROR(Inv_SY!L67/Inv_SY!$Z67-1,"")</f>
        <v>1.175927648563091E-2</v>
      </c>
      <c r="Y65" s="76">
        <f>IFERROR(Inv_SY!M67/Inv_SY!$Z67-1,"")</f>
        <v>8.5119819442143196E-3</v>
      </c>
      <c r="Z65" s="76">
        <f>IFERROR(Inv_SY!N67/Inv_SY!$Z67-1,"")</f>
        <v>-0.10140417913246114</v>
      </c>
      <c r="AA65" s="76">
        <f>IFERROR(Inv_SY!O67/Inv_SY!$Z67-1,"")</f>
        <v>2.4954535557483615E-2</v>
      </c>
      <c r="AB65" s="76">
        <f>IFERROR(Inv_SY!P67/Inv_SY!$Z67-1,"")</f>
        <v>-0.12512880467471266</v>
      </c>
      <c r="AC65" s="76">
        <f>IFERROR(Inv_SY!Q67/Inv_SY!$Z67-1,"")</f>
        <v>0.30571002018035998</v>
      </c>
      <c r="AD65" s="76">
        <f>IFERROR(Inv_SY!R67/Inv_SY!$Z67-1,"")</f>
        <v>5.0493448879469716E-2</v>
      </c>
      <c r="AE65" s="76">
        <f>IFERROR(Inv_SY!S67/Inv_SY!$Z67-1,"")</f>
        <v>-0.12829356253385038</v>
      </c>
      <c r="AF65" s="76">
        <f>IFERROR(Inv_SY!T67/Inv_SY!$Z67-1,"")</f>
        <v>0.29344388413600986</v>
      </c>
      <c r="AG65" s="76">
        <f>IFERROR(Inv_SY!U67/Inv_SY!$Z67-1,"")</f>
        <v>-0.13444664467004219</v>
      </c>
      <c r="AH65" s="76">
        <f>IFERROR(Inv_SY!V67/Inv_SY!$Y67-1,"")</f>
        <v>-1.7331018954438338E-2</v>
      </c>
      <c r="AI65" s="76">
        <f>IFERROR(Inv_SY!W67/Inv_SY!$Y67-1,"")</f>
        <v>1.219716866552889E-2</v>
      </c>
      <c r="AJ65" s="76">
        <f>IFERROR(Inv_SY!X67/Inv_SY!$Y67-1,"")</f>
        <v>5.1338502889097803E-3</v>
      </c>
      <c r="AK65" s="76">
        <f>IFERROR(Inv_SY!V67/Inv_SY!$Z67-1,"")</f>
        <v>-2.9172367335206895E-2</v>
      </c>
      <c r="AL65" s="76">
        <f>IFERROR(Inv_SY!W67/Inv_SY!$Z67-1,"")</f>
        <v>0</v>
      </c>
      <c r="AM65" s="76">
        <f>IFERROR(Inv_SY!X67/Inv_SY!$Z67-1,"")</f>
        <v>-6.9782040449009042E-3</v>
      </c>
    </row>
    <row r="66" spans="1:39" x14ac:dyDescent="0.25">
      <c r="A66" s="173">
        <f>YEAR(Inv_SY_D[[#This Row],[Date]])+IF(MONTH(Inv_SY_D[[#This Row],[Date]])&gt;=4,1,0)</f>
        <v>2026</v>
      </c>
      <c r="B66" s="164">
        <v>4</v>
      </c>
      <c r="C66" s="123">
        <f>YEAR(Inv_SY_D[[#This Row],[Month Year]])</f>
        <v>2025</v>
      </c>
      <c r="D66" s="164" t="s">
        <v>4</v>
      </c>
      <c r="E66" s="164" t="s">
        <v>4</v>
      </c>
      <c r="F66" s="174" t="str">
        <f>TEXT(Inv_SY_D[[#This Row],[Date]],"mmm-yy")</f>
        <v>Jun-25</v>
      </c>
      <c r="G66" s="175">
        <f>DAY(EOMONTH(Inv_SY_D[[#This Row],[Month Year]],0))</f>
        <v>30</v>
      </c>
      <c r="H66" s="167">
        <f t="shared" si="1"/>
        <v>45809</v>
      </c>
      <c r="I66" s="124">
        <v>7.0991999999999997</v>
      </c>
      <c r="J66" s="76">
        <f>IFERROR(Inv_SY!J68/Inv_SY!$Y68-1,"")</f>
        <v>2.973389101307844E-2</v>
      </c>
      <c r="K66" s="76">
        <f>IFERROR(Inv_SY!K68/Inv_SY!$Y68-1,"")</f>
        <v>-0.14715499688417255</v>
      </c>
      <c r="L66" s="76">
        <f>IFERROR(Inv_SY!L68/Inv_SY!$Y68-1,"")</f>
        <v>5.5578295454443261E-2</v>
      </c>
      <c r="M66" s="76">
        <f>IFERROR(Inv_SY!M68/Inv_SY!$Y68-1,"")</f>
        <v>2.2258755527600815E-2</v>
      </c>
      <c r="N66" s="76">
        <f>IFERROR(Inv_SY!N68/Inv_SY!$Y68-1,"")</f>
        <v>-0.11656804679009558</v>
      </c>
      <c r="O66" s="76">
        <f>IFERROR(Inv_SY!O68/Inv_SY!$Y68-1,"")</f>
        <v>3.758278327282949E-2</v>
      </c>
      <c r="P66" s="76">
        <f>IFERROR(Inv_SY!P68/Inv_SY!$Y68-1,"")</f>
        <v>-8.9445892171677199E-2</v>
      </c>
      <c r="Q66" s="76">
        <f>IFERROR(Inv_SY!Q68/Inv_SY!$Y68-1,"")</f>
        <v>0.32206122252556924</v>
      </c>
      <c r="R66" s="76">
        <f>IFERROR(Inv_SY!R68/Inv_SY!$Y68-1,"")</f>
        <v>6.214715790427916E-2</v>
      </c>
      <c r="S66" s="76">
        <f>IFERROR(Inv_SY!S68/Inv_SY!$Y68-1,"")</f>
        <v>-0.11819517254869194</v>
      </c>
      <c r="T66" s="76">
        <f>IFERROR(Inv_SY!T68/Inv_SY!$Y68-1,"")</f>
        <v>0.30879917845554705</v>
      </c>
      <c r="U66" s="76">
        <f>IFERROR(Inv_SY!U68/Inv_SY!$Y68-1,"")</f>
        <v>-0.12419648907258474</v>
      </c>
      <c r="V66" s="76">
        <f>IFERROR(Inv_SY!J68/Inv_SY!$Z68-1,"")</f>
        <v>1.757600374314694E-2</v>
      </c>
      <c r="W66" s="76">
        <f>IFERROR(Inv_SY!K68/Inv_SY!$Z68-1,"")</f>
        <v>-0.15722438810951678</v>
      </c>
      <c r="X66" s="76">
        <f>IFERROR(Inv_SY!L68/Inv_SY!$Z68-1,"")</f>
        <v>4.3115267838545801E-2</v>
      </c>
      <c r="Y66" s="76">
        <f>IFERROR(Inv_SY!M68/Inv_SY!$Z68-1,"")</f>
        <v>1.0189125870003091E-2</v>
      </c>
      <c r="Z66" s="76">
        <f>IFERROR(Inv_SY!N68/Inv_SY!$Z68-1,"")</f>
        <v>-0.12699857276532056</v>
      </c>
      <c r="AA66" s="76">
        <f>IFERROR(Inv_SY!O68/Inv_SY!$Z68-1,"")</f>
        <v>2.5332225509947515E-2</v>
      </c>
      <c r="AB66" s="76">
        <f>IFERROR(Inv_SY!P68/Inv_SY!$Z68-1,"")</f>
        <v>-0.10019664466488531</v>
      </c>
      <c r="AC66" s="76">
        <f>IFERROR(Inv_SY!Q68/Inv_SY!$Z68-1,"")</f>
        <v>0.30645187777379057</v>
      </c>
      <c r="AD66" s="76">
        <f>IFERROR(Inv_SY!R68/Inv_SY!$Z68-1,"")</f>
        <v>4.9606572882673561E-2</v>
      </c>
      <c r="AE66" s="76">
        <f>IFERROR(Inv_SY!S68/Inv_SY!$Z68-1,"")</f>
        <v>-0.1286064873357452</v>
      </c>
      <c r="AF66" s="76">
        <f>IFERROR(Inv_SY!T68/Inv_SY!$Z68-1,"")</f>
        <v>0.29334641632980341</v>
      </c>
      <c r="AG66" s="76">
        <f>IFERROR(Inv_SY!U68/Inv_SY!$Z68-1,"")</f>
        <v>-0.13453694736903843</v>
      </c>
      <c r="AH66" s="76">
        <f>IFERROR(Inv_SY!V68/Inv_SY!$Y68-1,"")</f>
        <v>-1.6486626618160583E-2</v>
      </c>
      <c r="AI66" s="76">
        <f>IFERROR(Inv_SY!W68/Inv_SY!$Y68-1,"")</f>
        <v>1.1947891091386609E-2</v>
      </c>
      <c r="AJ66" s="76">
        <f>IFERROR(Inv_SY!X68/Inv_SY!$Y68-1,"")</f>
        <v>4.5387355267743068E-3</v>
      </c>
      <c r="AK66" s="76">
        <f>IFERROR(Inv_SY!V68/Inv_SY!$Z68-1,"")</f>
        <v>-2.809879635094692E-2</v>
      </c>
      <c r="AL66" s="76">
        <f>IFERROR(Inv_SY!W68/Inv_SY!$Z68-1,"")</f>
        <v>0</v>
      </c>
      <c r="AM66" s="76">
        <f>IFERROR(Inv_SY!X68/Inv_SY!$Z68-1,"")</f>
        <v>-7.3216769656208047E-3</v>
      </c>
    </row>
    <row r="67" spans="1:39" x14ac:dyDescent="0.25">
      <c r="A67" s="173">
        <f>YEAR(Inv_SY_D[[#This Row],[Date]])+IF(MONTH(Inv_SY_D[[#This Row],[Date]])&gt;=4,1,0)</f>
        <v>2026</v>
      </c>
      <c r="B67" s="164">
        <v>4</v>
      </c>
      <c r="C67" s="123">
        <f>YEAR(Inv_SY_D[[#This Row],[Month Year]])</f>
        <v>2025</v>
      </c>
      <c r="D67" s="164" t="s">
        <v>4</v>
      </c>
      <c r="E67" s="164" t="s">
        <v>4</v>
      </c>
      <c r="F67" s="174" t="str">
        <f>TEXT(Inv_SY_D[[#This Row],[Date]],"mmm-yy")</f>
        <v>Jun-25</v>
      </c>
      <c r="G67" s="175">
        <f>DAY(EOMONTH(Inv_SY_D[[#This Row],[Month Year]],0))</f>
        <v>30</v>
      </c>
      <c r="H67" s="167">
        <f t="shared" si="1"/>
        <v>45810</v>
      </c>
      <c r="I67" s="124">
        <v>7.0991999999999997</v>
      </c>
      <c r="J67" s="76">
        <f>IFERROR(Inv_SY!J69/Inv_SY!$Y69-1,"")</f>
        <v>3.2228695373104133E-2</v>
      </c>
      <c r="K67" s="76">
        <f>IFERROR(Inv_SY!K69/Inv_SY!$Y69-1,"")</f>
        <v>-0.14571837946606458</v>
      </c>
      <c r="L67" s="76">
        <f>IFERROR(Inv_SY!L69/Inv_SY!$Y69-1,"")</f>
        <v>2.6171906672290079E-2</v>
      </c>
      <c r="M67" s="76">
        <f>IFERROR(Inv_SY!M69/Inv_SY!$Y69-1,"")</f>
        <v>5.945885646964677E-2</v>
      </c>
      <c r="N67" s="76">
        <f>IFERROR(Inv_SY!N69/Inv_SY!$Y69-1,"")</f>
        <v>-0.12010875515330455</v>
      </c>
      <c r="O67" s="76">
        <f>IFERROR(Inv_SY!O69/Inv_SY!$Y69-1,"")</f>
        <v>3.2648266422357297E-2</v>
      </c>
      <c r="P67" s="76">
        <f>IFERROR(Inv_SY!P69/Inv_SY!$Y69-1,"")</f>
        <v>-0.11892462938384374</v>
      </c>
      <c r="Q67" s="76">
        <f>IFERROR(Inv_SY!Q69/Inv_SY!$Y69-1,"")</f>
        <v>0.36220059981204966</v>
      </c>
      <c r="R67" s="76">
        <f>IFERROR(Inv_SY!R69/Inv_SY!$Y69-1,"")</f>
        <v>6.2928614609758515E-2</v>
      </c>
      <c r="S67" s="76">
        <f>IFERROR(Inv_SY!S69/Inv_SY!$Y69-1,"")</f>
        <v>-0.11853757748143301</v>
      </c>
      <c r="T67" s="76">
        <f>IFERROR(Inv_SY!T69/Inv_SY!$Y69-1,"")</f>
        <v>0.3086575683792725</v>
      </c>
      <c r="U67" s="76">
        <f>IFERROR(Inv_SY!U69/Inv_SY!$Y69-1,"")</f>
        <v>-0.12438137384129144</v>
      </c>
      <c r="V67" s="76">
        <f>IFERROR(Inv_SY!J69/Inv_SY!$Z69-1,"")</f>
        <v>2.2964073305538513E-2</v>
      </c>
      <c r="W67" s="76">
        <f>IFERROR(Inv_SY!K69/Inv_SY!$Z69-1,"")</f>
        <v>-0.15338586283384048</v>
      </c>
      <c r="X67" s="76">
        <f>IFERROR(Inv_SY!L69/Inv_SY!$Z69-1,"")</f>
        <v>1.6961646451578494E-2</v>
      </c>
      <c r="Y67" s="76">
        <f>IFERROR(Inv_SY!M69/Inv_SY!$Z69-1,"")</f>
        <v>4.9949833958139678E-2</v>
      </c>
      <c r="Z67" s="76">
        <f>IFERROR(Inv_SY!N69/Inv_SY!$Z69-1,"")</f>
        <v>-0.12800609406725305</v>
      </c>
      <c r="AA67" s="76">
        <f>IFERROR(Inv_SY!O69/Inv_SY!$Z69-1,"")</f>
        <v>2.3379878554422806E-2</v>
      </c>
      <c r="AB67" s="76">
        <f>IFERROR(Inv_SY!P69/Inv_SY!$Z69-1,"")</f>
        <v>-0.12683259625047727</v>
      </c>
      <c r="AC67" s="76">
        <f>IFERROR(Inv_SY!Q69/Inv_SY!$Z69-1,"")</f>
        <v>0.3499743617758091</v>
      </c>
      <c r="AD67" s="76">
        <f>IFERROR(Inv_SY!R69/Inv_SY!$Z69-1,"")</f>
        <v>5.3388449776808455E-2</v>
      </c>
      <c r="AE67" s="76">
        <f>IFERROR(Inv_SY!S69/Inv_SY!$Z69-1,"")</f>
        <v>-0.12644901827745103</v>
      </c>
      <c r="AF67" s="76">
        <f>IFERROR(Inv_SY!T69/Inv_SY!$Z69-1,"")</f>
        <v>0.29691189821796127</v>
      </c>
      <c r="AG67" s="76">
        <f>IFERROR(Inv_SY!U69/Inv_SY!$Z69-1,"")</f>
        <v>-0.13224036447296461</v>
      </c>
      <c r="AH67" s="76">
        <f>IFERROR(Inv_SY!V69/Inv_SY!$Y69-1,"")</f>
        <v>-1.3602110372622489E-2</v>
      </c>
      <c r="AI67" s="76">
        <f>IFERROR(Inv_SY!W69/Inv_SY!$Y69-1,"")</f>
        <v>9.0566446166857606E-3</v>
      </c>
      <c r="AJ67" s="76">
        <f>IFERROR(Inv_SY!X69/Inv_SY!$Y69-1,"")</f>
        <v>4.5454657559369505E-3</v>
      </c>
      <c r="AK67" s="76">
        <f>IFERROR(Inv_SY!V69/Inv_SY!$Z69-1,"")</f>
        <v>-2.2455384551692603E-2</v>
      </c>
      <c r="AL67" s="76">
        <f>IFERROR(Inv_SY!W69/Inv_SY!$Z69-1,"")</f>
        <v>0</v>
      </c>
      <c r="AM67" s="76">
        <f>IFERROR(Inv_SY!X69/Inv_SY!$Z69-1,"")</f>
        <v>-4.4706894155207566E-3</v>
      </c>
    </row>
    <row r="68" spans="1:39" x14ac:dyDescent="0.25">
      <c r="A68" s="173">
        <f>YEAR(Inv_SY_D[[#This Row],[Date]])+IF(MONTH(Inv_SY_D[[#This Row],[Date]])&gt;=4,1,0)</f>
        <v>2026</v>
      </c>
      <c r="B68" s="164">
        <v>4</v>
      </c>
      <c r="C68" s="123">
        <f>YEAR(Inv_SY_D[[#This Row],[Month Year]])</f>
        <v>2025</v>
      </c>
      <c r="D68" s="164" t="s">
        <v>4</v>
      </c>
      <c r="E68" s="164" t="s">
        <v>4</v>
      </c>
      <c r="F68" s="174" t="str">
        <f>TEXT(Inv_SY_D[[#This Row],[Date]],"mmm-yy")</f>
        <v>Jun-25</v>
      </c>
      <c r="G68" s="175">
        <f>DAY(EOMONTH(Inv_SY_D[[#This Row],[Month Year]],0))</f>
        <v>30</v>
      </c>
      <c r="H68" s="167">
        <f t="shared" si="1"/>
        <v>45811</v>
      </c>
      <c r="I68" s="124">
        <v>7.0991999999999997</v>
      </c>
      <c r="J68" s="76">
        <f>IFERROR(Inv_SY!J70/Inv_SY!$Y70-1,"")</f>
        <v>3.6025782955849905E-2</v>
      </c>
      <c r="K68" s="76">
        <f>IFERROR(Inv_SY!K70/Inv_SY!$Y70-1,"")</f>
        <v>-0.11814927610176773</v>
      </c>
      <c r="L68" s="76">
        <f>IFERROR(Inv_SY!L70/Inv_SY!$Y70-1,"")</f>
        <v>3.0989274558791191E-2</v>
      </c>
      <c r="M68" s="76">
        <f>IFERROR(Inv_SY!M70/Inv_SY!$Y70-1,"")</f>
        <v>2.7461176806955478E-2</v>
      </c>
      <c r="N68" s="76">
        <f>IFERROR(Inv_SY!N70/Inv_SY!$Y70-1,"")</f>
        <v>-0.1165788043954441</v>
      </c>
      <c r="O68" s="76">
        <f>IFERROR(Inv_SY!O70/Inv_SY!$Y70-1,"")</f>
        <v>6.5983681910706471E-2</v>
      </c>
      <c r="P68" s="76">
        <f>IFERROR(Inv_SY!P70/Inv_SY!$Y70-1,"")</f>
        <v>-0.11446756521817036</v>
      </c>
      <c r="Q68" s="76">
        <f>IFERROR(Inv_SY!Q70/Inv_SY!$Y70-1,"")</f>
        <v>0.32262240155346933</v>
      </c>
      <c r="R68" s="76">
        <f>IFERROR(Inv_SY!R70/Inv_SY!$Y70-1,"")</f>
        <v>5.7250443781949656E-2</v>
      </c>
      <c r="S68" s="76">
        <f>IFERROR(Inv_SY!S70/Inv_SY!$Y70-1,"")</f>
        <v>-0.12274045813646617</v>
      </c>
      <c r="T68" s="76">
        <f>IFERROR(Inv_SY!T70/Inv_SY!$Y70-1,"")</f>
        <v>0.30204677915423783</v>
      </c>
      <c r="U68" s="76">
        <f>IFERROR(Inv_SY!U70/Inv_SY!$Y70-1,"")</f>
        <v>-0.12878248992877872</v>
      </c>
      <c r="V68" s="76">
        <f>IFERROR(Inv_SY!J70/Inv_SY!$Z70-1,"")</f>
        <v>2.3924183483616357E-2</v>
      </c>
      <c r="W68" s="76">
        <f>IFERROR(Inv_SY!K70/Inv_SY!$Z70-1,"")</f>
        <v>-0.1284499891057127</v>
      </c>
      <c r="X68" s="76">
        <f>IFERROR(Inv_SY!L70/Inv_SY!$Z70-1,"")</f>
        <v>1.8946505482830167E-2</v>
      </c>
      <c r="Y68" s="76">
        <f>IFERROR(Inv_SY!M70/Inv_SY!$Z70-1,"")</f>
        <v>1.5459618699479982E-2</v>
      </c>
      <c r="Z68" s="76">
        <f>IFERROR(Inv_SY!N70/Inv_SY!$Z70-1,"")</f>
        <v>-0.12689786174938988</v>
      </c>
      <c r="AA68" s="76">
        <f>IFERROR(Inv_SY!O70/Inv_SY!$Z70-1,"")</f>
        <v>5.3532150515787746E-2</v>
      </c>
      <c r="AB68" s="76">
        <f>IFERROR(Inv_SY!P70/Inv_SY!$Z70-1,"")</f>
        <v>-0.1248112835133145</v>
      </c>
      <c r="AC68" s="76">
        <f>IFERROR(Inv_SY!Q70/Inv_SY!$Z70-1,"")</f>
        <v>0.30717312720149526</v>
      </c>
      <c r="AD68" s="76">
        <f>IFERROR(Inv_SY!R70/Inv_SY!$Z70-1,"")</f>
        <v>4.4900923506511203E-2</v>
      </c>
      <c r="AE68" s="76">
        <f>IFERROR(Inv_SY!S70/Inv_SY!$Z70-1,"")</f>
        <v>-0.13298754250780176</v>
      </c>
      <c r="AF68" s="76">
        <f>IFERROR(Inv_SY!T70/Inv_SY!$Z70-1,"")</f>
        <v>0.28683784432398585</v>
      </c>
      <c r="AG68" s="76">
        <f>IFERROR(Inv_SY!U70/Inv_SY!$Z70-1,"")</f>
        <v>-0.13895899859635097</v>
      </c>
      <c r="AH68" s="76">
        <f>IFERROR(Inv_SY!V70/Inv_SY!$Y70-1,"")</f>
        <v>-1.1294555090562985E-2</v>
      </c>
      <c r="AI68" s="76">
        <f>IFERROR(Inv_SY!W70/Inv_SY!$Y70-1,"")</f>
        <v>1.1818843296640624E-2</v>
      </c>
      <c r="AJ68" s="76">
        <f>IFERROR(Inv_SY!X70/Inv_SY!$Y70-1,"")</f>
        <v>-5.2428820607786086E-4</v>
      </c>
      <c r="AK68" s="76">
        <f>IFERROR(Inv_SY!V70/Inv_SY!$Z70-1,"")</f>
        <v>-2.2843415637424758E-2</v>
      </c>
      <c r="AL68" s="76">
        <f>IFERROR(Inv_SY!W70/Inv_SY!$Z70-1,"")</f>
        <v>0</v>
      </c>
      <c r="AM68" s="76">
        <f>IFERROR(Inv_SY!X70/Inv_SY!$Z70-1,"")</f>
        <v>-1.2198953977277993E-2</v>
      </c>
    </row>
    <row r="69" spans="1:39" x14ac:dyDescent="0.25">
      <c r="A69" s="173">
        <f>YEAR(Inv_SY_D[[#This Row],[Date]])+IF(MONTH(Inv_SY_D[[#This Row],[Date]])&gt;=4,1,0)</f>
        <v>2026</v>
      </c>
      <c r="B69" s="164">
        <v>4</v>
      </c>
      <c r="C69" s="123">
        <f>YEAR(Inv_SY_D[[#This Row],[Month Year]])</f>
        <v>2025</v>
      </c>
      <c r="D69" s="164" t="s">
        <v>4</v>
      </c>
      <c r="E69" s="164" t="s">
        <v>4</v>
      </c>
      <c r="F69" s="174" t="str">
        <f>TEXT(Inv_SY_D[[#This Row],[Date]],"mmm-yy")</f>
        <v>Jun-25</v>
      </c>
      <c r="G69" s="175">
        <f>DAY(EOMONTH(Inv_SY_D[[#This Row],[Month Year]],0))</f>
        <v>30</v>
      </c>
      <c r="H69" s="167">
        <f t="shared" si="1"/>
        <v>45812</v>
      </c>
      <c r="I69" s="124">
        <v>7.0991999999999997</v>
      </c>
      <c r="J69" s="76">
        <f>IFERROR(Inv_SY!J71/Inv_SY!$Y71-1,"")</f>
        <v>3.0277795744287017E-2</v>
      </c>
      <c r="K69" s="76">
        <f>IFERROR(Inv_SY!K71/Inv_SY!$Y71-1,"")</f>
        <v>-0.14662445014707304</v>
      </c>
      <c r="L69" s="76">
        <f>IFERROR(Inv_SY!L71/Inv_SY!$Y71-1,"")</f>
        <v>5.9212162968524495E-2</v>
      </c>
      <c r="M69" s="76">
        <f>IFERROR(Inv_SY!M71/Inv_SY!$Y71-1,"")</f>
        <v>2.1876689294958007E-2</v>
      </c>
      <c r="N69" s="76">
        <f>IFERROR(Inv_SY!N71/Inv_SY!$Y71-1,"")</f>
        <v>-0.11688538911676438</v>
      </c>
      <c r="O69" s="76">
        <f>IFERROR(Inv_SY!O71/Inv_SY!$Y71-1,"")</f>
        <v>3.7462952575950448E-2</v>
      </c>
      <c r="P69" s="76">
        <f>IFERROR(Inv_SY!P71/Inv_SY!$Y71-1,"")</f>
        <v>-8.6651914549907283E-2</v>
      </c>
      <c r="Q69" s="76">
        <f>IFERROR(Inv_SY!Q71/Inv_SY!$Y71-1,"")</f>
        <v>0.32172924349645915</v>
      </c>
      <c r="R69" s="76">
        <f>IFERROR(Inv_SY!R71/Inv_SY!$Y71-1,"")</f>
        <v>6.0360671265283106E-2</v>
      </c>
      <c r="S69" s="76">
        <f>IFERROR(Inv_SY!S71/Inv_SY!$Y71-1,"")</f>
        <v>-0.11948901743174878</v>
      </c>
      <c r="T69" s="76">
        <f>IFERROR(Inv_SY!T71/Inv_SY!$Y71-1,"")</f>
        <v>0.30674166159678196</v>
      </c>
      <c r="U69" s="76">
        <f>IFERROR(Inv_SY!U71/Inv_SY!$Y71-1,"")</f>
        <v>-0.12585771957769698</v>
      </c>
      <c r="V69" s="76">
        <f>IFERROR(Inv_SY!J71/Inv_SY!$Z71-1,"")</f>
        <v>1.750168231086846E-2</v>
      </c>
      <c r="W69" s="76">
        <f>IFERROR(Inv_SY!K71/Inv_SY!$Z71-1,"")</f>
        <v>-0.15720686090198066</v>
      </c>
      <c r="X69" s="76">
        <f>IFERROR(Inv_SY!L71/Inv_SY!$Z71-1,"")</f>
        <v>4.6077244599866063E-2</v>
      </c>
      <c r="Y69" s="76">
        <f>IFERROR(Inv_SY!M71/Inv_SY!$Z71-1,"")</f>
        <v>9.2047550347742479E-3</v>
      </c>
      <c r="Z69" s="76">
        <f>IFERROR(Inv_SY!N71/Inv_SY!$Z71-1,"")</f>
        <v>-0.12783658353244398</v>
      </c>
      <c r="AA69" s="76">
        <f>IFERROR(Inv_SY!O71/Inv_SY!$Z71-1,"")</f>
        <v>2.4597738533844282E-2</v>
      </c>
      <c r="AB69" s="76">
        <f>IFERROR(Inv_SY!P71/Inv_SY!$Z71-1,"")</f>
        <v>-9.7978023675141968E-2</v>
      </c>
      <c r="AC69" s="76">
        <f>IFERROR(Inv_SY!Q71/Inv_SY!$Z71-1,"")</f>
        <v>0.30533894292613772</v>
      </c>
      <c r="AD69" s="76">
        <f>IFERROR(Inv_SY!R71/Inv_SY!$Z71-1,"")</f>
        <v>4.7211510648233812E-2</v>
      </c>
      <c r="AE69" s="76">
        <f>IFERROR(Inv_SY!S71/Inv_SY!$Z71-1,"")</f>
        <v>-0.13040792516627486</v>
      </c>
      <c r="AF69" s="76">
        <f>IFERROR(Inv_SY!T71/Inv_SY!$Z71-1,"")</f>
        <v>0.29053721677064304</v>
      </c>
      <c r="AG69" s="76">
        <f>IFERROR(Inv_SY!U71/Inv_SY!$Z71-1,"")</f>
        <v>-0.13669765127160927</v>
      </c>
      <c r="AH69" s="76">
        <f>IFERROR(Inv_SY!V71/Inv_SY!$Y71-1,"")</f>
        <v>-1.5433252795850949E-2</v>
      </c>
      <c r="AI69" s="76">
        <f>IFERROR(Inv_SY!W71/Inv_SY!$Y71-1,"")</f>
        <v>1.2556356078353037E-2</v>
      </c>
      <c r="AJ69" s="76">
        <f>IFERROR(Inv_SY!X71/Inv_SY!$Y71-1,"")</f>
        <v>2.876896717497468E-3</v>
      </c>
      <c r="AK69" s="76">
        <f>IFERROR(Inv_SY!V71/Inv_SY!$Z71-1,"")</f>
        <v>-2.7642519555759026E-2</v>
      </c>
      <c r="AL69" s="76">
        <f>IFERROR(Inv_SY!W71/Inv_SY!$Z71-1,"")</f>
        <v>0</v>
      </c>
      <c r="AM69" s="76">
        <f>IFERROR(Inv_SY!X71/Inv_SY!$Z71-1,"")</f>
        <v>-9.5594277817230289E-3</v>
      </c>
    </row>
    <row r="70" spans="1:39" x14ac:dyDescent="0.25">
      <c r="A70" s="173">
        <f>YEAR(Inv_SY_D[[#This Row],[Date]])+IF(MONTH(Inv_SY_D[[#This Row],[Date]])&gt;=4,1,0)</f>
        <v>2026</v>
      </c>
      <c r="B70" s="164">
        <v>4</v>
      </c>
      <c r="C70" s="123">
        <f>YEAR(Inv_SY_D[[#This Row],[Month Year]])</f>
        <v>2025</v>
      </c>
      <c r="D70" s="164" t="s">
        <v>4</v>
      </c>
      <c r="E70" s="164" t="s">
        <v>4</v>
      </c>
      <c r="F70" s="174" t="str">
        <f>TEXT(Inv_SY_D[[#This Row],[Date]],"mmm-yy")</f>
        <v>Jun-25</v>
      </c>
      <c r="G70" s="175">
        <f>DAY(EOMONTH(Inv_SY_D[[#This Row],[Month Year]],0))</f>
        <v>30</v>
      </c>
      <c r="H70" s="167">
        <f t="shared" si="1"/>
        <v>45813</v>
      </c>
      <c r="I70" s="124">
        <v>7.0991999999999997</v>
      </c>
      <c r="J70" s="76">
        <f>IFERROR(Inv_SY!J72/Inv_SY!$Y72-1,"")</f>
        <v>2.92242974369743E-2</v>
      </c>
      <c r="K70" s="76">
        <f>IFERROR(Inv_SY!K72/Inv_SY!$Y72-1,"")</f>
        <v>-0.14740951675137171</v>
      </c>
      <c r="L70" s="76">
        <f>IFERROR(Inv_SY!L72/Inv_SY!$Y72-1,"")</f>
        <v>2.3938373048996153E-2</v>
      </c>
      <c r="M70" s="76">
        <f>IFERROR(Inv_SY!M72/Inv_SY!$Y72-1,"")</f>
        <v>5.4918805151316308E-2</v>
      </c>
      <c r="N70" s="76">
        <f>IFERROR(Inv_SY!N72/Inv_SY!$Y72-1,"")</f>
        <v>-0.12060358971507446</v>
      </c>
      <c r="O70" s="76">
        <f>IFERROR(Inv_SY!O72/Inv_SY!$Y72-1,"")</f>
        <v>3.2834269595187537E-2</v>
      </c>
      <c r="P70" s="76">
        <f>IFERROR(Inv_SY!P72/Inv_SY!$Y72-1,"")</f>
        <v>-0.11896839972484552</v>
      </c>
      <c r="Q70" s="76">
        <f>IFERROR(Inv_SY!Q72/Inv_SY!$Y72-1,"")</f>
        <v>0.35812218321875933</v>
      </c>
      <c r="R70" s="76">
        <f>IFERROR(Inv_SY!R72/Inv_SY!$Y72-1,"")</f>
        <v>6.6250034574426575E-2</v>
      </c>
      <c r="S70" s="76">
        <f>IFERROR(Inv_SY!S72/Inv_SY!$Y72-1,"")</f>
        <v>-0.11487289190674865</v>
      </c>
      <c r="T70" s="76">
        <f>IFERROR(Inv_SY!T72/Inv_SY!$Y72-1,"")</f>
        <v>0.31363394782061893</v>
      </c>
      <c r="U70" s="76">
        <f>IFERROR(Inv_SY!U72/Inv_SY!$Y72-1,"")</f>
        <v>-0.12119511446657671</v>
      </c>
      <c r="V70" s="76">
        <f>IFERROR(Inv_SY!J72/Inv_SY!$Z72-1,"")</f>
        <v>2.0809316922538956E-2</v>
      </c>
      <c r="W70" s="76">
        <f>IFERROR(Inv_SY!K72/Inv_SY!$Z72-1,"")</f>
        <v>-0.15438033188000455</v>
      </c>
      <c r="X70" s="76">
        <f>IFERROR(Inv_SY!L72/Inv_SY!$Z72-1,"")</f>
        <v>1.5566610471444475E-2</v>
      </c>
      <c r="Y70" s="76">
        <f>IFERROR(Inv_SY!M72/Inv_SY!$Z72-1,"")</f>
        <v>4.6293745276840159E-2</v>
      </c>
      <c r="Z70" s="76">
        <f>IFERROR(Inv_SY!N72/Inv_SY!$Z72-1,"")</f>
        <v>-0.12779357121418988</v>
      </c>
      <c r="AA70" s="76">
        <f>IFERROR(Inv_SY!O72/Inv_SY!$Z72-1,"")</f>
        <v>2.4389773798763059E-2</v>
      </c>
      <c r="AB70" s="76">
        <f>IFERROR(Inv_SY!P72/Inv_SY!$Z72-1,"")</f>
        <v>-0.12617175060509533</v>
      </c>
      <c r="AC70" s="76">
        <f>IFERROR(Inv_SY!Q72/Inv_SY!$Z72-1,"")</f>
        <v>0.34701811995823584</v>
      </c>
      <c r="AD70" s="76">
        <f>IFERROR(Inv_SY!R72/Inv_SY!$Z72-1,"")</f>
        <v>5.7532330098537976E-2</v>
      </c>
      <c r="AE70" s="76">
        <f>IFERROR(Inv_SY!S72/Inv_SY!$Z72-1,"")</f>
        <v>-0.12210972782866703</v>
      </c>
      <c r="AF70" s="76">
        <f>IFERROR(Inv_SY!T72/Inv_SY!$Z72-1,"")</f>
        <v>0.30289362221662874</v>
      </c>
      <c r="AG70" s="76">
        <f>IFERROR(Inv_SY!U72/Inv_SY!$Z72-1,"")</f>
        <v>-0.1283802596348067</v>
      </c>
      <c r="AH70" s="76">
        <f>IFERROR(Inv_SY!V72/Inv_SY!$Y72-1,"")</f>
        <v>-1.6413820634888387E-2</v>
      </c>
      <c r="AI70" s="76">
        <f>IFERROR(Inv_SY!W72/Inv_SY!$Y72-1,"")</f>
        <v>8.1703804791850576E-3</v>
      </c>
      <c r="AJ70" s="76">
        <f>IFERROR(Inv_SY!X72/Inv_SY!$Y72-1,"")</f>
        <v>8.2434401557032189E-3</v>
      </c>
      <c r="AK70" s="76">
        <f>IFERROR(Inv_SY!V72/Inv_SY!$Z72-1,"")</f>
        <v>-2.4455662004390311E-2</v>
      </c>
      <c r="AL70" s="76">
        <f>IFERROR(Inv_SY!W72/Inv_SY!$Z72-1,"")</f>
        <v>-7.2462337574741298E-5</v>
      </c>
      <c r="AM70" s="76">
        <f>IFERROR(Inv_SY!X72/Inv_SY!$Z72-1,"")</f>
        <v>0</v>
      </c>
    </row>
    <row r="71" spans="1:39" x14ac:dyDescent="0.25">
      <c r="A71" s="173">
        <f>YEAR(Inv_SY_D[[#This Row],[Date]])+IF(MONTH(Inv_SY_D[[#This Row],[Date]])&gt;=4,1,0)</f>
        <v>2026</v>
      </c>
      <c r="B71" s="164">
        <v>4</v>
      </c>
      <c r="C71" s="123">
        <f>YEAR(Inv_SY_D[[#This Row],[Month Year]])</f>
        <v>2025</v>
      </c>
      <c r="D71" s="164" t="s">
        <v>4</v>
      </c>
      <c r="E71" s="164" t="s">
        <v>4</v>
      </c>
      <c r="F71" s="174" t="str">
        <f>TEXT(Inv_SY_D[[#This Row],[Date]],"mmm-yy")</f>
        <v>Jun-25</v>
      </c>
      <c r="G71" s="175">
        <f>DAY(EOMONTH(Inv_SY_D[[#This Row],[Month Year]],0))</f>
        <v>30</v>
      </c>
      <c r="H71" s="167">
        <f t="shared" si="1"/>
        <v>45814</v>
      </c>
      <c r="I71" s="124">
        <v>7.0991999999999997</v>
      </c>
      <c r="J71" s="76">
        <f>IFERROR(Inv_SY!J73/Inv_SY!$Y73-1,"")</f>
        <v>6.5248799379732381E-2</v>
      </c>
      <c r="K71" s="76">
        <f>IFERROR(Inv_SY!K73/Inv_SY!$Y73-1,"")</f>
        <v>-0.14304513880993197</v>
      </c>
      <c r="L71" s="76">
        <f>IFERROR(Inv_SY!L73/Inv_SY!$Y73-1,"")</f>
        <v>2.9704720510298044E-2</v>
      </c>
      <c r="M71" s="76">
        <f>IFERROR(Inv_SY!M73/Inv_SY!$Y73-1,"")</f>
        <v>2.5354675055047071E-2</v>
      </c>
      <c r="N71" s="76">
        <f>IFERROR(Inv_SY!N73/Inv_SY!$Y73-1,"")</f>
        <v>-9.2603974608624018E-2</v>
      </c>
      <c r="O71" s="76">
        <f>IFERROR(Inv_SY!O73/Inv_SY!$Y73-1,"")</f>
        <v>3.6166090861194933E-2</v>
      </c>
      <c r="P71" s="76">
        <f>IFERROR(Inv_SY!P73/Inv_SY!$Y73-1,"")</f>
        <v>-0.11548464728838237</v>
      </c>
      <c r="Q71" s="76">
        <f>IFERROR(Inv_SY!Q73/Inv_SY!$Y73-1,"")</f>
        <v>0.32034089887524342</v>
      </c>
      <c r="R71" s="76">
        <f>IFERROR(Inv_SY!R73/Inv_SY!$Y73-1,"")</f>
        <v>5.8727881769066403E-2</v>
      </c>
      <c r="S71" s="76">
        <f>IFERROR(Inv_SY!S73/Inv_SY!$Y73-1,"")</f>
        <v>-0.12052295331187102</v>
      </c>
      <c r="T71" s="76">
        <f>IFERROR(Inv_SY!T73/Inv_SY!$Y73-1,"")</f>
        <v>0.30518599758212051</v>
      </c>
      <c r="U71" s="76">
        <f>IFERROR(Inv_SY!U73/Inv_SY!$Y73-1,"")</f>
        <v>-0.12716170962481843</v>
      </c>
      <c r="V71" s="76">
        <f>IFERROR(Inv_SY!J73/Inv_SY!$Z73-1,"")</f>
        <v>5.3937077024282631E-2</v>
      </c>
      <c r="W71" s="76">
        <f>IFERROR(Inv_SY!K73/Inv_SY!$Z73-1,"")</f>
        <v>-0.15214501807436243</v>
      </c>
      <c r="X71" s="76">
        <f>IFERROR(Inv_SY!L73/Inv_SY!$Z73-1,"")</f>
        <v>1.8770435568328914E-2</v>
      </c>
      <c r="Y71" s="76">
        <f>IFERROR(Inv_SY!M73/Inv_SY!$Z73-1,"")</f>
        <v>1.4466582614259149E-2</v>
      </c>
      <c r="Z71" s="76">
        <f>IFERROR(Inv_SY!N73/Inv_SY!$Z73-1,"")</f>
        <v>-0.10223948127302251</v>
      </c>
      <c r="AA71" s="76">
        <f>IFERROR(Inv_SY!O73/Inv_SY!$Z73-1,"")</f>
        <v>2.516319356548502E-2</v>
      </c>
      <c r="AB71" s="76">
        <f>IFERROR(Inv_SY!P73/Inv_SY!$Z73-1,"")</f>
        <v>-0.12487718741124609</v>
      </c>
      <c r="AC71" s="76">
        <f>IFERROR(Inv_SY!Q73/Inv_SY!$Z73-1,"")</f>
        <v>0.30632039054768812</v>
      </c>
      <c r="AD71" s="76">
        <f>IFERROR(Inv_SY!R73/Inv_SY!$Z73-1,"")</f>
        <v>4.7485404091064387E-2</v>
      </c>
      <c r="AE71" s="76">
        <f>IFERROR(Inv_SY!S73/Inv_SY!$Z73-1,"")</f>
        <v>-0.12986199239449625</v>
      </c>
      <c r="AF71" s="76">
        <f>IFERROR(Inv_SY!T73/Inv_SY!$Z73-1,"")</f>
        <v>0.29132641695131745</v>
      </c>
      <c r="AG71" s="76">
        <f>IFERROR(Inv_SY!U73/Inv_SY!$Z73-1,"")</f>
        <v>-0.13643025271792342</v>
      </c>
      <c r="AH71" s="76">
        <f>IFERROR(Inv_SY!V73/Inv_SY!$Y73-1,"")</f>
        <v>-1.2256948398612355E-2</v>
      </c>
      <c r="AI71" s="76">
        <f>IFERROR(Inv_SY!W73/Inv_SY!$Y73-1,"")</f>
        <v>1.0732825139227131E-2</v>
      </c>
      <c r="AJ71" s="76">
        <f>IFERROR(Inv_SY!X73/Inv_SY!$Y73-1,"")</f>
        <v>1.5241232593852239E-3</v>
      </c>
      <c r="AK71" s="76">
        <f>IFERROR(Inv_SY!V73/Inv_SY!$Z73-1,"")</f>
        <v>-2.2745648470131163E-2</v>
      </c>
      <c r="AL71" s="76">
        <f>IFERROR(Inv_SY!W73/Inv_SY!$Z73-1,"")</f>
        <v>0</v>
      </c>
      <c r="AM71" s="76">
        <f>IFERROR(Inv_SY!X73/Inv_SY!$Z73-1,"")</f>
        <v>-9.1109160114329901E-3</v>
      </c>
    </row>
    <row r="72" spans="1:39" x14ac:dyDescent="0.25">
      <c r="A72" s="173">
        <f>YEAR(Inv_SY_D[[#This Row],[Date]])+IF(MONTH(Inv_SY_D[[#This Row],[Date]])&gt;=4,1,0)</f>
        <v>2026</v>
      </c>
      <c r="B72" s="164">
        <v>4</v>
      </c>
      <c r="C72" s="123">
        <f>YEAR(Inv_SY_D[[#This Row],[Month Year]])</f>
        <v>2025</v>
      </c>
      <c r="D72" s="164" t="s">
        <v>4</v>
      </c>
      <c r="E72" s="164" t="s">
        <v>4</v>
      </c>
      <c r="F72" s="174" t="str">
        <f>TEXT(Inv_SY_D[[#This Row],[Date]],"mmm-yy")</f>
        <v>Jun-25</v>
      </c>
      <c r="G72" s="175">
        <f>DAY(EOMONTH(Inv_SY_D[[#This Row],[Month Year]],0))</f>
        <v>30</v>
      </c>
      <c r="H72" s="167">
        <f t="shared" si="1"/>
        <v>45815</v>
      </c>
      <c r="I72" s="124">
        <v>7.0991999999999997</v>
      </c>
      <c r="J72" s="76">
        <f>IFERROR(Inv_SY!J74/Inv_SY!$Y74-1,"")</f>
        <v>3.6137465826518334E-2</v>
      </c>
      <c r="K72" s="76">
        <f>IFERROR(Inv_SY!K74/Inv_SY!$Y74-1,"")</f>
        <v>-0.11430347396074148</v>
      </c>
      <c r="L72" s="76">
        <f>IFERROR(Inv_SY!L74/Inv_SY!$Y74-1,"")</f>
        <v>3.0576595614975055E-2</v>
      </c>
      <c r="M72" s="76">
        <f>IFERROR(Inv_SY!M74/Inv_SY!$Y74-1,"")</f>
        <v>2.7304923882863985E-2</v>
      </c>
      <c r="N72" s="76">
        <f>IFERROR(Inv_SY!N74/Inv_SY!$Y74-1,"")</f>
        <v>-0.11817202804151217</v>
      </c>
      <c r="O72" s="76">
        <f>IFERROR(Inv_SY!O74/Inv_SY!$Y74-1,"")</f>
        <v>6.765358139819444E-2</v>
      </c>
      <c r="P72" s="76">
        <f>IFERROR(Inv_SY!P74/Inv_SY!$Y74-1,"")</f>
        <v>-0.11627775714588906</v>
      </c>
      <c r="Q72" s="76">
        <f>IFERROR(Inv_SY!Q74/Inv_SY!$Y74-1,"")</f>
        <v>0.31976605983654971</v>
      </c>
      <c r="R72" s="76">
        <f>IFERROR(Inv_SY!R74/Inv_SY!$Y74-1,"")</f>
        <v>5.7190207791661063E-2</v>
      </c>
      <c r="S72" s="76">
        <f>IFERROR(Inv_SY!S74/Inv_SY!$Y74-1,"")</f>
        <v>-0.12220528181418555</v>
      </c>
      <c r="T72" s="76">
        <f>IFERROR(Inv_SY!T74/Inv_SY!$Y74-1,"")</f>
        <v>0.30215308260116802</v>
      </c>
      <c r="U72" s="76">
        <f>IFERROR(Inv_SY!U74/Inv_SY!$Y74-1,"")</f>
        <v>-0.128928089642806</v>
      </c>
      <c r="V72" s="76">
        <f>IFERROR(Inv_SY!J74/Inv_SY!$Z74-1,"")</f>
        <v>2.5157480560495271E-2</v>
      </c>
      <c r="W72" s="76">
        <f>IFERROR(Inv_SY!K74/Inv_SY!$Z74-1,"")</f>
        <v>-0.12368923128235443</v>
      </c>
      <c r="X72" s="76">
        <f>IFERROR(Inv_SY!L74/Inv_SY!$Z74-1,"")</f>
        <v>1.9655539086694818E-2</v>
      </c>
      <c r="Y72" s="76">
        <f>IFERROR(Inv_SY!M74/Inv_SY!$Z74-1,"")</f>
        <v>1.6418537375308295E-2</v>
      </c>
      <c r="Z72" s="76">
        <f>IFERROR(Inv_SY!N74/Inv_SY!$Z74-1,"")</f>
        <v>-0.12751679015910189</v>
      </c>
      <c r="AA72" s="76">
        <f>IFERROR(Inv_SY!O74/Inv_SY!$Z74-1,"")</f>
        <v>5.633961874400395E-2</v>
      </c>
      <c r="AB72" s="76">
        <f>IFERROR(Inv_SY!P74/Inv_SY!$Z74-1,"")</f>
        <v>-0.12564259291896351</v>
      </c>
      <c r="AC72" s="76">
        <f>IFERROR(Inv_SY!Q74/Inv_SY!$Z74-1,"")</f>
        <v>0.30578045235729201</v>
      </c>
      <c r="AD72" s="76">
        <f>IFERROR(Inv_SY!R74/Inv_SY!$Z74-1,"")</f>
        <v>4.5987125876582713E-2</v>
      </c>
      <c r="AE72" s="76">
        <f>IFERROR(Inv_SY!S74/Inv_SY!$Z74-1,"")</f>
        <v>-0.13150730339930861</v>
      </c>
      <c r="AF72" s="76">
        <f>IFERROR(Inv_SY!T74/Inv_SY!$Z74-1,"")</f>
        <v>0.28835412046281683</v>
      </c>
      <c r="AG72" s="76">
        <f>IFERROR(Inv_SY!U74/Inv_SY!$Z74-1,"")</f>
        <v>-0.13815886939628108</v>
      </c>
      <c r="AH72" s="76">
        <f>IFERROR(Inv_SY!V74/Inv_SY!$Y74-1,"")</f>
        <v>-1.0303562311348657E-2</v>
      </c>
      <c r="AI72" s="76">
        <f>IFERROR(Inv_SY!W74/Inv_SY!$Y74-1,"")</f>
        <v>1.0710535185306069E-2</v>
      </c>
      <c r="AJ72" s="76">
        <f>IFERROR(Inv_SY!X74/Inv_SY!$Y74-1,"")</f>
        <v>-4.0697287395741188E-4</v>
      </c>
      <c r="AK72" s="76">
        <f>IFERROR(Inv_SY!V74/Inv_SY!$Z74-1,"")</f>
        <v>-2.0791410364394802E-2</v>
      </c>
      <c r="AL72" s="76">
        <f>IFERROR(Inv_SY!W74/Inv_SY!$Z74-1,"")</f>
        <v>0</v>
      </c>
      <c r="AM72" s="76">
        <f>IFERROR(Inv_SY!X74/Inv_SY!$Z74-1,"")</f>
        <v>-1.0999695434286916E-2</v>
      </c>
    </row>
    <row r="73" spans="1:39" x14ac:dyDescent="0.25">
      <c r="A73" s="173">
        <f>YEAR(Inv_SY_D[[#This Row],[Date]])+IF(MONTH(Inv_SY_D[[#This Row],[Date]])&gt;=4,1,0)</f>
        <v>2026</v>
      </c>
      <c r="B73" s="164">
        <v>4</v>
      </c>
      <c r="C73" s="123">
        <f>YEAR(Inv_SY_D[[#This Row],[Month Year]])</f>
        <v>2025</v>
      </c>
      <c r="D73" s="164" t="s">
        <v>4</v>
      </c>
      <c r="E73" s="164" t="s">
        <v>4</v>
      </c>
      <c r="F73" s="174" t="str">
        <f>TEXT(Inv_SY_D[[#This Row],[Date]],"mmm-yy")</f>
        <v>Jun-25</v>
      </c>
      <c r="G73" s="175">
        <f>DAY(EOMONTH(Inv_SY_D[[#This Row],[Month Year]],0))</f>
        <v>30</v>
      </c>
      <c r="H73" s="167">
        <f t="shared" si="1"/>
        <v>45816</v>
      </c>
      <c r="I73" s="124">
        <v>7.0991999999999997</v>
      </c>
      <c r="J73" s="76">
        <f>IFERROR(Inv_SY!J75/Inv_SY!$Y75-1,"")</f>
        <v>3.4530078979475132E-2</v>
      </c>
      <c r="K73" s="76">
        <f>IFERROR(Inv_SY!K75/Inv_SY!$Y75-1,"")</f>
        <v>-0.14310410379952765</v>
      </c>
      <c r="L73" s="76">
        <f>IFERROR(Inv_SY!L75/Inv_SY!$Y75-1,"")</f>
        <v>6.1852159361363457E-2</v>
      </c>
      <c r="M73" s="76">
        <f>IFERROR(Inv_SY!M75/Inv_SY!$Y75-1,"")</f>
        <v>2.7404125580718697E-2</v>
      </c>
      <c r="N73" s="76">
        <f>IFERROR(Inv_SY!N75/Inv_SY!$Y75-1,"")</f>
        <v>-0.1172821006233884</v>
      </c>
      <c r="O73" s="76">
        <f>IFERROR(Inv_SY!O75/Inv_SY!$Y75-1,"")</f>
        <v>3.7182517189012332E-2</v>
      </c>
      <c r="P73" s="76">
        <f>IFERROR(Inv_SY!P75/Inv_SY!$Y75-1,"")</f>
        <v>-8.767268661538119E-2</v>
      </c>
      <c r="Q73" s="76">
        <f>IFERROR(Inv_SY!Q75/Inv_SY!$Y75-1,"")</f>
        <v>0.3213635354513511</v>
      </c>
      <c r="R73" s="76">
        <f>IFERROR(Inv_SY!R75/Inv_SY!$Y75-1,"")</f>
        <v>5.725891708608799E-2</v>
      </c>
      <c r="S73" s="76">
        <f>IFERROR(Inv_SY!S75/Inv_SY!$Y75-1,"")</f>
        <v>-0.12246063374741178</v>
      </c>
      <c r="T73" s="76">
        <f>IFERROR(Inv_SY!T75/Inv_SY!$Y75-1,"")</f>
        <v>0.30180690082753259</v>
      </c>
      <c r="U73" s="76">
        <f>IFERROR(Inv_SY!U75/Inv_SY!$Y75-1,"")</f>
        <v>-0.12898923456737521</v>
      </c>
      <c r="V73" s="76">
        <f>IFERROR(Inv_SY!J75/Inv_SY!$Z75-1,"")</f>
        <v>2.2245842549724948E-2</v>
      </c>
      <c r="W73" s="76">
        <f>IFERROR(Inv_SY!K75/Inv_SY!$Z75-1,"")</f>
        <v>-0.15327907309089239</v>
      </c>
      <c r="X73" s="76">
        <f>IFERROR(Inv_SY!L75/Inv_SY!$Z75-1,"")</f>
        <v>4.9243494573285806E-2</v>
      </c>
      <c r="Y73" s="76">
        <f>IFERROR(Inv_SY!M75/Inv_SY!$Z75-1,"")</f>
        <v>1.5204504280210474E-2</v>
      </c>
      <c r="Z73" s="76">
        <f>IFERROR(Inv_SY!N75/Inv_SY!$Z75-1,"")</f>
        <v>-0.1277636860282434</v>
      </c>
      <c r="AA73" s="76">
        <f>IFERROR(Inv_SY!O75/Inv_SY!$Z75-1,"")</f>
        <v>2.4866785127822144E-2</v>
      </c>
      <c r="AB73" s="76">
        <f>IFERROR(Inv_SY!P75/Inv_SY!$Z75-1,"")</f>
        <v>-9.8505860678324897E-2</v>
      </c>
      <c r="AC73" s="76">
        <f>IFERROR(Inv_SY!Q75/Inv_SY!$Z75-1,"")</f>
        <v>0.30567337582337073</v>
      </c>
      <c r="AD73" s="76">
        <f>IFERROR(Inv_SY!R75/Inv_SY!$Z75-1,"")</f>
        <v>4.4704793461418646E-2</v>
      </c>
      <c r="AE73" s="76">
        <f>IFERROR(Inv_SY!S75/Inv_SY!$Z75-1,"")</f>
        <v>-0.13288072811730567</v>
      </c>
      <c r="AF73" s="76">
        <f>IFERROR(Inv_SY!T75/Inv_SY!$Z75-1,"")</f>
        <v>0.28634896095649376</v>
      </c>
      <c r="AG73" s="76">
        <f>IFERROR(Inv_SY!U75/Inv_SY!$Z75-1,"")</f>
        <v>-0.13933180690320035</v>
      </c>
      <c r="AH73" s="76">
        <f>IFERROR(Inv_SY!V75/Inv_SY!$Y75-1,"")</f>
        <v>-1.1469363661340881E-2</v>
      </c>
      <c r="AI73" s="76">
        <f>IFERROR(Inv_SY!W75/Inv_SY!$Y75-1,"")</f>
        <v>1.2016910138866743E-2</v>
      </c>
      <c r="AJ73" s="76">
        <f>IFERROR(Inv_SY!X75/Inv_SY!$Y75-1,"")</f>
        <v>-5.4754647752597307E-4</v>
      </c>
      <c r="AK73" s="76">
        <f>IFERROR(Inv_SY!V75/Inv_SY!$Z75-1,"")</f>
        <v>-2.3207392648196934E-2</v>
      </c>
      <c r="AL73" s="76">
        <f>IFERROR(Inv_SY!W75/Inv_SY!$Z75-1,"")</f>
        <v>0</v>
      </c>
      <c r="AM73" s="76">
        <f>IFERROR(Inv_SY!X75/Inv_SY!$Z75-1,"")</f>
        <v>-1.2415263510437424E-2</v>
      </c>
    </row>
    <row r="74" spans="1:39" x14ac:dyDescent="0.25">
      <c r="A74" s="173">
        <f>YEAR(Inv_SY_D[[#This Row],[Date]])+IF(MONTH(Inv_SY_D[[#This Row],[Date]])&gt;=4,1,0)</f>
        <v>2026</v>
      </c>
      <c r="B74" s="164">
        <v>4</v>
      </c>
      <c r="C74" s="123">
        <f>YEAR(Inv_SY_D[[#This Row],[Month Year]])</f>
        <v>2025</v>
      </c>
      <c r="D74" s="164" t="s">
        <v>4</v>
      </c>
      <c r="E74" s="164" t="s">
        <v>4</v>
      </c>
      <c r="F74" s="174" t="str">
        <f>TEXT(Inv_SY_D[[#This Row],[Date]],"mmm-yy")</f>
        <v>Jun-25</v>
      </c>
      <c r="G74" s="175">
        <f>DAY(EOMONTH(Inv_SY_D[[#This Row],[Month Year]],0))</f>
        <v>30</v>
      </c>
      <c r="H74" s="167">
        <f t="shared" si="1"/>
        <v>45817</v>
      </c>
      <c r="I74" s="124">
        <v>7.0991999999999997</v>
      </c>
      <c r="J74" s="76">
        <f>IFERROR(Inv_SY!J76/Inv_SY!$Y76-1,"")</f>
        <v>-3.4477654671890567E-3</v>
      </c>
      <c r="K74" s="76">
        <f>IFERROR(Inv_SY!K76/Inv_SY!$Y76-1,"")</f>
        <v>-0.17470568736763314</v>
      </c>
      <c r="L74" s="76">
        <f>IFERROR(Inv_SY!L76/Inv_SY!$Y76-1,"")</f>
        <v>-1.5713815522120367E-2</v>
      </c>
      <c r="M74" s="76">
        <f>IFERROR(Inv_SY!M76/Inv_SY!$Y76-1,"")</f>
        <v>0.15494888957116615</v>
      </c>
      <c r="N74" s="76">
        <f>IFERROR(Inv_SY!N76/Inv_SY!$Y76-1,"")</f>
        <v>-0.14410831862314766</v>
      </c>
      <c r="O74" s="76">
        <f>IFERROR(Inv_SY!O76/Inv_SY!$Y76-1,"")</f>
        <v>4.5682595853593355E-3</v>
      </c>
      <c r="P74" s="76">
        <f>IFERROR(Inv_SY!P76/Inv_SY!$Y76-1,"")</f>
        <v>-0.1464331841123887</v>
      </c>
      <c r="Q74" s="76">
        <f>IFERROR(Inv_SY!Q76/Inv_SY!$Y76-1,"")</f>
        <v>0.49880352759636004</v>
      </c>
      <c r="R74" s="76">
        <f>IFERROR(Inv_SY!R76/Inv_SY!$Y76-1,"")</f>
        <v>6.5770481986565432E-2</v>
      </c>
      <c r="S74" s="76">
        <f>IFERROR(Inv_SY!S76/Inv_SY!$Y76-1,"")</f>
        <v>-0.12088935463600314</v>
      </c>
      <c r="T74" s="76">
        <f>IFERROR(Inv_SY!T76/Inv_SY!$Y76-1,"")</f>
        <v>0.3059925334721405</v>
      </c>
      <c r="U74" s="76">
        <f>IFERROR(Inv_SY!U76/Inv_SY!$Y76-1,"")</f>
        <v>-0.1249179738523355</v>
      </c>
      <c r="V74" s="76">
        <f>IFERROR(Inv_SY!J76/Inv_SY!$Z76-1,"")</f>
        <v>-1.6922216004476964E-2</v>
      </c>
      <c r="W74" s="76">
        <f>IFERROR(Inv_SY!K76/Inv_SY!$Z76-1,"")</f>
        <v>-0.18586454789588536</v>
      </c>
      <c r="X74" s="76">
        <f>IFERROR(Inv_SY!L76/Inv_SY!$Z76-1,"")</f>
        <v>-2.9022415962417947E-2</v>
      </c>
      <c r="Y74" s="76">
        <f>IFERROR(Inv_SY!M76/Inv_SY!$Z76-1,"")</f>
        <v>0.13933274708876242</v>
      </c>
      <c r="Z74" s="76">
        <f>IFERROR(Inv_SY!N76/Inv_SY!$Z76-1,"")</f>
        <v>-0.15568088825507975</v>
      </c>
      <c r="AA74" s="76">
        <f>IFERROR(Inv_SY!O76/Inv_SY!$Z76-1,"")</f>
        <v>-9.0145761718231077E-3</v>
      </c>
      <c r="AB74" s="76">
        <f>IFERROR(Inv_SY!P76/Inv_SY!$Z76-1,"")</f>
        <v>-0.15797431907992976</v>
      </c>
      <c r="AC74" s="76">
        <f>IFERROR(Inv_SY!Q76/Inv_SY!$Z76-1,"")</f>
        <v>0.47853810316812861</v>
      </c>
      <c r="AD74" s="76">
        <f>IFERROR(Inv_SY!R76/Inv_SY!$Z76-1,"")</f>
        <v>5.1360126818015939E-2</v>
      </c>
      <c r="AE74" s="76">
        <f>IFERROR(Inv_SY!S76/Inv_SY!$Z76-1,"")</f>
        <v>-0.1327758694590957</v>
      </c>
      <c r="AF74" s="76">
        <f>IFERROR(Inv_SY!T76/Inv_SY!$Z76-1,"")</f>
        <v>0.28833411960827782</v>
      </c>
      <c r="AG74" s="76">
        <f>IFERROR(Inv_SY!U76/Inv_SY!$Z76-1,"")</f>
        <v>-0.13675001744102322</v>
      </c>
      <c r="AH74" s="76">
        <f>IFERROR(Inv_SY!V76/Inv_SY!$Y76-1,"")</f>
        <v>-1.7587014981965687E-2</v>
      </c>
      <c r="AI74" s="76">
        <f>IFERROR(Inv_SY!W76/Inv_SY!$Y76-1,"")</f>
        <v>1.3706393081657886E-2</v>
      </c>
      <c r="AJ74" s="76">
        <f>IFERROR(Inv_SY!X76/Inv_SY!$Y76-1,"")</f>
        <v>3.8806219003080233E-3</v>
      </c>
      <c r="AK74" s="76">
        <f>IFERROR(Inv_SY!V76/Inv_SY!$Z76-1,"")</f>
        <v>-3.0870287764973026E-2</v>
      </c>
      <c r="AL74" s="76">
        <f>IFERROR(Inv_SY!W76/Inv_SY!$Z76-1,"")</f>
        <v>0</v>
      </c>
      <c r="AM74" s="76">
        <f>IFERROR(Inv_SY!X76/Inv_SY!$Z76-1,"")</f>
        <v>-9.6929162609695751E-3</v>
      </c>
    </row>
    <row r="75" spans="1:39" x14ac:dyDescent="0.25">
      <c r="A75" s="173">
        <f>YEAR(Inv_SY_D[[#This Row],[Date]])+IF(MONTH(Inv_SY_D[[#This Row],[Date]])&gt;=4,1,0)</f>
        <v>2026</v>
      </c>
      <c r="B75" s="164">
        <v>4</v>
      </c>
      <c r="C75" s="123">
        <f>YEAR(Inv_SY_D[[#This Row],[Month Year]])</f>
        <v>2025</v>
      </c>
      <c r="D75" s="164" t="s">
        <v>4</v>
      </c>
      <c r="E75" s="164" t="s">
        <v>4</v>
      </c>
      <c r="F75" s="174" t="str">
        <f>TEXT(Inv_SY_D[[#This Row],[Date]],"mmm-yy")</f>
        <v>Jun-25</v>
      </c>
      <c r="G75" s="175">
        <f>DAY(EOMONTH(Inv_SY_D[[#This Row],[Month Year]],0))</f>
        <v>30</v>
      </c>
      <c r="H75" s="167">
        <f t="shared" si="1"/>
        <v>45818</v>
      </c>
      <c r="I75" s="124">
        <v>7.0991999999999997</v>
      </c>
      <c r="J75" s="76">
        <f>IFERROR(Inv_SY!J77/Inv_SY!$Y77-1,"")</f>
        <v>0.1632647302477801</v>
      </c>
      <c r="K75" s="76">
        <f>IFERROR(Inv_SY!K77/Inv_SY!$Y77-1,"")</f>
        <v>-0.17117663431034535</v>
      </c>
      <c r="L75" s="76">
        <f>IFERROR(Inv_SY!L77/Inv_SY!$Y77-1,"")</f>
        <v>-1.1718944614740101E-2</v>
      </c>
      <c r="M75" s="76">
        <f>IFERROR(Inv_SY!M77/Inv_SY!$Y77-1,"")</f>
        <v>-6.7341748789557787E-3</v>
      </c>
      <c r="N75" s="76">
        <f>IFERROR(Inv_SY!N77/Inv_SY!$Y77-1,"")</f>
        <v>-2.3534514705503495E-2</v>
      </c>
      <c r="O75" s="76">
        <f>IFERROR(Inv_SY!O77/Inv_SY!$Y77-1,"")</f>
        <v>1.6310121149335055E-2</v>
      </c>
      <c r="P75" s="76">
        <f>IFERROR(Inv_SY!P77/Inv_SY!$Y77-1,"")</f>
        <v>-0.13631405591852963</v>
      </c>
      <c r="Q75" s="76">
        <f>IFERROR(Inv_SY!Q77/Inv_SY!$Y77-1,"")</f>
        <v>0.29811914953954721</v>
      </c>
      <c r="R75" s="76">
        <f>IFERROR(Inv_SY!R77/Inv_SY!$Y77-1,"")</f>
        <v>5.9514076550327921E-2</v>
      </c>
      <c r="S75" s="76">
        <f>IFERROR(Inv_SY!S77/Inv_SY!$Y77-1,"")</f>
        <v>-0.124833429039377</v>
      </c>
      <c r="T75" s="76">
        <f>IFERROR(Inv_SY!T77/Inv_SY!$Y77-1,"")</f>
        <v>0.30024231944387725</v>
      </c>
      <c r="U75" s="76">
        <f>IFERROR(Inv_SY!U77/Inv_SY!$Y77-1,"")</f>
        <v>-0.12920653670326887</v>
      </c>
      <c r="V75" s="76">
        <f>IFERROR(Inv_SY!J77/Inv_SY!$Z77-1,"")</f>
        <v>0.14552587088968871</v>
      </c>
      <c r="W75" s="76">
        <f>IFERROR(Inv_SY!K77/Inv_SY!$Z77-1,"")</f>
        <v>-0.18381552959735104</v>
      </c>
      <c r="X75" s="76">
        <f>IFERROR(Inv_SY!L77/Inv_SY!$Z77-1,"")</f>
        <v>-2.6789442491875093E-2</v>
      </c>
      <c r="Y75" s="76">
        <f>IFERROR(Inv_SY!M77/Inv_SY!$Z77-1,"")</f>
        <v>-2.1880686518887971E-2</v>
      </c>
      <c r="Z75" s="76">
        <f>IFERROR(Inv_SY!N77/Inv_SY!$Z77-1,"")</f>
        <v>-3.8424834562428734E-2</v>
      </c>
      <c r="AA75" s="76">
        <f>IFERROR(Inv_SY!O77/Inv_SY!$Z77-1,"")</f>
        <v>8.1220237427448438E-4</v>
      </c>
      <c r="AB75" s="76">
        <f>IFERROR(Inv_SY!P77/Inv_SY!$Z77-1,"")</f>
        <v>-0.14948457772086954</v>
      </c>
      <c r="AC75" s="76">
        <f>IFERROR(Inv_SY!Q77/Inv_SY!$Z77-1,"")</f>
        <v>0.27832386784230012</v>
      </c>
      <c r="AD75" s="76">
        <f>IFERROR(Inv_SY!R77/Inv_SY!$Z77-1,"")</f>
        <v>4.3357331913326025E-2</v>
      </c>
      <c r="AE75" s="76">
        <f>IFERROR(Inv_SY!S77/Inv_SY!$Z77-1,"")</f>
        <v>-0.13817902124508818</v>
      </c>
      <c r="AF75" s="76">
        <f>IFERROR(Inv_SY!T77/Inv_SY!$Z77-1,"")</f>
        <v>0.28041466109895308</v>
      </c>
      <c r="AG75" s="76">
        <f>IFERROR(Inv_SY!U77/Inv_SY!$Z77-1,"")</f>
        <v>-0.14248544250493933</v>
      </c>
      <c r="AH75" s="76">
        <f>IFERROR(Inv_SY!V77/Inv_SY!$Y77-1,"")</f>
        <v>-1.4430704566686381E-2</v>
      </c>
      <c r="AI75" s="76">
        <f>IFERROR(Inv_SY!W77/Inv_SY!$Y77-1,"")</f>
        <v>1.5485341543892028E-2</v>
      </c>
      <c r="AJ75" s="76">
        <f>IFERROR(Inv_SY!X77/Inv_SY!$Y77-1,"")</f>
        <v>-1.0546369772057584E-3</v>
      </c>
      <c r="AK75" s="76">
        <f>IFERROR(Inv_SY!V77/Inv_SY!$Z77-1,"")</f>
        <v>-2.9459850267356535E-2</v>
      </c>
      <c r="AL75" s="76">
        <f>IFERROR(Inv_SY!W77/Inv_SY!$Z77-1,"")</f>
        <v>0</v>
      </c>
      <c r="AM75" s="76">
        <f>IFERROR(Inv_SY!X77/Inv_SY!$Z77-1,"")</f>
        <v>-1.6287757040344242E-2</v>
      </c>
    </row>
    <row r="76" spans="1:39" x14ac:dyDescent="0.25">
      <c r="A76" s="173">
        <f>YEAR(Inv_SY_D[[#This Row],[Date]])+IF(MONTH(Inv_SY_D[[#This Row],[Date]])&gt;=4,1,0)</f>
        <v>2026</v>
      </c>
      <c r="B76" s="164">
        <v>4</v>
      </c>
      <c r="C76" s="123">
        <f>YEAR(Inv_SY_D[[#This Row],[Month Year]])</f>
        <v>2025</v>
      </c>
      <c r="D76" s="164" t="s">
        <v>4</v>
      </c>
      <c r="E76" s="164" t="s">
        <v>4</v>
      </c>
      <c r="F76" s="174" t="str">
        <f>TEXT(Inv_SY_D[[#This Row],[Date]],"mmm-yy")</f>
        <v>Jun-25</v>
      </c>
      <c r="G76" s="175">
        <f>DAY(EOMONTH(Inv_SY_D[[#This Row],[Month Year]],0))</f>
        <v>30</v>
      </c>
      <c r="H76" s="167">
        <f t="shared" si="1"/>
        <v>45819</v>
      </c>
      <c r="I76" s="124">
        <v>7.0991999999999997</v>
      </c>
      <c r="J76" s="76">
        <f>IFERROR(Inv_SY!J78/Inv_SY!$Y78-1,"")</f>
        <v>6.0981919171724241E-2</v>
      </c>
      <c r="K76" s="76">
        <f>IFERROR(Inv_SY!K78/Inv_SY!$Y78-1,"")</f>
        <v>-0.10014441762020665</v>
      </c>
      <c r="L76" s="76">
        <f>IFERROR(Inv_SY!L78/Inv_SY!$Y78-1,"")</f>
        <v>5.3655088459862554E-2</v>
      </c>
      <c r="M76" s="76">
        <f>IFERROR(Inv_SY!M78/Inv_SY!$Y78-1,"")</f>
        <v>5.3641825427393153E-2</v>
      </c>
      <c r="N76" s="76">
        <f>IFERROR(Inv_SY!N78/Inv_SY!$Y78-1,"")</f>
        <v>-7.7784223939547092E-2</v>
      </c>
      <c r="O76" s="76">
        <f>IFERROR(Inv_SY!O78/Inv_SY!$Y78-1,"")</f>
        <v>0.10679243332074129</v>
      </c>
      <c r="P76" s="76">
        <f>IFERROR(Inv_SY!P78/Inv_SY!$Y78-1,"")</f>
        <v>-7.7768687729902308E-2</v>
      </c>
      <c r="Q76" s="76">
        <f>IFERROR(Inv_SY!Q78/Inv_SY!$Y78-1,"")</f>
        <v>0.37974381986974293</v>
      </c>
      <c r="R76" s="76">
        <f>IFERROR(Inv_SY!R78/Inv_SY!$Y78-1,"")</f>
        <v>-1.1211487399506392E-2</v>
      </c>
      <c r="S76" s="76">
        <f>IFERROR(Inv_SY!S78/Inv_SY!$Y78-1,"")</f>
        <v>-0.1793108969846946</v>
      </c>
      <c r="T76" s="76">
        <f>IFERROR(Inv_SY!T78/Inv_SY!$Y78-1,"")</f>
        <v>0.21656478223079567</v>
      </c>
      <c r="U76" s="76">
        <f>IFERROR(Inv_SY!U78/Inv_SY!$Y78-1,"")</f>
        <v>-0.18527196387312983</v>
      </c>
      <c r="V76" s="76">
        <f>IFERROR(Inv_SY!J78/Inv_SY!$Z78-1,"")</f>
        <v>6.6233248696161429E-3</v>
      </c>
      <c r="W76" s="76">
        <f>IFERROR(Inv_SY!K78/Inv_SY!$Z78-1,"")</f>
        <v>-0.14624782772474154</v>
      </c>
      <c r="X76" s="76">
        <f>IFERROR(Inv_SY!L78/Inv_SY!$Z78-1,"")</f>
        <v>-3.2812129422499225E-4</v>
      </c>
      <c r="Y76" s="76">
        <f>IFERROR(Inv_SY!M78/Inv_SY!$Z78-1,"")</f>
        <v>-3.4070480540548953E-4</v>
      </c>
      <c r="Z76" s="76">
        <f>IFERROR(Inv_SY!N78/Inv_SY!$Z78-1,"")</f>
        <v>-0.12503324140537653</v>
      </c>
      <c r="AA76" s="76">
        <f>IFERROR(Inv_SY!O78/Inv_SY!$Z78-1,"")</f>
        <v>5.0086772486772402E-2</v>
      </c>
      <c r="AB76" s="76">
        <f>IFERROR(Inv_SY!P78/Inv_SY!$Z78-1,"")</f>
        <v>-0.12501850118150848</v>
      </c>
      <c r="AC76" s="76">
        <f>IFERROR(Inv_SY!Q78/Inv_SY!$Z78-1,"")</f>
        <v>0.30905370424205025</v>
      </c>
      <c r="AD76" s="76">
        <f>IFERROR(Inv_SY!R78/Inv_SY!$Z78-1,"")</f>
        <v>-6.1871307925944308E-2</v>
      </c>
      <c r="AE76" s="76">
        <f>IFERROR(Inv_SY!S78/Inv_SY!$Z78-1,"")</f>
        <v>-0.22135827328098145</v>
      </c>
      <c r="AF76" s="76">
        <f>IFERROR(Inv_SY!T78/Inv_SY!$Z78-1,"")</f>
        <v>0.15423501935308082</v>
      </c>
      <c r="AG76" s="76">
        <f>IFERROR(Inv_SY!U78/Inv_SY!$Z78-1,"")</f>
        <v>-0.22701392948263588</v>
      </c>
      <c r="AH76" s="76">
        <f>IFERROR(Inv_SY!V78/Inv_SY!$Y78-1,"")</f>
        <v>1.1421775691891511E-2</v>
      </c>
      <c r="AI76" s="76">
        <f>IFERROR(Inv_SY!W78/Inv_SY!$Y78-1,"")</f>
        <v>5.4000928608672005E-2</v>
      </c>
      <c r="AJ76" s="76">
        <f>IFERROR(Inv_SY!X78/Inv_SY!$Y78-1,"")</f>
        <v>-6.5422704300563517E-2</v>
      </c>
      <c r="AK76" s="76">
        <f>IFERROR(Inv_SY!V78/Inv_SY!$Z78-1,"")</f>
        <v>-4.0397642697513558E-2</v>
      </c>
      <c r="AL76" s="76">
        <f>IFERROR(Inv_SY!W78/Inv_SY!$Z78-1,"")</f>
        <v>0</v>
      </c>
      <c r="AM76" s="76">
        <f>IFERROR(Inv_SY!X78/Inv_SY!$Z78-1,"")</f>
        <v>-0.11330505473736152</v>
      </c>
    </row>
    <row r="77" spans="1:39" x14ac:dyDescent="0.25">
      <c r="A77" s="173">
        <f>YEAR(Inv_SY_D[[#This Row],[Date]])+IF(MONTH(Inv_SY_D[[#This Row],[Date]])&gt;=4,1,0)</f>
        <v>2026</v>
      </c>
      <c r="B77" s="164">
        <v>4</v>
      </c>
      <c r="C77" s="123">
        <f>YEAR(Inv_SY_D[[#This Row],[Month Year]])</f>
        <v>2025</v>
      </c>
      <c r="D77" s="164" t="s">
        <v>4</v>
      </c>
      <c r="E77" s="164" t="s">
        <v>4</v>
      </c>
      <c r="F77" s="174" t="str">
        <f>TEXT(Inv_SY_D[[#This Row],[Date]],"mmm-yy")</f>
        <v>Jun-25</v>
      </c>
      <c r="G77" s="175">
        <f>DAY(EOMONTH(Inv_SY_D[[#This Row],[Month Year]],0))</f>
        <v>30</v>
      </c>
      <c r="H77" s="176">
        <f t="shared" ref="H77:H140" si="2">H76+1</f>
        <v>45820</v>
      </c>
      <c r="I77" s="124">
        <v>7.0991999999999997</v>
      </c>
      <c r="J77" s="177">
        <f>IFERROR(Inv_SY!J79/Inv_SY!$Y79-1,"")</f>
        <v>5.4914588912532203E-2</v>
      </c>
      <c r="K77" s="177">
        <f>IFERROR(Inv_SY!K79/Inv_SY!$Y79-1,"")</f>
        <v>-0.12603450945089067</v>
      </c>
      <c r="L77" s="177">
        <f>IFERROR(Inv_SY!L79/Inv_SY!$Y79-1,"")</f>
        <v>0.12360928702329499</v>
      </c>
      <c r="M77" s="177">
        <f>IFERROR(Inv_SY!M79/Inv_SY!$Y79-1,"")</f>
        <v>4.7919134078894476E-2</v>
      </c>
      <c r="N77" s="177">
        <f>IFERROR(Inv_SY!N79/Inv_SY!$Y79-1,"")</f>
        <v>-9.2627451623049084E-2</v>
      </c>
      <c r="O77" s="177">
        <f>IFERROR(Inv_SY!O79/Inv_SY!$Y79-1,"")</f>
        <v>6.4638271131288283E-2</v>
      </c>
      <c r="P77" s="177">
        <f>IFERROR(Inv_SY!P79/Inv_SY!$Y79-1,"")</f>
        <v>-2.6782181364773283E-2</v>
      </c>
      <c r="Q77" s="177">
        <f>IFERROR(Inv_SY!Q79/Inv_SY!$Y79-1,"")</f>
        <v>0.35842461784520641</v>
      </c>
      <c r="R77" s="177">
        <f>IFERROR(Inv_SY!R79/Inv_SY!$Y79-1,"")</f>
        <v>-1.3566640158237164E-2</v>
      </c>
      <c r="S77" s="177">
        <f>IFERROR(Inv_SY!S79/Inv_SY!$Y79-1,"")</f>
        <v>-0.1818666732596419</v>
      </c>
      <c r="T77" s="177">
        <f>IFERROR(Inv_SY!T79/Inv_SY!$Y79-1,"")</f>
        <v>0.21384034294635446</v>
      </c>
      <c r="U77" s="177">
        <f>IFERROR(Inv_SY!U79/Inv_SY!$Y79-1,"")</f>
        <v>-0.18725154295902668</v>
      </c>
      <c r="V77" s="177">
        <f>IFERROR(Inv_SY!J79/Inv_SY!$Z79-1,"")</f>
        <v>4.7062095217684785E-3</v>
      </c>
      <c r="W77" s="177">
        <f>IFERROR(Inv_SY!K79/Inv_SY!$Z79-1,"")</f>
        <v>-0.16763066461370735</v>
      </c>
      <c r="X77" s="177">
        <f>IFERROR(Inv_SY!L79/Inv_SY!$Z79-1,"")</f>
        <v>7.0131401739703669E-2</v>
      </c>
      <c r="Y77" s="177">
        <f>IFERROR(Inv_SY!M79/Inv_SY!$Z79-1,"")</f>
        <v>-1.9562984989330845E-3</v>
      </c>
      <c r="Z77" s="177">
        <f>IFERROR(Inv_SY!N79/Inv_SY!$Z79-1,"")</f>
        <v>-0.1358136068212985</v>
      </c>
      <c r="AA77" s="177">
        <f>IFERROR(Inv_SY!O79/Inv_SY!$Z79-1,"")</f>
        <v>1.3967095670543328E-2</v>
      </c>
      <c r="AB77" s="177">
        <f>IFERROR(Inv_SY!P79/Inv_SY!$Z79-1,"")</f>
        <v>-7.3102224694784113E-2</v>
      </c>
      <c r="AC77" s="177">
        <f>IFERROR(Inv_SY!Q79/Inv_SY!$Z79-1,"")</f>
        <v>0.29377075932113916</v>
      </c>
      <c r="AD77" s="177">
        <f>IFERROR(Inv_SY!R79/Inv_SY!$Z79-1,"")</f>
        <v>-6.0515673658377289E-2</v>
      </c>
      <c r="AE77" s="177">
        <f>IFERROR(Inv_SY!S79/Inv_SY!$Z79-1,"")</f>
        <v>-0.22080551142999305</v>
      </c>
      <c r="AF77" s="177">
        <f>IFERROR(Inv_SY!T79/Inv_SY!$Z79-1,"")</f>
        <v>0.15606793454569812</v>
      </c>
      <c r="AG77" s="177">
        <f>IFERROR(Inv_SY!U79/Inv_SY!$Z79-1,"")</f>
        <v>-0.22593408968770268</v>
      </c>
      <c r="AH77" s="177">
        <f>IFERROR(Inv_SY!V79/Inv_SY!$Y79-1,"")</f>
        <v>1.7825184792115811E-2</v>
      </c>
      <c r="AI77" s="177">
        <f>IFERROR(Inv_SY!W79/Inv_SY!$Y79-1,"")</f>
        <v>4.9973195064318965E-2</v>
      </c>
      <c r="AJ77" s="177">
        <f>IFERROR(Inv_SY!X79/Inv_SY!$Y79-1,"")</f>
        <v>-6.7798379856434554E-2</v>
      </c>
      <c r="AK77" s="177">
        <f>IFERROR(Inv_SY!V79/Inv_SY!$Z79-1,"")</f>
        <v>-3.0617934270439795E-2</v>
      </c>
      <c r="AL77" s="177">
        <f>IFERROR(Inv_SY!W79/Inv_SY!$Z79-1,"")</f>
        <v>0</v>
      </c>
      <c r="AM77" s="177">
        <f>IFERROR(Inv_SY!X79/Inv_SY!$Z79-1,"")</f>
        <v>-0.11216626812414865</v>
      </c>
    </row>
    <row r="78" spans="1:39" x14ac:dyDescent="0.25">
      <c r="A78" s="173">
        <f>YEAR(Inv_SY_D[[#This Row],[Date]])+IF(MONTH(Inv_SY_D[[#This Row],[Date]])&gt;=4,1,0)</f>
        <v>2026</v>
      </c>
      <c r="B78" s="164">
        <v>4</v>
      </c>
      <c r="C78" s="123">
        <f>YEAR(Inv_SY_D[[#This Row],[Month Year]])</f>
        <v>2025</v>
      </c>
      <c r="D78" s="164" t="s">
        <v>4</v>
      </c>
      <c r="E78" s="164" t="s">
        <v>4</v>
      </c>
      <c r="F78" s="174" t="str">
        <f>TEXT(Inv_SY_D[[#This Row],[Date]],"mmm-yy")</f>
        <v>Jun-25</v>
      </c>
      <c r="G78" s="175">
        <f>DAY(EOMONTH(Inv_SY_D[[#This Row],[Month Year]],0))</f>
        <v>30</v>
      </c>
      <c r="H78" s="176">
        <f t="shared" si="2"/>
        <v>45821</v>
      </c>
      <c r="I78" s="124">
        <v>7.0991999999999997</v>
      </c>
      <c r="J78" s="177">
        <f>IFERROR(Inv_SY!J80/Inv_SY!$Y80-1,"")</f>
        <v>5.8825560377707031E-2</v>
      </c>
      <c r="K78" s="177">
        <f>IFERROR(Inv_SY!K80/Inv_SY!$Y80-1,"")</f>
        <v>-0.12277051941053341</v>
      </c>
      <c r="L78" s="177">
        <f>IFERROR(Inv_SY!L80/Inv_SY!$Y80-1,"")</f>
        <v>5.1166814959743956E-2</v>
      </c>
      <c r="M78" s="177">
        <f>IFERROR(Inv_SY!M80/Inv_SY!$Y80-1,"")</f>
        <v>0.1174076129144459</v>
      </c>
      <c r="N78" s="177">
        <f>IFERROR(Inv_SY!N80/Inv_SY!$Y80-1,"")</f>
        <v>-9.5154978988926664E-2</v>
      </c>
      <c r="O78" s="177">
        <f>IFERROR(Inv_SY!O80/Inv_SY!$Y80-1,"")</f>
        <v>6.2242329083455283E-2</v>
      </c>
      <c r="P78" s="177">
        <f>IFERROR(Inv_SY!P80/Inv_SY!$Y80-1,"")</f>
        <v>-9.5189370218638603E-2</v>
      </c>
      <c r="Q78" s="177">
        <f>IFERROR(Inv_SY!Q80/Inv_SY!$Y80-1,"")</f>
        <v>0.43912950638873749</v>
      </c>
      <c r="R78" s="177">
        <f>IFERROR(Inv_SY!R80/Inv_SY!$Y80-1,"")</f>
        <v>-9.732338165098775E-3</v>
      </c>
      <c r="S78" s="177">
        <f>IFERROR(Inv_SY!S80/Inv_SY!$Y80-1,"")</f>
        <v>-0.17837204155419673</v>
      </c>
      <c r="T78" s="177">
        <f>IFERROR(Inv_SY!T80/Inv_SY!$Y80-1,"")</f>
        <v>0.2195770119045608</v>
      </c>
      <c r="U78" s="177">
        <f>IFERROR(Inv_SY!U80/Inv_SY!$Y80-1,"")</f>
        <v>-0.18356200547840884</v>
      </c>
      <c r="V78" s="177">
        <f>IFERROR(Inv_SY!J80/Inv_SY!$Z80-1,"")</f>
        <v>1.3524412509865691E-2</v>
      </c>
      <c r="W78" s="177">
        <f>IFERROR(Inv_SY!K80/Inv_SY!$Z80-1,"")</f>
        <v>-0.16030219969981263</v>
      </c>
      <c r="X78" s="177">
        <f>IFERROR(Inv_SY!L80/Inv_SY!$Z80-1,"")</f>
        <v>6.1933414243371399E-3</v>
      </c>
      <c r="Y78" s="177">
        <f>IFERROR(Inv_SY!M80/Inv_SY!$Z80-1,"")</f>
        <v>6.9600070864524355E-2</v>
      </c>
      <c r="Z78" s="177">
        <f>IFERROR(Inv_SY!N80/Inv_SY!$Z80-1,"")</f>
        <v>-0.1338681718208794</v>
      </c>
      <c r="AA78" s="177">
        <f>IFERROR(Inv_SY!O80/Inv_SY!$Z80-1,"")</f>
        <v>1.6794997037443915E-2</v>
      </c>
      <c r="AB78" s="177">
        <f>IFERROR(Inv_SY!P80/Inv_SY!$Z80-1,"")</f>
        <v>-0.13390109164468578</v>
      </c>
      <c r="AC78" s="177">
        <f>IFERROR(Inv_SY!Q80/Inv_SY!$Z80-1,"")</f>
        <v>0.37755730695426837</v>
      </c>
      <c r="AD78" s="177">
        <f>IFERROR(Inv_SY!R80/Inv_SY!$Z80-1,"")</f>
        <v>-5.2100281909790436E-2</v>
      </c>
      <c r="AE78" s="177">
        <f>IFERROR(Inv_SY!S80/Inv_SY!$Z80-1,"")</f>
        <v>-0.2135248476732976</v>
      </c>
      <c r="AF78" s="177">
        <f>IFERROR(Inv_SY!T80/Inv_SY!$Z80-1,"")</f>
        <v>0.16739822002424365</v>
      </c>
      <c r="AG78" s="177">
        <f>IFERROR(Inv_SY!U80/Inv_SY!$Z80-1,"")</f>
        <v>-0.21849276244044591</v>
      </c>
      <c r="AH78" s="177">
        <f>IFERROR(Inv_SY!V80/Inv_SY!$Y80-1,"")</f>
        <v>1.904128074675171E-2</v>
      </c>
      <c r="AI78" s="177">
        <f>IFERROR(Inv_SY!W80/Inv_SY!$Y80-1,"")</f>
        <v>4.4696651909605922E-2</v>
      </c>
      <c r="AJ78" s="177">
        <f>IFERROR(Inv_SY!X80/Inv_SY!$Y80-1,"")</f>
        <v>-6.3737932656357299E-2</v>
      </c>
      <c r="AK78" s="177">
        <f>IFERROR(Inv_SY!V80/Inv_SY!$Z80-1,"")</f>
        <v>-2.4557723159118527E-2</v>
      </c>
      <c r="AL78" s="177">
        <f>IFERROR(Inv_SY!W80/Inv_SY!$Z80-1,"")</f>
        <v>0</v>
      </c>
      <c r="AM78" s="177">
        <f>IFERROR(Inv_SY!X80/Inv_SY!$Z80-1,"")</f>
        <v>-0.10379528293476881</v>
      </c>
    </row>
    <row r="79" spans="1:39" x14ac:dyDescent="0.25">
      <c r="A79" s="173">
        <f>YEAR(Inv_SY_D[[#This Row],[Date]])+IF(MONTH(Inv_SY_D[[#This Row],[Date]])&gt;=4,1,0)</f>
        <v>2026</v>
      </c>
      <c r="B79" s="164">
        <v>4</v>
      </c>
      <c r="C79" s="123">
        <f>YEAR(Inv_SY_D[[#This Row],[Month Year]])</f>
        <v>2025</v>
      </c>
      <c r="D79" s="164" t="s">
        <v>4</v>
      </c>
      <c r="E79" s="164" t="s">
        <v>4</v>
      </c>
      <c r="F79" s="174" t="str">
        <f>TEXT(Inv_SY_D[[#This Row],[Date]],"mmm-yy")</f>
        <v>Jun-25</v>
      </c>
      <c r="G79" s="175">
        <f>DAY(EOMONTH(Inv_SY_D[[#This Row],[Month Year]],0))</f>
        <v>30</v>
      </c>
      <c r="H79" s="176">
        <f t="shared" si="2"/>
        <v>45822</v>
      </c>
      <c r="I79" s="124">
        <v>7.0991999999999997</v>
      </c>
      <c r="J79" s="177">
        <f>IFERROR(Inv_SY!J81/Inv_SY!$Y81-1,"")</f>
        <v>7.4213061608081166E-2</v>
      </c>
      <c r="K79" s="177">
        <f>IFERROR(Inv_SY!K81/Inv_SY!$Y81-1,"")</f>
        <v>-0.14172371088343527</v>
      </c>
      <c r="L79" s="177">
        <f>IFERROR(Inv_SY!L81/Inv_SY!$Y81-1,"")</f>
        <v>2.97903533039241E-2</v>
      </c>
      <c r="M79" s="177">
        <f>IFERROR(Inv_SY!M81/Inv_SY!$Y81-1,"")</f>
        <v>2.9238815663479745E-2</v>
      </c>
      <c r="N79" s="177">
        <f>IFERROR(Inv_SY!N81/Inv_SY!$Y81-1,"")</f>
        <v>-7.7569431912396736E-2</v>
      </c>
      <c r="O79" s="177">
        <f>IFERROR(Inv_SY!O81/Inv_SY!$Y81-1,"")</f>
        <v>4.3892746510358238E-2</v>
      </c>
      <c r="P79" s="177">
        <f>IFERROR(Inv_SY!P81/Inv_SY!$Y81-1,"")</f>
        <v>-0.11015070636721969</v>
      </c>
      <c r="Q79" s="177">
        <f>IFERROR(Inv_SY!Q81/Inv_SY!$Y81-1,"")</f>
        <v>0.33144042744591795</v>
      </c>
      <c r="R79" s="177">
        <f>IFERROR(Inv_SY!R81/Inv_SY!$Y81-1,"")</f>
        <v>4.5175233179623353E-2</v>
      </c>
      <c r="S79" s="177">
        <f>IFERROR(Inv_SY!S81/Inv_SY!$Y81-1,"")</f>
        <v>-0.1324263539202688</v>
      </c>
      <c r="T79" s="177">
        <f>IFERROR(Inv_SY!T81/Inv_SY!$Y81-1,"")</f>
        <v>0.28761338878395648</v>
      </c>
      <c r="U79" s="177">
        <f>IFERROR(Inv_SY!U81/Inv_SY!$Y81-1,"")</f>
        <v>-0.13855664318300198</v>
      </c>
      <c r="V79" s="177">
        <f>IFERROR(Inv_SY!J81/Inv_SY!$Z81-1,"")</f>
        <v>5.2626568920737471E-2</v>
      </c>
      <c r="W79" s="177">
        <f>IFERROR(Inv_SY!K81/Inv_SY!$Z81-1,"")</f>
        <v>-0.15897091770011673</v>
      </c>
      <c r="X79" s="177">
        <f>IFERROR(Inv_SY!L81/Inv_SY!$Z81-1,"")</f>
        <v>9.0965424338393941E-3</v>
      </c>
      <c r="Y79" s="177">
        <f>IFERROR(Inv_SY!M81/Inv_SY!$Z81-1,"")</f>
        <v>8.5560880353214852E-3</v>
      </c>
      <c r="Z79" s="177">
        <f>IFERROR(Inv_SY!N81/Inv_SY!$Z81-1,"")</f>
        <v>-9.6105829787504815E-2</v>
      </c>
      <c r="AA79" s="177">
        <f>IFERROR(Inv_SY!O81/Inv_SY!$Z81-1,"")</f>
        <v>2.2915545669787596E-2</v>
      </c>
      <c r="AB79" s="177">
        <f>IFERROR(Inv_SY!P81/Inv_SY!$Z81-1,"")</f>
        <v>-0.12803237803586132</v>
      </c>
      <c r="AC79" s="177">
        <f>IFERROR(Inv_SY!Q81/Inv_SY!$Z81-1,"")</f>
        <v>0.30468490744910293</v>
      </c>
      <c r="AD79" s="177">
        <f>IFERROR(Inv_SY!R81/Inv_SY!$Z81-1,"")</f>
        <v>2.4172260553084968E-2</v>
      </c>
      <c r="AE79" s="177">
        <f>IFERROR(Inv_SY!S81/Inv_SY!$Z81-1,"")</f>
        <v>-0.14986039269354245</v>
      </c>
      <c r="AF79" s="177">
        <f>IFERROR(Inv_SY!T81/Inv_SY!$Z81-1,"")</f>
        <v>0.26173858052245391</v>
      </c>
      <c r="AG79" s="177">
        <f>IFERROR(Inv_SY!U81/Inv_SY!$Z81-1,"")</f>
        <v>-0.15586749275939205</v>
      </c>
      <c r="AH79" s="177">
        <f>IFERROR(Inv_SY!V81/Inv_SY!$Y81-1,"")</f>
        <v>-8.7973150045119741E-3</v>
      </c>
      <c r="AI79" s="177">
        <f>IFERROR(Inv_SY!W81/Inv_SY!$Y81-1,"")</f>
        <v>2.0507265657826235E-2</v>
      </c>
      <c r="AJ79" s="177">
        <f>IFERROR(Inv_SY!X81/Inv_SY!$Y81-1,"")</f>
        <v>-1.1709950653314261E-2</v>
      </c>
      <c r="AK79" s="177">
        <f>IFERROR(Inv_SY!V81/Inv_SY!$Z81-1,"")</f>
        <v>-2.8715700170393488E-2</v>
      </c>
      <c r="AL79" s="177">
        <f>IFERROR(Inv_SY!W81/Inv_SY!$Z81-1,"")</f>
        <v>0</v>
      </c>
      <c r="AM79" s="177">
        <f>IFERROR(Inv_SY!X81/Inv_SY!$Z81-1,"")</f>
        <v>-3.1569805914486104E-2</v>
      </c>
    </row>
    <row r="80" spans="1:39" x14ac:dyDescent="0.25">
      <c r="A80" s="173">
        <f>YEAR(Inv_SY_D[[#This Row],[Date]])+IF(MONTH(Inv_SY_D[[#This Row],[Date]])&gt;=4,1,0)</f>
        <v>2026</v>
      </c>
      <c r="B80" s="173">
        <v>4</v>
      </c>
      <c r="C80" s="173">
        <f>YEAR(Inv_SY_D[[#This Row],[Month Year]])</f>
        <v>2025</v>
      </c>
      <c r="D80" s="173" t="s">
        <v>4</v>
      </c>
      <c r="E80" s="173" t="s">
        <v>4</v>
      </c>
      <c r="F80" s="174" t="str">
        <f>TEXT(Inv_SY_D[[#This Row],[Date]],"mmm-yy")</f>
        <v>Jun-25</v>
      </c>
      <c r="G80" s="175">
        <f>DAY(EOMONTH(Inv_SY_D[[#This Row],[Month Year]],0))</f>
        <v>30</v>
      </c>
      <c r="H80" s="176">
        <f t="shared" si="2"/>
        <v>45823</v>
      </c>
      <c r="I80" s="178">
        <v>7.0991999999999997</v>
      </c>
      <c r="J80" s="177">
        <f>IFERROR(Inv_SY!J82/Inv_SY!$Y82-1,"")</f>
        <v>7.6000235199134014E-3</v>
      </c>
      <c r="K80" s="177">
        <f>IFERROR(Inv_SY!K82/Inv_SY!$Y82-1,"")</f>
        <v>-7.6794404581319919E-2</v>
      </c>
      <c r="L80" s="177">
        <f>IFERROR(Inv_SY!L82/Inv_SY!$Y82-1,"")</f>
        <v>1.7216563380391126E-3</v>
      </c>
      <c r="M80" s="177">
        <f>IFERROR(Inv_SY!M82/Inv_SY!$Y82-1,"")</f>
        <v>2.7778780808906944E-4</v>
      </c>
      <c r="N80" s="177">
        <f>IFERROR(Inv_SY!N82/Inv_SY!$Y82-1,"")</f>
        <v>-0.12927610899738029</v>
      </c>
      <c r="O80" s="177">
        <f>IFERROR(Inv_SY!O82/Inv_SY!$Y82-1,"")</f>
        <v>0.13049280433280064</v>
      </c>
      <c r="P80" s="177">
        <f>IFERROR(Inv_SY!P82/Inv_SY!$Y82-1,"")</f>
        <v>-0.13016228074268898</v>
      </c>
      <c r="Q80" s="177">
        <f>IFERROR(Inv_SY!Q82/Inv_SY!$Y82-1,"")</f>
        <v>0.30532880315704403</v>
      </c>
      <c r="R80" s="177">
        <f>IFERROR(Inv_SY!R82/Inv_SY!$Y82-1,"")</f>
        <v>6.2917163546969634E-2</v>
      </c>
      <c r="S80" s="177">
        <f>IFERROR(Inv_SY!S82/Inv_SY!$Y82-1,"")</f>
        <v>-0.12026265049998752</v>
      </c>
      <c r="T80" s="177">
        <f>IFERROR(Inv_SY!T82/Inv_SY!$Y82-1,"")</f>
        <v>0.30748182492180876</v>
      </c>
      <c r="U80" s="177">
        <f>IFERROR(Inv_SY!U82/Inv_SY!$Y82-1,"")</f>
        <v>-0.12499293255232802</v>
      </c>
      <c r="V80" s="177">
        <f>IFERROR(Inv_SY!J82/Inv_SY!$Z82-1,"")</f>
        <v>-8.289520440942777E-3</v>
      </c>
      <c r="W80" s="177">
        <f>IFERROR(Inv_SY!K82/Inv_SY!$Z82-1,"")</f>
        <v>-9.1353074242787824E-2</v>
      </c>
      <c r="X80" s="177">
        <f>IFERROR(Inv_SY!L82/Inv_SY!$Z82-1,"")</f>
        <v>-1.4075187571632064E-2</v>
      </c>
      <c r="Y80" s="177">
        <f>IFERROR(Inv_SY!M82/Inv_SY!$Z82-1,"")</f>
        <v>-1.5496286736809473E-2</v>
      </c>
      <c r="Z80" s="177">
        <f>IFERROR(Inv_SY!N82/Inv_SY!$Z82-1,"")</f>
        <v>-0.14300715824400678</v>
      </c>
      <c r="AA80" s="177">
        <f>IFERROR(Inv_SY!O82/Inv_SY!$Z82-1,"")</f>
        <v>0.11266527883401567</v>
      </c>
      <c r="AB80" s="177">
        <f>IFERROR(Inv_SY!P82/Inv_SY!$Z82-1,"")</f>
        <v>-0.14387935533213481</v>
      </c>
      <c r="AC80" s="177">
        <f>IFERROR(Inv_SY!Q82/Inv_SY!$Z82-1,"")</f>
        <v>0.28474416747126896</v>
      </c>
      <c r="AD80" s="177">
        <f>IFERROR(Inv_SY!R82/Inv_SY!$Z82-1,"")</f>
        <v>4.6155285219567688E-2</v>
      </c>
      <c r="AE80" s="177">
        <f>IFERROR(Inv_SY!S82/Inv_SY!$Z82-1,"")</f>
        <v>-0.13413583922824424</v>
      </c>
      <c r="AF80" s="177">
        <f>IFERROR(Inv_SY!T82/Inv_SY!$Z82-1,"")</f>
        <v>0.28686323674180847</v>
      </c>
      <c r="AG80" s="177">
        <f>IFERROR(Inv_SY!U82/Inv_SY!$Z82-1,"")</f>
        <v>-0.13879152618048196</v>
      </c>
      <c r="AH80" s="177">
        <f>IFERROR(Inv_SY!V82/Inv_SY!$Y82-1,"")</f>
        <v>-1.9671841356485587E-2</v>
      </c>
      <c r="AI80" s="177">
        <f>IFERROR(Inv_SY!W82/Inv_SY!$Y82-1,"")</f>
        <v>1.6022361655310124E-2</v>
      </c>
      <c r="AJ80" s="177">
        <f>IFERROR(Inv_SY!X82/Inv_SY!$Y82-1,"")</f>
        <v>3.64947970117524E-3</v>
      </c>
      <c r="AK80" s="177">
        <f>IFERROR(Inv_SY!V82/Inv_SY!$Z82-1,"")</f>
        <v>-3.5131316355717424E-2</v>
      </c>
      <c r="AL80" s="177">
        <f>IFERROR(Inv_SY!W82/Inv_SY!$Z82-1,"")</f>
        <v>0</v>
      </c>
      <c r="AM80" s="177">
        <f>IFERROR(Inv_SY!X82/Inv_SY!$Z82-1,"")</f>
        <v>-1.2177765392856976E-2</v>
      </c>
    </row>
    <row r="81" spans="1:39" x14ac:dyDescent="0.25">
      <c r="A81" s="173">
        <f>YEAR(Inv_SY_D[[#This Row],[Date]])+IF(MONTH(Inv_SY_D[[#This Row],[Date]])&gt;=4,1,0)</f>
        <v>2026</v>
      </c>
      <c r="B81" s="173">
        <v>4</v>
      </c>
      <c r="C81" s="173">
        <f>YEAR(Inv_SY_D[[#This Row],[Month Year]])</f>
        <v>2025</v>
      </c>
      <c r="D81" s="173" t="s">
        <v>4</v>
      </c>
      <c r="E81" s="173" t="s">
        <v>4</v>
      </c>
      <c r="F81" s="174" t="str">
        <f>TEXT(Inv_SY_D[[#This Row],[Date]],"mmm-yy")</f>
        <v>Jun-25</v>
      </c>
      <c r="G81" s="175">
        <f>DAY(EOMONTH(Inv_SY_D[[#This Row],[Month Year]],0))</f>
        <v>30</v>
      </c>
      <c r="H81" s="176">
        <f t="shared" si="2"/>
        <v>45824</v>
      </c>
      <c r="I81" s="178">
        <v>7.0991999999999997</v>
      </c>
      <c r="J81" s="177">
        <f>IFERROR(Inv_SY!J83/Inv_SY!$Y83-1,"")</f>
        <v>2.8561389174774687E-2</v>
      </c>
      <c r="K81" s="177">
        <f>IFERROR(Inv_SY!K83/Inv_SY!$Y83-1,"")</f>
        <v>-0.15899604627910291</v>
      </c>
      <c r="L81" s="177">
        <f>IFERROR(Inv_SY!L83/Inv_SY!$Y83-1,"")</f>
        <v>7.8899059383679138E-3</v>
      </c>
      <c r="M81" s="177">
        <f>IFERROR(Inv_SY!M83/Inv_SY!$Y83-1,"")</f>
        <v>6.7027309332705842E-2</v>
      </c>
      <c r="N81" s="177">
        <f>IFERROR(Inv_SY!N83/Inv_SY!$Y83-1,"")</f>
        <v>-7.3322827934749757E-2</v>
      </c>
      <c r="O81" s="177">
        <f>IFERROR(Inv_SY!O83/Inv_SY!$Y83-1,"")</f>
        <v>4.1795644663194631E-2</v>
      </c>
      <c r="P81" s="177">
        <f>IFERROR(Inv_SY!P83/Inv_SY!$Y83-1,"")</f>
        <v>-0.12356960259833794</v>
      </c>
      <c r="Q81" s="177">
        <f>IFERROR(Inv_SY!Q83/Inv_SY!$Y83-1,"")</f>
        <v>0.31292725699244506</v>
      </c>
      <c r="R81" s="177">
        <f>IFERROR(Inv_SY!R83/Inv_SY!$Y83-1,"")</f>
        <v>6.615654567035989E-2</v>
      </c>
      <c r="S81" s="177">
        <f>IFERROR(Inv_SY!S83/Inv_SY!$Y83-1,"")</f>
        <v>-0.11701262513571431</v>
      </c>
      <c r="T81" s="177">
        <f>IFERROR(Inv_SY!T83/Inv_SY!$Y83-1,"")</f>
        <v>0.31158285575072231</v>
      </c>
      <c r="U81" s="177">
        <f>IFERROR(Inv_SY!U83/Inv_SY!$Y83-1,"")</f>
        <v>-0.12219672457493991</v>
      </c>
      <c r="V81" s="177">
        <f>IFERROR(Inv_SY!J83/Inv_SY!$Z83-1,"")</f>
        <v>1.4479155936842236E-2</v>
      </c>
      <c r="W81" s="177">
        <f>IFERROR(Inv_SY!K83/Inv_SY!$Z83-1,"")</f>
        <v>-0.17051039433354709</v>
      </c>
      <c r="X81" s="177">
        <f>IFERROR(Inv_SY!L83/Inv_SY!$Z83-1,"")</f>
        <v>-5.9093100179778979E-3</v>
      </c>
      <c r="Y81" s="177">
        <f>IFERROR(Inv_SY!M83/Inv_SY!$Z83-1,"")</f>
        <v>5.2418431730055115E-2</v>
      </c>
      <c r="Z81" s="177">
        <f>IFERROR(Inv_SY!N83/Inv_SY!$Z83-1,"")</f>
        <v>-8.6010144618647866E-2</v>
      </c>
      <c r="AA81" s="177">
        <f>IFERROR(Inv_SY!O83/Inv_SY!$Z83-1,"")</f>
        <v>2.7532218669555464E-2</v>
      </c>
      <c r="AB81" s="177">
        <f>IFERROR(Inv_SY!P83/Inv_SY!$Z83-1,"")</f>
        <v>-0.13556898095622683</v>
      </c>
      <c r="AC81" s="177">
        <f>IFERROR(Inv_SY!Q83/Inv_SY!$Z83-1,"")</f>
        <v>0.29495171556925381</v>
      </c>
      <c r="AD81" s="177">
        <f>IFERROR(Inv_SY!R83/Inv_SY!$Z83-1,"")</f>
        <v>5.1559589861699617E-2</v>
      </c>
      <c r="AE81" s="177">
        <f>IFERROR(Inv_SY!S83/Inv_SY!$Z83-1,"")</f>
        <v>-0.12910177634229891</v>
      </c>
      <c r="AF81" s="177">
        <f>IFERROR(Inv_SY!T83/Inv_SY!$Z83-1,"")</f>
        <v>0.29362572078537652</v>
      </c>
      <c r="AG81" s="177">
        <f>IFERROR(Inv_SY!U83/Inv_SY!$Z83-1,"")</f>
        <v>-0.13421489927180885</v>
      </c>
      <c r="AH81" s="177">
        <f>IFERROR(Inv_SY!V83/Inv_SY!$Y83-1,"")</f>
        <v>-2.0811372919059878E-2</v>
      </c>
      <c r="AI81" s="177">
        <f>IFERROR(Inv_SY!W83/Inv_SY!$Y83-1,"")</f>
        <v>1.3881244533731074E-2</v>
      </c>
      <c r="AJ81" s="177">
        <f>IFERROR(Inv_SY!X83/Inv_SY!$Y83-1,"")</f>
        <v>6.9301283853286932E-3</v>
      </c>
      <c r="AK81" s="177">
        <f>IFERROR(Inv_SY!V83/Inv_SY!$Z83-1,"")</f>
        <v>-3.4217634106394335E-2</v>
      </c>
      <c r="AL81" s="177">
        <f>IFERROR(Inv_SY!W83/Inv_SY!$Z83-1,"")</f>
        <v>0</v>
      </c>
      <c r="AM81" s="177">
        <f>IFERROR(Inv_SY!X83/Inv_SY!$Z83-1,"")</f>
        <v>-6.8559470706048842E-3</v>
      </c>
    </row>
    <row r="82" spans="1:39" x14ac:dyDescent="0.25">
      <c r="A82" s="173">
        <f>YEAR(Inv_SY_D[[#This Row],[Date]])+IF(MONTH(Inv_SY_D[[#This Row],[Date]])&gt;=4,1,0)</f>
        <v>2026</v>
      </c>
      <c r="B82" s="173">
        <v>4</v>
      </c>
      <c r="C82" s="173">
        <f>YEAR(Inv_SY_D[[#This Row],[Month Year]])</f>
        <v>2025</v>
      </c>
      <c r="D82" s="173" t="s">
        <v>4</v>
      </c>
      <c r="E82" s="173" t="s">
        <v>4</v>
      </c>
      <c r="F82" s="174" t="str">
        <f>TEXT(Inv_SY_D[[#This Row],[Date]],"mmm-yy")</f>
        <v>Jun-25</v>
      </c>
      <c r="G82" s="175">
        <f>DAY(EOMONTH(Inv_SY_D[[#This Row],[Month Year]],0))</f>
        <v>30</v>
      </c>
      <c r="H82" s="176">
        <f t="shared" si="2"/>
        <v>45825</v>
      </c>
      <c r="I82" s="178">
        <v>7.0991999999999997</v>
      </c>
      <c r="J82" s="177">
        <f>IFERROR(Inv_SY!J84/Inv_SY!$Y84-1,"")</f>
        <v>3.5273052802490046E-2</v>
      </c>
      <c r="K82" s="177">
        <f>IFERROR(Inv_SY!K84/Inv_SY!$Y84-1,"")</f>
        <v>-0.13727245599792492</v>
      </c>
      <c r="L82" s="177">
        <f>IFERROR(Inv_SY!L84/Inv_SY!$Y84-1,"")</f>
        <v>3.8570100741351698E-2</v>
      </c>
      <c r="M82" s="177">
        <f>IFERROR(Inv_SY!M84/Inv_SY!$Y84-1,"")</f>
        <v>3.5273052802490046E-2</v>
      </c>
      <c r="N82" s="177">
        <f>IFERROR(Inv_SY!N84/Inv_SY!$Y84-1,"")</f>
        <v>-0.11119827983904174</v>
      </c>
      <c r="O82" s="177">
        <f>IFERROR(Inv_SY!O84/Inv_SY!$Y84-1,"")</f>
        <v>4.3273617352741267E-2</v>
      </c>
      <c r="P82" s="177">
        <f>IFERROR(Inv_SY!P84/Inv_SY!$Y84-1,"")</f>
        <v>-8.7962790505594191E-2</v>
      </c>
      <c r="Q82" s="177">
        <f>IFERROR(Inv_SY!Q84/Inv_SY!$Y84-1,"")</f>
        <v>0.33095043389960099</v>
      </c>
      <c r="R82" s="177">
        <f>IFERROR(Inv_SY!R84/Inv_SY!$Y84-1,"")</f>
        <v>5.4376651628909922E-2</v>
      </c>
      <c r="S82" s="177">
        <f>IFERROR(Inv_SY!S84/Inv_SY!$Y84-1,"")</f>
        <v>-0.12535414239808251</v>
      </c>
      <c r="T82" s="177">
        <f>IFERROR(Inv_SY!T84/Inv_SY!$Y84-1,"")</f>
        <v>0.29771561239149946</v>
      </c>
      <c r="U82" s="177">
        <f>IFERROR(Inv_SY!U84/Inv_SY!$Y84-1,"")</f>
        <v>-0.13194549864304927</v>
      </c>
      <c r="V82" s="177">
        <f>IFERROR(Inv_SY!J84/Inv_SY!$Z84-1,"")</f>
        <v>1.8001838231266332E-2</v>
      </c>
      <c r="W82" s="177">
        <f>IFERROR(Inv_SY!K84/Inv_SY!$Z84-1,"")</f>
        <v>-0.15166513480727795</v>
      </c>
      <c r="X82" s="177">
        <f>IFERROR(Inv_SY!L84/Inv_SY!$Z84-1,"")</f>
        <v>2.1243882302066641E-2</v>
      </c>
      <c r="Y82" s="177">
        <f>IFERROR(Inv_SY!M84/Inv_SY!$Z84-1,"")</f>
        <v>1.8001838231266332E-2</v>
      </c>
      <c r="Z82" s="177">
        <f>IFERROR(Inv_SY!N84/Inv_SY!$Z84-1,"")</f>
        <v>-0.12602594793937361</v>
      </c>
      <c r="AA82" s="177">
        <f>IFERROR(Inv_SY!O84/Inv_SY!$Z84-1,"")</f>
        <v>2.5868931262419848E-2</v>
      </c>
      <c r="AB82" s="177">
        <f>IFERROR(Inv_SY!P84/Inv_SY!$Z84-1,"")</f>
        <v>-0.10317809075848616</v>
      </c>
      <c r="AC82" s="177">
        <f>IFERROR(Inv_SY!Q84/Inv_SY!$Z84-1,"")</f>
        <v>0.30874650377187574</v>
      </c>
      <c r="AD82" s="177">
        <f>IFERROR(Inv_SY!R84/Inv_SY!$Z84-1,"")</f>
        <v>3.6786736253564545E-2</v>
      </c>
      <c r="AE82" s="177">
        <f>IFERROR(Inv_SY!S84/Inv_SY!$Z84-1,"")</f>
        <v>-0.1399456516038734</v>
      </c>
      <c r="AF82" s="177">
        <f>IFERROR(Inv_SY!T84/Inv_SY!$Z84-1,"")</f>
        <v>0.27606613090121246</v>
      </c>
      <c r="AG82" s="177">
        <f>IFERROR(Inv_SY!U84/Inv_SY!$Z84-1,"")</f>
        <v>-0.14642704581736055</v>
      </c>
      <c r="AH82" s="177">
        <f>IFERROR(Inv_SY!V84/Inv_SY!$Y84-1,"")</f>
        <v>-1.3279843773723599E-2</v>
      </c>
      <c r="AI82" s="177">
        <f>IFERROR(Inv_SY!W84/Inv_SY!$Y84-1,"")</f>
        <v>1.696579900212325E-2</v>
      </c>
      <c r="AJ82" s="177">
        <f>IFERROR(Inv_SY!X84/Inv_SY!$Y84-1,"")</f>
        <v>-3.685955228399429E-3</v>
      </c>
      <c r="AK82" s="177">
        <f>IFERROR(Inv_SY!V84/Inv_SY!$Z84-1,"")</f>
        <v>-2.9741061897582854E-2</v>
      </c>
      <c r="AL82" s="177">
        <f>IFERROR(Inv_SY!W84/Inv_SY!$Z84-1,"")</f>
        <v>0</v>
      </c>
      <c r="AM82" s="177">
        <f>IFERROR(Inv_SY!X84/Inv_SY!$Z84-1,"")</f>
        <v>-2.0307225917318816E-2</v>
      </c>
    </row>
    <row r="83" spans="1:39" x14ac:dyDescent="0.25">
      <c r="A83" s="173">
        <f>YEAR(Inv_SY_D[[#This Row],[Date]])+IF(MONTH(Inv_SY_D[[#This Row],[Date]])&gt;=4,1,0)</f>
        <v>2026</v>
      </c>
      <c r="B83" s="173">
        <v>4</v>
      </c>
      <c r="C83" s="173">
        <f>YEAR(Inv_SY_D[[#This Row],[Month Year]])</f>
        <v>2025</v>
      </c>
      <c r="D83" s="173" t="s">
        <v>4</v>
      </c>
      <c r="E83" s="173" t="s">
        <v>4</v>
      </c>
      <c r="F83" s="174" t="str">
        <f>TEXT(Inv_SY_D[[#This Row],[Date]],"mmm-yy")</f>
        <v>Jun-25</v>
      </c>
      <c r="G83" s="175">
        <f>DAY(EOMONTH(Inv_SY_D[[#This Row],[Month Year]],0))</f>
        <v>30</v>
      </c>
      <c r="H83" s="176">
        <f t="shared" si="2"/>
        <v>45826</v>
      </c>
      <c r="I83" s="178">
        <v>7.0991999999999997</v>
      </c>
      <c r="J83" s="177">
        <f>IFERROR(Inv_SY!J85/Inv_SY!$Y85-1,"")</f>
        <v>2.7414390263952315E-2</v>
      </c>
      <c r="K83" s="177">
        <f>IFERROR(Inv_SY!K85/Inv_SY!$Y85-1,"")</f>
        <v>-0.14966689441816727</v>
      </c>
      <c r="L83" s="177">
        <f>IFERROR(Inv_SY!L85/Inv_SY!$Y85-1,"")</f>
        <v>2.1968345466910399E-2</v>
      </c>
      <c r="M83" s="177">
        <f>IFERROR(Inv_SY!M85/Inv_SY!$Y85-1,"")</f>
        <v>5.6525244061827129E-2</v>
      </c>
      <c r="N83" s="177">
        <f>IFERROR(Inv_SY!N85/Inv_SY!$Y85-1,"")</f>
        <v>-8.6684203921091663E-2</v>
      </c>
      <c r="O83" s="177">
        <f>IFERROR(Inv_SY!O85/Inv_SY!$Y85-1,"")</f>
        <v>3.4740816654849738E-2</v>
      </c>
      <c r="P83" s="177">
        <f>IFERROR(Inv_SY!P85/Inv_SY!$Y85-1,"")</f>
        <v>-0.11682976017495028</v>
      </c>
      <c r="Q83" s="177">
        <f>IFERROR(Inv_SY!Q85/Inv_SY!$Y85-1,"")</f>
        <v>0.31970753307378508</v>
      </c>
      <c r="R83" s="177">
        <f>IFERROR(Inv_SY!R85/Inv_SY!$Y85-1,"")</f>
        <v>6.4548500465035685E-2</v>
      </c>
      <c r="S83" s="177">
        <f>IFERROR(Inv_SY!S85/Inv_SY!$Y85-1,"")</f>
        <v>-0.11726242391236519</v>
      </c>
      <c r="T83" s="177">
        <f>IFERROR(Inv_SY!T85/Inv_SY!$Y85-1,"")</f>
        <v>0.31052293103933293</v>
      </c>
      <c r="U83" s="177">
        <f>IFERROR(Inv_SY!U85/Inv_SY!$Y85-1,"")</f>
        <v>-0.12315309937988506</v>
      </c>
      <c r="V83" s="177">
        <f>IFERROR(Inv_SY!J85/Inv_SY!$Z85-1,"")</f>
        <v>1.5659247378641883E-2</v>
      </c>
      <c r="W83" s="177">
        <f>IFERROR(Inv_SY!K85/Inv_SY!$Z85-1,"")</f>
        <v>-0.15939596503557996</v>
      </c>
      <c r="X83" s="177">
        <f>IFERROR(Inv_SY!L85/Inv_SY!$Z85-1,"")</f>
        <v>1.0275513403168901E-2</v>
      </c>
      <c r="Y83" s="177">
        <f>IFERROR(Inv_SY!M85/Inv_SY!$Z85-1,"")</f>
        <v>4.4437029877194778E-2</v>
      </c>
      <c r="Z83" s="177">
        <f>IFERROR(Inv_SY!N85/Inv_SY!$Z85-1,"")</f>
        <v>-9.7133889835613663E-2</v>
      </c>
      <c r="AA83" s="177">
        <f>IFERROR(Inv_SY!O85/Inv_SY!$Z85-1,"")</f>
        <v>2.2901848596483809E-2</v>
      </c>
      <c r="AB83" s="177">
        <f>IFERROR(Inv_SY!P85/Inv_SY!$Z85-1,"")</f>
        <v>-0.12693453626099482</v>
      </c>
      <c r="AC83" s="177">
        <f>IFERROR(Inv_SY!Q85/Inv_SY!$Z85-1,"")</f>
        <v>0.30460812356082578</v>
      </c>
      <c r="AD83" s="177">
        <f>IFERROR(Inv_SY!R85/Inv_SY!$Z85-1,"")</f>
        <v>5.2368488339554098E-2</v>
      </c>
      <c r="AE83" s="177">
        <f>IFERROR(Inv_SY!S85/Inv_SY!$Z85-1,"")</f>
        <v>-0.12736224968420073</v>
      </c>
      <c r="AF83" s="177">
        <f>IFERROR(Inv_SY!T85/Inv_SY!$Z85-1,"")</f>
        <v>0.29552860698194339</v>
      </c>
      <c r="AG83" s="177">
        <f>IFERROR(Inv_SY!U85/Inv_SY!$Z85-1,"")</f>
        <v>-0.13318552709649789</v>
      </c>
      <c r="AH83" s="177">
        <f>IFERROR(Inv_SY!V85/Inv_SY!$Y85-1,"")</f>
        <v>-1.757567382816716E-2</v>
      </c>
      <c r="AI83" s="177">
        <f>IFERROR(Inv_SY!W85/Inv_SY!$Y85-1,"")</f>
        <v>1.1573904255437695E-2</v>
      </c>
      <c r="AJ83" s="177">
        <f>IFERROR(Inv_SY!X85/Inv_SY!$Y85-1,"")</f>
        <v>6.0017695727294651E-3</v>
      </c>
      <c r="AK83" s="177">
        <f>IFERROR(Inv_SY!V85/Inv_SY!$Z85-1,"")</f>
        <v>-2.8816063721078478E-2</v>
      </c>
      <c r="AL83" s="177">
        <f>IFERROR(Inv_SY!W85/Inv_SY!$Z85-1,"")</f>
        <v>0</v>
      </c>
      <c r="AM83" s="177">
        <f>IFERROR(Inv_SY!X85/Inv_SY!$Z85-1,"")</f>
        <v>-5.5083812060271464E-3</v>
      </c>
    </row>
    <row r="84" spans="1:39" x14ac:dyDescent="0.25">
      <c r="A84" s="173">
        <f>YEAR(Inv_SY_D[[#This Row],[Date]])+IF(MONTH(Inv_SY_D[[#This Row],[Date]])&gt;=4,1,0)</f>
        <v>2026</v>
      </c>
      <c r="B84" s="173">
        <v>4</v>
      </c>
      <c r="C84" s="173">
        <f>YEAR(Inv_SY_D[[#This Row],[Month Year]])</f>
        <v>2025</v>
      </c>
      <c r="D84" s="173" t="s">
        <v>4</v>
      </c>
      <c r="E84" s="173" t="s">
        <v>4</v>
      </c>
      <c r="F84" s="174" t="str">
        <f>TEXT(Inv_SY_D[[#This Row],[Date]],"mmm-yy")</f>
        <v>Jun-25</v>
      </c>
      <c r="G84" s="175">
        <f>DAY(EOMONTH(Inv_SY_D[[#This Row],[Month Year]],0))</f>
        <v>30</v>
      </c>
      <c r="H84" s="176">
        <f t="shared" si="2"/>
        <v>45827</v>
      </c>
      <c r="I84" s="178">
        <v>7.0991999999999997</v>
      </c>
      <c r="J84" s="177">
        <f>IFERROR(Inv_SY!J86/Inv_SY!$Y86-1,"")</f>
        <v>2.9658420026359211E-2</v>
      </c>
      <c r="K84" s="177">
        <f>IFERROR(Inv_SY!K86/Inv_SY!$Y86-1,"")</f>
        <v>-8.5392958377628725E-2</v>
      </c>
      <c r="L84" s="177">
        <f>IFERROR(Inv_SY!L86/Inv_SY!$Y86-1,"")</f>
        <v>2.2394195999141164E-2</v>
      </c>
      <c r="M84" s="177">
        <f>IFERROR(Inv_SY!M86/Inv_SY!$Y86-1,"")</f>
        <v>2.275638308529282E-2</v>
      </c>
      <c r="N84" s="177">
        <f>IFERROR(Inv_SY!N86/Inv_SY!$Y86-1,"")</f>
        <v>-0.12890879449250181</v>
      </c>
      <c r="O84" s="177">
        <f>IFERROR(Inv_SY!O86/Inv_SY!$Y86-1,"")</f>
        <v>2.2076637022915069E-2</v>
      </c>
      <c r="P84" s="177">
        <f>IFERROR(Inv_SY!P86/Inv_SY!$Y86-1,"")</f>
        <v>-6.5260414380580611E-2</v>
      </c>
      <c r="Q84" s="177">
        <f>IFERROR(Inv_SY!Q86/Inv_SY!$Y86-1,"")</f>
        <v>0.30403517770164346</v>
      </c>
      <c r="R84" s="177">
        <f>IFERROR(Inv_SY!R86/Inv_SY!$Y86-1,"")</f>
        <v>5.7095076080601492E-2</v>
      </c>
      <c r="S84" s="177">
        <f>IFERROR(Inv_SY!S86/Inv_SY!$Y86-1,"")</f>
        <v>-0.12433326659506094</v>
      </c>
      <c r="T84" s="177">
        <f>IFERROR(Inv_SY!T86/Inv_SY!$Y86-1,"")</f>
        <v>0.30081871772487134</v>
      </c>
      <c r="U84" s="177">
        <f>IFERROR(Inv_SY!U86/Inv_SY!$Y86-1,"")</f>
        <v>-0.12962684508728617</v>
      </c>
      <c r="V84" s="177">
        <f>IFERROR(Inv_SY!J86/Inv_SY!$Z86-1,"")</f>
        <v>2.138373863985743E-2</v>
      </c>
      <c r="W84" s="177">
        <f>IFERROR(Inv_SY!K86/Inv_SY!$Z86-1,"")</f>
        <v>-9.2743048190017552E-2</v>
      </c>
      <c r="X84" s="177">
        <f>IFERROR(Inv_SY!L86/Inv_SY!$Z86-1,"")</f>
        <v>1.4177892360226707E-2</v>
      </c>
      <c r="Y84" s="177">
        <f>IFERROR(Inv_SY!M86/Inv_SY!$Z86-1,"")</f>
        <v>1.4537168789133137E-2</v>
      </c>
      <c r="Z84" s="177">
        <f>IFERROR(Inv_SY!N86/Inv_SY!$Z86-1,"")</f>
        <v>-0.13590917640942313</v>
      </c>
      <c r="AA84" s="177">
        <f>IFERROR(Inv_SY!O86/Inv_SY!$Z86-1,"")</f>
        <v>1.3862885394743785E-2</v>
      </c>
      <c r="AB84" s="177">
        <f>IFERROR(Inv_SY!P86/Inv_SY!$Z86-1,"")</f>
        <v>-7.2772296088063126E-2</v>
      </c>
      <c r="AC84" s="177">
        <f>IFERROR(Inv_SY!Q86/Inv_SY!$Z86-1,"")</f>
        <v>0.29355551240449085</v>
      </c>
      <c r="AD84" s="177">
        <f>IFERROR(Inv_SY!R86/Inv_SY!$Z86-1,"")</f>
        <v>4.8599904497793611E-2</v>
      </c>
      <c r="AE84" s="177">
        <f>IFERROR(Inv_SY!S86/Inv_SY!$Z86-1,"")</f>
        <v>-0.13137041899313406</v>
      </c>
      <c r="AF84" s="177">
        <f>IFERROR(Inv_SY!T86/Inv_SY!$Z86-1,"")</f>
        <v>0.29036490098194068</v>
      </c>
      <c r="AG84" s="177">
        <f>IFERROR(Inv_SY!U86/Inv_SY!$Z86-1,"")</f>
        <v>-0.13662145650811319</v>
      </c>
      <c r="AH84" s="177">
        <f>IFERROR(Inv_SY!V86/Inv_SY!$Y86-1,"")</f>
        <v>-6.6082433758268833E-3</v>
      </c>
      <c r="AI84" s="177">
        <f>IFERROR(Inv_SY!W86/Inv_SY!$Y86-1,"")</f>
        <v>8.1014422625533822E-3</v>
      </c>
      <c r="AJ84" s="177">
        <f>IFERROR(Inv_SY!X86/Inv_SY!$Y86-1,"")</f>
        <v>-1.4931988867261659E-3</v>
      </c>
      <c r="AK84" s="177">
        <f>IFERROR(Inv_SY!V86/Inv_SY!$Z86-1,"")</f>
        <v>-1.4591473657022402E-2</v>
      </c>
      <c r="AL84" s="177">
        <f>IFERROR(Inv_SY!W86/Inv_SY!$Z86-1,"")</f>
        <v>0</v>
      </c>
      <c r="AM84" s="177">
        <f>IFERROR(Inv_SY!X86/Inv_SY!$Z86-1,"")</f>
        <v>-9.5175353858691913E-3</v>
      </c>
    </row>
    <row r="85" spans="1:39" x14ac:dyDescent="0.25">
      <c r="A85" s="173">
        <f>YEAR(Inv_SY_D[[#This Row],[Date]])+IF(MONTH(Inv_SY_D[[#This Row],[Date]])&gt;=4,1,0)</f>
        <v>2026</v>
      </c>
      <c r="B85" s="173">
        <v>4</v>
      </c>
      <c r="C85" s="173">
        <f>YEAR(Inv_SY_D[[#This Row],[Month Year]])</f>
        <v>2025</v>
      </c>
      <c r="D85" s="173" t="s">
        <v>4</v>
      </c>
      <c r="E85" s="173" t="s">
        <v>4</v>
      </c>
      <c r="F85" s="174" t="str">
        <f>TEXT(Inv_SY_D[[#This Row],[Date]],"mmm-yy")</f>
        <v>Jun-25</v>
      </c>
      <c r="G85" s="175">
        <f>DAY(EOMONTH(Inv_SY_D[[#This Row],[Month Year]],0))</f>
        <v>30</v>
      </c>
      <c r="H85" s="176">
        <f t="shared" si="2"/>
        <v>45828</v>
      </c>
      <c r="I85" s="178">
        <v>7.0991999999999997</v>
      </c>
      <c r="J85" s="177">
        <f>IFERROR(Inv_SY!J87/Inv_SY!$Y87-1,"")</f>
        <v>3.6025577146287402E-2</v>
      </c>
      <c r="K85" s="177">
        <f>IFERROR(Inv_SY!K87/Inv_SY!$Y87-1,"")</f>
        <v>-0.14173276046018823</v>
      </c>
      <c r="L85" s="177">
        <f>IFERROR(Inv_SY!L87/Inv_SY!$Y87-1,"")</f>
        <v>6.4900577217799071E-2</v>
      </c>
      <c r="M85" s="177">
        <f>IFERROR(Inv_SY!M87/Inv_SY!$Y87-1,"")</f>
        <v>2.8974859466314395E-2</v>
      </c>
      <c r="N85" s="177">
        <f>IFERROR(Inv_SY!N87/Inv_SY!$Y87-1,"")</f>
        <v>-0.11969868985837728</v>
      </c>
      <c r="O85" s="177">
        <f>IFERROR(Inv_SY!O87/Inv_SY!$Y87-1,"")</f>
        <v>3.3575022830687029E-2</v>
      </c>
      <c r="P85" s="177">
        <f>IFERROR(Inv_SY!P87/Inv_SY!$Y87-1,"")</f>
        <v>-0.11821490170708238</v>
      </c>
      <c r="Q85" s="177">
        <f>IFERROR(Inv_SY!Q87/Inv_SY!$Y87-1,"")</f>
        <v>0.36186797856194608</v>
      </c>
      <c r="R85" s="177">
        <f>IFERROR(Inv_SY!R87/Inv_SY!$Y87-1,"")</f>
        <v>5.8495143320277831E-2</v>
      </c>
      <c r="S85" s="177">
        <f>IFERROR(Inv_SY!S87/Inv_SY!$Y87-1,"")</f>
        <v>-0.12247241583773083</v>
      </c>
      <c r="T85" s="177">
        <f>IFERROR(Inv_SY!T87/Inv_SY!$Y87-1,"")</f>
        <v>0.302617075276717</v>
      </c>
      <c r="U85" s="177">
        <f>IFERROR(Inv_SY!U87/Inv_SY!$Y87-1,"")</f>
        <v>-0.12832041639707903</v>
      </c>
      <c r="V85" s="177">
        <f>IFERROR(Inv_SY!J87/Inv_SY!$Z87-1,"")</f>
        <v>2.6240805265195455E-2</v>
      </c>
      <c r="W85" s="177">
        <f>IFERROR(Inv_SY!K87/Inv_SY!$Z87-1,"")</f>
        <v>-0.14983868886307916</v>
      </c>
      <c r="X85" s="177">
        <f>IFERROR(Inv_SY!L87/Inv_SY!$Z87-1,"")</f>
        <v>5.4843094609290155E-2</v>
      </c>
      <c r="Y85" s="177">
        <f>IFERROR(Inv_SY!M87/Inv_SY!$Z87-1,"")</f>
        <v>1.9256678281068584E-2</v>
      </c>
      <c r="Z85" s="177">
        <f>IFERROR(Inv_SY!N87/Inv_SY!$Z87-1,"")</f>
        <v>-0.12801271964332528</v>
      </c>
      <c r="AA85" s="177">
        <f>IFERROR(Inv_SY!O87/Inv_SY!$Z87-1,"")</f>
        <v>2.3813395276809812E-2</v>
      </c>
      <c r="AB85" s="177">
        <f>IFERROR(Inv_SY!P87/Inv_SY!$Z87-1,"")</f>
        <v>-0.12654294516978171</v>
      </c>
      <c r="AC85" s="177">
        <f>IFERROR(Inv_SY!Q87/Inv_SY!$Z87-1,"")</f>
        <v>0.349005779214419</v>
      </c>
      <c r="AD85" s="177">
        <f>IFERROR(Inv_SY!R87/Inv_SY!$Z87-1,"")</f>
        <v>4.8498157007293985E-2</v>
      </c>
      <c r="AE85" s="177">
        <f>IFERROR(Inv_SY!S87/Inv_SY!$Z87-1,"")</f>
        <v>-0.13076024909185247</v>
      </c>
      <c r="AF85" s="177">
        <f>IFERROR(Inv_SY!T87/Inv_SY!$Z87-1,"")</f>
        <v>0.29031447270477484</v>
      </c>
      <c r="AG85" s="177">
        <f>IFERROR(Inv_SY!U87/Inv_SY!$Z87-1,"")</f>
        <v>-0.13655301805007425</v>
      </c>
      <c r="AH85" s="177">
        <f>IFERROR(Inv_SY!V87/Inv_SY!$Y87-1,"")</f>
        <v>-9.6225905254108124E-3</v>
      </c>
      <c r="AI85" s="177">
        <f>IFERROR(Inv_SY!W87/Inv_SY!$Y87-1,"")</f>
        <v>9.5345769052357365E-3</v>
      </c>
      <c r="AJ85" s="177">
        <f>IFERROR(Inv_SY!X87/Inv_SY!$Y87-1,"")</f>
        <v>8.8013620175297902E-5</v>
      </c>
      <c r="AK85" s="177">
        <f>IFERROR(Inv_SY!V87/Inv_SY!$Z87-1,"")</f>
        <v>-1.897623703922402E-2</v>
      </c>
      <c r="AL85" s="177">
        <f>IFERROR(Inv_SY!W87/Inv_SY!$Z87-1,"")</f>
        <v>0</v>
      </c>
      <c r="AM85" s="177">
        <f>IFERROR(Inv_SY!X87/Inv_SY!$Z87-1,"")</f>
        <v>-9.3573449599113623E-3</v>
      </c>
    </row>
    <row r="86" spans="1:39" x14ac:dyDescent="0.25">
      <c r="A86" s="173">
        <f>YEAR(Inv_SY_D[[#This Row],[Date]])+IF(MONTH(Inv_SY_D[[#This Row],[Date]])&gt;=4,1,0)</f>
        <v>2026</v>
      </c>
      <c r="B86" s="173">
        <v>4</v>
      </c>
      <c r="C86" s="173">
        <f>YEAR(Inv_SY_D[[#This Row],[Month Year]])</f>
        <v>2025</v>
      </c>
      <c r="D86" s="173" t="s">
        <v>4</v>
      </c>
      <c r="E86" s="173" t="s">
        <v>4</v>
      </c>
      <c r="F86" s="174" t="str">
        <f>TEXT(Inv_SY_D[[#This Row],[Date]],"mmm-yy")</f>
        <v>Jun-25</v>
      </c>
      <c r="G86" s="175">
        <f>DAY(EOMONTH(Inv_SY_D[[#This Row],[Month Year]],0))</f>
        <v>30</v>
      </c>
      <c r="H86" s="176">
        <f t="shared" si="2"/>
        <v>45829</v>
      </c>
      <c r="I86" s="178">
        <v>7.0991999999999997</v>
      </c>
      <c r="J86" s="177">
        <f>IFERROR(Inv_SY!J88/Inv_SY!$Y88-1,"")</f>
        <v>0.82082213408434934</v>
      </c>
      <c r="K86" s="177">
        <f>IFERROR(Inv_SY!K88/Inv_SY!$Y88-1,"")</f>
        <v>0.49600856922175196</v>
      </c>
      <c r="L86" s="177">
        <f>IFERROR(Inv_SY!L88/Inv_SY!$Y88-1,"")</f>
        <v>2.8969364612995596E-2</v>
      </c>
      <c r="M86" s="177">
        <f>IFERROR(Inv_SY!M88/Inv_SY!$Y88-1,"")</f>
        <v>5.561528687051287E-2</v>
      </c>
      <c r="N86" s="177">
        <f>IFERROR(Inv_SY!N88/Inv_SY!$Y88-1,"")</f>
        <v>-0.11322047025476711</v>
      </c>
      <c r="O86" s="177">
        <f>IFERROR(Inv_SY!O88/Inv_SY!$Y88-1,"")</f>
        <v>4.7244397032465191E-2</v>
      </c>
      <c r="P86" s="177">
        <f>IFERROR(Inv_SY!P88/Inv_SY!$Y88-1,"")</f>
        <v>-0.10770358381058531</v>
      </c>
      <c r="Q86" s="177">
        <f>IFERROR(Inv_SY!Q88/Inv_SY!$Y88-1,"")</f>
        <v>0.32482724925793804</v>
      </c>
      <c r="R86" s="177">
        <f>IFERROR(Inv_SY!R88/Inv_SY!$Y88-1,"")</f>
        <v>5.6007791941387719E-2</v>
      </c>
      <c r="S86" s="177">
        <f>IFERROR(Inv_SY!S88/Inv_SY!$Y88-1,"")</f>
        <v>-0.12435925314301688</v>
      </c>
      <c r="T86" s="177">
        <f>IFERROR(Inv_SY!T88/Inv_SY!$Y88-1,"")</f>
        <v>0.29982836612125863</v>
      </c>
      <c r="U86" s="177">
        <f>IFERROR(Inv_SY!U88/Inv_SY!$Y88-1,"")</f>
        <v>-0.13043569959126922</v>
      </c>
      <c r="V86" s="177">
        <f>IFERROR(Inv_SY!J88/Inv_SY!$Z88-1,"")</f>
        <v>0.80169135535724267</v>
      </c>
      <c r="W86" s="177">
        <f>IFERROR(Inv_SY!K88/Inv_SY!$Z88-1,"")</f>
        <v>0.4802904996882722</v>
      </c>
      <c r="X86" s="177">
        <f>IFERROR(Inv_SY!L88/Inv_SY!$Z88-1,"")</f>
        <v>1.8158322247629144E-2</v>
      </c>
      <c r="Y86" s="177">
        <f>IFERROR(Inv_SY!M88/Inv_SY!$Z88-1,"")</f>
        <v>4.4524284572132755E-2</v>
      </c>
      <c r="Z86" s="177">
        <f>IFERROR(Inv_SY!N88/Inv_SY!$Z88-1,"")</f>
        <v>-0.12253757083571704</v>
      </c>
      <c r="AA86" s="177">
        <f>IFERROR(Inv_SY!O88/Inv_SY!$Z88-1,"")</f>
        <v>3.6241344917819607E-2</v>
      </c>
      <c r="AB86" s="177">
        <f>IFERROR(Inv_SY!P88/Inv_SY!$Z88-1,"")</f>
        <v>-0.11707864850118144</v>
      </c>
      <c r="AC86" s="177">
        <f>IFERROR(Inv_SY!Q88/Inv_SY!$Z88-1,"")</f>
        <v>0.3109077254984467</v>
      </c>
      <c r="AD86" s="177">
        <f>IFERROR(Inv_SY!R88/Inv_SY!$Z88-1,"")</f>
        <v>4.4912665721444922E-2</v>
      </c>
      <c r="AE86" s="177">
        <f>IFERROR(Inv_SY!S88/Inv_SY!$Z88-1,"")</f>
        <v>-0.13355932219917621</v>
      </c>
      <c r="AF86" s="177">
        <f>IFERROR(Inv_SY!T88/Inv_SY!$Z88-1,"")</f>
        <v>0.28617149739696268</v>
      </c>
      <c r="AG86" s="177">
        <f>IFERROR(Inv_SY!U88/Inv_SY!$Z88-1,"")</f>
        <v>-0.13957192542503327</v>
      </c>
      <c r="AH86" s="177">
        <f>IFERROR(Inv_SY!V88/Inv_SY!$Y88-1,"")</f>
        <v>-8.439232944918662E-3</v>
      </c>
      <c r="AI86" s="177">
        <f>IFERROR(Inv_SY!W88/Inv_SY!$Y88-1,"")</f>
        <v>1.0618233067624105E-2</v>
      </c>
      <c r="AJ86" s="177">
        <f>IFERROR(Inv_SY!X88/Inv_SY!$Y88-1,"")</f>
        <v>-2.1790001227058875E-3</v>
      </c>
      <c r="AK86" s="177">
        <f>IFERROR(Inv_SY!V88/Inv_SY!$Z88-1,"")</f>
        <v>-1.885723549108731E-2</v>
      </c>
      <c r="AL86" s="177">
        <f>IFERROR(Inv_SY!W88/Inv_SY!$Z88-1,"")</f>
        <v>0</v>
      </c>
      <c r="AM86" s="177">
        <f>IFERROR(Inv_SY!X88/Inv_SY!$Z88-1,"")</f>
        <v>-1.266277687419648E-2</v>
      </c>
    </row>
    <row r="87" spans="1:39" x14ac:dyDescent="0.25">
      <c r="A87" s="173">
        <f>YEAR(Inv_SY_D[[#This Row],[Date]])+IF(MONTH(Inv_SY_D[[#This Row],[Date]])&gt;=4,1,0)</f>
        <v>2026</v>
      </c>
      <c r="B87" s="173">
        <v>4</v>
      </c>
      <c r="C87" s="173">
        <f>YEAR(Inv_SY_D[[#This Row],[Month Year]])</f>
        <v>2025</v>
      </c>
      <c r="D87" s="173" t="s">
        <v>4</v>
      </c>
      <c r="E87" s="173" t="s">
        <v>4</v>
      </c>
      <c r="F87" s="174" t="str">
        <f>TEXT(Inv_SY_D[[#This Row],[Date]],"mmm-yy")</f>
        <v>Jun-25</v>
      </c>
      <c r="G87" s="175">
        <f>DAY(EOMONTH(Inv_SY_D[[#This Row],[Month Year]],0))</f>
        <v>30</v>
      </c>
      <c r="H87" s="176">
        <f t="shared" si="2"/>
        <v>45830</v>
      </c>
      <c r="I87" s="178">
        <v>7.0991999999999997</v>
      </c>
      <c r="J87" s="177">
        <f>IFERROR(Inv_SY!J89/Inv_SY!$Y89-1,"")</f>
        <v>6.5543335269325098E-2</v>
      </c>
      <c r="K87" s="177">
        <f>IFERROR(Inv_SY!K89/Inv_SY!$Y89-1,"")</f>
        <v>-8.8541917016687011E-2</v>
      </c>
      <c r="L87" s="177">
        <f>IFERROR(Inv_SY!L89/Inv_SY!$Y89-1,"")</f>
        <v>5.9550507603731484E-2</v>
      </c>
      <c r="M87" s="177">
        <f>IFERROR(Inv_SY!M89/Inv_SY!$Y89-1,"")</f>
        <v>5.8058151212777132E-2</v>
      </c>
      <c r="N87" s="177">
        <f>IFERROR(Inv_SY!N89/Inv_SY!$Y89-1,"")</f>
        <v>-8.6285613994133703E-2</v>
      </c>
      <c r="O87" s="177">
        <f>IFERROR(Inv_SY!O89/Inv_SY!$Y89-1,"")</f>
        <v>0.10725954397472082</v>
      </c>
      <c r="P87" s="177">
        <f>IFERROR(Inv_SY!P89/Inv_SY!$Y89-1,"")</f>
        <v>-8.5851088729801073E-2</v>
      </c>
      <c r="Q87" s="177">
        <f>IFERROR(Inv_SY!Q89/Inv_SY!$Y89-1,"")</f>
        <v>0.36760779489836515</v>
      </c>
      <c r="R87" s="177">
        <f>IFERROR(Inv_SY!R89/Inv_SY!$Y89-1,"")</f>
        <v>-1.1914319116797079E-2</v>
      </c>
      <c r="S87" s="177">
        <f>IFERROR(Inv_SY!S89/Inv_SY!$Y89-1,"")</f>
        <v>-0.17978277103239426</v>
      </c>
      <c r="T87" s="177">
        <f>IFERROR(Inv_SY!T89/Inv_SY!$Y89-1,"")</f>
        <v>0.21803021714240423</v>
      </c>
      <c r="U87" s="177">
        <f>IFERROR(Inv_SY!U89/Inv_SY!$Y89-1,"")</f>
        <v>-0.1850092422715689</v>
      </c>
      <c r="V87" s="177">
        <f>IFERROR(Inv_SY!J89/Inv_SY!$Z89-1,"")</f>
        <v>1.7624721143518096E-2</v>
      </c>
      <c r="W87" s="177">
        <f>IFERROR(Inv_SY!K89/Inv_SY!$Z89-1,"")</f>
        <v>-0.12953115389205616</v>
      </c>
      <c r="X87" s="177">
        <f>IFERROR(Inv_SY!L89/Inv_SY!$Z89-1,"")</f>
        <v>1.1901397295296157E-2</v>
      </c>
      <c r="Y87" s="177">
        <f>IFERROR(Inv_SY!M89/Inv_SY!$Z89-1,"")</f>
        <v>1.0476153754349182E-2</v>
      </c>
      <c r="Z87" s="177">
        <f>IFERROR(Inv_SY!N89/Inv_SY!$Z89-1,"")</f>
        <v>-0.12737631920993531</v>
      </c>
      <c r="AA87" s="177">
        <f>IFERROR(Inv_SY!O89/Inv_SY!$Z89-1,"")</f>
        <v>5.7464907690471634E-2</v>
      </c>
      <c r="AB87" s="177">
        <f>IFERROR(Inv_SY!P89/Inv_SY!$Z89-1,"")</f>
        <v>-0.12696133500768836</v>
      </c>
      <c r="AC87" s="177">
        <f>IFERROR(Inv_SY!Q89/Inv_SY!$Z89-1,"")</f>
        <v>0.30610502159011999</v>
      </c>
      <c r="AD87" s="177">
        <f>IFERROR(Inv_SY!R89/Inv_SY!$Z89-1,"")</f>
        <v>-5.6349580357026308E-2</v>
      </c>
      <c r="AE87" s="177">
        <f>IFERROR(Inv_SY!S89/Inv_SY!$Z89-1,"")</f>
        <v>-0.21666880991349058</v>
      </c>
      <c r="AF87" s="177">
        <f>IFERROR(Inv_SY!T89/Inv_SY!$Z89-1,"")</f>
        <v>0.16325410617919567</v>
      </c>
      <c r="AG87" s="177">
        <f>IFERROR(Inv_SY!U89/Inv_SY!$Z89-1,"")</f>
        <v>-0.22166024119674799</v>
      </c>
      <c r="AH87" s="177">
        <f>IFERROR(Inv_SY!V89/Inv_SY!$Y89-1,"")</f>
        <v>1.8278731465299458E-2</v>
      </c>
      <c r="AI87" s="177">
        <f>IFERROR(Inv_SY!W89/Inv_SY!$Y89-1,"")</f>
        <v>4.7088689111208337E-2</v>
      </c>
      <c r="AJ87" s="177">
        <f>IFERROR(Inv_SY!X89/Inv_SY!$Y89-1,"")</f>
        <v>-6.5367420576507573E-2</v>
      </c>
      <c r="AK87" s="177">
        <f>IFERROR(Inv_SY!V89/Inv_SY!$Z89-1,"")</f>
        <v>-2.7514343288688625E-2</v>
      </c>
      <c r="AL87" s="177">
        <f>IFERROR(Inv_SY!W89/Inv_SY!$Z89-1,"")</f>
        <v>0</v>
      </c>
      <c r="AM87" s="177">
        <f>IFERROR(Inv_SY!X89/Inv_SY!$Z89-1,"")</f>
        <v>-0.10739883914052306</v>
      </c>
    </row>
    <row r="88" spans="1:39" x14ac:dyDescent="0.25">
      <c r="A88" s="173">
        <f>YEAR(Inv_SY_D[[#This Row],[Date]])+IF(MONTH(Inv_SY_D[[#This Row],[Date]])&gt;=4,1,0)</f>
        <v>2026</v>
      </c>
      <c r="B88" s="173">
        <v>4</v>
      </c>
      <c r="C88" s="173">
        <f>YEAR(Inv_SY_D[[#This Row],[Month Year]])</f>
        <v>2025</v>
      </c>
      <c r="D88" s="173" t="s">
        <v>4</v>
      </c>
      <c r="E88" s="173" t="s">
        <v>4</v>
      </c>
      <c r="F88" s="174" t="str">
        <f>TEXT(Inv_SY_D[[#This Row],[Date]],"mmm-yy")</f>
        <v>Jun-25</v>
      </c>
      <c r="G88" s="175">
        <f>DAY(EOMONTH(Inv_SY_D[[#This Row],[Month Year]],0))</f>
        <v>30</v>
      </c>
      <c r="H88" s="176">
        <f t="shared" si="2"/>
        <v>45831</v>
      </c>
      <c r="I88" s="178">
        <v>7.0991999999999997</v>
      </c>
      <c r="J88" s="177">
        <f>IFERROR(Inv_SY!J90/Inv_SY!$Y90-1,"")</f>
        <v>2.0849208230028227E-2</v>
      </c>
      <c r="K88" s="177">
        <f>IFERROR(Inv_SY!K90/Inv_SY!$Y90-1,"")</f>
        <v>-0.15459437989367009</v>
      </c>
      <c r="L88" s="177">
        <f>IFERROR(Inv_SY!L90/Inv_SY!$Y90-1,"")</f>
        <v>0.10142950955019514</v>
      </c>
      <c r="M88" s="177">
        <f>IFERROR(Inv_SY!M90/Inv_SY!$Y90-1,"")</f>
        <v>1.3344763391261782E-2</v>
      </c>
      <c r="N88" s="177">
        <f>IFERROR(Inv_SY!N90/Inv_SY!$Y90-1,"")</f>
        <v>-0.12175695186569313</v>
      </c>
      <c r="O88" s="177">
        <f>IFERROR(Inv_SY!O90/Inv_SY!$Y90-1,"")</f>
        <v>3.0392904383677033E-2</v>
      </c>
      <c r="P88" s="177">
        <f>IFERROR(Inv_SY!P90/Inv_SY!$Y90-1,"")</f>
        <v>-4.9016082382155157E-2</v>
      </c>
      <c r="Q88" s="177">
        <f>IFERROR(Inv_SY!Q90/Inv_SY!$Y90-1,"")</f>
        <v>0.31578882852366541</v>
      </c>
      <c r="R88" s="177">
        <f>IFERROR(Inv_SY!R90/Inv_SY!$Y90-1,"")</f>
        <v>4.8602697346975088E-2</v>
      </c>
      <c r="S88" s="177">
        <f>IFERROR(Inv_SY!S90/Inv_SY!$Y90-1,"")</f>
        <v>-0.12904986461971379</v>
      </c>
      <c r="T88" s="177">
        <f>IFERROR(Inv_SY!T90/Inv_SY!$Y90-1,"")</f>
        <v>0.29501430230887671</v>
      </c>
      <c r="U88" s="177">
        <f>IFERROR(Inv_SY!U90/Inv_SY!$Y90-1,"")</f>
        <v>-0.13333658230098244</v>
      </c>
      <c r="V88" s="177">
        <f>IFERROR(Inv_SY!J90/Inv_SY!$Z90-1,"")</f>
        <v>1.8282430615137457E-3</v>
      </c>
      <c r="W88" s="177">
        <f>IFERROR(Inv_SY!K90/Inv_SY!$Z90-1,"")</f>
        <v>-0.17034639373045368</v>
      </c>
      <c r="X88" s="177">
        <f>IFERROR(Inv_SY!L90/Inv_SY!$Z90-1,"")</f>
        <v>8.0907132525431358E-2</v>
      </c>
      <c r="Y88" s="177">
        <f>IFERROR(Inv_SY!M90/Inv_SY!$Z90-1,"")</f>
        <v>-5.5363752654266074E-3</v>
      </c>
      <c r="Z88" s="177">
        <f>IFERROR(Inv_SY!N90/Inv_SY!$Z90-1,"")</f>
        <v>-0.13812080883240052</v>
      </c>
      <c r="AA88" s="177">
        <f>IFERROR(Inv_SY!O90/Inv_SY!$Z90-1,"")</f>
        <v>1.1194116368601126E-2</v>
      </c>
      <c r="AB88" s="177">
        <f>IFERROR(Inv_SY!P90/Inv_SY!$Z90-1,"")</f>
        <v>-6.6735283050576077E-2</v>
      </c>
      <c r="AC88" s="177">
        <f>IFERROR(Inv_SY!Q90/Inv_SY!$Z90-1,"")</f>
        <v>0.29127240310578939</v>
      </c>
      <c r="AD88" s="177">
        <f>IFERROR(Inv_SY!R90/Inv_SY!$Z90-1,"")</f>
        <v>2.9064615501930513E-2</v>
      </c>
      <c r="AE88" s="177">
        <f>IFERROR(Inv_SY!S90/Inv_SY!$Z90-1,"")</f>
        <v>-0.14527783644456793</v>
      </c>
      <c r="AF88" s="177">
        <f>IFERROR(Inv_SY!T90/Inv_SY!$Z90-1,"")</f>
        <v>0.27088495809392299</v>
      </c>
      <c r="AG88" s="177">
        <f>IFERROR(Inv_SY!U90/Inv_SY!$Z90-1,"")</f>
        <v>-0.14948468189098996</v>
      </c>
      <c r="AH88" s="177">
        <f>IFERROR(Inv_SY!V90/Inv_SY!$Y90-1,"")</f>
        <v>-1.19642273376247E-2</v>
      </c>
      <c r="AI88" s="177">
        <f>IFERROR(Inv_SY!W90/Inv_SY!$Y90-1,"")</f>
        <v>1.89862536819565E-2</v>
      </c>
      <c r="AJ88" s="177">
        <f>IFERROR(Inv_SY!X90/Inv_SY!$Y90-1,"")</f>
        <v>-7.0220263443316888E-3</v>
      </c>
      <c r="AK88" s="177">
        <f>IFERROR(Inv_SY!V90/Inv_SY!$Z90-1,"")</f>
        <v>-3.0373796415551269E-2</v>
      </c>
      <c r="AL88" s="177">
        <f>IFERROR(Inv_SY!W90/Inv_SY!$Z90-1,"")</f>
        <v>0</v>
      </c>
      <c r="AM88" s="177">
        <f>IFERROR(Inv_SY!X90/Inv_SY!$Z90-1,"")</f>
        <v>-2.5523680944969596E-2</v>
      </c>
    </row>
    <row r="89" spans="1:39" x14ac:dyDescent="0.25">
      <c r="A89" s="173">
        <f>YEAR(Inv_SY_D[[#This Row],[Date]])+IF(MONTH(Inv_SY_D[[#This Row],[Date]])&gt;=4,1,0)</f>
        <v>2026</v>
      </c>
      <c r="B89" s="173">
        <v>4</v>
      </c>
      <c r="C89" s="173">
        <f>YEAR(Inv_SY_D[[#This Row],[Month Year]])</f>
        <v>2025</v>
      </c>
      <c r="D89" s="173" t="s">
        <v>4</v>
      </c>
      <c r="E89" s="173" t="s">
        <v>4</v>
      </c>
      <c r="F89" s="174" t="str">
        <f>TEXT(Inv_SY_D[[#This Row],[Date]],"mmm-yy")</f>
        <v>Jun-25</v>
      </c>
      <c r="G89" s="175">
        <f>DAY(EOMONTH(Inv_SY_D[[#This Row],[Month Year]],0))</f>
        <v>30</v>
      </c>
      <c r="H89" s="176">
        <f t="shared" si="2"/>
        <v>45832</v>
      </c>
      <c r="I89" s="178">
        <v>7.0991999999999997</v>
      </c>
      <c r="J89" s="177">
        <f>IFERROR(Inv_SY!J91/Inv_SY!$Y91-1,"")</f>
        <v>1.912404419892999E-2</v>
      </c>
      <c r="K89" s="177">
        <f>IFERROR(Inv_SY!K91/Inv_SY!$Y91-1,"")</f>
        <v>-0.15603015710791313</v>
      </c>
      <c r="L89" s="177">
        <f>IFERROR(Inv_SY!L91/Inv_SY!$Y91-1,"")</f>
        <v>8.365733424902988E-3</v>
      </c>
      <c r="M89" s="177">
        <f>IFERROR(Inv_SY!M91/Inv_SY!$Y91-1,"")</f>
        <v>0.10568928964555657</v>
      </c>
      <c r="N89" s="177">
        <f>IFERROR(Inv_SY!N91/Inv_SY!$Y91-1,"")</f>
        <v>-4.9392342243014919E-2</v>
      </c>
      <c r="O89" s="177">
        <f>IFERROR(Inv_SY!O91/Inv_SY!$Y91-1,"")</f>
        <v>2.1189054825042186E-2</v>
      </c>
      <c r="P89" s="177">
        <f>IFERROR(Inv_SY!P91/Inv_SY!$Y91-1,"")</f>
        <v>-0.13074838338322925</v>
      </c>
      <c r="Q89" s="177">
        <f>IFERROR(Inv_SY!Q91/Inv_SY!$Y91-1,"")</f>
        <v>0.30461400242710091</v>
      </c>
      <c r="R89" s="177">
        <f>IFERROR(Inv_SY!R91/Inv_SY!$Y91-1,"")</f>
        <v>6.0844429944392431E-2</v>
      </c>
      <c r="S89" s="177">
        <f>IFERROR(Inv_SY!S91/Inv_SY!$Y91-1,"")</f>
        <v>-0.12344582720173169</v>
      </c>
      <c r="T89" s="177">
        <f>IFERROR(Inv_SY!T91/Inv_SY!$Y91-1,"")</f>
        <v>0.30343176069463529</v>
      </c>
      <c r="U89" s="177">
        <f>IFERROR(Inv_SY!U91/Inv_SY!$Y91-1,"")</f>
        <v>-0.12742729506946282</v>
      </c>
      <c r="V89" s="177">
        <f>IFERROR(Inv_SY!J91/Inv_SY!$Z91-1,"")</f>
        <v>6.9302856142783309E-3</v>
      </c>
      <c r="W89" s="177">
        <f>IFERROR(Inv_SY!K91/Inv_SY!$Z91-1,"")</f>
        <v>-0.16612820608981282</v>
      </c>
      <c r="X89" s="177">
        <f>IFERROR(Inv_SY!L91/Inv_SY!$Z91-1,"")</f>
        <v>-3.6993026111011851E-3</v>
      </c>
      <c r="Y89" s="177">
        <f>IFERROR(Inv_SY!M91/Inv_SY!$Z91-1,"")</f>
        <v>9.2459783046906274E-2</v>
      </c>
      <c r="Z89" s="177">
        <f>IFERROR(Inv_SY!N91/Inv_SY!$Z91-1,"")</f>
        <v>-6.0766306338348564E-2</v>
      </c>
      <c r="AA89" s="177">
        <f>IFERROR(Inv_SY!O91/Inv_SY!$Z91-1,"")</f>
        <v>8.970588511049149E-3</v>
      </c>
      <c r="AB89" s="177">
        <f>IFERROR(Inv_SY!P91/Inv_SY!$Z91-1,"")</f>
        <v>-0.14114892728431505</v>
      </c>
      <c r="AC89" s="177">
        <f>IFERROR(Inv_SY!Q91/Inv_SY!$Z91-1,"")</f>
        <v>0.28900437346946362</v>
      </c>
      <c r="AD89" s="177">
        <f>IFERROR(Inv_SY!R91/Inv_SY!$Z91-1,"")</f>
        <v>4.8151489425279914E-2</v>
      </c>
      <c r="AE89" s="177">
        <f>IFERROR(Inv_SY!S91/Inv_SY!$Z91-1,"")</f>
        <v>-0.13393374575326844</v>
      </c>
      <c r="AF89" s="177">
        <f>IFERROR(Inv_SY!T91/Inv_SY!$Z91-1,"")</f>
        <v>0.28783627718902238</v>
      </c>
      <c r="AG89" s="177">
        <f>IFERROR(Inv_SY!U91/Inv_SY!$Z91-1,"")</f>
        <v>-0.13786757559472784</v>
      </c>
      <c r="AH89" s="177">
        <f>IFERROR(Inv_SY!V91/Inv_SY!$Y91-1,"")</f>
        <v>-1.2886807057759908E-2</v>
      </c>
      <c r="AI89" s="177">
        <f>IFERROR(Inv_SY!W91/Inv_SY!$Y91-1,"")</f>
        <v>1.2109833976453377E-2</v>
      </c>
      <c r="AJ89" s="177">
        <f>IFERROR(Inv_SY!X91/Inv_SY!$Y91-1,"")</f>
        <v>7.7697308130675324E-4</v>
      </c>
      <c r="AK89" s="177">
        <f>IFERROR(Inv_SY!V91/Inv_SY!$Z91-1,"")</f>
        <v>-2.4697557710712692E-2</v>
      </c>
      <c r="AL89" s="177">
        <f>IFERROR(Inv_SY!W91/Inv_SY!$Z91-1,"")</f>
        <v>0</v>
      </c>
      <c r="AM89" s="177">
        <f>IFERROR(Inv_SY!X91/Inv_SY!$Z91-1,"")</f>
        <v>-1.1197263888466757E-2</v>
      </c>
    </row>
    <row r="90" spans="1:39" x14ac:dyDescent="0.25">
      <c r="A90" s="173">
        <f>YEAR(Inv_SY_D[[#This Row],[Date]])+IF(MONTH(Inv_SY_D[[#This Row],[Date]])&gt;=4,1,0)</f>
        <v>2026</v>
      </c>
      <c r="B90" s="173">
        <v>4</v>
      </c>
      <c r="C90" s="173">
        <f>YEAR(Inv_SY_D[[#This Row],[Month Year]])</f>
        <v>2025</v>
      </c>
      <c r="D90" s="173" t="s">
        <v>4</v>
      </c>
      <c r="E90" s="173" t="s">
        <v>4</v>
      </c>
      <c r="F90" s="174" t="str">
        <f>TEXT(Inv_SY_D[[#This Row],[Date]],"mmm-yy")</f>
        <v>Jun-25</v>
      </c>
      <c r="G90" s="175">
        <f>DAY(EOMONTH(Inv_SY_D[[#This Row],[Month Year]],0))</f>
        <v>30</v>
      </c>
      <c r="H90" s="176">
        <f t="shared" si="2"/>
        <v>45833</v>
      </c>
      <c r="I90" s="178">
        <v>7.0991999999999997</v>
      </c>
      <c r="J90" s="177">
        <f>IFERROR(Inv_SY!J92/Inv_SY!$Y92-1,"")</f>
        <v>0.15162941202954983</v>
      </c>
      <c r="K90" s="177">
        <f>IFERROR(Inv_SY!K92/Inv_SY!$Y92-1,"")</f>
        <v>-0.10293890626150026</v>
      </c>
      <c r="L90" s="177">
        <f>IFERROR(Inv_SY!L92/Inv_SY!$Y92-1,"")</f>
        <v>7.5849818855483031E-2</v>
      </c>
      <c r="M90" s="177">
        <f>IFERROR(Inv_SY!M92/Inv_SY!$Y92-1,"")</f>
        <v>7.5272561440481445E-2</v>
      </c>
      <c r="N90" s="177">
        <f>IFERROR(Inv_SY!N92/Inv_SY!$Y92-1,"")</f>
        <v>-0.12354857138760089</v>
      </c>
      <c r="O90" s="177">
        <f>IFERROR(Inv_SY!O92/Inv_SY!$Y92-1,"")</f>
        <v>9.4429998578982488E-2</v>
      </c>
      <c r="P90" s="177">
        <f>IFERROR(Inv_SY!P92/Inv_SY!$Y92-1,"")</f>
        <v>-0.12307187919345586</v>
      </c>
      <c r="Q90" s="177">
        <f>IFERROR(Inv_SY!Q92/Inv_SY!$Y92-1,"")</f>
        <v>0.31195203453846587</v>
      </c>
      <c r="R90" s="177">
        <f>IFERROR(Inv_SY!R92/Inv_SY!$Y92-1,"")</f>
        <v>-5.6429128999790912E-4</v>
      </c>
      <c r="S90" s="177">
        <f>IFERROR(Inv_SY!S92/Inv_SY!$Y92-1,"")</f>
        <v>-0.17077848556089226</v>
      </c>
      <c r="T90" s="177">
        <f>IFERROR(Inv_SY!T92/Inv_SY!$Y92-1,"")</f>
        <v>0.23175952316067261</v>
      </c>
      <c r="U90" s="177">
        <f>IFERROR(Inv_SY!U92/Inv_SY!$Y92-1,"")</f>
        <v>-0.17589664500137148</v>
      </c>
      <c r="V90" s="177">
        <f>IFERROR(Inv_SY!J92/Inv_SY!$Z92-1,"")</f>
        <v>0.10452416490608929</v>
      </c>
      <c r="W90" s="177">
        <f>IFERROR(Inv_SY!K92/Inv_SY!$Z92-1,"")</f>
        <v>-0.13963151246276462</v>
      </c>
      <c r="X90" s="177">
        <f>IFERROR(Inv_SY!L92/Inv_SY!$Z92-1,"")</f>
        <v>3.1844194254765146E-2</v>
      </c>
      <c r="Y90" s="177">
        <f>IFERROR(Inv_SY!M92/Inv_SY!$Z92-1,"")</f>
        <v>3.1290548474637969E-2</v>
      </c>
      <c r="Z90" s="177">
        <f>IFERROR(Inv_SY!N92/Inv_SY!$Z92-1,"")</f>
        <v>-0.15939817778462628</v>
      </c>
      <c r="AA90" s="177">
        <f>IFERROR(Inv_SY!O92/Inv_SY!$Z92-1,"")</f>
        <v>4.9664386478526001E-2</v>
      </c>
      <c r="AB90" s="177">
        <f>IFERROR(Inv_SY!P92/Inv_SY!$Z92-1,"")</f>
        <v>-0.15894098379309085</v>
      </c>
      <c r="AC90" s="177">
        <f>IFERROR(Inv_SY!Q92/Inv_SY!$Z92-1,"")</f>
        <v>0.25828909040425008</v>
      </c>
      <c r="AD90" s="177">
        <f>IFERROR(Inv_SY!R92/Inv_SY!$Z92-1,"")</f>
        <v>-4.1444339638040284E-2</v>
      </c>
      <c r="AE90" s="177">
        <f>IFERROR(Inv_SY!S92/Inv_SY!$Z92-1,"")</f>
        <v>-0.20469624065617642</v>
      </c>
      <c r="AF90" s="177">
        <f>IFERROR(Inv_SY!T92/Inv_SY!$Z92-1,"")</f>
        <v>0.18137670371452375</v>
      </c>
      <c r="AG90" s="177">
        <f>IFERROR(Inv_SY!U92/Inv_SY!$Z92-1,"")</f>
        <v>-0.20960505135760588</v>
      </c>
      <c r="AH90" s="177">
        <f>IFERROR(Inv_SY!V92/Inv_SY!$Y92-1,"")</f>
        <v>4.2647547803959185E-2</v>
      </c>
      <c r="AI90" s="177">
        <f>IFERROR(Inv_SY!W92/Inv_SY!$Y92-1,"")</f>
        <v>1.222467937386007E-2</v>
      </c>
      <c r="AJ90" s="177">
        <f>IFERROR(Inv_SY!X92/Inv_SY!$Y92-1,"")</f>
        <v>-5.4872227177819588E-2</v>
      </c>
      <c r="AK90" s="177">
        <f>IFERROR(Inv_SY!V92/Inv_SY!$Z92-1,"")</f>
        <v>0</v>
      </c>
      <c r="AL90" s="177">
        <f>IFERROR(Inv_SY!W92/Inv_SY!$Z92-1,"")</f>
        <v>-2.917847789905248E-2</v>
      </c>
      <c r="AM90" s="177">
        <f>IFERROR(Inv_SY!X92/Inv_SY!$Z92-1,"")</f>
        <v>-9.3530910984422899E-2</v>
      </c>
    </row>
    <row r="91" spans="1:39" x14ac:dyDescent="0.25">
      <c r="A91" s="173">
        <f>YEAR(Inv_SY_D[[#This Row],[Date]])+IF(MONTH(Inv_SY_D[[#This Row],[Date]])&gt;=4,1,0)</f>
        <v>2026</v>
      </c>
      <c r="B91" s="173">
        <v>4</v>
      </c>
      <c r="C91" s="173">
        <f>YEAR(Inv_SY_D[[#This Row],[Month Year]])</f>
        <v>2025</v>
      </c>
      <c r="D91" s="173" t="s">
        <v>4</v>
      </c>
      <c r="E91" s="173" t="s">
        <v>4</v>
      </c>
      <c r="F91" s="174" t="str">
        <f>TEXT(Inv_SY_D[[#This Row],[Date]],"mmm-yy")</f>
        <v>Jun-25</v>
      </c>
      <c r="G91" s="175">
        <f>DAY(EOMONTH(Inv_SY_D[[#This Row],[Month Year]],0))</f>
        <v>30</v>
      </c>
      <c r="H91" s="176">
        <f t="shared" si="2"/>
        <v>45834</v>
      </c>
      <c r="I91" s="178">
        <v>7.0991999999999997</v>
      </c>
      <c r="J91" s="177">
        <f>IFERROR(Inv_SY!J93/Inv_SY!$Y93-1,"")</f>
        <v>4.444942162946286E-2</v>
      </c>
      <c r="K91" s="177">
        <f>IFERROR(Inv_SY!K93/Inv_SY!$Y93-1,"")</f>
        <v>-6.6584596066802115E-2</v>
      </c>
      <c r="L91" s="177">
        <f>IFERROR(Inv_SY!L93/Inv_SY!$Y93-1,"")</f>
        <v>3.5561210812495858E-2</v>
      </c>
      <c r="M91" s="177">
        <f>IFERROR(Inv_SY!M93/Inv_SY!$Y93-1,"")</f>
        <v>3.6931089061993605E-2</v>
      </c>
      <c r="N91" s="177">
        <f>IFERROR(Inv_SY!N93/Inv_SY!$Y93-1,"")</f>
        <v>-0.1546865905336775</v>
      </c>
      <c r="O91" s="177">
        <f>IFERROR(Inv_SY!O93/Inv_SY!$Y93-1,"")</f>
        <v>-8.3785080923993727E-3</v>
      </c>
      <c r="P91" s="177">
        <f>IFERROR(Inv_SY!P93/Inv_SY!$Y93-1,"")</f>
        <v>-8.8259484609129468E-2</v>
      </c>
      <c r="Q91" s="177">
        <f>IFERROR(Inv_SY!Q93/Inv_SY!$Y93-1,"")</f>
        <v>0.26531877770658396</v>
      </c>
      <c r="R91" s="177">
        <f>IFERROR(Inv_SY!R93/Inv_SY!$Y93-1,"")</f>
        <v>7.115861737401552E-2</v>
      </c>
      <c r="S91" s="177">
        <f>IFERROR(Inv_SY!S93/Inv_SY!$Y93-1,"")</f>
        <v>-0.11290028277278086</v>
      </c>
      <c r="T91" s="177">
        <f>IFERROR(Inv_SY!T93/Inv_SY!$Y93-1,"")</f>
        <v>0.31804796218611631</v>
      </c>
      <c r="U91" s="177">
        <f>IFERROR(Inv_SY!U93/Inv_SY!$Y93-1,"")</f>
        <v>-0.11814411638001587</v>
      </c>
      <c r="V91" s="177">
        <f>IFERROR(Inv_SY!J93/Inv_SY!$Z93-1,"")</f>
        <v>3.2384419763078487E-2</v>
      </c>
      <c r="W91" s="177">
        <f>IFERROR(Inv_SY!K93/Inv_SY!$Z93-1,"")</f>
        <v>-7.7366983760594255E-2</v>
      </c>
      <c r="X91" s="177">
        <f>IFERROR(Inv_SY!L93/Inv_SY!$Z93-1,"")</f>
        <v>2.3598881490970891E-2</v>
      </c>
      <c r="Y91" s="177">
        <f>IFERROR(Inv_SY!M93/Inv_SY!$Z93-1,"")</f>
        <v>2.4952935533671727E-2</v>
      </c>
      <c r="Z91" s="177">
        <f>IFERROR(Inv_SY!N93/Inv_SY!$Z93-1,"")</f>
        <v>-0.16445126429545676</v>
      </c>
      <c r="AA91" s="177">
        <f>IFERROR(Inv_SY!O93/Inv_SY!$Z93-1,"")</f>
        <v>-1.9833265884257711E-2</v>
      </c>
      <c r="AB91" s="177">
        <f>IFERROR(Inv_SY!P93/Inv_SY!$Z93-1,"")</f>
        <v>-9.8791493907088079E-2</v>
      </c>
      <c r="AC91" s="177">
        <f>IFERROR(Inv_SY!Q93/Inv_SY!$Z93-1,"")</f>
        <v>0.25070239409005213</v>
      </c>
      <c r="AD91" s="177">
        <f>IFERROR(Inv_SY!R93/Inv_SY!$Z93-1,"")</f>
        <v>5.8785083098273683E-2</v>
      </c>
      <c r="AE91" s="177">
        <f>IFERROR(Inv_SY!S93/Inv_SY!$Z93-1,"")</f>
        <v>-0.12314765284391138</v>
      </c>
      <c r="AF91" s="177">
        <f>IFERROR(Inv_SY!T93/Inv_SY!$Z93-1,"")</f>
        <v>0.30282247515492022</v>
      </c>
      <c r="AG91" s="177">
        <f>IFERROR(Inv_SY!U93/Inv_SY!$Z93-1,"")</f>
        <v>-0.12833091208445324</v>
      </c>
      <c r="AH91" s="177">
        <f>IFERROR(Inv_SY!V93/Inv_SY!$Y93-1,"")</f>
        <v>8.7988681918920175E-3</v>
      </c>
      <c r="AI91" s="177">
        <f>IFERROR(Inv_SY!W93/Inv_SY!$Y93-1,"")</f>
        <v>-2.0485408239786951E-2</v>
      </c>
      <c r="AJ91" s="177">
        <f>IFERROR(Inv_SY!X93/Inv_SY!$Y93-1,"")</f>
        <v>1.1686540047895155E-2</v>
      </c>
      <c r="AK91" s="177">
        <f>IFERROR(Inv_SY!V93/Inv_SY!$Z93-1,"")</f>
        <v>-2.8543147918786982E-3</v>
      </c>
      <c r="AL91" s="177">
        <f>IFERROR(Inv_SY!W93/Inv_SY!$Z93-1,"")</f>
        <v>-3.1800312660242636E-2</v>
      </c>
      <c r="AM91" s="177">
        <f>IFERROR(Inv_SY!X93/Inv_SY!$Z93-1,"")</f>
        <v>0</v>
      </c>
    </row>
    <row r="92" spans="1:39" x14ac:dyDescent="0.25">
      <c r="A92" s="173">
        <f>YEAR(Inv_SY_D[[#This Row],[Date]])+IF(MONTH(Inv_SY_D[[#This Row],[Date]])&gt;=4,1,0)</f>
        <v>2026</v>
      </c>
      <c r="B92" s="173">
        <v>4</v>
      </c>
      <c r="C92" s="173">
        <f>YEAR(Inv_SY_D[[#This Row],[Month Year]])</f>
        <v>2025</v>
      </c>
      <c r="D92" s="173" t="s">
        <v>4</v>
      </c>
      <c r="E92" s="173" t="s">
        <v>4</v>
      </c>
      <c r="F92" s="174" t="str">
        <f>TEXT(Inv_SY_D[[#This Row],[Date]],"mmm-yy")</f>
        <v>Jun-25</v>
      </c>
      <c r="G92" s="175">
        <f>DAY(EOMONTH(Inv_SY_D[[#This Row],[Month Year]],0))</f>
        <v>30</v>
      </c>
      <c r="H92" s="176">
        <f t="shared" si="2"/>
        <v>45835</v>
      </c>
      <c r="I92" s="178">
        <v>7.0991999999999997</v>
      </c>
      <c r="J92" s="177">
        <f>IFERROR(Inv_SY!J94/Inv_SY!$Y94-1,"")</f>
        <v>3.460949450112083E-2</v>
      </c>
      <c r="K92" s="177">
        <f>IFERROR(Inv_SY!K94/Inv_SY!$Y94-1,"")</f>
        <v>-0.14287814343055183</v>
      </c>
      <c r="L92" s="177">
        <f>IFERROR(Inv_SY!L94/Inv_SY!$Y94-1,"")</f>
        <v>7.4352735746560539E-2</v>
      </c>
      <c r="M92" s="177">
        <f>IFERROR(Inv_SY!M94/Inv_SY!$Y94-1,"")</f>
        <v>3.7946641244241963E-2</v>
      </c>
      <c r="N92" s="177">
        <f>IFERROR(Inv_SY!N94/Inv_SY!$Y94-1,"")</f>
        <v>-0.12515318390992736</v>
      </c>
      <c r="O92" s="177">
        <f>IFERROR(Inv_SY!O94/Inv_SY!$Y94-1,"")</f>
        <v>2.7089163812397343E-2</v>
      </c>
      <c r="P92" s="177">
        <f>IFERROR(Inv_SY!P94/Inv_SY!$Y94-1,"")</f>
        <v>-0.12379540389754473</v>
      </c>
      <c r="Q92" s="177">
        <f>IFERROR(Inv_SY!Q94/Inv_SY!$Y94-1,"")</f>
        <v>0.38412026099930996</v>
      </c>
      <c r="R92" s="177">
        <f>IFERROR(Inv_SY!R94/Inv_SY!$Y94-1,"")</f>
        <v>5.4914538492722098E-2</v>
      </c>
      <c r="S92" s="177">
        <f>IFERROR(Inv_SY!S94/Inv_SY!$Y94-1,"")</f>
        <v>-0.12548217015051133</v>
      </c>
      <c r="T92" s="177">
        <f>IFERROR(Inv_SY!T94/Inv_SY!$Y94-1,"")</f>
        <v>0.29876602811361086</v>
      </c>
      <c r="U92" s="177">
        <f>IFERROR(Inv_SY!U94/Inv_SY!$Y94-1,"")</f>
        <v>-0.13117926251015033</v>
      </c>
      <c r="V92" s="177">
        <f>IFERROR(Inv_SY!J94/Inv_SY!$Z94-1,"")</f>
        <v>2.5300449310337925E-2</v>
      </c>
      <c r="W92" s="177">
        <f>IFERROR(Inv_SY!K94/Inv_SY!$Z94-1,"")</f>
        <v>-0.15059021850740018</v>
      </c>
      <c r="X92" s="177">
        <f>IFERROR(Inv_SY!L94/Inv_SY!$Z94-1,"")</f>
        <v>6.4686095124121268E-2</v>
      </c>
      <c r="Y92" s="177">
        <f>IFERROR(Inv_SY!M94/Inv_SY!$Z94-1,"")</f>
        <v>2.8607569603861238E-2</v>
      </c>
      <c r="Z92" s="177">
        <f>IFERROR(Inv_SY!N94/Inv_SY!$Z94-1,"")</f>
        <v>-0.13302474181586177</v>
      </c>
      <c r="AA92" s="177">
        <f>IFERROR(Inv_SY!O94/Inv_SY!$Z94-1,"")</f>
        <v>1.7847783860144517E-2</v>
      </c>
      <c r="AB92" s="177">
        <f>IFERROR(Inv_SY!P94/Inv_SY!$Z94-1,"")</f>
        <v>-0.13167917862109157</v>
      </c>
      <c r="AC92" s="177">
        <f>IFERROR(Inv_SY!Q94/Inv_SY!$Z94-1,"")</f>
        <v>0.37166644327619514</v>
      </c>
      <c r="AD92" s="177">
        <f>IFERROR(Inv_SY!R94/Inv_SY!$Z94-1,"")</f>
        <v>4.5422795798075732E-2</v>
      </c>
      <c r="AE92" s="177">
        <f>IFERROR(Inv_SY!S94/Inv_SY!$Z94-1,"")</f>
        <v>-0.13335076795623679</v>
      </c>
      <c r="AF92" s="177">
        <f>IFERROR(Inv_SY!T94/Inv_SY!$Z94-1,"")</f>
        <v>0.28708019716751765</v>
      </c>
      <c r="AG92" s="177">
        <f>IFERROR(Inv_SY!U94/Inv_SY!$Z94-1,"")</f>
        <v>-0.13899659992196511</v>
      </c>
      <c r="AH92" s="177">
        <f>IFERROR(Inv_SY!V94/Inv_SY!$Y94-1,"")</f>
        <v>-5.9046871653098965E-3</v>
      </c>
      <c r="AI92" s="177">
        <f>IFERROR(Inv_SY!W94/Inv_SY!$Y94-1,"")</f>
        <v>9.0793339621031421E-3</v>
      </c>
      <c r="AJ92" s="177">
        <f>IFERROR(Inv_SY!X94/Inv_SY!$Y94-1,"")</f>
        <v>-3.1746467967929126E-3</v>
      </c>
      <c r="AK92" s="177">
        <f>IFERROR(Inv_SY!V94/Inv_SY!$Z94-1,"")</f>
        <v>-1.4849200279009711E-2</v>
      </c>
      <c r="AL92" s="177">
        <f>IFERROR(Inv_SY!W94/Inv_SY!$Z94-1,"")</f>
        <v>0</v>
      </c>
      <c r="AM92" s="177">
        <f>IFERROR(Inv_SY!X94/Inv_SY!$Z94-1,"")</f>
        <v>-1.214372383465756E-2</v>
      </c>
    </row>
    <row r="93" spans="1:39" x14ac:dyDescent="0.25">
      <c r="A93" s="173">
        <f>YEAR(Inv_SY_D[[#This Row],[Date]])+IF(MONTH(Inv_SY_D[[#This Row],[Date]])&gt;=4,1,0)</f>
        <v>2026</v>
      </c>
      <c r="B93" s="173">
        <v>4</v>
      </c>
      <c r="C93" s="173">
        <f>YEAR(Inv_SY_D[[#This Row],[Month Year]])</f>
        <v>2025</v>
      </c>
      <c r="D93" s="173" t="s">
        <v>4</v>
      </c>
      <c r="E93" s="173" t="s">
        <v>4</v>
      </c>
      <c r="F93" s="174" t="str">
        <f>TEXT(Inv_SY_D[[#This Row],[Date]],"mmm-yy")</f>
        <v>Jun-25</v>
      </c>
      <c r="G93" s="175">
        <f>DAY(EOMONTH(Inv_SY_D[[#This Row],[Month Year]],0))</f>
        <v>30</v>
      </c>
      <c r="H93" s="176">
        <f t="shared" si="2"/>
        <v>45836</v>
      </c>
      <c r="I93" s="178">
        <v>7.0991999999999997</v>
      </c>
      <c r="J93" s="177">
        <f>IFERROR(Inv_SY!J95/Inv_SY!$Y95-1,"")</f>
        <v>3.226388959213744E-2</v>
      </c>
      <c r="K93" s="177">
        <f>IFERROR(Inv_SY!K95/Inv_SY!$Y95-1,"")</f>
        <v>-0.14462030937464643</v>
      </c>
      <c r="L93" s="177">
        <f>IFERROR(Inv_SY!L95/Inv_SY!$Y95-1,"")</f>
        <v>2.6914527797818E-2</v>
      </c>
      <c r="M93" s="177">
        <f>IFERROR(Inv_SY!M95/Inv_SY!$Y95-1,"")</f>
        <v>6.0316553657433047E-2</v>
      </c>
      <c r="N93" s="177">
        <f>IFERROR(Inv_SY!N95/Inv_SY!$Y95-1,"")</f>
        <v>-0.11903393039793886</v>
      </c>
      <c r="O93" s="177">
        <f>IFERROR(Inv_SY!O95/Inv_SY!$Y95-1,"")</f>
        <v>6.9585055000592311E-2</v>
      </c>
      <c r="P93" s="177">
        <f>IFERROR(Inv_SY!P95/Inv_SY!$Y95-1,"")</f>
        <v>-0.11758953428261298</v>
      </c>
      <c r="Q93" s="177">
        <f>IFERROR(Inv_SY!Q95/Inv_SY!$Y95-1,"")</f>
        <v>0.31817445006145872</v>
      </c>
      <c r="R93" s="177">
        <f>IFERROR(Inv_SY!R95/Inv_SY!$Y95-1,"")</f>
        <v>6.0894717406813736E-2</v>
      </c>
      <c r="S93" s="177">
        <f>IFERROR(Inv_SY!S95/Inv_SY!$Y95-1,"")</f>
        <v>-0.12005439854513533</v>
      </c>
      <c r="T93" s="177">
        <f>IFERROR(Inv_SY!T95/Inv_SY!$Y95-1,"")</f>
        <v>0.30628193365385337</v>
      </c>
      <c r="U93" s="177">
        <f>IFERROR(Inv_SY!U95/Inv_SY!$Y95-1,"")</f>
        <v>-0.12624338160100335</v>
      </c>
      <c r="V93" s="177">
        <f>IFERROR(Inv_SY!J95/Inv_SY!$Z95-1,"")</f>
        <v>2.1784469436672227E-2</v>
      </c>
      <c r="W93" s="177">
        <f>IFERROR(Inv_SY!K95/Inv_SY!$Z95-1,"")</f>
        <v>-0.15330402219352324</v>
      </c>
      <c r="X93" s="177">
        <f>IFERROR(Inv_SY!L95/Inv_SY!$Z95-1,"")</f>
        <v>1.6489413726651136E-2</v>
      </c>
      <c r="Y93" s="177">
        <f>IFERROR(Inv_SY!M95/Inv_SY!$Z95-1,"")</f>
        <v>4.9552346194977392E-2</v>
      </c>
      <c r="Z93" s="177">
        <f>IFERROR(Inv_SY!N95/Inv_SY!$Z95-1,"")</f>
        <v>-0.12797739309110401</v>
      </c>
      <c r="AA93" s="177">
        <f>IFERROR(Inv_SY!O95/Inv_SY!$Z95-1,"")</f>
        <v>5.8726754815562998E-2</v>
      </c>
      <c r="AB93" s="177">
        <f>IFERROR(Inv_SY!P95/Inv_SY!$Z95-1,"")</f>
        <v>-0.1265476603132405</v>
      </c>
      <c r="AC93" s="177">
        <f>IFERROR(Inv_SY!Q95/Inv_SY!$Z95-1,"")</f>
        <v>0.30479249992286439</v>
      </c>
      <c r="AD93" s="177">
        <f>IFERROR(Inv_SY!R95/Inv_SY!$Z95-1,"")</f>
        <v>5.0124640494782824E-2</v>
      </c>
      <c r="AE93" s="177">
        <f>IFERROR(Inv_SY!S95/Inv_SY!$Z95-1,"")</f>
        <v>-0.12898750156711791</v>
      </c>
      <c r="AF93" s="177">
        <f>IFERROR(Inv_SY!T95/Inv_SY!$Z95-1,"")</f>
        <v>0.2930207149264783</v>
      </c>
      <c r="AG93" s="177">
        <f>IFERROR(Inv_SY!U95/Inv_SY!$Z95-1,"")</f>
        <v>-0.13511365480356541</v>
      </c>
      <c r="AH93" s="177">
        <f>IFERROR(Inv_SY!V95/Inv_SY!$Y95-1,"")</f>
        <v>-1.2898998178129339E-2</v>
      </c>
      <c r="AI93" s="177">
        <f>IFERROR(Inv_SY!W95/Inv_SY!$Y95-1,"")</f>
        <v>1.025599866598359E-2</v>
      </c>
      <c r="AJ93" s="177">
        <f>IFERROR(Inv_SY!X95/Inv_SY!$Y95-1,"")</f>
        <v>2.6429995121455274E-3</v>
      </c>
      <c r="AK93" s="177">
        <f>IFERROR(Inv_SY!V95/Inv_SY!$Z95-1,"")</f>
        <v>-2.2919930071871319E-2</v>
      </c>
      <c r="AL93" s="177">
        <f>IFERROR(Inv_SY!W95/Inv_SY!$Z95-1,"")</f>
        <v>0</v>
      </c>
      <c r="AM93" s="177">
        <f>IFERROR(Inv_SY!X95/Inv_SY!$Z95-1,"")</f>
        <v>-7.5357128924655736E-3</v>
      </c>
    </row>
    <row r="94" spans="1:39" x14ac:dyDescent="0.25">
      <c r="A94" s="173">
        <f>YEAR(Inv_SY_D[[#This Row],[Date]])+IF(MONTH(Inv_SY_D[[#This Row],[Date]])&gt;=4,1,0)</f>
        <v>2026</v>
      </c>
      <c r="B94" s="173">
        <v>4</v>
      </c>
      <c r="C94" s="173">
        <f>YEAR(Inv_SY_D[[#This Row],[Month Year]])</f>
        <v>2025</v>
      </c>
      <c r="D94" s="173" t="s">
        <v>4</v>
      </c>
      <c r="E94" s="173" t="s">
        <v>4</v>
      </c>
      <c r="F94" s="174" t="str">
        <f>TEXT(Inv_SY_D[[#This Row],[Date]],"mmm-yy")</f>
        <v>Jun-25</v>
      </c>
      <c r="G94" s="175">
        <f>DAY(EOMONTH(Inv_SY_D[[#This Row],[Month Year]],0))</f>
        <v>30</v>
      </c>
      <c r="H94" s="176">
        <f t="shared" si="2"/>
        <v>45837</v>
      </c>
      <c r="I94" s="178">
        <v>7.0991999999999997</v>
      </c>
      <c r="J94" s="177">
        <f>IFERROR(Inv_SY!J96/Inv_SY!$Y96-1,"")</f>
        <v>3.0216124785376719E-2</v>
      </c>
      <c r="K94" s="177">
        <f>IFERROR(Inv_SY!K96/Inv_SY!$Y96-1,"")</f>
        <v>-0.1215685186762937</v>
      </c>
      <c r="L94" s="177">
        <f>IFERROR(Inv_SY!L96/Inv_SY!$Y96-1,"")</f>
        <v>2.2684544044258015E-2</v>
      </c>
      <c r="M94" s="177">
        <f>IFERROR(Inv_SY!M96/Inv_SY!$Y96-1,"")</f>
        <v>2.2481769494195225E-2</v>
      </c>
      <c r="N94" s="177">
        <f>IFERROR(Inv_SY!N96/Inv_SY!$Y96-1,"")</f>
        <v>-0.11606218352709119</v>
      </c>
      <c r="O94" s="177">
        <f>IFERROR(Inv_SY!O96/Inv_SY!$Y96-1,"")</f>
        <v>3.7750883810979463E-2</v>
      </c>
      <c r="P94" s="177">
        <f>IFERROR(Inv_SY!P96/Inv_SY!$Y96-1,"")</f>
        <v>-0.11596252210765146</v>
      </c>
      <c r="Q94" s="177">
        <f>IFERROR(Inv_SY!Q96/Inv_SY!$Y96-1,"")</f>
        <v>0.36098200607669639</v>
      </c>
      <c r="R94" s="177">
        <f>IFERROR(Inv_SY!R96/Inv_SY!$Y96-1,"")</f>
        <v>6.3986080092007791E-2</v>
      </c>
      <c r="S94" s="177">
        <f>IFERROR(Inv_SY!S96/Inv_SY!$Y96-1,"")</f>
        <v>-0.11856816036226714</v>
      </c>
      <c r="T94" s="177">
        <f>IFERROR(Inv_SY!T96/Inv_SY!$Y96-1,"")</f>
        <v>0.30860449952691504</v>
      </c>
      <c r="U94" s="177">
        <f>IFERROR(Inv_SY!U96/Inv_SY!$Y96-1,"")</f>
        <v>-0.12440837557829354</v>
      </c>
      <c r="V94" s="177">
        <f>IFERROR(Inv_SY!J96/Inv_SY!$Z96-1,"")</f>
        <v>1.7952998351713489E-2</v>
      </c>
      <c r="W94" s="177">
        <f>IFERROR(Inv_SY!K96/Inv_SY!$Z96-1,"")</f>
        <v>-0.1320248841510886</v>
      </c>
      <c r="X94" s="177">
        <f>IFERROR(Inv_SY!L96/Inv_SY!$Z96-1,"")</f>
        <v>1.0511069407583395E-2</v>
      </c>
      <c r="Y94" s="177">
        <f>IFERROR(Inv_SY!M96/Inv_SY!$Z96-1,"")</f>
        <v>1.0310708574298166E-2</v>
      </c>
      <c r="Z94" s="177">
        <f>IFERROR(Inv_SY!N96/Inv_SY!$Z96-1,"")</f>
        <v>-0.12658409338863785</v>
      </c>
      <c r="AA94" s="177">
        <f>IFERROR(Inv_SY!O96/Inv_SY!$Z96-1,"")</f>
        <v>2.5398067747776087E-2</v>
      </c>
      <c r="AB94" s="177">
        <f>IFERROR(Inv_SY!P96/Inv_SY!$Z96-1,"")</f>
        <v>-0.12648561828395055</v>
      </c>
      <c r="AC94" s="177">
        <f>IFERROR(Inv_SY!Q96/Inv_SY!$Z96-1,"")</f>
        <v>0.34478162441606552</v>
      </c>
      <c r="AD94" s="177">
        <f>IFERROR(Inv_SY!R96/Inv_SY!$Z96-1,"")</f>
        <v>5.1320974673914721E-2</v>
      </c>
      <c r="AE94" s="177">
        <f>IFERROR(Inv_SY!S96/Inv_SY!$Z96-1,"")</f>
        <v>-0.1290602404531177</v>
      </c>
      <c r="AF94" s="177">
        <f>IFERROR(Inv_SY!T96/Inv_SY!$Z96-1,"")</f>
        <v>0.29302759091203345</v>
      </c>
      <c r="AG94" s="177">
        <f>IFERROR(Inv_SY!U96/Inv_SY!$Z96-1,"")</f>
        <v>-0.13483093695761283</v>
      </c>
      <c r="AH94" s="177">
        <f>IFERROR(Inv_SY!V96/Inv_SY!$Y96-1,"")</f>
        <v>-1.681551931291736E-2</v>
      </c>
      <c r="AI94" s="177">
        <f>IFERROR(Inv_SY!W96/Inv_SY!$Y96-1,"")</f>
        <v>1.2046849366837087E-2</v>
      </c>
      <c r="AJ94" s="177">
        <f>IFERROR(Inv_SY!X96/Inv_SY!$Y96-1,"")</f>
        <v>4.7686699460807169E-3</v>
      </c>
      <c r="AK94" s="177">
        <f>IFERROR(Inv_SY!V96/Inv_SY!$Z96-1,"")</f>
        <v>-2.8518806908802263E-2</v>
      </c>
      <c r="AL94" s="177">
        <f>IFERROR(Inv_SY!W96/Inv_SY!$Z96-1,"")</f>
        <v>0</v>
      </c>
      <c r="AM94" s="177">
        <f>IFERROR(Inv_SY!X96/Inv_SY!$Z96-1,"")</f>
        <v>-7.1915439737892939E-3</v>
      </c>
    </row>
    <row r="95" spans="1:39" x14ac:dyDescent="0.25">
      <c r="A95" s="173">
        <f>YEAR(Inv_SY_D[[#This Row],[Date]])+IF(MONTH(Inv_SY_D[[#This Row],[Date]])&gt;=4,1,0)</f>
        <v>2026</v>
      </c>
      <c r="B95" s="173">
        <v>4</v>
      </c>
      <c r="C95" s="173">
        <f>YEAR(Inv_SY_D[[#This Row],[Month Year]])</f>
        <v>2025</v>
      </c>
      <c r="D95" s="173" t="s">
        <v>4</v>
      </c>
      <c r="E95" s="173" t="s">
        <v>4</v>
      </c>
      <c r="F95" s="174" t="str">
        <f>TEXT(Inv_SY_D[[#This Row],[Date]],"mmm-yy")</f>
        <v>Jun-25</v>
      </c>
      <c r="G95" s="175">
        <f>DAY(EOMONTH(Inv_SY_D[[#This Row],[Month Year]],0))</f>
        <v>30</v>
      </c>
      <c r="H95" s="176">
        <f t="shared" si="2"/>
        <v>45838</v>
      </c>
      <c r="I95" s="178">
        <v>7.0991999999999997</v>
      </c>
      <c r="J95" s="177">
        <f>IFERROR(Inv_SY!J97/Inv_SY!$Y97-1,"")</f>
        <v>9.8175022946636048E-3</v>
      </c>
      <c r="K95" s="177">
        <f>IFERROR(Inv_SY!K97/Inv_SY!$Y97-1,"")</f>
        <v>-0.1635135850773769</v>
      </c>
      <c r="L95" s="177">
        <f>IFERROR(Inv_SY!L97/Inv_SY!$Y97-1,"")</f>
        <v>-2.0245617612080213E-4</v>
      </c>
      <c r="M95" s="177">
        <f>IFERROR(Inv_SY!M97/Inv_SY!$Y97-1,"")</f>
        <v>0.11279443050826843</v>
      </c>
      <c r="N95" s="177">
        <f>IFERROR(Inv_SY!N97/Inv_SY!$Y97-1,"")</f>
        <v>-0.1337403288039245</v>
      </c>
      <c r="O95" s="177">
        <f>IFERROR(Inv_SY!O97/Inv_SY!$Y97-1,"")</f>
        <v>0.13210260454831935</v>
      </c>
      <c r="P95" s="177">
        <f>IFERROR(Inv_SY!P97/Inv_SY!$Y97-1,"")</f>
        <v>-0.13486310593908257</v>
      </c>
      <c r="Q95" s="177">
        <f>IFERROR(Inv_SY!Q97/Inv_SY!$Y97-1,"")</f>
        <v>0.29742787548041028</v>
      </c>
      <c r="R95" s="177">
        <f>IFERROR(Inv_SY!R97/Inv_SY!$Y97-1,"")</f>
        <v>6.566686133671773E-2</v>
      </c>
      <c r="S95" s="177">
        <f>IFERROR(Inv_SY!S97/Inv_SY!$Y97-1,"")</f>
        <v>-0.1191640530056618</v>
      </c>
      <c r="T95" s="177">
        <f>IFERROR(Inv_SY!T97/Inv_SY!$Y97-1,"")</f>
        <v>0.30938577400618872</v>
      </c>
      <c r="U95" s="177">
        <f>IFERROR(Inv_SY!U97/Inv_SY!$Y97-1,"")</f>
        <v>-0.12392041154780176</v>
      </c>
      <c r="V95" s="177">
        <f>IFERROR(Inv_SY!J97/Inv_SY!$Z97-1,"")</f>
        <v>-2.4534350043867725E-3</v>
      </c>
      <c r="W95" s="177">
        <f>IFERROR(Inv_SY!K97/Inv_SY!$Z97-1,"")</f>
        <v>-0.17367826565153854</v>
      </c>
      <c r="X95" s="177">
        <f>IFERROR(Inv_SY!L97/Inv_SY!$Z97-1,"")</f>
        <v>-1.2351634561452052E-2</v>
      </c>
      <c r="Y95" s="177">
        <f>IFERROR(Inv_SY!M97/Inv_SY!$Z97-1,"")</f>
        <v>9.9272154797587664E-2</v>
      </c>
      <c r="Z95" s="177">
        <f>IFERROR(Inv_SY!N97/Inv_SY!$Z97-1,"")</f>
        <v>-0.14426680322706376</v>
      </c>
      <c r="AA95" s="177">
        <f>IFERROR(Inv_SY!O97/Inv_SY!$Z97-1,"")</f>
        <v>0.11834570288545776</v>
      </c>
      <c r="AB95" s="177">
        <f>IFERROR(Inv_SY!P97/Inv_SY!$Z97-1,"")</f>
        <v>-0.14537593678029237</v>
      </c>
      <c r="AC95" s="177">
        <f>IFERROR(Inv_SY!Q97/Inv_SY!$Z97-1,"")</f>
        <v>0.28166200088041271</v>
      </c>
      <c r="AD95" s="177">
        <f>IFERROR(Inv_SY!R97/Inv_SY!$Z97-1,"")</f>
        <v>5.2717262812802534E-2</v>
      </c>
      <c r="AE95" s="177">
        <f>IFERROR(Inv_SY!S97/Inv_SY!$Z97-1,"")</f>
        <v>-0.12986765306384662</v>
      </c>
      <c r="AF95" s="177">
        <f>IFERROR(Inv_SY!T97/Inv_SY!$Z97-1,"")</f>
        <v>0.29347459134537335</v>
      </c>
      <c r="AG95" s="177">
        <f>IFERROR(Inv_SY!U97/Inv_SY!$Z97-1,"")</f>
        <v>-0.13456621405612268</v>
      </c>
      <c r="AH95" s="177">
        <f>IFERROR(Inv_SY!V97/Inv_SY!$Y97-1,"")</f>
        <v>-1.7586193317418397E-2</v>
      </c>
      <c r="AI95" s="177">
        <f>IFERROR(Inv_SY!W97/Inv_SY!$Y97-1,"")</f>
        <v>1.2301117290804742E-2</v>
      </c>
      <c r="AJ95" s="177">
        <f>IFERROR(Inv_SY!X97/Inv_SY!$Y97-1,"")</f>
        <v>5.2850760266132113E-3</v>
      </c>
      <c r="AK95" s="177">
        <f>IFERROR(Inv_SY!V97/Inv_SY!$Z97-1,"")</f>
        <v>-2.9524130812193405E-2</v>
      </c>
      <c r="AL95" s="177">
        <f>IFERROR(Inv_SY!W97/Inv_SY!$Z97-1,"")</f>
        <v>0</v>
      </c>
      <c r="AM95" s="177">
        <f>IFERROR(Inv_SY!X97/Inv_SY!$Z97-1,"")</f>
        <v>-6.9307848666299021E-3</v>
      </c>
    </row>
    <row r="96" spans="1:39" x14ac:dyDescent="0.25">
      <c r="A96" s="173">
        <f>YEAR(Inv_SY_D[[#This Row],[Date]])+IF(MONTH(Inv_SY_D[[#This Row],[Date]])&gt;=4,1,0)</f>
        <v>2026</v>
      </c>
      <c r="B96" s="173">
        <v>4</v>
      </c>
      <c r="C96" s="173">
        <f>YEAR(Inv_SY_D[[#This Row],[Month Year]])</f>
        <v>2025</v>
      </c>
      <c r="D96" s="173" t="s">
        <v>4</v>
      </c>
      <c r="E96" s="173" t="s">
        <v>4</v>
      </c>
      <c r="F96" s="174" t="str">
        <f>TEXT(Inv_SY_D[[#This Row],[Date]],"mmm-yy")</f>
        <v>Jul-25</v>
      </c>
      <c r="G96" s="175">
        <f>DAY(EOMONTH(Inv_SY_D[[#This Row],[Month Year]],0))</f>
        <v>31</v>
      </c>
      <c r="H96" s="176">
        <f t="shared" si="2"/>
        <v>45839</v>
      </c>
      <c r="I96" s="178">
        <v>7.0991999999999997</v>
      </c>
      <c r="J96" s="177">
        <f>IFERROR(Inv_SY!J98/Inv_SY!$Y98-1,"")</f>
        <v>0.1322666812317479</v>
      </c>
      <c r="K96" s="177">
        <f>IFERROR(Inv_SY!K98/Inv_SY!$Y98-1,"")</f>
        <v>-0.15820979847415906</v>
      </c>
      <c r="L96" s="177">
        <f>IFERROR(Inv_SY!L98/Inv_SY!$Y98-1,"")</f>
        <v>6.9629524900531869E-3</v>
      </c>
      <c r="M96" s="177">
        <f>IFERROR(Inv_SY!M98/Inv_SY!$Y98-1,"")</f>
        <v>9.2160400035226075E-3</v>
      </c>
      <c r="N96" s="177">
        <f>IFERROR(Inv_SY!N98/Inv_SY!$Y98-1,"")</f>
        <v>-0.13333855348006196</v>
      </c>
      <c r="O96" s="177">
        <f>IFERROR(Inv_SY!O98/Inv_SY!$Y98-1,"")</f>
        <v>1.6386823291880681E-2</v>
      </c>
      <c r="P96" s="177">
        <f>IFERROR(Inv_SY!P98/Inv_SY!$Y98-1,"")</f>
        <v>-3.6299677730838309E-2</v>
      </c>
      <c r="Q96" s="177">
        <f>IFERROR(Inv_SY!Q98/Inv_SY!$Y98-1,"")</f>
        <v>0.29658561225937152</v>
      </c>
      <c r="R96" s="177">
        <f>IFERROR(Inv_SY!R98/Inv_SY!$Y98-1,"")</f>
        <v>5.7058768273656746E-2</v>
      </c>
      <c r="S96" s="177">
        <f>IFERROR(Inv_SY!S98/Inv_SY!$Y98-1,"")</f>
        <v>-0.125497231821324</v>
      </c>
      <c r="T96" s="177">
        <f>IFERROR(Inv_SY!T98/Inv_SY!$Y98-1,"")</f>
        <v>0.29959149494051007</v>
      </c>
      <c r="U96" s="177">
        <f>IFERROR(Inv_SY!U98/Inv_SY!$Y98-1,"")</f>
        <v>-0.130692789384662</v>
      </c>
      <c r="V96" s="177">
        <f>IFERROR(Inv_SY!J98/Inv_SY!$Z98-1,"")</f>
        <v>0.11856857748881722</v>
      </c>
      <c r="W96" s="177">
        <f>IFERROR(Inv_SY!K98/Inv_SY!$Z98-1,"")</f>
        <v>-0.16839373279053349</v>
      </c>
      <c r="X96" s="177">
        <f>IFERROR(Inv_SY!L98/Inv_SY!$Z98-1,"")</f>
        <v>-5.2192332239087147E-3</v>
      </c>
      <c r="Y96" s="177">
        <f>IFERROR(Inv_SY!M98/Inv_SY!$Z98-1,"")</f>
        <v>-2.9934034466360115E-3</v>
      </c>
      <c r="Z96" s="177">
        <f>IFERROR(Inv_SY!N98/Inv_SY!$Z98-1,"")</f>
        <v>-0.14382337883190732</v>
      </c>
      <c r="AA96" s="177">
        <f>IFERROR(Inv_SY!O98/Inv_SY!$Z98-1,"")</f>
        <v>4.0906280764090308E-3</v>
      </c>
      <c r="AB96" s="177">
        <f>IFERROR(Inv_SY!P98/Inv_SY!$Z98-1,"")</f>
        <v>-4.7958474382151839E-2</v>
      </c>
      <c r="AC96" s="177">
        <f>IFERROR(Inv_SY!Q98/Inv_SY!$Z98-1,"")</f>
        <v>0.2808995865882824</v>
      </c>
      <c r="AD96" s="177">
        <f>IFERROR(Inv_SY!R98/Inv_SY!$Z98-1,"")</f>
        <v>4.4270525971555896E-2</v>
      </c>
      <c r="AE96" s="177">
        <f>IFERROR(Inv_SY!S98/Inv_SY!$Z98-1,"")</f>
        <v>-0.13607692107700364</v>
      </c>
      <c r="AF96" s="177">
        <f>IFERROR(Inv_SY!T98/Inv_SY!$Z98-1,"")</f>
        <v>0.28386910425622403</v>
      </c>
      <c r="AG96" s="177">
        <f>IFERROR(Inv_SY!U98/Inv_SY!$Z98-1,"")</f>
        <v>-0.14120962305368112</v>
      </c>
      <c r="AH96" s="177">
        <f>IFERROR(Inv_SY!V98/Inv_SY!$Y98-1,"")</f>
        <v>-9.8713158488997754E-3</v>
      </c>
      <c r="AI96" s="177">
        <f>IFERROR(Inv_SY!W98/Inv_SY!$Y98-1,"")</f>
        <v>1.2246100971013085E-2</v>
      </c>
      <c r="AJ96" s="177">
        <f>IFERROR(Inv_SY!X98/Inv_SY!$Y98-1,"")</f>
        <v>-2.3747851221129768E-3</v>
      </c>
      <c r="AK96" s="177">
        <f>IFERROR(Inv_SY!V98/Inv_SY!$Z98-1,"")</f>
        <v>-2.1849841455251373E-2</v>
      </c>
      <c r="AL96" s="177">
        <f>IFERROR(Inv_SY!W98/Inv_SY!$Z98-1,"")</f>
        <v>0</v>
      </c>
      <c r="AM96" s="177">
        <f>IFERROR(Inv_SY!X98/Inv_SY!$Z98-1,"")</f>
        <v>-1.4444003369438407E-2</v>
      </c>
    </row>
    <row r="97" spans="1:39" x14ac:dyDescent="0.25">
      <c r="A97" s="173">
        <f>YEAR(Inv_SY_D[[#This Row],[Date]])+IF(MONTH(Inv_SY_D[[#This Row],[Date]])&gt;=4,1,0)</f>
        <v>2026</v>
      </c>
      <c r="B97" s="173">
        <v>4</v>
      </c>
      <c r="C97" s="173">
        <f>YEAR(Inv_SY_D[[#This Row],[Month Year]])</f>
        <v>2025</v>
      </c>
      <c r="D97" s="173" t="s">
        <v>4</v>
      </c>
      <c r="E97" s="173" t="s">
        <v>4</v>
      </c>
      <c r="F97" s="174" t="str">
        <f>TEXT(Inv_SY_D[[#This Row],[Date]],"mmm-yy")</f>
        <v>Jul-25</v>
      </c>
      <c r="G97" s="175">
        <f>DAY(EOMONTH(Inv_SY_D[[#This Row],[Month Year]],0))</f>
        <v>31</v>
      </c>
      <c r="H97" s="176">
        <f t="shared" si="2"/>
        <v>45840</v>
      </c>
      <c r="I97" s="178">
        <v>7.0991999999999997</v>
      </c>
      <c r="J97" s="177">
        <f>IFERROR(Inv_SY!J99/Inv_SY!$Y99-1,"")</f>
        <v>1.1058839990567337E-2</v>
      </c>
      <c r="K97" s="177">
        <f>IFERROR(Inv_SY!K99/Inv_SY!$Y99-1,"")</f>
        <v>-5.2108374225756537E-2</v>
      </c>
      <c r="L97" s="177">
        <f>IFERROR(Inv_SY!L99/Inv_SY!$Y99-1,"")</f>
        <v>3.620288714061215E-2</v>
      </c>
      <c r="M97" s="177">
        <f>IFERROR(Inv_SY!M99/Inv_SY!$Y99-1,"")</f>
        <v>3.1222006322795259E-3</v>
      </c>
      <c r="N97" s="177">
        <f>IFERROR(Inv_SY!N99/Inv_SY!$Y99-1,"")</f>
        <v>-0.11171974643567884</v>
      </c>
      <c r="O97" s="177">
        <f>IFERROR(Inv_SY!O99/Inv_SY!$Y99-1,"")</f>
        <v>4.9016680399769363E-2</v>
      </c>
      <c r="P97" s="177">
        <f>IFERROR(Inv_SY!P99/Inv_SY!$Y99-1,"")</f>
        <v>-0.10619352359770795</v>
      </c>
      <c r="Q97" s="177">
        <f>IFERROR(Inv_SY!Q99/Inv_SY!$Y99-1,"")</f>
        <v>0.32706929448163624</v>
      </c>
      <c r="R97" s="177">
        <f>IFERROR(Inv_SY!R99/Inv_SY!$Y99-1,"")</f>
        <v>6.2275850025316659E-2</v>
      </c>
      <c r="S97" s="177">
        <f>IFERROR(Inv_SY!S99/Inv_SY!$Y99-1,"")</f>
        <v>-0.12531314491285128</v>
      </c>
      <c r="T97" s="177">
        <f>IFERROR(Inv_SY!T99/Inv_SY!$Y99-1,"")</f>
        <v>0.3025312331533061</v>
      </c>
      <c r="U97" s="177">
        <f>IFERROR(Inv_SY!U99/Inv_SY!$Y99-1,"")</f>
        <v>-0.12744105442752829</v>
      </c>
      <c r="V97" s="177">
        <f>IFERROR(Inv_SY!J99/Inv_SY!$Z99-1,"")</f>
        <v>-1.2267648287386246E-3</v>
      </c>
      <c r="W97" s="177">
        <f>IFERROR(Inv_SY!K99/Inv_SY!$Z99-1,"")</f>
        <v>-6.3626419927132694E-2</v>
      </c>
      <c r="X97" s="177">
        <f>IFERROR(Inv_SY!L99/Inv_SY!$Z99-1,"")</f>
        <v>2.3611751312995866E-2</v>
      </c>
      <c r="Y97" s="177">
        <f>IFERROR(Inv_SY!M99/Inv_SY!$Z99-1,"")</f>
        <v>-9.0669642857145183E-3</v>
      </c>
      <c r="Z97" s="177">
        <f>IFERROR(Inv_SY!N99/Inv_SY!$Z99-1,"")</f>
        <v>-0.12251344086021487</v>
      </c>
      <c r="AA97" s="177">
        <f>IFERROR(Inv_SY!O99/Inv_SY!$Z99-1,"")</f>
        <v>3.626984126984123E-2</v>
      </c>
      <c r="AB97" s="177">
        <f>IFERROR(Inv_SY!P99/Inv_SY!$Z99-1,"")</f>
        <v>-0.11705436840681638</v>
      </c>
      <c r="AC97" s="177">
        <f>IFERROR(Inv_SY!Q99/Inv_SY!$Z99-1,"")</f>
        <v>0.31094377510040161</v>
      </c>
      <c r="AD97" s="177">
        <f>IFERROR(Inv_SY!R99/Inv_SY!$Z99-1,"")</f>
        <v>4.9367895724036881E-2</v>
      </c>
      <c r="AE97" s="177">
        <f>IFERROR(Inv_SY!S99/Inv_SY!$Z99-1,"")</f>
        <v>-0.13594166287560649</v>
      </c>
      <c r="AF97" s="177">
        <f>IFERROR(Inv_SY!T99/Inv_SY!$Z99-1,"")</f>
        <v>0.28670388130949664</v>
      </c>
      <c r="AG97" s="177">
        <f>IFERROR(Inv_SY!U99/Inv_SY!$Z99-1,"")</f>
        <v>-0.13804371568011531</v>
      </c>
      <c r="AH97" s="177">
        <f>IFERROR(Inv_SY!V99/Inv_SY!$Y99-1,"")</f>
        <v>-1.2705921253111874E-2</v>
      </c>
      <c r="AI97" s="177">
        <f>IFERROR(Inv_SY!W99/Inv_SY!$Y99-1,"")</f>
        <v>1.230069487915264E-2</v>
      </c>
      <c r="AJ97" s="177">
        <f>IFERROR(Inv_SY!X99/Inv_SY!$Y99-1,"")</f>
        <v>4.0522637395934424E-4</v>
      </c>
      <c r="AK97" s="177">
        <f>IFERROR(Inv_SY!V99/Inv_SY!$Z99-1,"")</f>
        <v>-2.4702755079358929E-2</v>
      </c>
      <c r="AL97" s="177">
        <f>IFERROR(Inv_SY!W99/Inv_SY!$Z99-1,"")</f>
        <v>0</v>
      </c>
      <c r="AM97" s="177">
        <f>IFERROR(Inv_SY!X99/Inv_SY!$Z99-1,"")</f>
        <v>-1.1750923974830907E-2</v>
      </c>
    </row>
    <row r="98" spans="1:39" x14ac:dyDescent="0.25">
      <c r="A98" s="173">
        <f>YEAR(Inv_SY_D[[#This Row],[Date]])+IF(MONTH(Inv_SY_D[[#This Row],[Date]])&gt;=4,1,0)</f>
        <v>2026</v>
      </c>
      <c r="B98" s="173">
        <v>4</v>
      </c>
      <c r="C98" s="173">
        <f>YEAR(Inv_SY_D[[#This Row],[Month Year]])</f>
        <v>2025</v>
      </c>
      <c r="D98" s="173" t="s">
        <v>4</v>
      </c>
      <c r="E98" s="173" t="s">
        <v>4</v>
      </c>
      <c r="F98" s="174" t="str">
        <f>TEXT(Inv_SY_D[[#This Row],[Date]],"mmm-yy")</f>
        <v>Jul-25</v>
      </c>
      <c r="G98" s="175">
        <f>DAY(EOMONTH(Inv_SY_D[[#This Row],[Month Year]],0))</f>
        <v>31</v>
      </c>
      <c r="H98" s="176">
        <f t="shared" si="2"/>
        <v>45841</v>
      </c>
      <c r="I98" s="178">
        <v>7.0991999999999997</v>
      </c>
      <c r="J98" s="177">
        <f>IFERROR(Inv_SY!J100/Inv_SY!$Y100-1,"")</f>
        <v>2.5122156338778678E-2</v>
      </c>
      <c r="K98" s="177">
        <f>IFERROR(Inv_SY!K100/Inv_SY!$Y100-1,"")</f>
        <v>-0.15045560162093541</v>
      </c>
      <c r="L98" s="177">
        <f>IFERROR(Inv_SY!L100/Inv_SY!$Y100-1,"")</f>
        <v>6.2711573515866981E-2</v>
      </c>
      <c r="M98" s="177">
        <f>IFERROR(Inv_SY!M100/Inv_SY!$Y100-1,"")</f>
        <v>1.8508465007560648E-2</v>
      </c>
      <c r="N98" s="177">
        <f>IFERROR(Inv_SY!N100/Inv_SY!$Y100-1,"")</f>
        <v>-7.9321592420057208E-2</v>
      </c>
      <c r="O98" s="177">
        <f>IFERROR(Inv_SY!O100/Inv_SY!$Y100-1,"")</f>
        <v>3.5110179981842293E-2</v>
      </c>
      <c r="P98" s="177">
        <f>IFERROR(Inv_SY!P100/Inv_SY!$Y100-1,"")</f>
        <v>-0.11752493552512278</v>
      </c>
      <c r="Q98" s="177">
        <f>IFERROR(Inv_SY!Q100/Inv_SY!$Y100-1,"")</f>
        <v>0.32049006652256051</v>
      </c>
      <c r="R98" s="177">
        <f>IFERROR(Inv_SY!R100/Inv_SY!$Y100-1,"")</f>
        <v>6.3324806081574092E-2</v>
      </c>
      <c r="S98" s="177">
        <f>IFERROR(Inv_SY!S100/Inv_SY!$Y100-1,"")</f>
        <v>-0.11942041949708104</v>
      </c>
      <c r="T98" s="177">
        <f>IFERROR(Inv_SY!T100/Inv_SY!$Y100-1,"")</f>
        <v>0.30776842812765559</v>
      </c>
      <c r="U98" s="177">
        <f>IFERROR(Inv_SY!U100/Inv_SY!$Y100-1,"")</f>
        <v>-0.12508306910136757</v>
      </c>
      <c r="V98" s="177">
        <f>IFERROR(Inv_SY!J100/Inv_SY!$Z100-1,"")</f>
        <v>1.1254766965220986E-2</v>
      </c>
      <c r="W98" s="177">
        <f>IFERROR(Inv_SY!K100/Inv_SY!$Z100-1,"")</f>
        <v>-0.16194785441207882</v>
      </c>
      <c r="X98" s="177">
        <f>IFERROR(Inv_SY!L100/Inv_SY!$Z100-1,"")</f>
        <v>4.8335691489900467E-2</v>
      </c>
      <c r="Y98" s="177">
        <f>IFERROR(Inv_SY!M100/Inv_SY!$Z100-1,"")</f>
        <v>4.7305426622195057E-3</v>
      </c>
      <c r="Z98" s="177">
        <f>IFERROR(Inv_SY!N100/Inv_SY!$Z100-1,"")</f>
        <v>-9.17761139488249E-2</v>
      </c>
      <c r="AA98" s="177">
        <f>IFERROR(Inv_SY!O100/Inv_SY!$Z100-1,"")</f>
        <v>2.11076771371006E-2</v>
      </c>
      <c r="AB98" s="177">
        <f>IFERROR(Inv_SY!P100/Inv_SY!$Z100-1,"")</f>
        <v>-0.12946265948890401</v>
      </c>
      <c r="AC98" s="177">
        <f>IFERROR(Inv_SY!Q100/Inv_SY!$Z100-1,"")</f>
        <v>0.30262707350933393</v>
      </c>
      <c r="AD98" s="177">
        <f>IFERROR(Inv_SY!R100/Inv_SY!$Z100-1,"")</f>
        <v>4.8940628522521568E-2</v>
      </c>
      <c r="AE98" s="177">
        <f>IFERROR(Inv_SY!S100/Inv_SY!$Z100-1,"")</f>
        <v>-0.13133250221008264</v>
      </c>
      <c r="AF98" s="177">
        <f>IFERROR(Inv_SY!T100/Inv_SY!$Z100-1,"")</f>
        <v>0.29007752769090978</v>
      </c>
      <c r="AG98" s="177">
        <f>IFERROR(Inv_SY!U100/Inv_SY!$Z100-1,"")</f>
        <v>-0.13691855004894715</v>
      </c>
      <c r="AH98" s="177">
        <f>IFERROR(Inv_SY!V100/Inv_SY!$Y100-1,"")</f>
        <v>-1.7728545843142651E-2</v>
      </c>
      <c r="AI98" s="177">
        <f>IFERROR(Inv_SY!W100/Inv_SY!$Y100-1,"")</f>
        <v>1.3713052167035888E-2</v>
      </c>
      <c r="AJ98" s="177">
        <f>IFERROR(Inv_SY!X100/Inv_SY!$Y100-1,"")</f>
        <v>4.0154936761067628E-3</v>
      </c>
      <c r="AK98" s="177">
        <f>IFERROR(Inv_SY!V100/Inv_SY!$Z100-1,"")</f>
        <v>-3.1016270277831715E-2</v>
      </c>
      <c r="AL98" s="177">
        <f>IFERROR(Inv_SY!W100/Inv_SY!$Z100-1,"")</f>
        <v>0</v>
      </c>
      <c r="AM98" s="177">
        <f>IFERROR(Inv_SY!X100/Inv_SY!$Z100-1,"")</f>
        <v>-9.5663743010888647E-3</v>
      </c>
    </row>
    <row r="99" spans="1:39" x14ac:dyDescent="0.25">
      <c r="A99" s="173">
        <f>YEAR(Inv_SY_D[[#This Row],[Date]])+IF(MONTH(Inv_SY_D[[#This Row],[Date]])&gt;=4,1,0)</f>
        <v>2026</v>
      </c>
      <c r="B99" s="173">
        <v>4</v>
      </c>
      <c r="C99" s="173">
        <f>YEAR(Inv_SY_D[[#This Row],[Month Year]])</f>
        <v>2025</v>
      </c>
      <c r="D99" s="173" t="s">
        <v>4</v>
      </c>
      <c r="E99" s="173" t="s">
        <v>4</v>
      </c>
      <c r="F99" s="174" t="str">
        <f>TEXT(Inv_SY_D[[#This Row],[Date]],"mmm-yy")</f>
        <v>Jul-25</v>
      </c>
      <c r="G99" s="175">
        <f>DAY(EOMONTH(Inv_SY_D[[#This Row],[Month Year]],0))</f>
        <v>31</v>
      </c>
      <c r="H99" s="176">
        <f t="shared" si="2"/>
        <v>45842</v>
      </c>
      <c r="I99" s="178">
        <v>7.0991999999999997</v>
      </c>
      <c r="J99" s="177">
        <f>IFERROR(Inv_SY!J101/Inv_SY!$Y101-1,"")</f>
        <v>2.5640275600255391E-2</v>
      </c>
      <c r="K99" s="177">
        <f>IFERROR(Inv_SY!K101/Inv_SY!$Y101-1,"")</f>
        <v>-0.15028837532400396</v>
      </c>
      <c r="L99" s="177">
        <f>IFERROR(Inv_SY!L101/Inv_SY!$Y101-1,"")</f>
        <v>1.8880696988296641E-2</v>
      </c>
      <c r="M99" s="177">
        <f>IFERROR(Inv_SY!M101/Inv_SY!$Y101-1,"")</f>
        <v>5.4912395055236152E-2</v>
      </c>
      <c r="N99" s="177">
        <f>IFERROR(Inv_SY!N101/Inv_SY!$Y101-1,"")</f>
        <v>-0.11536200350360393</v>
      </c>
      <c r="O99" s="177">
        <f>IFERROR(Inv_SY!O101/Inv_SY!$Y101-1,"")</f>
        <v>7.5560146559876085E-2</v>
      </c>
      <c r="P99" s="177">
        <f>IFERROR(Inv_SY!P101/Inv_SY!$Y101-1,"")</f>
        <v>-0.11457001344719708</v>
      </c>
      <c r="Q99" s="177">
        <f>IFERROR(Inv_SY!Q101/Inv_SY!$Y101-1,"")</f>
        <v>0.32380991918687019</v>
      </c>
      <c r="R99" s="177">
        <f>IFERROR(Inv_SY!R101/Inv_SY!$Y101-1,"")</f>
        <v>6.3547529192161889E-2</v>
      </c>
      <c r="S99" s="177">
        <f>IFERROR(Inv_SY!S101/Inv_SY!$Y101-1,"")</f>
        <v>-0.11861037383348094</v>
      </c>
      <c r="T99" s="177">
        <f>IFERROR(Inv_SY!T101/Inv_SY!$Y101-1,"")</f>
        <v>0.30871179351921674</v>
      </c>
      <c r="U99" s="177">
        <f>IFERROR(Inv_SY!U101/Inv_SY!$Y101-1,"")</f>
        <v>-0.12459368424420092</v>
      </c>
      <c r="V99" s="177">
        <f>IFERROR(Inv_SY!J101/Inv_SY!$Z101-1,"")</f>
        <v>1.0808389407267471E-2</v>
      </c>
      <c r="W99" s="177">
        <f>IFERROR(Inv_SY!K101/Inv_SY!$Z101-1,"")</f>
        <v>-0.16257613977112195</v>
      </c>
      <c r="X99" s="177">
        <f>IFERROR(Inv_SY!L101/Inv_SY!$Z101-1,"")</f>
        <v>4.146561734960974E-3</v>
      </c>
      <c r="Y99" s="177">
        <f>IFERROR(Inv_SY!M101/Inv_SY!$Z101-1,"")</f>
        <v>3.9657201826914124E-2</v>
      </c>
      <c r="Z99" s="177">
        <f>IFERROR(Inv_SY!N101/Inv_SY!$Z101-1,"")</f>
        <v>-0.12815484169275204</v>
      </c>
      <c r="AA99" s="177">
        <f>IFERROR(Inv_SY!O101/Inv_SY!$Z101-1,"")</f>
        <v>6.0006364140252177E-2</v>
      </c>
      <c r="AB99" s="177">
        <f>IFERROR(Inv_SY!P101/Inv_SY!$Z101-1,"")</f>
        <v>-0.12737430468344368</v>
      </c>
      <c r="AC99" s="177">
        <f>IFERROR(Inv_SY!Q101/Inv_SY!$Z101-1,"")</f>
        <v>0.30466617207627933</v>
      </c>
      <c r="AD99" s="177">
        <f>IFERROR(Inv_SY!R101/Inv_SY!$Z101-1,"")</f>
        <v>4.8167462428910568E-2</v>
      </c>
      <c r="AE99" s="177">
        <f>IFERROR(Inv_SY!S101/Inv_SY!$Z101-1,"")</f>
        <v>-0.13135623701570742</v>
      </c>
      <c r="AF99" s="177">
        <f>IFERROR(Inv_SY!T101/Inv_SY!$Z101-1,"")</f>
        <v>0.28978638190788164</v>
      </c>
      <c r="AG99" s="177">
        <f>IFERROR(Inv_SY!U101/Inv_SY!$Z101-1,"")</f>
        <v>-0.13725302217855995</v>
      </c>
      <c r="AH99" s="177">
        <f>IFERROR(Inv_SY!V101/Inv_SY!$Y101-1,"")</f>
        <v>-1.9293778942260809E-2</v>
      </c>
      <c r="AI99" s="177">
        <f>IFERROR(Inv_SY!W101/Inv_SY!$Y101-1,"")</f>
        <v>1.4673291544092804E-2</v>
      </c>
      <c r="AJ99" s="177">
        <f>IFERROR(Inv_SY!X101/Inv_SY!$Y101-1,"")</f>
        <v>4.620487398167894E-3</v>
      </c>
      <c r="AK99" s="177">
        <f>IFERROR(Inv_SY!V101/Inv_SY!$Z101-1,"")</f>
        <v>-3.3475869296474503E-2</v>
      </c>
      <c r="AL99" s="177">
        <f>IFERROR(Inv_SY!W101/Inv_SY!$Z101-1,"")</f>
        <v>0</v>
      </c>
      <c r="AM99" s="177">
        <f>IFERROR(Inv_SY!X101/Inv_SY!$Z101-1,"")</f>
        <v>-9.907429543776658E-3</v>
      </c>
    </row>
    <row r="100" spans="1:39" x14ac:dyDescent="0.25">
      <c r="A100" s="173">
        <f>YEAR(Inv_SY_D[[#This Row],[Date]])+IF(MONTH(Inv_SY_D[[#This Row],[Date]])&gt;=4,1,0)</f>
        <v>2026</v>
      </c>
      <c r="B100" s="173">
        <v>4</v>
      </c>
      <c r="C100" s="173">
        <f>YEAR(Inv_SY_D[[#This Row],[Month Year]])</f>
        <v>2025</v>
      </c>
      <c r="D100" s="173" t="s">
        <v>4</v>
      </c>
      <c r="E100" s="173" t="s">
        <v>4</v>
      </c>
      <c r="F100" s="174" t="str">
        <f>TEXT(Inv_SY_D[[#This Row],[Date]],"mmm-yy")</f>
        <v>Jul-25</v>
      </c>
      <c r="G100" s="175">
        <f>DAY(EOMONTH(Inv_SY_D[[#This Row],[Month Year]],0))</f>
        <v>31</v>
      </c>
      <c r="H100" s="176">
        <f t="shared" si="2"/>
        <v>45843</v>
      </c>
      <c r="I100" s="178">
        <v>7.0991999999999997</v>
      </c>
      <c r="J100" s="177">
        <f>IFERROR(Inv_SY!J102/Inv_SY!$Y102-1,"")</f>
        <v>6.8171327319770825E-2</v>
      </c>
      <c r="K100" s="177">
        <f>IFERROR(Inv_SY!K102/Inv_SY!$Y102-1,"")</f>
        <v>-0.14839677932358519</v>
      </c>
      <c r="L100" s="177">
        <f>IFERROR(Inv_SY!L102/Inv_SY!$Y102-1,"")</f>
        <v>2.1754432813708702E-2</v>
      </c>
      <c r="M100" s="177">
        <f>IFERROR(Inv_SY!M102/Inv_SY!$Y102-1,"")</f>
        <v>1.505500737276777E-2</v>
      </c>
      <c r="N100" s="177">
        <f>IFERROR(Inv_SY!N102/Inv_SY!$Y102-1,"")</f>
        <v>-0.11916296243346325</v>
      </c>
      <c r="O100" s="177">
        <f>IFERROR(Inv_SY!O102/Inv_SY!$Y102-1,"")</f>
        <v>3.3869703835923248E-2</v>
      </c>
      <c r="P100" s="177">
        <f>IFERROR(Inv_SY!P102/Inv_SY!$Y102-1,"")</f>
        <v>-8.3220671585500838E-2</v>
      </c>
      <c r="Q100" s="177">
        <f>IFERROR(Inv_SY!Q102/Inv_SY!$Y102-1,"")</f>
        <v>0.31805422354192614</v>
      </c>
      <c r="R100" s="177">
        <f>IFERROR(Inv_SY!R102/Inv_SY!$Y102-1,"")</f>
        <v>6.3501365766456042E-2</v>
      </c>
      <c r="S100" s="177">
        <f>IFERROR(Inv_SY!S102/Inv_SY!$Y102-1,"")</f>
        <v>-0.11852575194845016</v>
      </c>
      <c r="T100" s="177">
        <f>IFERROR(Inv_SY!T102/Inv_SY!$Y102-1,"")</f>
        <v>0.30875118084968456</v>
      </c>
      <c r="U100" s="177">
        <f>IFERROR(Inv_SY!U102/Inv_SY!$Y102-1,"")</f>
        <v>-0.12439297229161883</v>
      </c>
      <c r="V100" s="177">
        <f>IFERROR(Inv_SY!J102/Inv_SY!$Z102-1,"")</f>
        <v>5.6224068387600079E-2</v>
      </c>
      <c r="W100" s="177">
        <f>IFERROR(Inv_SY!K102/Inv_SY!$Z102-1,"")</f>
        <v>-0.15792177210767422</v>
      </c>
      <c r="X100" s="177">
        <f>IFERROR(Inv_SY!L102/Inv_SY!$Z102-1,"")</f>
        <v>1.0326336532048952E-2</v>
      </c>
      <c r="Y100" s="177">
        <f>IFERROR(Inv_SY!M102/Inv_SY!$Z102-1,"")</f>
        <v>3.7018426759507506E-3</v>
      </c>
      <c r="Z100" s="177">
        <f>IFERROR(Inv_SY!N102/Inv_SY!$Z102-1,"")</f>
        <v>-0.12901492896326994</v>
      </c>
      <c r="AA100" s="177">
        <f>IFERROR(Inv_SY!O102/Inv_SY!$Z102-1,"")</f>
        <v>2.2306100940077345E-2</v>
      </c>
      <c r="AB100" s="177">
        <f>IFERROR(Inv_SY!P102/Inv_SY!$Z102-1,"")</f>
        <v>-9.3474644651518779E-2</v>
      </c>
      <c r="AC100" s="177">
        <f>IFERROR(Inv_SY!Q102/Inv_SY!$Z102-1,"")</f>
        <v>0.30331207994328735</v>
      </c>
      <c r="AD100" s="177">
        <f>IFERROR(Inv_SY!R102/Inv_SY!$Z102-1,"")</f>
        <v>5.1606339316522698E-2</v>
      </c>
      <c r="AE100" s="177">
        <f>IFERROR(Inv_SY!S102/Inv_SY!$Z102-1,"")</f>
        <v>-0.12838484553593388</v>
      </c>
      <c r="AF100" s="177">
        <f>IFERROR(Inv_SY!T102/Inv_SY!$Z102-1,"")</f>
        <v>0.29411308971628114</v>
      </c>
      <c r="AG100" s="177">
        <f>IFERROR(Inv_SY!U102/Inv_SY!$Z102-1,"")</f>
        <v>-0.13418644232334975</v>
      </c>
      <c r="AH100" s="177">
        <f>IFERROR(Inv_SY!V102/Inv_SY!$Y102-1,"")</f>
        <v>-1.6010079883771344E-2</v>
      </c>
      <c r="AI100" s="177">
        <f>IFERROR(Inv_SY!W102/Inv_SY!$Y102-1,"")</f>
        <v>1.1311292073100665E-2</v>
      </c>
      <c r="AJ100" s="177">
        <f>IFERROR(Inv_SY!X102/Inv_SY!$Y102-1,"")</f>
        <v>4.6987878106707903E-3</v>
      </c>
      <c r="AK100" s="177">
        <f>IFERROR(Inv_SY!V102/Inv_SY!$Z102-1,"")</f>
        <v>-2.7015788482758318E-2</v>
      </c>
      <c r="AL100" s="177">
        <f>IFERROR(Inv_SY!W102/Inv_SY!$Z102-1,"")</f>
        <v>0</v>
      </c>
      <c r="AM100" s="177">
        <f>IFERROR(Inv_SY!X102/Inv_SY!$Z102-1,"")</f>
        <v>-6.5385448716535066E-3</v>
      </c>
    </row>
    <row r="101" spans="1:39" x14ac:dyDescent="0.25">
      <c r="A101" s="173">
        <f>YEAR(Inv_SY_D[[#This Row],[Date]])+IF(MONTH(Inv_SY_D[[#This Row],[Date]])&gt;=4,1,0)</f>
        <v>2026</v>
      </c>
      <c r="B101" s="173">
        <v>4</v>
      </c>
      <c r="C101" s="173">
        <f>YEAR(Inv_SY_D[[#This Row],[Month Year]])</f>
        <v>2025</v>
      </c>
      <c r="D101" s="173" t="s">
        <v>4</v>
      </c>
      <c r="E101" s="173" t="s">
        <v>4</v>
      </c>
      <c r="F101" s="174" t="str">
        <f>TEXT(Inv_SY_D[[#This Row],[Date]],"mmm-yy")</f>
        <v>Jul-25</v>
      </c>
      <c r="G101" s="175">
        <f>DAY(EOMONTH(Inv_SY_D[[#This Row],[Month Year]],0))</f>
        <v>31</v>
      </c>
      <c r="H101" s="176">
        <f t="shared" si="2"/>
        <v>45844</v>
      </c>
      <c r="I101" s="178">
        <v>7.0991999999999997</v>
      </c>
      <c r="J101" s="177">
        <f>IFERROR(Inv_SY!J103/Inv_SY!$Y103-1,"")</f>
        <v>2.6762113712056834E-2</v>
      </c>
      <c r="K101" s="177">
        <f>IFERROR(Inv_SY!K103/Inv_SY!$Y103-1,"")</f>
        <v>-0.11505441561339358</v>
      </c>
      <c r="L101" s="177">
        <f>IFERROR(Inv_SY!L103/Inv_SY!$Y103-1,"")</f>
        <v>2.0739547019693605E-2</v>
      </c>
      <c r="M101" s="177">
        <f>IFERROR(Inv_SY!M103/Inv_SY!$Y103-1,"")</f>
        <v>1.9870792486881061E-2</v>
      </c>
      <c r="N101" s="177">
        <f>IFERROR(Inv_SY!N103/Inv_SY!$Y103-1,"")</f>
        <v>-0.11737786676309769</v>
      </c>
      <c r="O101" s="177">
        <f>IFERROR(Inv_SY!O103/Inv_SY!$Y103-1,"")</f>
        <v>3.6293616445579158E-2</v>
      </c>
      <c r="P101" s="177">
        <f>IFERROR(Inv_SY!P103/Inv_SY!$Y103-1,"")</f>
        <v>-0.11611904137371165</v>
      </c>
      <c r="Q101" s="177">
        <f>IFERROR(Inv_SY!Q103/Inv_SY!$Y103-1,"")</f>
        <v>0.37273533726138508</v>
      </c>
      <c r="R101" s="177">
        <f>IFERROR(Inv_SY!R103/Inv_SY!$Y103-1,"")</f>
        <v>6.204103371445191E-2</v>
      </c>
      <c r="S101" s="177">
        <f>IFERROR(Inv_SY!S103/Inv_SY!$Y103-1,"")</f>
        <v>-0.11941960933065066</v>
      </c>
      <c r="T101" s="177">
        <f>IFERROR(Inv_SY!T103/Inv_SY!$Y103-1,"")</f>
        <v>0.30684435286524536</v>
      </c>
      <c r="U101" s="177">
        <f>IFERROR(Inv_SY!U103/Inv_SY!$Y103-1,"")</f>
        <v>-0.12575605498943376</v>
      </c>
      <c r="V101" s="177">
        <f>IFERROR(Inv_SY!J103/Inv_SY!$Z103-1,"")</f>
        <v>1.3067957987111578E-2</v>
      </c>
      <c r="W101" s="177">
        <f>IFERROR(Inv_SY!K103/Inv_SY!$Z103-1,"")</f>
        <v>-0.12685713259998022</v>
      </c>
      <c r="X101" s="177">
        <f>IFERROR(Inv_SY!L103/Inv_SY!$Z103-1,"")</f>
        <v>7.125715612375183E-3</v>
      </c>
      <c r="Y101" s="177">
        <f>IFERROR(Inv_SY!M103/Inv_SY!$Z103-1,"")</f>
        <v>6.2685478528770044E-3</v>
      </c>
      <c r="Z101" s="177">
        <f>IFERROR(Inv_SY!N103/Inv_SY!$Z103-1,"")</f>
        <v>-0.12914959536256099</v>
      </c>
      <c r="AA101" s="177">
        <f>IFERROR(Inv_SY!O103/Inv_SY!$Z103-1,"")</f>
        <v>2.2472336939007631E-2</v>
      </c>
      <c r="AB101" s="177">
        <f>IFERROR(Inv_SY!P103/Inv_SY!$Z103-1,"")</f>
        <v>-0.12790755920865848</v>
      </c>
      <c r="AC101" s="177">
        <f>IFERROR(Inv_SY!Q103/Inv_SY!$Z103-1,"")</f>
        <v>0.35442685935151119</v>
      </c>
      <c r="AD101" s="177">
        <f>IFERROR(Inv_SY!R103/Inv_SY!$Z103-1,"")</f>
        <v>4.7876355150897165E-2</v>
      </c>
      <c r="AE101" s="177">
        <f>IFERROR(Inv_SY!S103/Inv_SY!$Z103-1,"")</f>
        <v>-0.13116410675329415</v>
      </c>
      <c r="AF101" s="177">
        <f>IFERROR(Inv_SY!T103/Inv_SY!$Z103-1,"")</f>
        <v>0.28941467773660046</v>
      </c>
      <c r="AG101" s="177">
        <f>IFERROR(Inv_SY!U103/Inv_SY!$Z103-1,"")</f>
        <v>-0.13741604182054368</v>
      </c>
      <c r="AH101" s="177">
        <f>IFERROR(Inv_SY!V103/Inv_SY!$Y103-1,"")</f>
        <v>-1.6860049837378099E-2</v>
      </c>
      <c r="AI101" s="177">
        <f>IFERROR(Inv_SY!W103/Inv_SY!$Y103-1,"")</f>
        <v>1.3517509478983447E-2</v>
      </c>
      <c r="AJ101" s="177">
        <f>IFERROR(Inv_SY!X103/Inv_SY!$Y103-1,"")</f>
        <v>3.3425403583946522E-3</v>
      </c>
      <c r="AK101" s="177">
        <f>IFERROR(Inv_SY!V103/Inv_SY!$Z103-1,"")</f>
        <v>-2.9972407020355973E-2</v>
      </c>
      <c r="AL101" s="177">
        <f>IFERROR(Inv_SY!W103/Inv_SY!$Z103-1,"")</f>
        <v>0</v>
      </c>
      <c r="AM101" s="177">
        <f>IFERROR(Inv_SY!X103/Inv_SY!$Z103-1,"")</f>
        <v>-1.0039263283985522E-2</v>
      </c>
    </row>
    <row r="102" spans="1:39" x14ac:dyDescent="0.25">
      <c r="A102" s="173">
        <f>YEAR(Inv_SY_D[[#This Row],[Date]])+IF(MONTH(Inv_SY_D[[#This Row],[Date]])&gt;=4,1,0)</f>
        <v>2026</v>
      </c>
      <c r="B102" s="173">
        <v>4</v>
      </c>
      <c r="C102" s="173">
        <f>YEAR(Inv_SY_D[[#This Row],[Month Year]])</f>
        <v>2025</v>
      </c>
      <c r="D102" s="173" t="s">
        <v>4</v>
      </c>
      <c r="E102" s="173" t="s">
        <v>4</v>
      </c>
      <c r="F102" s="174" t="str">
        <f>TEXT(Inv_SY_D[[#This Row],[Date]],"mmm-yy")</f>
        <v>Jul-25</v>
      </c>
      <c r="G102" s="175">
        <f>DAY(EOMONTH(Inv_SY_D[[#This Row],[Month Year]],0))</f>
        <v>31</v>
      </c>
      <c r="H102" s="176">
        <f t="shared" si="2"/>
        <v>45845</v>
      </c>
      <c r="I102" s="178">
        <v>7.0991999999999997</v>
      </c>
      <c r="J102" s="177">
        <f>IFERROR(Inv_SY!J104/Inv_SY!$Y104-1,"")</f>
        <v>2.7116302000926851E-2</v>
      </c>
      <c r="K102" s="177">
        <f>IFERROR(Inv_SY!K104/Inv_SY!$Y104-1,"")</f>
        <v>-0.14904485615204777</v>
      </c>
      <c r="L102" s="177">
        <f>IFERROR(Inv_SY!L104/Inv_SY!$Y104-1,"")</f>
        <v>7.0909656556261247E-2</v>
      </c>
      <c r="M102" s="177">
        <f>IFERROR(Inv_SY!M104/Inv_SY!$Y104-1,"")</f>
        <v>2.0066468367356372E-2</v>
      </c>
      <c r="N102" s="177">
        <f>IFERROR(Inv_SY!N104/Inv_SY!$Y104-1,"")</f>
        <v>-7.5462260284460458E-2</v>
      </c>
      <c r="O102" s="177">
        <f>IFERROR(Inv_SY!O104/Inv_SY!$Y104-1,"")</f>
        <v>3.2959407354877346E-2</v>
      </c>
      <c r="P102" s="177">
        <f>IFERROR(Inv_SY!P104/Inv_SY!$Y104-1,"")</f>
        <v>-0.12009145745674021</v>
      </c>
      <c r="Q102" s="177">
        <f>IFERROR(Inv_SY!Q104/Inv_SY!$Y104-1,"")</f>
        <v>0.31776335065016914</v>
      </c>
      <c r="R102" s="177">
        <f>IFERROR(Inv_SY!R104/Inv_SY!$Y104-1,"")</f>
        <v>6.1105032371891133E-2</v>
      </c>
      <c r="S102" s="177">
        <f>IFERROR(Inv_SY!S104/Inv_SY!$Y104-1,"")</f>
        <v>-0.12174538776954258</v>
      </c>
      <c r="T102" s="177">
        <f>IFERROR(Inv_SY!T104/Inv_SY!$Y104-1,"")</f>
        <v>0.30409574760405667</v>
      </c>
      <c r="U102" s="177">
        <f>IFERROR(Inv_SY!U104/Inv_SY!$Y104-1,"")</f>
        <v>-0.12731206674836149</v>
      </c>
      <c r="V102" s="177">
        <f>IFERROR(Inv_SY!J104/Inv_SY!$Z104-1,"")</f>
        <v>1.3888067821155037E-2</v>
      </c>
      <c r="W102" s="177">
        <f>IFERROR(Inv_SY!K104/Inv_SY!$Z104-1,"")</f>
        <v>-0.16000431020547201</v>
      </c>
      <c r="X102" s="177">
        <f>IFERROR(Inv_SY!L104/Inv_SY!$Z104-1,"")</f>
        <v>5.7117407621346983E-2</v>
      </c>
      <c r="Y102" s="177">
        <f>IFERROR(Inv_SY!M104/Inv_SY!$Z104-1,"")</f>
        <v>6.929029017781918E-3</v>
      </c>
      <c r="Z102" s="177">
        <f>IFERROR(Inv_SY!N104/Inv_SY!$Z104-1,"")</f>
        <v>-8.7369384828359653E-2</v>
      </c>
      <c r="AA102" s="177">
        <f>IFERROR(Inv_SY!O104/Inv_SY!$Z104-1,"")</f>
        <v>1.9655919802328947E-2</v>
      </c>
      <c r="AB102" s="177">
        <f>IFERROR(Inv_SY!P104/Inv_SY!$Z104-1,"")</f>
        <v>-0.1314238024257266</v>
      </c>
      <c r="AC102" s="177">
        <f>IFERROR(Inv_SY!Q104/Inv_SY!$Z104-1,"")</f>
        <v>0.30079187218958703</v>
      </c>
      <c r="AD102" s="177">
        <f>IFERROR(Inv_SY!R104/Inv_SY!$Z104-1,"")</f>
        <v>4.7439057223599423E-2</v>
      </c>
      <c r="AE102" s="177">
        <f>IFERROR(Inv_SY!S104/Inv_SY!$Z104-1,"")</f>
        <v>-0.13305643176467408</v>
      </c>
      <c r="AF102" s="177">
        <f>IFERROR(Inv_SY!T104/Inv_SY!$Z104-1,"")</f>
        <v>0.28730029424736792</v>
      </c>
      <c r="AG102" s="177">
        <f>IFERROR(Inv_SY!U104/Inv_SY!$Z104-1,"")</f>
        <v>-0.13855141746689725</v>
      </c>
      <c r="AH102" s="177">
        <f>IFERROR(Inv_SY!V104/Inv_SY!$Y104-1,"")</f>
        <v>-1.4531581543720917E-2</v>
      </c>
      <c r="AI102" s="177">
        <f>IFERROR(Inv_SY!W104/Inv_SY!$Y104-1,"")</f>
        <v>1.3047036058131622E-2</v>
      </c>
      <c r="AJ102" s="177">
        <f>IFERROR(Inv_SY!X104/Inv_SY!$Y104-1,"")</f>
        <v>1.4845454855896278E-3</v>
      </c>
      <c r="AK102" s="177">
        <f>IFERROR(Inv_SY!V104/Inv_SY!$Z104-1,"")</f>
        <v>-2.7223432496445321E-2</v>
      </c>
      <c r="AL102" s="177">
        <f>IFERROR(Inv_SY!W104/Inv_SY!$Z104-1,"")</f>
        <v>0</v>
      </c>
      <c r="AM102" s="177">
        <f>IFERROR(Inv_SY!X104/Inv_SY!$Z104-1,"")</f>
        <v>-1.1413577219013371E-2</v>
      </c>
    </row>
    <row r="103" spans="1:39" x14ac:dyDescent="0.25">
      <c r="A103" s="173">
        <f>YEAR(Inv_SY_D[[#This Row],[Date]])+IF(MONTH(Inv_SY_D[[#This Row],[Date]])&gt;=4,1,0)</f>
        <v>2026</v>
      </c>
      <c r="B103" s="173">
        <v>4</v>
      </c>
      <c r="C103" s="173">
        <f>YEAR(Inv_SY_D[[#This Row],[Month Year]])</f>
        <v>2025</v>
      </c>
      <c r="D103" s="173" t="s">
        <v>4</v>
      </c>
      <c r="E103" s="173" t="s">
        <v>4</v>
      </c>
      <c r="F103" s="174" t="str">
        <f>TEXT(Inv_SY_D[[#This Row],[Date]],"mmm-yy")</f>
        <v>Jul-25</v>
      </c>
      <c r="G103" s="175">
        <f>DAY(EOMONTH(Inv_SY_D[[#This Row],[Month Year]],0))</f>
        <v>31</v>
      </c>
      <c r="H103" s="176">
        <f t="shared" si="2"/>
        <v>45846</v>
      </c>
      <c r="I103" s="178">
        <v>7.0991999999999997</v>
      </c>
      <c r="J103" s="177">
        <f>IFERROR(Inv_SY!J105/Inv_SY!$Y105-1,"")</f>
        <v>2.5848046125044322E-2</v>
      </c>
      <c r="K103" s="177">
        <f>IFERROR(Inv_SY!K105/Inv_SY!$Y105-1,"")</f>
        <v>-0.15006164342684325</v>
      </c>
      <c r="L103" s="177">
        <f>IFERROR(Inv_SY!L105/Inv_SY!$Y105-1,"")</f>
        <v>1.8576476847234957E-2</v>
      </c>
      <c r="M103" s="177">
        <f>IFERROR(Inv_SY!M105/Inv_SY!$Y105-1,"")</f>
        <v>5.4531212717667588E-2</v>
      </c>
      <c r="N103" s="177">
        <f>IFERROR(Inv_SY!N105/Inv_SY!$Y105-1,"")</f>
        <v>-0.11738464447884156</v>
      </c>
      <c r="O103" s="177">
        <f>IFERROR(Inv_SY!O105/Inv_SY!$Y105-1,"")</f>
        <v>7.2863721347782517E-2</v>
      </c>
      <c r="P103" s="177">
        <f>IFERROR(Inv_SY!P105/Inv_SY!$Y105-1,"")</f>
        <v>-0.11654458443971782</v>
      </c>
      <c r="Q103" s="177">
        <f>IFERROR(Inv_SY!Q105/Inv_SY!$Y105-1,"")</f>
        <v>0.32127703072216973</v>
      </c>
      <c r="R103" s="177">
        <f>IFERROR(Inv_SY!R105/Inv_SY!$Y105-1,"")</f>
        <v>6.6425254770473341E-2</v>
      </c>
      <c r="S103" s="177">
        <f>IFERROR(Inv_SY!S105/Inv_SY!$Y105-1,"")</f>
        <v>-0.11667907323165327</v>
      </c>
      <c r="T103" s="177">
        <f>IFERROR(Inv_SY!T105/Inv_SY!$Y105-1,"")</f>
        <v>0.31132459458647199</v>
      </c>
      <c r="U103" s="177">
        <f>IFERROR(Inv_SY!U105/Inv_SY!$Y105-1,"")</f>
        <v>-0.1225503138647217</v>
      </c>
      <c r="V103" s="177">
        <f>IFERROR(Inv_SY!J105/Inv_SY!$Z105-1,"")</f>
        <v>1.3278923474034698E-2</v>
      </c>
      <c r="W103" s="177">
        <f>IFERROR(Inv_SY!K105/Inv_SY!$Z105-1,"")</f>
        <v>-0.16047544641639766</v>
      </c>
      <c r="X103" s="177">
        <f>IFERROR(Inv_SY!L105/Inv_SY!$Z105-1,"")</f>
        <v>6.0964485279475511E-3</v>
      </c>
      <c r="Y103" s="177">
        <f>IFERROR(Inv_SY!M105/Inv_SY!$Z105-1,"")</f>
        <v>4.1610651819751876E-2</v>
      </c>
      <c r="Z103" s="177">
        <f>IFERROR(Inv_SY!N105/Inv_SY!$Z105-1,"")</f>
        <v>-0.12819881983270065</v>
      </c>
      <c r="AA103" s="177">
        <f>IFERROR(Inv_SY!O105/Inv_SY!$Z105-1,"")</f>
        <v>5.9718542827068788E-2</v>
      </c>
      <c r="AB103" s="177">
        <f>IFERROR(Inv_SY!P105/Inv_SY!$Z105-1,"")</f>
        <v>-0.12736905256325748</v>
      </c>
      <c r="AC103" s="177">
        <f>IFERROR(Inv_SY!Q105/Inv_SY!$Z105-1,"")</f>
        <v>0.30508818763001777</v>
      </c>
      <c r="AD103" s="177">
        <f>IFERROR(Inv_SY!R105/Inv_SY!$Z105-1,"")</f>
        <v>5.3358963056046704E-2</v>
      </c>
      <c r="AE103" s="177">
        <f>IFERROR(Inv_SY!S105/Inv_SY!$Z105-1,"")</f>
        <v>-0.12750189354182773</v>
      </c>
      <c r="AF103" s="177">
        <f>IFERROR(Inv_SY!T105/Inv_SY!$Z105-1,"")</f>
        <v>0.29525769293675741</v>
      </c>
      <c r="AG103" s="177">
        <f>IFERROR(Inv_SY!U105/Inv_SY!$Z105-1,"")</f>
        <v>-0.13330119725996092</v>
      </c>
      <c r="AH103" s="177">
        <f>IFERROR(Inv_SY!V105/Inv_SY!$Y105-1,"")</f>
        <v>-1.9342527193540793E-2</v>
      </c>
      <c r="AI103" s="177">
        <f>IFERROR(Inv_SY!W105/Inv_SY!$Y105-1,"")</f>
        <v>1.240440549963906E-2</v>
      </c>
      <c r="AJ103" s="177">
        <f>IFERROR(Inv_SY!X105/Inv_SY!$Y105-1,"")</f>
        <v>6.9381216939015111E-3</v>
      </c>
      <c r="AK103" s="177">
        <f>IFERROR(Inv_SY!V105/Inv_SY!$Z105-1,"")</f>
        <v>-3.1357955892647782E-2</v>
      </c>
      <c r="AL103" s="177">
        <f>IFERROR(Inv_SY!W105/Inv_SY!$Z105-1,"")</f>
        <v>0</v>
      </c>
      <c r="AM103" s="177">
        <f>IFERROR(Inv_SY!X105/Inv_SY!$Z105-1,"")</f>
        <v>-5.3993085925381212E-3</v>
      </c>
    </row>
    <row r="104" spans="1:39" x14ac:dyDescent="0.25">
      <c r="A104" s="173">
        <f>YEAR(Inv_SY_D[[#This Row],[Date]])+IF(MONTH(Inv_SY_D[[#This Row],[Date]])&gt;=4,1,0)</f>
        <v>2026</v>
      </c>
      <c r="B104" s="173">
        <v>4</v>
      </c>
      <c r="C104" s="173">
        <f>YEAR(Inv_SY_D[[#This Row],[Month Year]])</f>
        <v>2025</v>
      </c>
      <c r="D104" s="173" t="s">
        <v>4</v>
      </c>
      <c r="E104" s="173" t="s">
        <v>4</v>
      </c>
      <c r="F104" s="174" t="str">
        <f>TEXT(Inv_SY_D[[#This Row],[Date]],"mmm-yy")</f>
        <v>Jul-25</v>
      </c>
      <c r="G104" s="175">
        <f>DAY(EOMONTH(Inv_SY_D[[#This Row],[Month Year]],0))</f>
        <v>31</v>
      </c>
      <c r="H104" s="176">
        <f t="shared" si="2"/>
        <v>45847</v>
      </c>
      <c r="I104" s="178">
        <v>7.0991999999999997</v>
      </c>
      <c r="J104" s="177">
        <f>IFERROR(Inv_SY!J106/Inv_SY!$Y106-1,"")</f>
        <v>6.9690088832675245E-2</v>
      </c>
      <c r="K104" s="177">
        <f>IFERROR(Inv_SY!K106/Inv_SY!$Y106-1,"")</f>
        <v>-0.15498790207716395</v>
      </c>
      <c r="L104" s="177">
        <f>IFERROR(Inv_SY!L106/Inv_SY!$Y106-1,"")</f>
        <v>1.2735053250919615E-2</v>
      </c>
      <c r="M104" s="177">
        <f>IFERROR(Inv_SY!M106/Inv_SY!$Y106-1,"")</f>
        <v>1.3171799475234502E-2</v>
      </c>
      <c r="N104" s="177">
        <f>IFERROR(Inv_SY!N106/Inv_SY!$Y106-1,"")</f>
        <v>-0.12080722848745806</v>
      </c>
      <c r="O104" s="177">
        <f>IFERROR(Inv_SY!O106/Inv_SY!$Y106-1,"")</f>
        <v>3.1823958587232859E-2</v>
      </c>
      <c r="P104" s="177">
        <f>IFERROR(Inv_SY!P106/Inv_SY!$Y106-1,"")</f>
        <v>-7.8861550031302574E-2</v>
      </c>
      <c r="Q104" s="177">
        <f>IFERROR(Inv_SY!Q106/Inv_SY!$Y106-1,"")</f>
        <v>0.31598035645104217</v>
      </c>
      <c r="R104" s="177">
        <f>IFERROR(Inv_SY!R106/Inv_SY!$Y106-1,"")</f>
        <v>7.0246481445554121E-2</v>
      </c>
      <c r="S104" s="177">
        <f>IFERROR(Inv_SY!S106/Inv_SY!$Y106-1,"")</f>
        <v>-0.11354579847039503</v>
      </c>
      <c r="T104" s="177">
        <f>IFERROR(Inv_SY!T106/Inv_SY!$Y106-1,"")</f>
        <v>0.31581252031100226</v>
      </c>
      <c r="U104" s="177">
        <f>IFERROR(Inv_SY!U106/Inv_SY!$Y106-1,"")</f>
        <v>-0.11951165857529222</v>
      </c>
      <c r="V104" s="177">
        <f>IFERROR(Inv_SY!J106/Inv_SY!$Z106-1,"")</f>
        <v>5.7854745075611946E-2</v>
      </c>
      <c r="W104" s="177">
        <f>IFERROR(Inv_SY!K106/Inv_SY!$Z106-1,"")</f>
        <v>-0.16433734708203251</v>
      </c>
      <c r="X104" s="177">
        <f>IFERROR(Inv_SY!L106/Inv_SY!$Z106-1,"")</f>
        <v>1.5298755876091974E-3</v>
      </c>
      <c r="Y104" s="177">
        <f>IFERROR(Inv_SY!M106/Inv_SY!$Z106-1,"")</f>
        <v>1.9617895322261436E-3</v>
      </c>
      <c r="Z104" s="177">
        <f>IFERROR(Inv_SY!N106/Inv_SY!$Z106-1,"")</f>
        <v>-0.13053485781506224</v>
      </c>
      <c r="AA104" s="177">
        <f>IFERROR(Inv_SY!O106/Inv_SY!$Z106-1,"")</f>
        <v>2.0407576053502519E-2</v>
      </c>
      <c r="AB104" s="177">
        <f>IFERROR(Inv_SY!P106/Inv_SY!$Z106-1,"")</f>
        <v>-8.905327781960537E-2</v>
      </c>
      <c r="AC104" s="177">
        <f>IFERROR(Inv_SY!Q106/Inv_SY!$Z106-1,"")</f>
        <v>0.30141998980023255</v>
      </c>
      <c r="AD104" s="177">
        <f>IFERROR(Inv_SY!R106/Inv_SY!$Z106-1,"")</f>
        <v>5.8404981608420448E-2</v>
      </c>
      <c r="AE104" s="177">
        <f>IFERROR(Inv_SY!S106/Inv_SY!$Z106-1,"")</f>
        <v>-0.12335377024607552</v>
      </c>
      <c r="AF104" s="177">
        <f>IFERROR(Inv_SY!T106/Inv_SY!$Z106-1,"")</f>
        <v>0.30125401064515778</v>
      </c>
      <c r="AG104" s="177">
        <f>IFERROR(Inv_SY!U106/Inv_SY!$Z106-1,"")</f>
        <v>-0.12925362244280825</v>
      </c>
      <c r="AH104" s="177">
        <f>IFERROR(Inv_SY!V106/Inv_SY!$Y106-1,"")</f>
        <v>-2.1546993530550562E-2</v>
      </c>
      <c r="AI104" s="177">
        <f>IFERROR(Inv_SY!W106/Inv_SY!$Y106-1,"")</f>
        <v>1.1188061321422138E-2</v>
      </c>
      <c r="AJ104" s="177">
        <f>IFERROR(Inv_SY!X106/Inv_SY!$Y106-1,"")</f>
        <v>1.035893220912798E-2</v>
      </c>
      <c r="AK104" s="177">
        <f>IFERROR(Inv_SY!V106/Inv_SY!$Z106-1,"")</f>
        <v>-3.2372865250401173E-2</v>
      </c>
      <c r="AL104" s="177">
        <f>IFERROR(Inv_SY!W106/Inv_SY!$Z106-1,"")</f>
        <v>0</v>
      </c>
      <c r="AM104" s="177">
        <f>IFERROR(Inv_SY!X106/Inv_SY!$Z106-1,"")</f>
        <v>-8.1995540098711572E-4</v>
      </c>
    </row>
    <row r="105" spans="1:39" x14ac:dyDescent="0.25">
      <c r="A105" s="173">
        <f>YEAR(Inv_SY_D[[#This Row],[Date]])+IF(MONTH(Inv_SY_D[[#This Row],[Date]])&gt;=4,1,0)</f>
        <v>2026</v>
      </c>
      <c r="B105" s="173">
        <v>4</v>
      </c>
      <c r="C105" s="173">
        <f>YEAR(Inv_SY_D[[#This Row],[Month Year]])</f>
        <v>2025</v>
      </c>
      <c r="D105" s="173" t="s">
        <v>4</v>
      </c>
      <c r="E105" s="173" t="s">
        <v>4</v>
      </c>
      <c r="F105" s="174" t="str">
        <f>TEXT(Inv_SY_D[[#This Row],[Date]],"mmm-yy")</f>
        <v>Jul-25</v>
      </c>
      <c r="G105" s="175">
        <f>DAY(EOMONTH(Inv_SY_D[[#This Row],[Month Year]],0))</f>
        <v>31</v>
      </c>
      <c r="H105" s="176">
        <f t="shared" si="2"/>
        <v>45848</v>
      </c>
      <c r="I105" s="178">
        <v>7.0991999999999997</v>
      </c>
      <c r="J105" s="177">
        <f>IFERROR(Inv_SY!J107/Inv_SY!$Y107-1,"")</f>
        <v>3.4778366011473993E-2</v>
      </c>
      <c r="K105" s="177">
        <f>IFERROR(Inv_SY!K107/Inv_SY!$Y107-1,"")</f>
        <v>-0.11546568164804316</v>
      </c>
      <c r="L105" s="177">
        <f>IFERROR(Inv_SY!L107/Inv_SY!$Y107-1,"")</f>
        <v>2.7596385175649552E-2</v>
      </c>
      <c r="M105" s="177">
        <f>IFERROR(Inv_SY!M107/Inv_SY!$Y107-1,"")</f>
        <v>2.7547771839033564E-2</v>
      </c>
      <c r="N105" s="177">
        <f>IFERROR(Inv_SY!N107/Inv_SY!$Y107-1,"")</f>
        <v>-0.11654821908201418</v>
      </c>
      <c r="O105" s="177">
        <f>IFERROR(Inv_SY!O107/Inv_SY!$Y107-1,"")</f>
        <v>3.6686439473645693E-2</v>
      </c>
      <c r="P105" s="177">
        <f>IFERROR(Inv_SY!P107/Inv_SY!$Y107-1,"")</f>
        <v>-0.11682775856115268</v>
      </c>
      <c r="Q105" s="177">
        <f>IFERROR(Inv_SY!Q107/Inv_SY!$Y107-1,"")</f>
        <v>0.36349513978418169</v>
      </c>
      <c r="R105" s="177">
        <f>IFERROR(Inv_SY!R107/Inv_SY!$Y107-1,"")</f>
        <v>5.8767651098325491E-2</v>
      </c>
      <c r="S105" s="177">
        <f>IFERROR(Inv_SY!S107/Inv_SY!$Y107-1,"")</f>
        <v>-0.12249720656603147</v>
      </c>
      <c r="T105" s="177">
        <f>IFERROR(Inv_SY!T107/Inv_SY!$Y107-1,"")</f>
        <v>0.30177741767622601</v>
      </c>
      <c r="U105" s="177">
        <f>IFERROR(Inv_SY!U107/Inv_SY!$Y107-1,"")</f>
        <v>-0.12923004447695019</v>
      </c>
      <c r="V105" s="177">
        <f>IFERROR(Inv_SY!J107/Inv_SY!$Z107-1,"")</f>
        <v>2.2623611975716384E-2</v>
      </c>
      <c r="W105" s="177">
        <f>IFERROR(Inv_SY!K107/Inv_SY!$Z107-1,"")</f>
        <v>-0.12585563318635684</v>
      </c>
      <c r="X105" s="177">
        <f>IFERROR(Inv_SY!L107/Inv_SY!$Z107-1,"")</f>
        <v>1.552599240353647E-2</v>
      </c>
      <c r="Y105" s="177">
        <f>IFERROR(Inv_SY!M107/Inv_SY!$Z107-1,"")</f>
        <v>1.5477950090792891E-2</v>
      </c>
      <c r="Z105" s="177">
        <f>IFERROR(Inv_SY!N107/Inv_SY!$Z107-1,"")</f>
        <v>-0.12692545487686369</v>
      </c>
      <c r="AA105" s="177">
        <f>IFERROR(Inv_SY!O107/Inv_SY!$Z107-1,"")</f>
        <v>2.4509272750904421E-2</v>
      </c>
      <c r="AB105" s="177">
        <f>IFERROR(Inv_SY!P107/Inv_SY!$Z107-1,"")</f>
        <v>-0.12720171081846043</v>
      </c>
      <c r="AC105" s="177">
        <f>IFERROR(Inv_SY!Q107/Inv_SY!$Z107-1,"")</f>
        <v>0.34747919994876786</v>
      </c>
      <c r="AD105" s="177">
        <f>IFERROR(Inv_SY!R107/Inv_SY!$Z107-1,"")</f>
        <v>4.6331113185650974E-2</v>
      </c>
      <c r="AE105" s="177">
        <f>IFERROR(Inv_SY!S107/Inv_SY!$Z107-1,"")</f>
        <v>-0.13280456413187547</v>
      </c>
      <c r="AF105" s="177">
        <f>IFERROR(Inv_SY!T107/Inv_SY!$Z107-1,"")</f>
        <v>0.28648642895740828</v>
      </c>
      <c r="AG105" s="177">
        <f>IFERROR(Inv_SY!U107/Inv_SY!$Z107-1,"")</f>
        <v>-0.13945831651930651</v>
      </c>
      <c r="AH105" s="177">
        <f>IFERROR(Inv_SY!V107/Inv_SY!$Y107-1,"")</f>
        <v>-1.1609704459074721E-2</v>
      </c>
      <c r="AI105" s="177">
        <f>IFERROR(Inv_SY!W107/Inv_SY!$Y107-1,"")</f>
        <v>1.1885853107063138E-2</v>
      </c>
      <c r="AJ105" s="177">
        <f>IFERROR(Inv_SY!X107/Inv_SY!$Y107-1,"")</f>
        <v>-2.7614864798841676E-4</v>
      </c>
      <c r="AK105" s="177">
        <f>IFERROR(Inv_SY!V107/Inv_SY!$Z107-1,"")</f>
        <v>-2.3219573130697557E-2</v>
      </c>
      <c r="AL105" s="177">
        <f>IFERROR(Inv_SY!W107/Inv_SY!$Z107-1,"")</f>
        <v>0</v>
      </c>
      <c r="AM105" s="177">
        <f>IFERROR(Inv_SY!X107/Inv_SY!$Z107-1,"")</f>
        <v>-1.2019143975288582E-2</v>
      </c>
    </row>
    <row r="106" spans="1:39" x14ac:dyDescent="0.25">
      <c r="A106" s="173">
        <f>YEAR(Inv_SY_D[[#This Row],[Date]])+IF(MONTH(Inv_SY_D[[#This Row],[Date]])&gt;=4,1,0)</f>
        <v>2026</v>
      </c>
      <c r="B106" s="173">
        <v>4</v>
      </c>
      <c r="C106" s="173">
        <f>YEAR(Inv_SY_D[[#This Row],[Month Year]])</f>
        <v>2025</v>
      </c>
      <c r="D106" s="173" t="s">
        <v>4</v>
      </c>
      <c r="E106" s="173" t="s">
        <v>4</v>
      </c>
      <c r="F106" s="174" t="str">
        <f>TEXT(Inv_SY_D[[#This Row],[Date]],"mmm-yy")</f>
        <v>Jul-25</v>
      </c>
      <c r="G106" s="175">
        <f>DAY(EOMONTH(Inv_SY_D[[#This Row],[Month Year]],0))</f>
        <v>31</v>
      </c>
      <c r="H106" s="176">
        <f t="shared" si="2"/>
        <v>45849</v>
      </c>
      <c r="I106" s="178">
        <v>7.0991999999999997</v>
      </c>
      <c r="J106" s="177">
        <f>IFERROR(Inv_SY!J108/Inv_SY!$Y108-1,"")</f>
        <v>3.2199721431622752E-2</v>
      </c>
      <c r="K106" s="177">
        <f>IFERROR(Inv_SY!K108/Inv_SY!$Y108-1,"")</f>
        <v>-0.14480172838604866</v>
      </c>
      <c r="L106" s="177">
        <f>IFERROR(Inv_SY!L108/Inv_SY!$Y108-1,"")</f>
        <v>7.5600941664877741E-2</v>
      </c>
      <c r="M106" s="177">
        <f>IFERROR(Inv_SY!M108/Inv_SY!$Y108-1,"")</f>
        <v>2.4449387288277169E-2</v>
      </c>
      <c r="N106" s="177">
        <f>IFERROR(Inv_SY!N108/Inv_SY!$Y108-1,"")</f>
        <v>-7.6414508001648507E-2</v>
      </c>
      <c r="O106" s="177">
        <f>IFERROR(Inv_SY!O108/Inv_SY!$Y108-1,"")</f>
        <v>3.4541855376040376E-2</v>
      </c>
      <c r="P106" s="177">
        <f>IFERROR(Inv_SY!P108/Inv_SY!$Y108-1,"")</f>
        <v>-0.11751074503751624</v>
      </c>
      <c r="Q106" s="177">
        <f>IFERROR(Inv_SY!Q108/Inv_SY!$Y108-1,"")</f>
        <v>0.31840079349002526</v>
      </c>
      <c r="R106" s="177">
        <f>IFERROR(Inv_SY!R108/Inv_SY!$Y108-1,"")</f>
        <v>5.4360786054143739E-2</v>
      </c>
      <c r="S106" s="177">
        <f>IFERROR(Inv_SY!S108/Inv_SY!$Y108-1,"")</f>
        <v>-0.1255901142181779</v>
      </c>
      <c r="T106" s="177">
        <f>IFERROR(Inv_SY!T108/Inv_SY!$Y108-1,"")</f>
        <v>0.29695635525089625</v>
      </c>
      <c r="U106" s="177">
        <f>IFERROR(Inv_SY!U108/Inv_SY!$Y108-1,"")</f>
        <v>-0.1324994538154487</v>
      </c>
      <c r="V106" s="177">
        <f>IFERROR(Inv_SY!J108/Inv_SY!$Z108-1,"")</f>
        <v>1.7938630728442373E-2</v>
      </c>
      <c r="W106" s="177">
        <f>IFERROR(Inv_SY!K108/Inv_SY!$Z108-1,"")</f>
        <v>-0.15661732944412121</v>
      </c>
      <c r="X106" s="177">
        <f>IFERROR(Inv_SY!L108/Inv_SY!$Z108-1,"")</f>
        <v>6.0740210479798495E-2</v>
      </c>
      <c r="Y106" s="177">
        <f>IFERROR(Inv_SY!M108/Inv_SY!$Z108-1,"")</f>
        <v>1.0295376848638016E-2</v>
      </c>
      <c r="Z106" s="177">
        <f>IFERROR(Inv_SY!N108/Inv_SY!$Z108-1,"")</f>
        <v>-8.9174961429461685E-2</v>
      </c>
      <c r="AA106" s="177">
        <f>IFERROR(Inv_SY!O108/Inv_SY!$Z108-1,"")</f>
        <v>2.024840525255911E-2</v>
      </c>
      <c r="AB106" s="177">
        <f>IFERROR(Inv_SY!P108/Inv_SY!$Z108-1,"")</f>
        <v>-0.12970340412111558</v>
      </c>
      <c r="AC106" s="177">
        <f>IFERROR(Inv_SY!Q108/Inv_SY!$Z108-1,"")</f>
        <v>0.3001854879549406</v>
      </c>
      <c r="AD106" s="177">
        <f>IFERROR(Inv_SY!R108/Inv_SY!$Z108-1,"")</f>
        <v>3.9793513372709866E-2</v>
      </c>
      <c r="AE106" s="177">
        <f>IFERROR(Inv_SY!S108/Inv_SY!$Z108-1,"")</f>
        <v>-0.13767114702023753</v>
      </c>
      <c r="AF106" s="177">
        <f>IFERROR(Inv_SY!T108/Inv_SY!$Z108-1,"")</f>
        <v>0.27903733063166269</v>
      </c>
      <c r="AG106" s="177">
        <f>IFERROR(Inv_SY!U108/Inv_SY!$Z108-1,"")</f>
        <v>-0.14448502571333455</v>
      </c>
      <c r="AH106" s="177">
        <f>IFERROR(Inv_SY!V108/Inv_SY!$Y108-1,"")</f>
        <v>-9.9484783664045562E-3</v>
      </c>
      <c r="AI106" s="177">
        <f>IFERROR(Inv_SY!W108/Inv_SY!$Y108-1,"")</f>
        <v>1.4009774531275054E-2</v>
      </c>
      <c r="AJ106" s="177">
        <f>IFERROR(Inv_SY!X108/Inv_SY!$Y108-1,"")</f>
        <v>-4.0612961648706092E-3</v>
      </c>
      <c r="AK106" s="177">
        <f>IFERROR(Inv_SY!V108/Inv_SY!$Z108-1,"")</f>
        <v>-2.3627240584297438E-2</v>
      </c>
      <c r="AL106" s="177">
        <f>IFERROR(Inv_SY!W108/Inv_SY!$Z108-1,"")</f>
        <v>0</v>
      </c>
      <c r="AM106" s="177">
        <f>IFERROR(Inv_SY!X108/Inv_SY!$Z108-1,"")</f>
        <v>-1.782139694314E-2</v>
      </c>
    </row>
    <row r="107" spans="1:39" x14ac:dyDescent="0.25">
      <c r="A107" s="173">
        <f>YEAR(Inv_SY_D[[#This Row],[Date]])+IF(MONTH(Inv_SY_D[[#This Row],[Date]])&gt;=4,1,0)</f>
        <v>2026</v>
      </c>
      <c r="B107" s="173">
        <v>4</v>
      </c>
      <c r="C107" s="173">
        <f>YEAR(Inv_SY_D[[#This Row],[Month Year]])</f>
        <v>2025</v>
      </c>
      <c r="D107" s="173" t="s">
        <v>4</v>
      </c>
      <c r="E107" s="173" t="s">
        <v>4</v>
      </c>
      <c r="F107" s="174" t="str">
        <f>TEXT(Inv_SY_D[[#This Row],[Date]],"mmm-yy")</f>
        <v>Jul-25</v>
      </c>
      <c r="G107" s="175">
        <f>DAY(EOMONTH(Inv_SY_D[[#This Row],[Month Year]],0))</f>
        <v>31</v>
      </c>
      <c r="H107" s="176">
        <f t="shared" si="2"/>
        <v>45850</v>
      </c>
      <c r="I107" s="178">
        <v>7.0991999999999997</v>
      </c>
      <c r="J107" s="177">
        <f>IFERROR(Inv_SY!J109/Inv_SY!$Y109-1,"")</f>
        <v>4.4344959923101168E-2</v>
      </c>
      <c r="K107" s="177">
        <f>IFERROR(Inv_SY!K109/Inv_SY!$Y109-1,"")</f>
        <v>-0.13490396068694788</v>
      </c>
      <c r="L107" s="177">
        <f>IFERROR(Inv_SY!L109/Inv_SY!$Y109-1,"")</f>
        <v>3.7323279412270427E-2</v>
      </c>
      <c r="M107" s="177">
        <f>IFERROR(Inv_SY!M109/Inv_SY!$Y109-1,"")</f>
        <v>7.6719040922086368E-2</v>
      </c>
      <c r="N107" s="177">
        <f>IFERROR(Inv_SY!N109/Inv_SY!$Y109-1,"")</f>
        <v>-0.12056164761590626</v>
      </c>
      <c r="O107" s="177">
        <f>IFERROR(Inv_SY!O109/Inv_SY!$Y109-1,"")</f>
        <v>7.3553121329125837E-2</v>
      </c>
      <c r="P107" s="177">
        <f>IFERROR(Inv_SY!P109/Inv_SY!$Y109-1,"")</f>
        <v>-0.12005034654063396</v>
      </c>
      <c r="Q107" s="177">
        <f>IFERROR(Inv_SY!Q109/Inv_SY!$Y109-1,"")</f>
        <v>0.31618523691999667</v>
      </c>
      <c r="R107" s="177">
        <f>IFERROR(Inv_SY!R109/Inv_SY!$Y109-1,"")</f>
        <v>4.9812172380647723E-2</v>
      </c>
      <c r="S107" s="177">
        <f>IFERROR(Inv_SY!S109/Inv_SY!$Y109-1,"")</f>
        <v>-0.13004571184920266</v>
      </c>
      <c r="T107" s="177">
        <f>IFERROR(Inv_SY!T109/Inv_SY!$Y109-1,"")</f>
        <v>0.29042705314666595</v>
      </c>
      <c r="U107" s="177">
        <f>IFERROR(Inv_SY!U109/Inv_SY!$Y109-1,"")</f>
        <v>-0.13661983835915437</v>
      </c>
      <c r="V107" s="177">
        <f>IFERROR(Inv_SY!J109/Inv_SY!$Z109-1,"")</f>
        <v>3.4310154272088278E-2</v>
      </c>
      <c r="W107" s="177">
        <f>IFERROR(Inv_SY!K109/Inv_SY!$Z109-1,"")</f>
        <v>-0.14321641582112765</v>
      </c>
      <c r="X107" s="177">
        <f>IFERROR(Inv_SY!L109/Inv_SY!$Z109-1,"")</f>
        <v>2.7355943038147368E-2</v>
      </c>
      <c r="Y107" s="177">
        <f>IFERROR(Inv_SY!M109/Inv_SY!$Z109-1,"")</f>
        <v>6.6373162183710921E-2</v>
      </c>
      <c r="Z107" s="177">
        <f>IFERROR(Inv_SY!N109/Inv_SY!$Z109-1,"")</f>
        <v>-0.12901191384678001</v>
      </c>
      <c r="AA107" s="177">
        <f>IFERROR(Inv_SY!O109/Inv_SY!$Z109-1,"")</f>
        <v>6.3237662987306154E-2</v>
      </c>
      <c r="AB107" s="177">
        <f>IFERROR(Inv_SY!P109/Inv_SY!$Z109-1,"")</f>
        <v>-0.12850552571418117</v>
      </c>
      <c r="AC107" s="177">
        <f>IFERROR(Inv_SY!Q109/Inv_SY!$Z109-1,"")</f>
        <v>0.3035383974559589</v>
      </c>
      <c r="AD107" s="177">
        <f>IFERROR(Inv_SY!R109/Inv_SY!$Z109-1,"")</f>
        <v>3.9724833882185173E-2</v>
      </c>
      <c r="AE107" s="177">
        <f>IFERROR(Inv_SY!S109/Inv_SY!$Z109-1,"")</f>
        <v>-0.13840484847729662</v>
      </c>
      <c r="AF107" s="177">
        <f>IFERROR(Inv_SY!T109/Inv_SY!$Z109-1,"")</f>
        <v>0.27802771654615266</v>
      </c>
      <c r="AG107" s="177">
        <f>IFERROR(Inv_SY!U109/Inv_SY!$Z109-1,"")</f>
        <v>-0.14491580612601551</v>
      </c>
      <c r="AH107" s="177">
        <f>IFERROR(Inv_SY!V109/Inv_SY!$Y109-1,"")</f>
        <v>-8.6159390164886052E-4</v>
      </c>
      <c r="AI107" s="177">
        <f>IFERROR(Inv_SY!W109/Inv_SY!$Y109-1,"")</f>
        <v>9.7019309049277691E-3</v>
      </c>
      <c r="AJ107" s="177">
        <f>IFERROR(Inv_SY!X109/Inv_SY!$Y109-1,"")</f>
        <v>-8.8403370032789086E-3</v>
      </c>
      <c r="AK107" s="177">
        <f>IFERROR(Inv_SY!V109/Inv_SY!$Z109-1,"")</f>
        <v>-1.0462022982474783E-2</v>
      </c>
      <c r="AL107" s="177">
        <f>IFERROR(Inv_SY!W109/Inv_SY!$Z109-1,"")</f>
        <v>0</v>
      </c>
      <c r="AM107" s="177">
        <f>IFERROR(Inv_SY!X109/Inv_SY!$Z109-1,"")</f>
        <v>-1.8364100672352279E-2</v>
      </c>
    </row>
    <row r="108" spans="1:39" x14ac:dyDescent="0.25">
      <c r="A108" s="173">
        <f>YEAR(Inv_SY_D[[#This Row],[Date]])+IF(MONTH(Inv_SY_D[[#This Row],[Date]])&gt;=4,1,0)</f>
        <v>2026</v>
      </c>
      <c r="B108" s="173">
        <v>4</v>
      </c>
      <c r="C108" s="173">
        <f>YEAR(Inv_SY_D[[#This Row],[Month Year]])</f>
        <v>2025</v>
      </c>
      <c r="D108" s="173" t="s">
        <v>4</v>
      </c>
      <c r="E108" s="173" t="s">
        <v>4</v>
      </c>
      <c r="F108" s="174" t="str">
        <f>TEXT(Inv_SY_D[[#This Row],[Date]],"mmm-yy")</f>
        <v>Jul-25</v>
      </c>
      <c r="G108" s="175">
        <f>DAY(EOMONTH(Inv_SY_D[[#This Row],[Month Year]],0))</f>
        <v>31</v>
      </c>
      <c r="H108" s="176">
        <f t="shared" si="2"/>
        <v>45851</v>
      </c>
      <c r="I108" s="178">
        <v>7.0991999999999997</v>
      </c>
      <c r="J108" s="177">
        <f>IFERROR(Inv_SY!J110/Inv_SY!$Y110-1,"")</f>
        <v>7.3904347760311406E-2</v>
      </c>
      <c r="K108" s="177">
        <f>IFERROR(Inv_SY!K110/Inv_SY!$Y110-1,"")</f>
        <v>-0.14861298568594639</v>
      </c>
      <c r="L108" s="177">
        <f>IFERROR(Inv_SY!L110/Inv_SY!$Y110-1,"")</f>
        <v>2.1456913502041264E-2</v>
      </c>
      <c r="M108" s="177">
        <f>IFERROR(Inv_SY!M110/Inv_SY!$Y110-1,"")</f>
        <v>2.0248940649624458E-2</v>
      </c>
      <c r="N108" s="177">
        <f>IFERROR(Inv_SY!N110/Inv_SY!$Y110-1,"")</f>
        <v>-0.12083497228469364</v>
      </c>
      <c r="O108" s="177">
        <f>IFERROR(Inv_SY!O110/Inv_SY!$Y110-1,"")</f>
        <v>3.2236257489687281E-2</v>
      </c>
      <c r="P108" s="177">
        <f>IFERROR(Inv_SY!P110/Inv_SY!$Y110-1,"")</f>
        <v>-8.2576089378795681E-2</v>
      </c>
      <c r="Q108" s="177">
        <f>IFERROR(Inv_SY!Q110/Inv_SY!$Y110-1,"")</f>
        <v>0.31557777911070128</v>
      </c>
      <c r="R108" s="177">
        <f>IFERROR(Inv_SY!R110/Inv_SY!$Y110-1,"")</f>
        <v>6.3657646046892946E-2</v>
      </c>
      <c r="S108" s="177">
        <f>IFERROR(Inv_SY!S110/Inv_SY!$Y110-1,"")</f>
        <v>-0.11799589429658308</v>
      </c>
      <c r="T108" s="177">
        <f>IFERROR(Inv_SY!T110/Inv_SY!$Y110-1,"")</f>
        <v>0.30875300533804184</v>
      </c>
      <c r="U108" s="177">
        <f>IFERROR(Inv_SY!U110/Inv_SY!$Y110-1,"")</f>
        <v>-0.12465964751226066</v>
      </c>
      <c r="V108" s="177">
        <f>IFERROR(Inv_SY!J110/Inv_SY!$Z110-1,"")</f>
        <v>6.311258002743303E-2</v>
      </c>
      <c r="W108" s="177">
        <f>IFERROR(Inv_SY!K110/Inv_SY!$Z110-1,"")</f>
        <v>-0.15716865540497493</v>
      </c>
      <c r="X108" s="177">
        <f>IFERROR(Inv_SY!L110/Inv_SY!$Z110-1,"")</f>
        <v>1.1192195063526089E-2</v>
      </c>
      <c r="Y108" s="177">
        <f>IFERROR(Inv_SY!M110/Inv_SY!$Z110-1,"")</f>
        <v>9.9963612460969298E-3</v>
      </c>
      <c r="Z108" s="177">
        <f>IFERROR(Inv_SY!N110/Inv_SY!$Z110-1,"")</f>
        <v>-0.12966978592313394</v>
      </c>
      <c r="AA108" s="177">
        <f>IFERROR(Inv_SY!O110/Inv_SY!$Z110-1,"")</f>
        <v>2.1863216390154872E-2</v>
      </c>
      <c r="AB108" s="177">
        <f>IFERROR(Inv_SY!P110/Inv_SY!$Z110-1,"")</f>
        <v>-9.1795370198974213E-2</v>
      </c>
      <c r="AC108" s="177">
        <f>IFERROR(Inv_SY!Q110/Inv_SY!$Z110-1,"")</f>
        <v>0.30235741189987086</v>
      </c>
      <c r="AD108" s="177">
        <f>IFERROR(Inv_SY!R110/Inv_SY!$Z110-1,"")</f>
        <v>5.2968848401760305E-2</v>
      </c>
      <c r="AE108" s="177">
        <f>IFERROR(Inv_SY!S110/Inv_SY!$Z110-1,"")</f>
        <v>-0.12685923810187405</v>
      </c>
      <c r="AF108" s="177">
        <f>IFERROR(Inv_SY!T110/Inv_SY!$Z110-1,"")</f>
        <v>0.29560122093306163</v>
      </c>
      <c r="AG108" s="177">
        <f>IFERROR(Inv_SY!U110/Inv_SY!$Z110-1,"")</f>
        <v>-0.13345602662271372</v>
      </c>
      <c r="AH108" s="177">
        <f>IFERROR(Inv_SY!V110/Inv_SY!$Y110-1,"")</f>
        <v>-1.4962142133522871E-2</v>
      </c>
      <c r="AI108" s="177">
        <f>IFERROR(Inv_SY!W110/Inv_SY!$Y110-1,"")</f>
        <v>1.0151105288021212E-2</v>
      </c>
      <c r="AJ108" s="177">
        <f>IFERROR(Inv_SY!X110/Inv_SY!$Y110-1,"")</f>
        <v>4.8110368455018815E-3</v>
      </c>
      <c r="AK108" s="177">
        <f>IFERROR(Inv_SY!V110/Inv_SY!$Z110-1,"")</f>
        <v>-2.4860881990901307E-2</v>
      </c>
      <c r="AL108" s="177">
        <f>IFERROR(Inv_SY!W110/Inv_SY!$Z110-1,"")</f>
        <v>0</v>
      </c>
      <c r="AM108" s="177">
        <f>IFERROR(Inv_SY!X110/Inv_SY!$Z110-1,"")</f>
        <v>-5.2864055828526491E-3</v>
      </c>
    </row>
    <row r="109" spans="1:39" x14ac:dyDescent="0.25">
      <c r="A109" s="173">
        <f>YEAR(Inv_SY_D[[#This Row],[Date]])+IF(MONTH(Inv_SY_D[[#This Row],[Date]])&gt;=4,1,0)</f>
        <v>2026</v>
      </c>
      <c r="B109" s="173">
        <v>4</v>
      </c>
      <c r="C109" s="173">
        <f>YEAR(Inv_SY_D[[#This Row],[Month Year]])</f>
        <v>2025</v>
      </c>
      <c r="D109" s="173" t="s">
        <v>4</v>
      </c>
      <c r="E109" s="173" t="s">
        <v>4</v>
      </c>
      <c r="F109" s="174" t="str">
        <f>TEXT(Inv_SY_D[[#This Row],[Date]],"mmm-yy")</f>
        <v>Jul-25</v>
      </c>
      <c r="G109" s="175">
        <f>DAY(EOMONTH(Inv_SY_D[[#This Row],[Month Year]],0))</f>
        <v>31</v>
      </c>
      <c r="H109" s="176">
        <f t="shared" si="2"/>
        <v>45852</v>
      </c>
      <c r="I109" s="178">
        <v>7.0991999999999997</v>
      </c>
      <c r="J109" s="177">
        <f>IFERROR(Inv_SY!J111/Inv_SY!$Y111-1,"")</f>
        <v>2.9737031704618166E-2</v>
      </c>
      <c r="K109" s="177">
        <f>IFERROR(Inv_SY!K111/Inv_SY!$Y111-1,"")</f>
        <v>-0.11909696889623878</v>
      </c>
      <c r="L109" s="177">
        <f>IFERROR(Inv_SY!L111/Inv_SY!$Y111-1,"")</f>
        <v>2.4271209437086494E-2</v>
      </c>
      <c r="M109" s="177">
        <f>IFERROR(Inv_SY!M111/Inv_SY!$Y111-1,"")</f>
        <v>2.1497224771112267E-2</v>
      </c>
      <c r="N109" s="177">
        <f>IFERROR(Inv_SY!N111/Inv_SY!$Y111-1,"")</f>
        <v>-0.12174213054233818</v>
      </c>
      <c r="O109" s="177">
        <f>IFERROR(Inv_SY!O111/Inv_SY!$Y111-1,"")</f>
        <v>3.1249653267290567E-2</v>
      </c>
      <c r="P109" s="177">
        <f>IFERROR(Inv_SY!P111/Inv_SY!$Y111-1,"")</f>
        <v>-0.11953421931023112</v>
      </c>
      <c r="Q109" s="177">
        <f>IFERROR(Inv_SY!Q111/Inv_SY!$Y111-1,"")</f>
        <v>0.35348936206682557</v>
      </c>
      <c r="R109" s="177">
        <f>IFERROR(Inv_SY!R111/Inv_SY!$Y111-1,"")</f>
        <v>6.8623360413783585E-2</v>
      </c>
      <c r="S109" s="177">
        <f>IFERROR(Inv_SY!S111/Inv_SY!$Y111-1,"")</f>
        <v>-0.11367765914027506</v>
      </c>
      <c r="T109" s="177">
        <f>IFERROR(Inv_SY!T111/Inv_SY!$Y111-1,"")</f>
        <v>0.31501235608394462</v>
      </c>
      <c r="U109" s="177">
        <f>IFERROR(Inv_SY!U111/Inv_SY!$Y111-1,"")</f>
        <v>-0.12031912403988876</v>
      </c>
      <c r="V109" s="177">
        <f>IFERROR(Inv_SY!J111/Inv_SY!$Z111-1,"")</f>
        <v>1.9884241038856221E-2</v>
      </c>
      <c r="W109" s="177">
        <f>IFERROR(Inv_SY!K111/Inv_SY!$Z111-1,"")</f>
        <v>-0.12752567728981068</v>
      </c>
      <c r="X109" s="177">
        <f>IFERROR(Inv_SY!L111/Inv_SY!$Z111-1,"")</f>
        <v>1.4470717174664527E-2</v>
      </c>
      <c r="Y109" s="177">
        <f>IFERROR(Inv_SY!M111/Inv_SY!$Z111-1,"")</f>
        <v>1.1723274712556409E-2</v>
      </c>
      <c r="Z109" s="177">
        <f>IFERROR(Inv_SY!N111/Inv_SY!$Z111-1,"")</f>
        <v>-0.13014552934406898</v>
      </c>
      <c r="AA109" s="177">
        <f>IFERROR(Inv_SY!O111/Inv_SY!$Z111-1,"")</f>
        <v>2.138238944658255E-2</v>
      </c>
      <c r="AB109" s="177">
        <f>IFERROR(Inv_SY!P111/Inv_SY!$Z111-1,"")</f>
        <v>-0.1279587439785751</v>
      </c>
      <c r="AC109" s="177">
        <f>IFERROR(Inv_SY!Q111/Inv_SY!$Z111-1,"")</f>
        <v>0.34053882523830681</v>
      </c>
      <c r="AD109" s="177">
        <f>IFERROR(Inv_SY!R111/Inv_SY!$Z111-1,"")</f>
        <v>5.8398495281691831E-2</v>
      </c>
      <c r="AE109" s="177">
        <f>IFERROR(Inv_SY!S111/Inv_SY!$Z111-1,"")</f>
        <v>-0.12215822089342754</v>
      </c>
      <c r="AF109" s="177">
        <f>IFERROR(Inv_SY!T111/Inv_SY!$Z111-1,"")</f>
        <v>0.3024299772158785</v>
      </c>
      <c r="AG109" s="177">
        <f>IFERROR(Inv_SY!U111/Inv_SY!$Z111-1,"")</f>
        <v>-0.12873613853645527</v>
      </c>
      <c r="AH109" s="177">
        <f>IFERROR(Inv_SY!V111/Inv_SY!$Y111-1,"")</f>
        <v>-1.6080713834854987E-2</v>
      </c>
      <c r="AI109" s="177">
        <f>IFERROR(Inv_SY!W111/Inv_SY!$Y111-1,"")</f>
        <v>6.4200187585921054E-3</v>
      </c>
      <c r="AJ109" s="177">
        <f>IFERROR(Inv_SY!X111/Inv_SY!$Y111-1,"")</f>
        <v>9.6606950762625488E-3</v>
      </c>
      <c r="AK109" s="177">
        <f>IFERROR(Inv_SY!V111/Inv_SY!$Z111-1,"")</f>
        <v>-2.5495108442518233E-2</v>
      </c>
      <c r="AL109" s="177">
        <f>IFERROR(Inv_SY!W111/Inv_SY!$Z111-1,"")</f>
        <v>-3.20966868718775E-3</v>
      </c>
      <c r="AM109" s="177">
        <f>IFERROR(Inv_SY!X111/Inv_SY!$Z111-1,"")</f>
        <v>0</v>
      </c>
    </row>
    <row r="110" spans="1:39" x14ac:dyDescent="0.25">
      <c r="A110" s="173">
        <f>YEAR(Inv_SY_D[[#This Row],[Date]])+IF(MONTH(Inv_SY_D[[#This Row],[Date]])&gt;=4,1,0)</f>
        <v>2026</v>
      </c>
      <c r="B110" s="173">
        <v>4</v>
      </c>
      <c r="C110" s="173">
        <f>YEAR(Inv_SY_D[[#This Row],[Month Year]])</f>
        <v>2025</v>
      </c>
      <c r="D110" s="173" t="s">
        <v>4</v>
      </c>
      <c r="E110" s="173" t="s">
        <v>4</v>
      </c>
      <c r="F110" s="174" t="str">
        <f>TEXT(Inv_SY_D[[#This Row],[Date]],"mmm-yy")</f>
        <v>Jul-25</v>
      </c>
      <c r="G110" s="175">
        <f>DAY(EOMONTH(Inv_SY_D[[#This Row],[Month Year]],0))</f>
        <v>31</v>
      </c>
      <c r="H110" s="176">
        <f t="shared" si="2"/>
        <v>45853</v>
      </c>
      <c r="I110" s="178">
        <v>7.0991999999999997</v>
      </c>
      <c r="J110" s="177">
        <f>IFERROR(Inv_SY!J112/Inv_SY!$Y112-1,"")</f>
        <v>3.4567195058880174E-2</v>
      </c>
      <c r="K110" s="177">
        <f>IFERROR(Inv_SY!K112/Inv_SY!$Y112-1,"")</f>
        <v>-0.14352066178958489</v>
      </c>
      <c r="L110" s="177">
        <f>IFERROR(Inv_SY!L112/Inv_SY!$Y112-1,"")</f>
        <v>7.0119481529427041E-2</v>
      </c>
      <c r="M110" s="177">
        <f>IFERROR(Inv_SY!M112/Inv_SY!$Y112-1,"")</f>
        <v>2.6920270148198089E-2</v>
      </c>
      <c r="N110" s="177">
        <f>IFERROR(Inv_SY!N112/Inv_SY!$Y112-1,"")</f>
        <v>-8.2369010718135405E-2</v>
      </c>
      <c r="O110" s="177">
        <f>IFERROR(Inv_SY!O112/Inv_SY!$Y112-1,"")</f>
        <v>3.6989512887730003E-2</v>
      </c>
      <c r="P110" s="177">
        <f>IFERROR(Inv_SY!P112/Inv_SY!$Y112-1,"")</f>
        <v>-0.11725055703778731</v>
      </c>
      <c r="Q110" s="177">
        <f>IFERROR(Inv_SY!Q112/Inv_SY!$Y112-1,"")</f>
        <v>0.32014604933943458</v>
      </c>
      <c r="R110" s="177">
        <f>IFERROR(Inv_SY!R112/Inv_SY!$Y112-1,"")</f>
        <v>5.4897193466346028E-2</v>
      </c>
      <c r="S110" s="177">
        <f>IFERROR(Inv_SY!S112/Inv_SY!$Y112-1,"")</f>
        <v>-0.12571455409482857</v>
      </c>
      <c r="T110" s="177">
        <f>IFERROR(Inv_SY!T112/Inv_SY!$Y112-1,"")</f>
        <v>0.29777918371204071</v>
      </c>
      <c r="U110" s="177">
        <f>IFERROR(Inv_SY!U112/Inv_SY!$Y112-1,"")</f>
        <v>-0.13168466531453138</v>
      </c>
      <c r="V110" s="177">
        <f>IFERROR(Inv_SY!J112/Inv_SY!$Z112-1,"")</f>
        <v>2.0977674964760995E-2</v>
      </c>
      <c r="W110" s="177">
        <f>IFERROR(Inv_SY!K112/Inv_SY!$Z112-1,"")</f>
        <v>-0.15477091526021214</v>
      </c>
      <c r="X110" s="177">
        <f>IFERROR(Inv_SY!L112/Inv_SY!$Z112-1,"")</f>
        <v>5.6062965658048691E-2</v>
      </c>
      <c r="Y110" s="177">
        <f>IFERROR(Inv_SY!M112/Inv_SY!$Z112-1,"")</f>
        <v>1.3431195960568409E-2</v>
      </c>
      <c r="Z110" s="177">
        <f>IFERROR(Inv_SY!N112/Inv_SY!$Z112-1,"")</f>
        <v>-9.4422519496869306E-2</v>
      </c>
      <c r="AA110" s="177">
        <f>IFERROR(Inv_SY!O112/Inv_SY!$Z112-1,"")</f>
        <v>2.3368174525095764E-2</v>
      </c>
      <c r="AB110" s="177">
        <f>IFERROR(Inv_SY!P112/Inv_SY!$Z112-1,"")</f>
        <v>-0.12884588052233359</v>
      </c>
      <c r="AC110" s="177">
        <f>IFERROR(Inv_SY!Q112/Inv_SY!$Z112-1,"")</f>
        <v>0.30280531850014936</v>
      </c>
      <c r="AD110" s="177">
        <f>IFERROR(Inv_SY!R112/Inv_SY!$Z112-1,"")</f>
        <v>4.1040629411050356E-2</v>
      </c>
      <c r="AE110" s="177">
        <f>IFERROR(Inv_SY!S112/Inv_SY!$Z112-1,"")</f>
        <v>-0.13719869905116278</v>
      </c>
      <c r="AF110" s="177">
        <f>IFERROR(Inv_SY!T112/Inv_SY!$Z112-1,"")</f>
        <v>0.28073225202986962</v>
      </c>
      <c r="AG110" s="177">
        <f>IFERROR(Inv_SY!U112/Inv_SY!$Z112-1,"")</f>
        <v>-0.14309039009016411</v>
      </c>
      <c r="AH110" s="177">
        <f>IFERROR(Inv_SY!V112/Inv_SY!$Y112-1,"")</f>
        <v>-9.7312718729148928E-3</v>
      </c>
      <c r="AI110" s="177">
        <f>IFERROR(Inv_SY!W112/Inv_SY!$Y112-1,"")</f>
        <v>1.3310300927577234E-2</v>
      </c>
      <c r="AJ110" s="177">
        <f>IFERROR(Inv_SY!X112/Inv_SY!$Y112-1,"")</f>
        <v>-3.5790290546625636E-3</v>
      </c>
      <c r="AK110" s="177">
        <f>IFERROR(Inv_SY!V112/Inv_SY!$Z112-1,"")</f>
        <v>-2.2738911051629507E-2</v>
      </c>
      <c r="AL110" s="177">
        <f>IFERROR(Inv_SY!W112/Inv_SY!$Z112-1,"")</f>
        <v>0</v>
      </c>
      <c r="AM110" s="177">
        <f>IFERROR(Inv_SY!X112/Inv_SY!$Z112-1,"")</f>
        <v>-1.6667480797125434E-2</v>
      </c>
    </row>
    <row r="111" spans="1:39" x14ac:dyDescent="0.25">
      <c r="A111" s="173">
        <f>YEAR(Inv_SY_D[[#This Row],[Date]])+IF(MONTH(Inv_SY_D[[#This Row],[Date]])&gt;=4,1,0)</f>
        <v>2026</v>
      </c>
      <c r="B111" s="173">
        <v>4</v>
      </c>
      <c r="C111" s="173">
        <f>YEAR(Inv_SY_D[[#This Row],[Month Year]])</f>
        <v>2025</v>
      </c>
      <c r="D111" s="173" t="s">
        <v>4</v>
      </c>
      <c r="E111" s="173" t="s">
        <v>4</v>
      </c>
      <c r="F111" s="174" t="str">
        <f>TEXT(Inv_SY_D[[#This Row],[Date]],"mmm-yy")</f>
        <v>Jul-25</v>
      </c>
      <c r="G111" s="175">
        <f>DAY(EOMONTH(Inv_SY_D[[#This Row],[Month Year]],0))</f>
        <v>31</v>
      </c>
      <c r="H111" s="176">
        <f t="shared" si="2"/>
        <v>45854</v>
      </c>
      <c r="I111" s="178">
        <v>7.0991999999999997</v>
      </c>
      <c r="J111" s="177">
        <f>IFERROR(Inv_SY!J113/Inv_SY!$Y113-1,"")</f>
        <v>5.7227780445566978E-2</v>
      </c>
      <c r="K111" s="177">
        <f>IFERROR(Inv_SY!K113/Inv_SY!$Y113-1,"")</f>
        <v>-0.14894073774208383</v>
      </c>
      <c r="L111" s="177">
        <f>IFERROR(Inv_SY!L113/Inv_SY!$Y113-1,"")</f>
        <v>1.7652870029707612E-2</v>
      </c>
      <c r="M111" s="177">
        <f>IFERROR(Inv_SY!M113/Inv_SY!$Y113-1,"")</f>
        <v>1.5070093848967625E-2</v>
      </c>
      <c r="N111" s="177">
        <f>IFERROR(Inv_SY!N113/Inv_SY!$Y113-1,"")</f>
        <v>-0.11464155880479854</v>
      </c>
      <c r="O111" s="177">
        <f>IFERROR(Inv_SY!O113/Inv_SY!$Y113-1,"")</f>
        <v>3.9133756889836668E-2</v>
      </c>
      <c r="P111" s="177">
        <f>IFERROR(Inv_SY!P113/Inv_SY!$Y113-1,"")</f>
        <v>-8.5909632617468534E-2</v>
      </c>
      <c r="Q111" s="177">
        <f>IFERROR(Inv_SY!Q113/Inv_SY!$Y113-1,"")</f>
        <v>0.32463607230544911</v>
      </c>
      <c r="R111" s="177">
        <f>IFERROR(Inv_SY!R113/Inv_SY!$Y113-1,"")</f>
        <v>6.571657535540254E-2</v>
      </c>
      <c r="S111" s="177">
        <f>IFERROR(Inv_SY!S113/Inv_SY!$Y113-1,"")</f>
        <v>-0.11607391591897642</v>
      </c>
      <c r="T111" s="177">
        <f>IFERROR(Inv_SY!T113/Inv_SY!$Y113-1,"")</f>
        <v>0.31112352660697939</v>
      </c>
      <c r="U111" s="177">
        <f>IFERROR(Inv_SY!U113/Inv_SY!$Y113-1,"")</f>
        <v>-0.12290378641089372</v>
      </c>
      <c r="V111" s="177">
        <f>IFERROR(Inv_SY!J113/Inv_SY!$Z113-1,"")</f>
        <v>4.2257598857605272E-2</v>
      </c>
      <c r="W111" s="177">
        <f>IFERROR(Inv_SY!K113/Inv_SY!$Z113-1,"")</f>
        <v>-0.16099160505163213</v>
      </c>
      <c r="X111" s="177">
        <f>IFERROR(Inv_SY!L113/Inv_SY!$Z113-1,"")</f>
        <v>3.2430630423860851E-3</v>
      </c>
      <c r="Y111" s="177">
        <f>IFERROR(Inv_SY!M113/Inv_SY!$Z113-1,"")</f>
        <v>6.9685857224777159E-4</v>
      </c>
      <c r="Z111" s="177">
        <f>IFERROR(Inv_SY!N113/Inv_SY!$Z113-1,"")</f>
        <v>-0.12717809717455364</v>
      </c>
      <c r="AA111" s="177">
        <f>IFERROR(Inv_SY!O113/Inv_SY!$Z113-1,"")</f>
        <v>2.4419783872342116E-2</v>
      </c>
      <c r="AB111" s="177">
        <f>IFERROR(Inv_SY!P113/Inv_SY!$Z113-1,"")</f>
        <v>-9.8853010610956304E-2</v>
      </c>
      <c r="AC111" s="177">
        <f>IFERROR(Inv_SY!Q113/Inv_SY!$Z113-1,"")</f>
        <v>0.30587943073099133</v>
      </c>
      <c r="AD111" s="177">
        <f>IFERROR(Inv_SY!R113/Inv_SY!$Z113-1,"")</f>
        <v>5.0626193746580839E-2</v>
      </c>
      <c r="AE111" s="177">
        <f>IFERROR(Inv_SY!S113/Inv_SY!$Z113-1,"")</f>
        <v>-0.12859017233389203</v>
      </c>
      <c r="AF111" s="177">
        <f>IFERROR(Inv_SY!T113/Inv_SY!$Z113-1,"")</f>
        <v>0.29255822058628134</v>
      </c>
      <c r="AG111" s="177">
        <f>IFERROR(Inv_SY!U113/Inv_SY!$Z113-1,"")</f>
        <v>-0.13532333291771059</v>
      </c>
      <c r="AH111" s="177">
        <f>IFERROR(Inv_SY!V113/Inv_SY!$Y113-1,"")</f>
        <v>-2.1166994912557691E-2</v>
      </c>
      <c r="AI111" s="177">
        <f>IFERROR(Inv_SY!W113/Inv_SY!$Y113-1,"")</f>
        <v>1.4363226139459284E-2</v>
      </c>
      <c r="AJ111" s="177">
        <f>IFERROR(Inv_SY!X113/Inv_SY!$Y113-1,"")</f>
        <v>6.8037687730979624E-3</v>
      </c>
      <c r="AK111" s="177">
        <f>IFERROR(Inv_SY!V113/Inv_SY!$Z113-1,"")</f>
        <v>-3.502711862617558E-2</v>
      </c>
      <c r="AL111" s="177">
        <f>IFERROR(Inv_SY!W113/Inv_SY!$Z113-1,"")</f>
        <v>0</v>
      </c>
      <c r="AM111" s="177">
        <f>IFERROR(Inv_SY!X113/Inv_SY!$Z113-1,"")</f>
        <v>-7.4524166211462628E-3</v>
      </c>
    </row>
    <row r="112" spans="1:39" x14ac:dyDescent="0.25">
      <c r="A112" s="173">
        <f>YEAR(Inv_SY_D[[#This Row],[Date]])+IF(MONTH(Inv_SY_D[[#This Row],[Date]])&gt;=4,1,0)</f>
        <v>2026</v>
      </c>
      <c r="B112" s="173">
        <v>4</v>
      </c>
      <c r="C112" s="173">
        <f>YEAR(Inv_SY_D[[#This Row],[Month Year]])</f>
        <v>2025</v>
      </c>
      <c r="D112" s="173" t="s">
        <v>4</v>
      </c>
      <c r="E112" s="173" t="s">
        <v>4</v>
      </c>
      <c r="F112" s="174" t="str">
        <f>TEXT(Inv_SY_D[[#This Row],[Date]],"mmm-yy")</f>
        <v>Jul-25</v>
      </c>
      <c r="G112" s="175">
        <f>DAY(EOMONTH(Inv_SY_D[[#This Row],[Month Year]],0))</f>
        <v>31</v>
      </c>
      <c r="H112" s="176">
        <f t="shared" si="2"/>
        <v>45855</v>
      </c>
      <c r="I112" s="178">
        <v>7.0991999999999997</v>
      </c>
      <c r="J112" s="177">
        <f>IFERROR(Inv_SY!J114/Inv_SY!$Y114-1,"")</f>
        <v>2.3798715193735331E-2</v>
      </c>
      <c r="K112" s="177">
        <f>IFERROR(Inv_SY!K114/Inv_SY!$Y114-1,"")</f>
        <v>-0.15244043680484587</v>
      </c>
      <c r="L112" s="177">
        <f>IFERROR(Inv_SY!L114/Inv_SY!$Y114-1,"")</f>
        <v>5.6432900740137182E-2</v>
      </c>
      <c r="M112" s="177">
        <f>IFERROR(Inv_SY!M114/Inv_SY!$Y114-1,"")</f>
        <v>1.6103527724897093E-2</v>
      </c>
      <c r="N112" s="177">
        <f>IFERROR(Inv_SY!N114/Inv_SY!$Y114-1,"")</f>
        <v>-8.590376183273174E-2</v>
      </c>
      <c r="O112" s="177">
        <f>IFERROR(Inv_SY!O114/Inv_SY!$Y114-1,"")</f>
        <v>3.5026913261474002E-2</v>
      </c>
      <c r="P112" s="177">
        <f>IFERROR(Inv_SY!P114/Inv_SY!$Y114-1,"")</f>
        <v>-0.11778350246379587</v>
      </c>
      <c r="Q112" s="177">
        <f>IFERROR(Inv_SY!Q114/Inv_SY!$Y114-1,"")</f>
        <v>0.31880014384113275</v>
      </c>
      <c r="R112" s="177">
        <f>IFERROR(Inv_SY!R114/Inv_SY!$Y114-1,"")</f>
        <v>6.8339267613016119E-2</v>
      </c>
      <c r="S112" s="177">
        <f>IFERROR(Inv_SY!S114/Inv_SY!$Y114-1,"")</f>
        <v>-0.11411702851776973</v>
      </c>
      <c r="T112" s="177">
        <f>IFERROR(Inv_SY!T114/Inv_SY!$Y114-1,"")</f>
        <v>0.31460243870090854</v>
      </c>
      <c r="U112" s="177">
        <f>IFERROR(Inv_SY!U114/Inv_SY!$Y114-1,"")</f>
        <v>-0.12079373282190642</v>
      </c>
      <c r="V112" s="177">
        <f>IFERROR(Inv_SY!J114/Inv_SY!$Z114-1,"")</f>
        <v>1.2236754850088127E-2</v>
      </c>
      <c r="W112" s="177">
        <f>IFERROR(Inv_SY!K114/Inv_SY!$Z114-1,"")</f>
        <v>-0.16201209372637948</v>
      </c>
      <c r="X112" s="177">
        <f>IFERROR(Inv_SY!L114/Inv_SY!$Z114-1,"")</f>
        <v>4.4502396117682697E-2</v>
      </c>
      <c r="Y112" s="177">
        <f>IFERROR(Inv_SY!M114/Inv_SY!$Z114-1,"")</f>
        <v>4.6284706475181459E-3</v>
      </c>
      <c r="Z112" s="177">
        <f>IFERROR(Inv_SY!N114/Inv_SY!$Z114-1,"")</f>
        <v>-9.6226830517152862E-2</v>
      </c>
      <c r="AA112" s="177">
        <f>IFERROR(Inv_SY!O114/Inv_SY!$Z114-1,"")</f>
        <v>2.3338150667674418E-2</v>
      </c>
      <c r="AB112" s="177">
        <f>IFERROR(Inv_SY!P114/Inv_SY!$Z114-1,"")</f>
        <v>-0.127746546964291</v>
      </c>
      <c r="AC112" s="177">
        <f>IFERROR(Inv_SY!Q114/Inv_SY!$Z114-1,"")</f>
        <v>0.30390667431631302</v>
      </c>
      <c r="AD112" s="177">
        <f>IFERROR(Inv_SY!R114/Inv_SY!$Z114-1,"")</f>
        <v>5.6274302046649627E-2</v>
      </c>
      <c r="AE112" s="177">
        <f>IFERROR(Inv_SY!S114/Inv_SY!$Z114-1,"")</f>
        <v>-0.12412147922998973</v>
      </c>
      <c r="AF112" s="177">
        <f>IFERROR(Inv_SY!T114/Inv_SY!$Z114-1,"")</f>
        <v>0.29975637468622018</v>
      </c>
      <c r="AG112" s="177">
        <f>IFERROR(Inv_SY!U114/Inv_SY!$Z114-1,"")</f>
        <v>-0.13072278219864408</v>
      </c>
      <c r="AH112" s="177">
        <f>IFERROR(Inv_SY!V114/Inv_SY!$Y114-1,"")</f>
        <v>-2.0675754735597462E-2</v>
      </c>
      <c r="AI112" s="177">
        <f>IFERROR(Inv_SY!W114/Inv_SY!$Y114-1,"")</f>
        <v>1.1422189807126282E-2</v>
      </c>
      <c r="AJ112" s="177">
        <f>IFERROR(Inv_SY!X114/Inv_SY!$Y114-1,"")</f>
        <v>9.2535649284715138E-3</v>
      </c>
      <c r="AK112" s="177">
        <f>IFERROR(Inv_SY!V114/Inv_SY!$Z114-1,"")</f>
        <v>-3.1735456139087348E-2</v>
      </c>
      <c r="AL112" s="177">
        <f>IFERROR(Inv_SY!W114/Inv_SY!$Z114-1,"")</f>
        <v>0</v>
      </c>
      <c r="AM112" s="177">
        <f>IFERROR(Inv_SY!X114/Inv_SY!$Z114-1,"")</f>
        <v>-2.1441341711794237E-3</v>
      </c>
    </row>
    <row r="113" spans="1:39" x14ac:dyDescent="0.25">
      <c r="A113" s="173">
        <f>YEAR(Inv_SY_D[[#This Row],[Date]])+IF(MONTH(Inv_SY_D[[#This Row],[Date]])&gt;=4,1,0)</f>
        <v>2026</v>
      </c>
      <c r="B113" s="173">
        <v>4</v>
      </c>
      <c r="C113" s="173">
        <f>YEAR(Inv_SY_D[[#This Row],[Month Year]])</f>
        <v>2025</v>
      </c>
      <c r="D113" s="173" t="s">
        <v>4</v>
      </c>
      <c r="E113" s="173" t="s">
        <v>4</v>
      </c>
      <c r="F113" s="174" t="str">
        <f>TEXT(Inv_SY_D[[#This Row],[Date]],"mmm-yy")</f>
        <v>Jul-25</v>
      </c>
      <c r="G113" s="175">
        <f>DAY(EOMONTH(Inv_SY_D[[#This Row],[Month Year]],0))</f>
        <v>31</v>
      </c>
      <c r="H113" s="176">
        <f t="shared" si="2"/>
        <v>45856</v>
      </c>
      <c r="I113" s="178">
        <v>7.0991999999999997</v>
      </c>
      <c r="J113" s="177">
        <f>IFERROR(Inv_SY!J115/Inv_SY!$Y115-1,"")</f>
        <v>7.1772793487038244E-2</v>
      </c>
      <c r="K113" s="177">
        <f>IFERROR(Inv_SY!K115/Inv_SY!$Y115-1,"")</f>
        <v>-0.12361064544302913</v>
      </c>
      <c r="L113" s="177">
        <f>IFERROR(Inv_SY!L115/Inv_SY!$Y115-1,"")</f>
        <v>5.2931916706489446E-2</v>
      </c>
      <c r="M113" s="177">
        <f>IFERROR(Inv_SY!M115/Inv_SY!$Y115-1,"")</f>
        <v>8.109548703759617E-2</v>
      </c>
      <c r="N113" s="177">
        <f>IFERROR(Inv_SY!N115/Inv_SY!$Y115-1,"")</f>
        <v>-9.1832235368461301E-2</v>
      </c>
      <c r="O113" s="177">
        <f>IFERROR(Inv_SY!O115/Inv_SY!$Y115-1,"")</f>
        <v>9.7494441957854949E-2</v>
      </c>
      <c r="P113" s="177">
        <f>IFERROR(Inv_SY!P115/Inv_SY!$Y115-1,"")</f>
        <v>-7.9339540485257376E-2</v>
      </c>
      <c r="Q113" s="177">
        <f>IFERROR(Inv_SY!Q115/Inv_SY!$Y115-1,"")</f>
        <v>0.35905425442774486</v>
      </c>
      <c r="R113" s="177">
        <f>IFERROR(Inv_SY!R115/Inv_SY!$Y115-1,"")</f>
        <v>-2.8387314240186923E-3</v>
      </c>
      <c r="S113" s="177">
        <f>IFERROR(Inv_SY!S115/Inv_SY!$Y115-1,"")</f>
        <v>-0.17220915865350461</v>
      </c>
      <c r="T113" s="177">
        <f>IFERROR(Inv_SY!T115/Inv_SY!$Y115-1,"")</f>
        <v>0.22873963775895612</v>
      </c>
      <c r="U113" s="177">
        <f>IFERROR(Inv_SY!U115/Inv_SY!$Y115-1,"")</f>
        <v>-0.17806502551938819</v>
      </c>
      <c r="V113" s="177">
        <f>IFERROR(Inv_SY!J115/Inv_SY!$Z115-1,"")</f>
        <v>2.7226971264993072E-2</v>
      </c>
      <c r="W113" s="177">
        <f>IFERROR(Inv_SY!K115/Inv_SY!$Z115-1,"")</f>
        <v>-0.16003579508540045</v>
      </c>
      <c r="X113" s="177">
        <f>IFERROR(Inv_SY!L115/Inv_SY!$Z115-1,"")</f>
        <v>9.1691730927780934E-3</v>
      </c>
      <c r="Y113" s="177">
        <f>IFERROR(Inv_SY!M115/Inv_SY!$Z115-1,"")</f>
        <v>3.6162188055497646E-2</v>
      </c>
      <c r="Z113" s="177">
        <f>IFERROR(Inv_SY!N115/Inv_SY!$Z115-1,"")</f>
        <v>-0.12957818305150237</v>
      </c>
      <c r="AA113" s="177">
        <f>IFERROR(Inv_SY!O115/Inv_SY!$Z115-1,"")</f>
        <v>5.1879557349638228E-2</v>
      </c>
      <c r="AB113" s="177">
        <f>IFERROR(Inv_SY!P115/Inv_SY!$Z115-1,"")</f>
        <v>-0.1176047188939926</v>
      </c>
      <c r="AC113" s="177">
        <f>IFERROR(Inv_SY!Q115/Inv_SY!$Z115-1,"")</f>
        <v>0.30256822532181515</v>
      </c>
      <c r="AD113" s="177">
        <f>IFERROR(Inv_SY!R115/Inv_SY!$Z115-1,"")</f>
        <v>-4.428349365965556E-2</v>
      </c>
      <c r="AE113" s="177">
        <f>IFERROR(Inv_SY!S115/Inv_SY!$Z115-1,"")</f>
        <v>-0.20661442055205081</v>
      </c>
      <c r="AF113" s="177">
        <f>IFERROR(Inv_SY!T115/Inv_SY!$Z115-1,"")</f>
        <v>0.17766984218903126</v>
      </c>
      <c r="AG113" s="177">
        <f>IFERROR(Inv_SY!U115/Inv_SY!$Z115-1,"")</f>
        <v>-0.21222690150074308</v>
      </c>
      <c r="AH113" s="177">
        <f>IFERROR(Inv_SY!V115/Inv_SY!$Y115-1,"")</f>
        <v>1.3653030433912416E-2</v>
      </c>
      <c r="AI113" s="177">
        <f>IFERROR(Inv_SY!W115/Inv_SY!$Y115-1,"")</f>
        <v>4.3365121310228627E-2</v>
      </c>
      <c r="AJ113" s="177">
        <f>IFERROR(Inv_SY!X115/Inv_SY!$Y115-1,"")</f>
        <v>-5.7018151744140599E-2</v>
      </c>
      <c r="AK113" s="177">
        <f>IFERROR(Inv_SY!V115/Inv_SY!$Z115-1,"")</f>
        <v>-2.8477174739179101E-2</v>
      </c>
      <c r="AL113" s="177">
        <f>IFERROR(Inv_SY!W115/Inv_SY!$Z115-1,"")</f>
        <v>0</v>
      </c>
      <c r="AM113" s="177">
        <f>IFERROR(Inv_SY!X115/Inv_SY!$Z115-1,"")</f>
        <v>-9.6211068401740873E-2</v>
      </c>
    </row>
    <row r="114" spans="1:39" x14ac:dyDescent="0.25">
      <c r="A114" s="173">
        <f>YEAR(Inv_SY_D[[#This Row],[Date]])+IF(MONTH(Inv_SY_D[[#This Row],[Date]])&gt;=4,1,0)</f>
        <v>2026</v>
      </c>
      <c r="B114" s="173">
        <v>4</v>
      </c>
      <c r="C114" s="173">
        <f>YEAR(Inv_SY_D[[#This Row],[Month Year]])</f>
        <v>2025</v>
      </c>
      <c r="D114" s="173" t="s">
        <v>4</v>
      </c>
      <c r="E114" s="173" t="s">
        <v>4</v>
      </c>
      <c r="F114" s="174" t="str">
        <f>TEXT(Inv_SY_D[[#This Row],[Date]],"mmm-yy")</f>
        <v>Jul-25</v>
      </c>
      <c r="G114" s="175">
        <f>DAY(EOMONTH(Inv_SY_D[[#This Row],[Month Year]],0))</f>
        <v>31</v>
      </c>
      <c r="H114" s="176">
        <f t="shared" si="2"/>
        <v>45857</v>
      </c>
      <c r="I114" s="178">
        <v>7.0991999999999997</v>
      </c>
      <c r="J114" s="177">
        <f>IFERROR(Inv_SY!J116/Inv_SY!$Y116-1,"")</f>
        <v>3.3732946463036262E-2</v>
      </c>
      <c r="K114" s="177">
        <f>IFERROR(Inv_SY!K116/Inv_SY!$Y116-1,"")</f>
        <v>-0.11509329049721118</v>
      </c>
      <c r="L114" s="177">
        <f>IFERROR(Inv_SY!L116/Inv_SY!$Y116-1,"")</f>
        <v>7.109349455432401E-3</v>
      </c>
      <c r="M114" s="177">
        <f>IFERROR(Inv_SY!M116/Inv_SY!$Y116-1,"")</f>
        <v>2.5888203483484196E-2</v>
      </c>
      <c r="N114" s="177">
        <f>IFERROR(Inv_SY!N116/Inv_SY!$Y116-1,"")</f>
        <v>-0.10659886321360035</v>
      </c>
      <c r="O114" s="177">
        <f>IFERROR(Inv_SY!O116/Inv_SY!$Y116-1,"")</f>
        <v>4.9314970189543894E-2</v>
      </c>
      <c r="P114" s="177">
        <f>IFERROR(Inv_SY!P116/Inv_SY!$Y116-1,"")</f>
        <v>-0.10552733750497156</v>
      </c>
      <c r="Q114" s="177">
        <f>IFERROR(Inv_SY!Q116/Inv_SY!$Y116-1,"")</f>
        <v>0.38066958549839813</v>
      </c>
      <c r="R114" s="177">
        <f>IFERROR(Inv_SY!R116/Inv_SY!$Y116-1,"")</f>
        <v>5.1001367058314928E-2</v>
      </c>
      <c r="S114" s="177">
        <f>IFERROR(Inv_SY!S116/Inv_SY!$Y116-1,"")</f>
        <v>-0.12870707865151487</v>
      </c>
      <c r="T114" s="177">
        <f>IFERROR(Inv_SY!T116/Inv_SY!$Y116-1,"")</f>
        <v>0.2930447443308728</v>
      </c>
      <c r="U114" s="177">
        <f>IFERROR(Inv_SY!U116/Inv_SY!$Y116-1,"")</f>
        <v>-0.13505872339529557</v>
      </c>
      <c r="V114" s="177">
        <f>IFERROR(Inv_SY!J116/Inv_SY!$Z116-1,"")</f>
        <v>9.2663659401619469E-3</v>
      </c>
      <c r="W114" s="177">
        <f>IFERROR(Inv_SY!K116/Inv_SY!$Z116-1,"")</f>
        <v>-0.13603742441241662</v>
      </c>
      <c r="X114" s="177">
        <f>IFERROR(Inv_SY!L116/Inv_SY!$Z116-1,"")</f>
        <v>-1.6727098902046711E-2</v>
      </c>
      <c r="Y114" s="177">
        <f>IFERROR(Inv_SY!M116/Inv_SY!$Z116-1,"")</f>
        <v>1.6072937728317527E-3</v>
      </c>
      <c r="Z114" s="177">
        <f>IFERROR(Inv_SY!N116/Inv_SY!$Z116-1,"")</f>
        <v>-0.12774404478801138</v>
      </c>
      <c r="AA114" s="177">
        <f>IFERROR(Inv_SY!O116/Inv_SY!$Z116-1,"")</f>
        <v>2.4479591478009377E-2</v>
      </c>
      <c r="AB114" s="177">
        <f>IFERROR(Inv_SY!P116/Inv_SY!$Z116-1,"")</f>
        <v>-0.12669788014591554</v>
      </c>
      <c r="AC114" s="177">
        <f>IFERROR(Inv_SY!Q116/Inv_SY!$Z116-1,"")</f>
        <v>0.34799164512253911</v>
      </c>
      <c r="AD114" s="177">
        <f>IFERROR(Inv_SY!R116/Inv_SY!$Z116-1,"")</f>
        <v>2.6126074397124111E-2</v>
      </c>
      <c r="AE114" s="177">
        <f>IFERROR(Inv_SY!S116/Inv_SY!$Z116-1,"")</f>
        <v>-0.14932899893771845</v>
      </c>
      <c r="AF114" s="177">
        <f>IFERROR(Inv_SY!T116/Inv_SY!$Z116-1,"")</f>
        <v>0.26244072472881208</v>
      </c>
      <c r="AG114" s="177">
        <f>IFERROR(Inv_SY!U116/Inv_SY!$Z116-1,"")</f>
        <v>-0.1555303117915191</v>
      </c>
      <c r="AH114" s="177">
        <f>IFERROR(Inv_SY!V116/Inv_SY!$Y116-1,"")</f>
        <v>-1.7013816827372463E-2</v>
      </c>
      <c r="AI114" s="177">
        <f>IFERROR(Inv_SY!W116/Inv_SY!$Y116-1,"")</f>
        <v>2.4241945782155216E-2</v>
      </c>
      <c r="AJ114" s="177">
        <f>IFERROR(Inv_SY!X116/Inv_SY!$Y116-1,"")</f>
        <v>-7.2281289547830863E-3</v>
      </c>
      <c r="AK114" s="177">
        <f>IFERROR(Inv_SY!V116/Inv_SY!$Z116-1,"")</f>
        <v>-4.0279313671364059E-2</v>
      </c>
      <c r="AL114" s="177">
        <f>IFERROR(Inv_SY!W116/Inv_SY!$Z116-1,"")</f>
        <v>0</v>
      </c>
      <c r="AM114" s="177">
        <f>IFERROR(Inv_SY!X116/Inv_SY!$Z116-1,"")</f>
        <v>-3.0725235249867033E-2</v>
      </c>
    </row>
    <row r="115" spans="1:39" x14ac:dyDescent="0.25">
      <c r="A115" s="173">
        <f>YEAR(Inv_SY_D[[#This Row],[Date]])+IF(MONTH(Inv_SY_D[[#This Row],[Date]])&gt;=4,1,0)</f>
        <v>2026</v>
      </c>
      <c r="B115" s="173">
        <v>4</v>
      </c>
      <c r="C115" s="173">
        <f>YEAR(Inv_SY_D[[#This Row],[Month Year]])</f>
        <v>2025</v>
      </c>
      <c r="D115" s="173" t="s">
        <v>4</v>
      </c>
      <c r="E115" s="173" t="s">
        <v>4</v>
      </c>
      <c r="F115" s="174" t="str">
        <f>TEXT(Inv_SY_D[[#This Row],[Date]],"mmm-yy")</f>
        <v>Jul-25</v>
      </c>
      <c r="G115" s="175">
        <f>DAY(EOMONTH(Inv_SY_D[[#This Row],[Month Year]],0))</f>
        <v>31</v>
      </c>
      <c r="H115" s="176">
        <f t="shared" si="2"/>
        <v>45858</v>
      </c>
      <c r="I115" s="178">
        <v>7.0991999999999997</v>
      </c>
      <c r="J115" s="177">
        <f>IFERROR(Inv_SY!J117/Inv_SY!$Y117-1,"")</f>
        <v>3.9075477327964236E-2</v>
      </c>
      <c r="K115" s="177">
        <f>IFERROR(Inv_SY!K117/Inv_SY!$Y117-1,"")</f>
        <v>-0.13931764967646632</v>
      </c>
      <c r="L115" s="177">
        <f>IFERROR(Inv_SY!L117/Inv_SY!$Y117-1,"")</f>
        <v>6.5414501878008791E-2</v>
      </c>
      <c r="M115" s="177">
        <f>IFERROR(Inv_SY!M117/Inv_SY!$Y117-1,"")</f>
        <v>3.1642757053705894E-2</v>
      </c>
      <c r="N115" s="177">
        <f>IFERROR(Inv_SY!N117/Inv_SY!$Y117-1,"")</f>
        <v>-8.5999617050323107E-2</v>
      </c>
      <c r="O115" s="177">
        <f>IFERROR(Inv_SY!O117/Inv_SY!$Y117-1,"")</f>
        <v>4.0157455595736025E-2</v>
      </c>
      <c r="P115" s="177">
        <f>IFERROR(Inv_SY!P117/Inv_SY!$Y117-1,"")</f>
        <v>-0.11382212140485093</v>
      </c>
      <c r="Q115" s="177">
        <f>IFERROR(Inv_SY!Q117/Inv_SY!$Y117-1,"")</f>
        <v>0.32556223851053789</v>
      </c>
      <c r="R115" s="177">
        <f>IFERROR(Inv_SY!R117/Inv_SY!$Y117-1,"")</f>
        <v>5.0629184031298013E-2</v>
      </c>
      <c r="S115" s="177">
        <f>IFERROR(Inv_SY!S117/Inv_SY!$Y117-1,"")</f>
        <v>-0.12874913584947789</v>
      </c>
      <c r="T115" s="177">
        <f>IFERROR(Inv_SY!T117/Inv_SY!$Y117-1,"")</f>
        <v>0.29254254902529842</v>
      </c>
      <c r="U115" s="177">
        <f>IFERROR(Inv_SY!U117/Inv_SY!$Y117-1,"")</f>
        <v>-0.13558034708526312</v>
      </c>
      <c r="V115" s="177">
        <f>IFERROR(Inv_SY!J117/Inv_SY!$Z117-1,"")</f>
        <v>2.3675499679927325E-2</v>
      </c>
      <c r="W115" s="177">
        <f>IFERROR(Inv_SY!K117/Inv_SY!$Z117-1,"")</f>
        <v>-0.1520736902589338</v>
      </c>
      <c r="X115" s="177">
        <f>IFERROR(Inv_SY!L117/Inv_SY!$Z117-1,"")</f>
        <v>4.9624157602915275E-2</v>
      </c>
      <c r="Y115" s="177">
        <f>IFERROR(Inv_SY!M117/Inv_SY!$Z117-1,"")</f>
        <v>1.6352938608330536E-2</v>
      </c>
      <c r="Z115" s="177">
        <f>IFERROR(Inv_SY!N117/Inv_SY!$Z117-1,"")</f>
        <v>-9.9545875984196175E-2</v>
      </c>
      <c r="AA115" s="177">
        <f>IFERROR(Inv_SY!O117/Inv_SY!$Z117-1,"")</f>
        <v>2.4741442114400103E-2</v>
      </c>
      <c r="AB115" s="177">
        <f>IFERROR(Inv_SY!P117/Inv_SY!$Z117-1,"")</f>
        <v>-0.12695602728591782</v>
      </c>
      <c r="AC115" s="177">
        <f>IFERROR(Inv_SY!Q117/Inv_SY!$Z117-1,"")</f>
        <v>0.30591628468951337</v>
      </c>
      <c r="AD115" s="177">
        <f>IFERROR(Inv_SY!R117/Inv_SY!$Z117-1,"")</f>
        <v>3.5057970675301808E-2</v>
      </c>
      <c r="AE115" s="177">
        <f>IFERROR(Inv_SY!S117/Inv_SY!$Z117-1,"")</f>
        <v>-0.14166181074798867</v>
      </c>
      <c r="AF115" s="177">
        <f>IFERROR(Inv_SY!T117/Inv_SY!$Z117-1,"")</f>
        <v>0.27338597493761663</v>
      </c>
      <c r="AG115" s="177">
        <f>IFERROR(Inv_SY!U117/Inv_SY!$Z117-1,"")</f>
        <v>-0.1483917776539484</v>
      </c>
      <c r="AH115" s="177">
        <f>IFERROR(Inv_SY!V117/Inv_SY!$Y117-1,"")</f>
        <v>-7.4475598772947293E-3</v>
      </c>
      <c r="AI115" s="177">
        <f>IFERROR(Inv_SY!W117/Inv_SY!$Y117-1,"")</f>
        <v>1.5043807977090484E-2</v>
      </c>
      <c r="AJ115" s="177">
        <f>IFERROR(Inv_SY!X117/Inv_SY!$Y117-1,"")</f>
        <v>-7.5962480997960879E-3</v>
      </c>
      <c r="AK115" s="177">
        <f>IFERROR(Inv_SY!V117/Inv_SY!$Z117-1,"")</f>
        <v>-2.2158026754735771E-2</v>
      </c>
      <c r="AL115" s="177">
        <f>IFERROR(Inv_SY!W117/Inv_SY!$Z117-1,"")</f>
        <v>0</v>
      </c>
      <c r="AM115" s="177">
        <f>IFERROR(Inv_SY!X117/Inv_SY!$Z117-1,"")</f>
        <v>-2.2304511291987072E-2</v>
      </c>
    </row>
    <row r="116" spans="1:39" x14ac:dyDescent="0.25">
      <c r="A116" s="191">
        <f>YEAR(Inv_SY_D[[#This Row],[Date]])+IF(MONTH(Inv_SY_D[[#This Row],[Date]])&gt;=4,1,0)</f>
        <v>2026</v>
      </c>
      <c r="B116" s="191">
        <v>4</v>
      </c>
      <c r="C116" s="191">
        <f>YEAR(Inv_SY_D[[#This Row],[Month Year]])</f>
        <v>2025</v>
      </c>
      <c r="D116" s="191" t="s">
        <v>4</v>
      </c>
      <c r="E116" s="191" t="s">
        <v>4</v>
      </c>
      <c r="F116" s="192" t="str">
        <f>TEXT(Inv_SY_D[[#This Row],[Date]],"mmm-yy")</f>
        <v>Jul-25</v>
      </c>
      <c r="G116" s="193">
        <f>DAY(EOMONTH(Inv_SY_D[[#This Row],[Month Year]],0))</f>
        <v>31</v>
      </c>
      <c r="H116" s="194">
        <f t="shared" si="2"/>
        <v>45859</v>
      </c>
      <c r="I116" s="195">
        <v>7.0991999999999997</v>
      </c>
      <c r="J116" s="196">
        <f>IFERROR(Inv_SY!J118/Inv_SY!$Y118-1,"")</f>
        <v>3.1167299308979102E-2</v>
      </c>
      <c r="K116" s="196">
        <f>IFERROR(Inv_SY!K118/Inv_SY!$Y118-1,"")</f>
        <v>-0.14568988283994444</v>
      </c>
      <c r="L116" s="196">
        <f>IFERROR(Inv_SY!L118/Inv_SY!$Y118-1,"")</f>
        <v>2.3334018680888136E-2</v>
      </c>
      <c r="M116" s="196">
        <f>IFERROR(Inv_SY!M118/Inv_SY!$Y118-1,"")</f>
        <v>7.8099097345416757E-2</v>
      </c>
      <c r="N116" s="196">
        <f>IFERROR(Inv_SY!N118/Inv_SY!$Y118-1,"")</f>
        <v>-0.12350105616163476</v>
      </c>
      <c r="O116" s="196">
        <f>IFERROR(Inv_SY!O118/Inv_SY!$Y118-1,"")</f>
        <v>8.3488684474762653E-2</v>
      </c>
      <c r="P116" s="196">
        <f>IFERROR(Inv_SY!P118/Inv_SY!$Y118-1,"")</f>
        <v>-0.1235174369029326</v>
      </c>
      <c r="Q116" s="196">
        <f>IFERROR(Inv_SY!Q118/Inv_SY!$Y118-1,"")</f>
        <v>0.31222620597659745</v>
      </c>
      <c r="R116" s="196">
        <f>IFERROR(Inv_SY!R118/Inv_SY!$Y118-1,"")</f>
        <v>6.0009252586661121E-2</v>
      </c>
      <c r="S116" s="196">
        <f>IFERROR(Inv_SY!S118/Inv_SY!$Y118-1,"")</f>
        <v>-0.12217164053290663</v>
      </c>
      <c r="T116" s="196">
        <f>IFERROR(Inv_SY!T118/Inv_SY!$Y118-1,"")</f>
        <v>0.30292579393199381</v>
      </c>
      <c r="U116" s="196">
        <f>IFERROR(Inv_SY!U118/Inv_SY!$Y118-1,"")</f>
        <v>-0.12844675392844773</v>
      </c>
      <c r="V116" s="196">
        <f>IFERROR(Inv_SY!J118/Inv_SY!$Z118-1,"")</f>
        <v>2.143835007556194E-2</v>
      </c>
      <c r="W116" s="196">
        <f>IFERROR(Inv_SY!K118/Inv_SY!$Z118-1,"")</f>
        <v>-0.15375020415251395</v>
      </c>
      <c r="X116" s="196">
        <f>IFERROR(Inv_SY!L118/Inv_SY!$Z118-1,"")</f>
        <v>1.3678975582404718E-2</v>
      </c>
      <c r="Y116" s="196">
        <f>IFERROR(Inv_SY!M118/Inv_SY!$Z118-1,"")</f>
        <v>6.7927351796760238E-2</v>
      </c>
      <c r="Z116" s="196">
        <f>IFERROR(Inv_SY!N118/Inv_SY!$Z118-1,"")</f>
        <v>-0.13177072659577449</v>
      </c>
      <c r="AA116" s="196">
        <f>IFERROR(Inv_SY!O118/Inv_SY!$Z118-1,"")</f>
        <v>7.3266088768613846E-2</v>
      </c>
      <c r="AB116" s="196">
        <f>IFERROR(Inv_SY!P118/Inv_SY!$Z118-1,"")</f>
        <v>-0.13178695278659291</v>
      </c>
      <c r="AC116" s="196">
        <f>IFERROR(Inv_SY!Q118/Inv_SY!$Z118-1,"")</f>
        <v>0.29984549709525377</v>
      </c>
      <c r="AD116" s="196">
        <f>IFERROR(Inv_SY!R118/Inv_SY!$Z118-1,"")</f>
        <v>5.0008182719260219E-2</v>
      </c>
      <c r="AE116" s="196">
        <f>IFERROR(Inv_SY!S118/Inv_SY!$Z118-1,"")</f>
        <v>-0.1304538538562271</v>
      </c>
      <c r="AF116" s="196">
        <f>IFERROR(Inv_SY!T118/Inv_SY!$Z118-1,"")</f>
        <v>0.29063283340796553</v>
      </c>
      <c r="AG116" s="196">
        <f>IFERROR(Inv_SY!U118/Inv_SY!$Z118-1,"")</f>
        <v>-0.13666976225205574</v>
      </c>
      <c r="AH116" s="196">
        <f>IFERROR(Inv_SY!V118/Inv_SY!$Y118-1,"")</f>
        <v>-1.0079409153983088E-2</v>
      </c>
      <c r="AI116" s="196">
        <f>IFERROR(Inv_SY!W118/Inv_SY!$Y118-1,"")</f>
        <v>9.5247542181056133E-3</v>
      </c>
      <c r="AJ116" s="196">
        <f>IFERROR(Inv_SY!X118/Inv_SY!$Y118-1,"")</f>
        <v>5.5465493587791848E-4</v>
      </c>
      <c r="AK116" s="196">
        <f>IFERROR(Inv_SY!V118/Inv_SY!$Z118-1,"")</f>
        <v>-1.9419200262476566E-2</v>
      </c>
      <c r="AL116" s="196">
        <f>IFERROR(Inv_SY!W118/Inv_SY!$Z118-1,"")</f>
        <v>0</v>
      </c>
      <c r="AM116" s="196">
        <f>IFERROR(Inv_SY!X118/Inv_SY!$Z118-1,"")</f>
        <v>-8.8854673892324598E-3</v>
      </c>
    </row>
    <row r="117" spans="1:39" x14ac:dyDescent="0.25">
      <c r="A117" s="191">
        <f>YEAR(Inv_SY_D[[#This Row],[Date]])+IF(MONTH(Inv_SY_D[[#This Row],[Date]])&gt;=4,1,0)</f>
        <v>2026</v>
      </c>
      <c r="B117" s="191">
        <v>4</v>
      </c>
      <c r="C117" s="191">
        <f>YEAR(Inv_SY_D[[#This Row],[Month Year]])</f>
        <v>2025</v>
      </c>
      <c r="D117" s="191" t="s">
        <v>4</v>
      </c>
      <c r="E117" s="191" t="s">
        <v>4</v>
      </c>
      <c r="F117" s="192" t="str">
        <f>TEXT(Inv_SY_D[[#This Row],[Date]],"mmm-yy")</f>
        <v>Jul-25</v>
      </c>
      <c r="G117" s="193">
        <f>DAY(EOMONTH(Inv_SY_D[[#This Row],[Month Year]],0))</f>
        <v>31</v>
      </c>
      <c r="H117" s="194">
        <f t="shared" si="2"/>
        <v>45860</v>
      </c>
      <c r="I117" s="195">
        <v>7.0991999999999997</v>
      </c>
      <c r="J117" s="196">
        <f>IFERROR(Inv_SY!J119/Inv_SY!$Y119-1,"")</f>
        <v>6.2858879551363378E-2</v>
      </c>
      <c r="K117" s="196">
        <f>IFERROR(Inv_SY!K119/Inv_SY!$Y119-1,"")</f>
        <v>-0.15498196202442716</v>
      </c>
      <c r="L117" s="196">
        <f>IFERROR(Inv_SY!L119/Inv_SY!$Y119-1,"")</f>
        <v>1.3467219459336599E-2</v>
      </c>
      <c r="M117" s="196">
        <f>IFERROR(Inv_SY!M119/Inv_SY!$Y119-1,"")</f>
        <v>1.2895009280260661E-2</v>
      </c>
      <c r="N117" s="196">
        <f>IFERROR(Inv_SY!N119/Inv_SY!$Y119-1,"")</f>
        <v>-0.12189920120081343</v>
      </c>
      <c r="O117" s="196">
        <f>IFERROR(Inv_SY!O119/Inv_SY!$Y119-1,"")</f>
        <v>3.0921189927089809E-2</v>
      </c>
      <c r="P117" s="196">
        <f>IFERROR(Inv_SY!P119/Inv_SY!$Y119-1,"")</f>
        <v>-8.3589608013065586E-2</v>
      </c>
      <c r="Q117" s="196">
        <f>IFERROR(Inv_SY!Q119/Inv_SY!$Y119-1,"")</f>
        <v>0.31390637659591891</v>
      </c>
      <c r="R117" s="196">
        <f>IFERROR(Inv_SY!R119/Inv_SY!$Y119-1,"")</f>
        <v>7.404837980922796E-2</v>
      </c>
      <c r="S117" s="196">
        <f>IFERROR(Inv_SY!S119/Inv_SY!$Y119-1,"")</f>
        <v>-0.10981923684542982</v>
      </c>
      <c r="T117" s="196">
        <f>IFERROR(Inv_SY!T119/Inv_SY!$Y119-1,"")</f>
        <v>0.32032768535005363</v>
      </c>
      <c r="U117" s="196">
        <f>IFERROR(Inv_SY!U119/Inv_SY!$Y119-1,"")</f>
        <v>-0.11655980122340126</v>
      </c>
      <c r="V117" s="196">
        <f>IFERROR(Inv_SY!J119/Inv_SY!$Z119-1,"")</f>
        <v>4.8039473196557214E-2</v>
      </c>
      <c r="W117" s="196">
        <f>IFERROR(Inv_SY!K119/Inv_SY!$Z119-1,"")</f>
        <v>-0.16676402069922214</v>
      </c>
      <c r="X117" s="196">
        <f>IFERROR(Inv_SY!L119/Inv_SY!$Z119-1,"")</f>
        <v>-6.6352060540564306E-4</v>
      </c>
      <c r="Y117" s="196">
        <f>IFERROR(Inv_SY!M119/Inv_SY!$Z119-1,"")</f>
        <v>-1.2277524767990711E-3</v>
      </c>
      <c r="Z117" s="196">
        <f>IFERROR(Inv_SY!N119/Inv_SY!$Z119-1,"")</f>
        <v>-0.13414253172026847</v>
      </c>
      <c r="AA117" s="196">
        <f>IFERROR(Inv_SY!O119/Inv_SY!$Z119-1,"")</f>
        <v>1.6547089726921538E-2</v>
      </c>
      <c r="AB117" s="196">
        <f>IFERROR(Inv_SY!P119/Inv_SY!$Z119-1,"")</f>
        <v>-9.6367087928700301E-2</v>
      </c>
      <c r="AC117" s="196">
        <f>IFERROR(Inv_SY!Q119/Inv_SY!$Z119-1,"")</f>
        <v>0.29558662325748419</v>
      </c>
      <c r="AD117" s="196">
        <f>IFERROR(Inv_SY!R119/Inv_SY!$Z119-1,"")</f>
        <v>5.907295862082651E-2</v>
      </c>
      <c r="AE117" s="196">
        <f>IFERROR(Inv_SY!S119/Inv_SY!$Z119-1,"")</f>
        <v>-0.12223099791006653</v>
      </c>
      <c r="AF117" s="196">
        <f>IFERROR(Inv_SY!T119/Inv_SY!$Z119-1,"")</f>
        <v>0.30191839991513092</v>
      </c>
      <c r="AG117" s="196">
        <f>IFERROR(Inv_SY!U119/Inv_SY!$Z119-1,"")</f>
        <v>-0.12887757882090067</v>
      </c>
      <c r="AH117" s="196">
        <f>IFERROR(Inv_SY!V119/Inv_SY!$Y119-1,"")</f>
        <v>-2.306505276326809E-2</v>
      </c>
      <c r="AI117" s="196">
        <f>IFERROR(Inv_SY!W119/Inv_SY!$Y119-1,"")</f>
        <v>8.9249304359992898E-3</v>
      </c>
      <c r="AJ117" s="196">
        <f>IFERROR(Inv_SY!X119/Inv_SY!$Y119-1,"")</f>
        <v>1.4140122327269244E-2</v>
      </c>
      <c r="AK117" s="196">
        <f>IFERROR(Inv_SY!V119/Inv_SY!$Z119-1,"")</f>
        <v>-3.6686424559515651E-2</v>
      </c>
      <c r="AL117" s="196">
        <f>IFERROR(Inv_SY!W119/Inv_SY!$Z119-1,"")</f>
        <v>-5.1424766424802426E-3</v>
      </c>
      <c r="AM117" s="196">
        <f>IFERROR(Inv_SY!X119/Inv_SY!$Z119-1,"")</f>
        <v>0</v>
      </c>
    </row>
    <row r="118" spans="1:39" x14ac:dyDescent="0.25">
      <c r="A118" s="191">
        <f>YEAR(Inv_SY_D[[#This Row],[Date]])+IF(MONTH(Inv_SY_D[[#This Row],[Date]])&gt;=4,1,0)</f>
        <v>2026</v>
      </c>
      <c r="B118" s="191">
        <v>4</v>
      </c>
      <c r="C118" s="191">
        <f>YEAR(Inv_SY_D[[#This Row],[Month Year]])</f>
        <v>2025</v>
      </c>
      <c r="D118" s="191" t="s">
        <v>4</v>
      </c>
      <c r="E118" s="191" t="s">
        <v>4</v>
      </c>
      <c r="F118" s="192" t="str">
        <f>TEXT(Inv_SY_D[[#This Row],[Date]],"mmm-yy")</f>
        <v>Jul-25</v>
      </c>
      <c r="G118" s="193">
        <f>DAY(EOMONTH(Inv_SY_D[[#This Row],[Month Year]],0))</f>
        <v>31</v>
      </c>
      <c r="H118" s="194">
        <f t="shared" si="2"/>
        <v>45861</v>
      </c>
      <c r="I118" s="195">
        <v>7.0991999999999997</v>
      </c>
      <c r="J118" s="196">
        <f>IFERROR(Inv_SY!J120/Inv_SY!$Y120-1,"")</f>
        <v>-1.0885870699263833E-2</v>
      </c>
      <c r="K118" s="196">
        <f>IFERROR(Inv_SY!K120/Inv_SY!$Y120-1,"")</f>
        <v>-6.3227716315079285E-2</v>
      </c>
      <c r="L118" s="196">
        <f>IFERROR(Inv_SY!L120/Inv_SY!$Y120-1,"")</f>
        <v>-2.3137323955838784E-2</v>
      </c>
      <c r="M118" s="196">
        <f>IFERROR(Inv_SY!M120/Inv_SY!$Y120-1,"")</f>
        <v>-1.8110625809426795E-2</v>
      </c>
      <c r="N118" s="196">
        <f>IFERROR(Inv_SY!N120/Inv_SY!$Y120-1,"")</f>
        <v>-0.1377815568503955</v>
      </c>
      <c r="O118" s="196">
        <f>IFERROR(Inv_SY!O120/Inv_SY!$Y120-1,"")</f>
        <v>1.1691489019995061E-2</v>
      </c>
      <c r="P118" s="196">
        <f>IFERROR(Inv_SY!P120/Inv_SY!$Y120-1,"")</f>
        <v>-0.13991984795741996</v>
      </c>
      <c r="Q118" s="196">
        <f>IFERROR(Inv_SY!Q120/Inv_SY!$Y120-1,"")</f>
        <v>0.47449880154467783</v>
      </c>
      <c r="R118" s="196">
        <f>IFERROR(Inv_SY!R120/Inv_SY!$Y120-1,"")</f>
        <v>7.8557134775041115E-2</v>
      </c>
      <c r="S118" s="196">
        <f>IFERROR(Inv_SY!S120/Inv_SY!$Y120-1,"")</f>
        <v>-0.1103544520358134</v>
      </c>
      <c r="T118" s="196">
        <f>IFERROR(Inv_SY!T120/Inv_SY!$Y120-1,"")</f>
        <v>0.32286951986452528</v>
      </c>
      <c r="U118" s="196">
        <f>IFERROR(Inv_SY!U120/Inv_SY!$Y120-1,"")</f>
        <v>-0.11478933549002157</v>
      </c>
      <c r="V118" s="196">
        <f>IFERROR(Inv_SY!J120/Inv_SY!$Z120-1,"")</f>
        <v>-2.6507307681432501E-2</v>
      </c>
      <c r="W118" s="196">
        <f>IFERROR(Inv_SY!K120/Inv_SY!$Z120-1,"")</f>
        <v>-7.8022499609269658E-2</v>
      </c>
      <c r="X118" s="196">
        <f>IFERROR(Inv_SY!L120/Inv_SY!$Z120-1,"")</f>
        <v>-3.8565269308155847E-2</v>
      </c>
      <c r="Y118" s="196">
        <f>IFERROR(Inv_SY!M120/Inv_SY!$Z120-1,"")</f>
        <v>-3.361795962258618E-2</v>
      </c>
      <c r="Z118" s="196">
        <f>IFERROR(Inv_SY!N120/Inv_SY!$Z120-1,"")</f>
        <v>-0.15139888439180593</v>
      </c>
      <c r="AA118" s="196">
        <f>IFERROR(Inv_SY!O120/Inv_SY!$Z120-1,"")</f>
        <v>-4.2865203653272843E-3</v>
      </c>
      <c r="AB118" s="196">
        <f>IFERROR(Inv_SY!P120/Inv_SY!$Z120-1,"")</f>
        <v>-0.15350340469444246</v>
      </c>
      <c r="AC118" s="196">
        <f>IFERROR(Inv_SY!Q120/Inv_SY!$Z120-1,"")</f>
        <v>0.4512115089802724</v>
      </c>
      <c r="AD118" s="196">
        <f>IFERROR(Inv_SY!R120/Inv_SY!$Z120-1,"")</f>
        <v>6.1523092076178898E-2</v>
      </c>
      <c r="AE118" s="196">
        <f>IFERROR(Inv_SY!S120/Inv_SY!$Z120-1,"")</f>
        <v>-0.12440494575772032</v>
      </c>
      <c r="AF118" s="196">
        <f>IFERROR(Inv_SY!T120/Inv_SY!$Z120-1,"")</f>
        <v>0.30197696335559665</v>
      </c>
      <c r="AG118" s="196">
        <f>IFERROR(Inv_SY!U120/Inv_SY!$Z120-1,"")</f>
        <v>-0.12876978749444523</v>
      </c>
      <c r="AH118" s="196">
        <f>IFERROR(Inv_SY!V120/Inv_SY!$Y120-1,"")</f>
        <v>-3.0483428812005386E-2</v>
      </c>
      <c r="AI118" s="196">
        <f>IFERROR(Inv_SY!W120/Inv_SY!$Y120-1,"")</f>
        <v>1.4436634516135305E-2</v>
      </c>
      <c r="AJ118" s="196">
        <f>IFERROR(Inv_SY!X120/Inv_SY!$Y120-1,"")</f>
        <v>1.6046794295869971E-2</v>
      </c>
      <c r="AK118" s="196">
        <f>IFERROR(Inv_SY!V120/Inv_SY!$Z120-1,"")</f>
        <v>-4.57953544749099E-2</v>
      </c>
      <c r="AL118" s="196">
        <f>IFERROR(Inv_SY!W120/Inv_SY!$Z120-1,"")</f>
        <v>-1.5847299443038088E-3</v>
      </c>
      <c r="AM118" s="196">
        <f>IFERROR(Inv_SY!X120/Inv_SY!$Z120-1,"")</f>
        <v>0</v>
      </c>
    </row>
    <row r="119" spans="1:39" x14ac:dyDescent="0.25">
      <c r="A119" s="191">
        <f>YEAR(Inv_SY_D[[#This Row],[Date]])+IF(MONTH(Inv_SY_D[[#This Row],[Date]])&gt;=4,1,0)</f>
        <v>2026</v>
      </c>
      <c r="B119" s="191">
        <v>4</v>
      </c>
      <c r="C119" s="191">
        <f>YEAR(Inv_SY_D[[#This Row],[Month Year]])</f>
        <v>2025</v>
      </c>
      <c r="D119" s="191" t="s">
        <v>4</v>
      </c>
      <c r="E119" s="191" t="s">
        <v>4</v>
      </c>
      <c r="F119" s="192" t="str">
        <f>TEXT(Inv_SY_D[[#This Row],[Date]],"mmm-yy")</f>
        <v>Jul-25</v>
      </c>
      <c r="G119" s="193">
        <f>DAY(EOMONTH(Inv_SY_D[[#This Row],[Month Year]],0))</f>
        <v>31</v>
      </c>
      <c r="H119" s="194">
        <f t="shared" si="2"/>
        <v>45862</v>
      </c>
      <c r="I119" s="195">
        <v>7.0991999999999997</v>
      </c>
      <c r="J119" s="196">
        <f>IFERROR(Inv_SY!J121/Inv_SY!$Y121-1,"")</f>
        <v>-0.14211602980797755</v>
      </c>
      <c r="K119" s="196">
        <f>IFERROR(Inv_SY!K121/Inv_SY!$Y121-1,"")</f>
        <v>-0.28923767309453452</v>
      </c>
      <c r="L119" s="196">
        <f>IFERROR(Inv_SY!L121/Inv_SY!$Y121-1,"")</f>
        <v>5.3090014159185017E-3</v>
      </c>
      <c r="M119" s="196">
        <f>IFERROR(Inv_SY!M121/Inv_SY!$Y121-1,"")</f>
        <v>-0.14874160034859607</v>
      </c>
      <c r="N119" s="196">
        <f>IFERROR(Inv_SY!N121/Inv_SY!$Y121-1,"")</f>
        <v>5.1295553895428725E-2</v>
      </c>
      <c r="O119" s="196">
        <f>IFERROR(Inv_SY!O121/Inv_SY!$Y121-1,"")</f>
        <v>7.6145553578170544E-2</v>
      </c>
      <c r="P119" s="196">
        <f>IFERROR(Inv_SY!P121/Inv_SY!$Y121-1,"")</f>
        <v>-8.5249834938695646E-2</v>
      </c>
      <c r="Q119" s="196">
        <f>IFERROR(Inv_SY!Q121/Inv_SY!$Y121-1,"")</f>
        <v>0.37654057084632009</v>
      </c>
      <c r="R119" s="196">
        <f>IFERROR(Inv_SY!R121/Inv_SY!$Y121-1,"")</f>
        <v>0.13631689415015424</v>
      </c>
      <c r="S119" s="196">
        <f>IFERROR(Inv_SY!S121/Inv_SY!$Y121-1,"")</f>
        <v>-6.3750155907003392E-2</v>
      </c>
      <c r="T119" s="196">
        <f>IFERROR(Inv_SY!T121/Inv_SY!$Y121-1,"")</f>
        <v>0.39305605244231079</v>
      </c>
      <c r="U119" s="196">
        <f>IFERROR(Inv_SY!U121/Inv_SY!$Y121-1,"")</f>
        <v>-6.7191723157334349E-2</v>
      </c>
      <c r="V119" s="196">
        <f>IFERROR(Inv_SY!J121/Inv_SY!$Z121-1,"")</f>
        <v>-0.20614349285813627</v>
      </c>
      <c r="W119" s="196">
        <f>IFERROR(Inv_SY!K121/Inv_SY!$Z121-1,"")</f>
        <v>-0.34228483355517147</v>
      </c>
      <c r="X119" s="196">
        <f>IFERROR(Inv_SY!L121/Inv_SY!$Z121-1,"")</f>
        <v>-6.9721407332413943E-2</v>
      </c>
      <c r="Y119" s="196">
        <f>IFERROR(Inv_SY!M121/Inv_SY!$Z121-1,"")</f>
        <v>-0.212274569402229</v>
      </c>
      <c r="Z119" s="196">
        <f>IFERROR(Inv_SY!N121/Inv_SY!$Z121-1,"")</f>
        <v>-2.7167023295247894E-2</v>
      </c>
      <c r="AA119" s="196">
        <f>IFERROR(Inv_SY!O121/Inv_SY!$Z121-1,"")</f>
        <v>-4.1716828575402154E-3</v>
      </c>
      <c r="AB119" s="196">
        <f>IFERROR(Inv_SY!P121/Inv_SY!$Z121-1,"")</f>
        <v>-0.1535214595739941</v>
      </c>
      <c r="AC119" s="196">
        <f>IFERROR(Inv_SY!Q121/Inv_SY!$Z121-1,"")</f>
        <v>0.27380359988137792</v>
      </c>
      <c r="AD119" s="196">
        <f>IFERROR(Inv_SY!R121/Inv_SY!$Z121-1,"")</f>
        <v>5.1508819303872855E-2</v>
      </c>
      <c r="AE119" s="196">
        <f>IFERROR(Inv_SY!S121/Inv_SY!$Z121-1,"")</f>
        <v>-0.13362639136686805</v>
      </c>
      <c r="AF119" s="196">
        <f>IFERROR(Inv_SY!T121/Inv_SY!$Z121-1,"")</f>
        <v>0.28908646212045697</v>
      </c>
      <c r="AG119" s="196">
        <f>IFERROR(Inv_SY!U121/Inv_SY!$Z121-1,"")</f>
        <v>-0.13681110008199882</v>
      </c>
      <c r="AH119" s="196">
        <f>IFERROR(Inv_SY!V121/Inv_SY!$Y121-1,"")</f>
        <v>-0.15074505861154053</v>
      </c>
      <c r="AI119" s="196">
        <f>IFERROR(Inv_SY!W121/Inv_SY!$Y121-1,"")</f>
        <v>8.0653698085410896E-2</v>
      </c>
      <c r="AJ119" s="196">
        <f>IFERROR(Inv_SY!X121/Inv_SY!$Y121-1,"")</f>
        <v>7.0091360526129742E-2</v>
      </c>
      <c r="AK119" s="196">
        <f>IFERROR(Inv_SY!V121/Inv_SY!$Z121-1,"")</f>
        <v>-0.21412850120896221</v>
      </c>
      <c r="AL119" s="196">
        <f>IFERROR(Inv_SY!W121/Inv_SY!$Z121-1,"")</f>
        <v>0</v>
      </c>
      <c r="AM119" s="196">
        <f>IFERROR(Inv_SY!X121/Inv_SY!$Z121-1,"")</f>
        <v>-9.7740262009877732E-3</v>
      </c>
    </row>
    <row r="120" spans="1:39" x14ac:dyDescent="0.25">
      <c r="A120" s="191">
        <f>YEAR(Inv_SY_D[[#This Row],[Date]])+IF(MONTH(Inv_SY_D[[#This Row],[Date]])&gt;=4,1,0)</f>
        <v>2026</v>
      </c>
      <c r="B120" s="191">
        <v>4</v>
      </c>
      <c r="C120" s="191">
        <f>YEAR(Inv_SY_D[[#This Row],[Month Year]])</f>
        <v>2025</v>
      </c>
      <c r="D120" s="191" t="s">
        <v>4</v>
      </c>
      <c r="E120" s="191" t="s">
        <v>4</v>
      </c>
      <c r="F120" s="192" t="str">
        <f>TEXT(Inv_SY_D[[#This Row],[Date]],"mmm-yy")</f>
        <v>Jul-25</v>
      </c>
      <c r="G120" s="193">
        <f>DAY(EOMONTH(Inv_SY_D[[#This Row],[Month Year]],0))</f>
        <v>31</v>
      </c>
      <c r="H120" s="194">
        <f t="shared" si="2"/>
        <v>45863</v>
      </c>
      <c r="I120" s="195">
        <v>7.0991999999999997</v>
      </c>
      <c r="J120" s="196">
        <f>IFERROR(Inv_SY!J122/Inv_SY!$Y122-1,"")</f>
        <v>1.1625362461337163E-2</v>
      </c>
      <c r="K120" s="196">
        <f>IFERROR(Inv_SY!K122/Inv_SY!$Y122-1,"")</f>
        <v>-9.3729513006624021E-2</v>
      </c>
      <c r="L120" s="196">
        <f>IFERROR(Inv_SY!L122/Inv_SY!$Y122-1,"")</f>
        <v>-7.0000348371745957E-4</v>
      </c>
      <c r="M120" s="196">
        <f>IFERROR(Inv_SY!M122/Inv_SY!$Y122-1,"")</f>
        <v>3.9758335494719521E-3</v>
      </c>
      <c r="N120" s="196">
        <f>IFERROR(Inv_SY!N122/Inv_SY!$Y122-1,"")</f>
        <v>-0.12411772327338599</v>
      </c>
      <c r="O120" s="196">
        <f>IFERROR(Inv_SY!O122/Inv_SY!$Y122-1,"")</f>
        <v>0.11106923831558424</v>
      </c>
      <c r="P120" s="196">
        <f>IFERROR(Inv_SY!P122/Inv_SY!$Y122-1,"")</f>
        <v>-0.12594816448806512</v>
      </c>
      <c r="Q120" s="196">
        <f>IFERROR(Inv_SY!Q122/Inv_SY!$Y122-1,"")</f>
        <v>1.443785701389126</v>
      </c>
      <c r="R120" s="196">
        <f>IFERROR(Inv_SY!R122/Inv_SY!$Y122-1,"")</f>
        <v>6.8910421918580544E-2</v>
      </c>
      <c r="S120" s="196">
        <f>IFERROR(Inv_SY!S122/Inv_SY!$Y122-1,"")</f>
        <v>-0.11737271881894262</v>
      </c>
      <c r="T120" s="196">
        <f>IFERROR(Inv_SY!T122/Inv_SY!$Y122-1,"")</f>
        <v>0.31251726751741171</v>
      </c>
      <c r="U120" s="196">
        <f>IFERROR(Inv_SY!U122/Inv_SY!$Y122-1,"")</f>
        <v>-0.12154005272676471</v>
      </c>
      <c r="V120" s="196">
        <f>IFERROR(Inv_SY!J122/Inv_SY!$Z122-1,"")</f>
        <v>-3.7212175843658324E-3</v>
      </c>
      <c r="W120" s="196">
        <f>IFERROR(Inv_SY!K122/Inv_SY!$Z122-1,"")</f>
        <v>-0.10747783633638186</v>
      </c>
      <c r="X120" s="196">
        <f>IFERROR(Inv_SY!L122/Inv_SY!$Z122-1,"")</f>
        <v>-1.5859605007442434E-2</v>
      </c>
      <c r="Y120" s="196">
        <f>IFERROR(Inv_SY!M122/Inv_SY!$Z122-1,"")</f>
        <v>-1.1254701454149085E-2</v>
      </c>
      <c r="Z120" s="196">
        <f>IFERROR(Inv_SY!N122/Inv_SY!$Z122-1,"")</f>
        <v>-0.13740505074577447</v>
      </c>
      <c r="AA120" s="196">
        <f>IFERROR(Inv_SY!O122/Inv_SY!$Z122-1,"")</f>
        <v>9.4214072722817788E-2</v>
      </c>
      <c r="AB120" s="196">
        <f>IFERROR(Inv_SY!P122/Inv_SY!$Z122-1,"")</f>
        <v>-0.13920772376319168</v>
      </c>
      <c r="AC120" s="196">
        <f>IFERROR(Inv_SY!Q122/Inv_SY!$Z122-1,"")</f>
        <v>1.4067129328795822</v>
      </c>
      <c r="AD120" s="196">
        <f>IFERROR(Inv_SY!R122/Inv_SY!$Z122-1,"")</f>
        <v>5.2694814876317997E-2</v>
      </c>
      <c r="AE120" s="196">
        <f>IFERROR(Inv_SY!S122/Inv_SY!$Z122-1,"")</f>
        <v>-0.13076236949773712</v>
      </c>
      <c r="AF120" s="196">
        <f>IFERROR(Inv_SY!T122/Inv_SY!$Z122-1,"")</f>
        <v>0.29260609085581124</v>
      </c>
      <c r="AG120" s="196">
        <f>IFERROR(Inv_SY!U122/Inv_SY!$Z122-1,"")</f>
        <v>-0.13486648403031742</v>
      </c>
      <c r="AH120" s="196">
        <f>IFERROR(Inv_SY!V122/Inv_SY!$Y122-1,"")</f>
        <v>-2.3249001714815809E-2</v>
      </c>
      <c r="AI120" s="196">
        <f>IFERROR(Inv_SY!W122/Inv_SY!$Y122-1,"")</f>
        <v>1.5403901314140933E-2</v>
      </c>
      <c r="AJ120" s="196">
        <f>IFERROR(Inv_SY!X122/Inv_SY!$Y122-1,"")</f>
        <v>7.845100400675431E-3</v>
      </c>
      <c r="AK120" s="196">
        <f>IFERROR(Inv_SY!V122/Inv_SY!$Z122-1,"")</f>
        <v>-3.8066529958110218E-2</v>
      </c>
      <c r="AL120" s="196">
        <f>IFERROR(Inv_SY!W122/Inv_SY!$Z122-1,"")</f>
        <v>0</v>
      </c>
      <c r="AM120" s="196">
        <f>IFERROR(Inv_SY!X122/Inv_SY!$Z122-1,"")</f>
        <v>-7.4441322351459505E-3</v>
      </c>
    </row>
    <row r="121" spans="1:39" x14ac:dyDescent="0.25">
      <c r="A121" s="191">
        <f>YEAR(Inv_SY_D[[#This Row],[Date]])+IF(MONTH(Inv_SY_D[[#This Row],[Date]])&gt;=4,1,0)</f>
        <v>2026</v>
      </c>
      <c r="B121" s="191">
        <v>4</v>
      </c>
      <c r="C121" s="191">
        <f>YEAR(Inv_SY_D[[#This Row],[Month Year]])</f>
        <v>2025</v>
      </c>
      <c r="D121" s="191" t="s">
        <v>4</v>
      </c>
      <c r="E121" s="191" t="s">
        <v>4</v>
      </c>
      <c r="F121" s="192" t="str">
        <f>TEXT(Inv_SY_D[[#This Row],[Date]],"mmm-yy")</f>
        <v>Jul-25</v>
      </c>
      <c r="G121" s="193">
        <f>DAY(EOMONTH(Inv_SY_D[[#This Row],[Month Year]],0))</f>
        <v>31</v>
      </c>
      <c r="H121" s="194">
        <f t="shared" si="2"/>
        <v>45864</v>
      </c>
      <c r="I121" s="195">
        <v>7.0991999999999997</v>
      </c>
      <c r="J121" s="196">
        <f>IFERROR(Inv_SY!J123/Inv_SY!$Y123-1,"")</f>
        <v>-3.1112092666032543E-2</v>
      </c>
      <c r="K121" s="196">
        <f>IFERROR(Inv_SY!K123/Inv_SY!$Y123-1,"")</f>
        <v>-0.19719085628326283</v>
      </c>
      <c r="L121" s="196">
        <f>IFERROR(Inv_SY!L123/Inv_SY!$Y123-1,"")</f>
        <v>0.270264258069143</v>
      </c>
      <c r="M121" s="196">
        <f>IFERROR(Inv_SY!M123/Inv_SY!$Y123-1,"")</f>
        <v>-3.7960701474990644E-2</v>
      </c>
      <c r="N121" s="196">
        <f>IFERROR(Inv_SY!N123/Inv_SY!$Y123-1,"")</f>
        <v>-0.16716682528162563</v>
      </c>
      <c r="O121" s="196">
        <f>IFERROR(Inv_SY!O123/Inv_SY!$Y123-1,"")</f>
        <v>-2.3692766456328118E-2</v>
      </c>
      <c r="P121" s="196">
        <f>IFERROR(Inv_SY!P123/Inv_SY!$Y123-1,"")</f>
        <v>6.5267107273808023E-2</v>
      </c>
      <c r="Q121" s="196">
        <f>IFERROR(Inv_SY!Q123/Inv_SY!$Y123-1,"")</f>
        <v>0.25458124521929948</v>
      </c>
      <c r="R121" s="196">
        <f>IFERROR(Inv_SY!R123/Inv_SY!$Y123-1,"")</f>
        <v>5.9387293494998383E-2</v>
      </c>
      <c r="S121" s="196">
        <f>IFERROR(Inv_SY!S123/Inv_SY!$Y123-1,"")</f>
        <v>-0.13235776432257484</v>
      </c>
      <c r="T121" s="196">
        <f>IFERROR(Inv_SY!T123/Inv_SY!$Y123-1,"")</f>
        <v>0.29517561854307295</v>
      </c>
      <c r="U121" s="196">
        <f>IFERROR(Inv_SY!U123/Inv_SY!$Y123-1,"")</f>
        <v>-0.13211595265791498</v>
      </c>
      <c r="V121" s="196">
        <f>IFERROR(Inv_SY!J123/Inv_SY!$Z123-1,"")</f>
        <v>-4.4193905630044439E-2</v>
      </c>
      <c r="W121" s="196">
        <f>IFERROR(Inv_SY!K123/Inv_SY!$Z123-1,"")</f>
        <v>-0.20803029290374786</v>
      </c>
      <c r="X121" s="196">
        <f>IFERROR(Inv_SY!L123/Inv_SY!$Z123-1,"")</f>
        <v>0.25311329631892887</v>
      </c>
      <c r="Y121" s="196">
        <f>IFERROR(Inv_SY!M123/Inv_SY!$Z123-1,"")</f>
        <v>-5.0950045311434433E-2</v>
      </c>
      <c r="Z121" s="196">
        <f>IFERROR(Inv_SY!N123/Inv_SY!$Z123-1,"")</f>
        <v>-0.17841164291163314</v>
      </c>
      <c r="AA121" s="196">
        <f>IFERROR(Inv_SY!O123/Inv_SY!$Z123-1,"")</f>
        <v>-3.6874754308538815E-2</v>
      </c>
      <c r="AB121" s="196">
        <f>IFERROR(Inv_SY!P123/Inv_SY!$Z123-1,"")</f>
        <v>5.0883993449613696E-2</v>
      </c>
      <c r="AC121" s="196">
        <f>IFERROR(Inv_SY!Q123/Inv_SY!$Z123-1,"")</f>
        <v>0.23764203370279247</v>
      </c>
      <c r="AD121" s="196">
        <f>IFERROR(Inv_SY!R123/Inv_SY!$Z123-1,"")</f>
        <v>4.5083568239425276E-2</v>
      </c>
      <c r="AE121" s="196">
        <f>IFERROR(Inv_SY!S123/Inv_SY!$Z123-1,"")</f>
        <v>-0.14407256988562622</v>
      </c>
      <c r="AF121" s="196">
        <f>IFERROR(Inv_SY!T123/Inv_SY!$Z123-1,"")</f>
        <v>0.27768830647211251</v>
      </c>
      <c r="AG121" s="196">
        <f>IFERROR(Inv_SY!U123/Inv_SY!$Z123-1,"")</f>
        <v>-0.14383402313421967</v>
      </c>
      <c r="AH121" s="196">
        <f>IFERROR(Inv_SY!V123/Inv_SY!$Y123-1,"")</f>
        <v>-8.648333431002353E-3</v>
      </c>
      <c r="AI121" s="196">
        <f>IFERROR(Inv_SY!W123/Inv_SY!$Y123-1,"")</f>
        <v>1.3686680845695021E-2</v>
      </c>
      <c r="AJ121" s="196">
        <f>IFERROR(Inv_SY!X123/Inv_SY!$Y123-1,"")</f>
        <v>-5.0383474146927787E-3</v>
      </c>
      <c r="AK121" s="196">
        <f>IFERROR(Inv_SY!V123/Inv_SY!$Z123-1,"")</f>
        <v>-2.2033449485657441E-2</v>
      </c>
      <c r="AL121" s="196">
        <f>IFERROR(Inv_SY!W123/Inv_SY!$Z123-1,"")</f>
        <v>0</v>
      </c>
      <c r="AM121" s="196">
        <f>IFERROR(Inv_SY!X123/Inv_SY!$Z123-1,"")</f>
        <v>-1.8472205084874904E-2</v>
      </c>
    </row>
    <row r="122" spans="1:39" x14ac:dyDescent="0.25">
      <c r="A122" s="191">
        <f>YEAR(Inv_SY_D[[#This Row],[Date]])+IF(MONTH(Inv_SY_D[[#This Row],[Date]])&gt;=4,1,0)</f>
        <v>2026</v>
      </c>
      <c r="B122" s="191">
        <v>4</v>
      </c>
      <c r="C122" s="191">
        <f>YEAR(Inv_SY_D[[#This Row],[Month Year]])</f>
        <v>2025</v>
      </c>
      <c r="D122" s="191" t="s">
        <v>4</v>
      </c>
      <c r="E122" s="191" t="s">
        <v>4</v>
      </c>
      <c r="F122" s="192" t="str">
        <f>TEXT(Inv_SY_D[[#This Row],[Date]],"mmm-yy")</f>
        <v>Jul-25</v>
      </c>
      <c r="G122" s="193">
        <f>DAY(EOMONTH(Inv_SY_D[[#This Row],[Month Year]],0))</f>
        <v>31</v>
      </c>
      <c r="H122" s="194">
        <f t="shared" si="2"/>
        <v>45865</v>
      </c>
      <c r="I122" s="195">
        <v>7.0991999999999997</v>
      </c>
      <c r="J122" s="196">
        <f>IFERROR(Inv_SY!J124/Inv_SY!$Y124-1,"")</f>
        <v>1.7400437510759037E-2</v>
      </c>
      <c r="K122" s="196" t="str">
        <f>IFERROR(Inv_SY!K124/Inv_SY!$Y124-1,"")</f>
        <v/>
      </c>
      <c r="L122" s="196">
        <f>IFERROR(Inv_SY!L124/Inv_SY!$Y124-1,"")</f>
        <v>1.0246960885924805E-2</v>
      </c>
      <c r="M122" s="196">
        <f>IFERROR(Inv_SY!M124/Inv_SY!$Y124-1,"")</f>
        <v>1.0646006790253182E-2</v>
      </c>
      <c r="N122" s="196">
        <f>IFERROR(Inv_SY!N124/Inv_SY!$Y124-1,"")</f>
        <v>-0.10877936344425476</v>
      </c>
      <c r="O122" s="196">
        <f>IFERROR(Inv_SY!O124/Inv_SY!$Y124-1,"")</f>
        <v>8.8092996322832295E-2</v>
      </c>
      <c r="P122" s="196">
        <f>IFERROR(Inv_SY!P124/Inv_SY!$Y124-1,"")</f>
        <v>-0.10859973414574675</v>
      </c>
      <c r="Q122" s="196" t="str">
        <f>IFERROR(Inv_SY!Q124/Inv_SY!$Y124-1,"")</f>
        <v/>
      </c>
      <c r="R122" s="196">
        <f>IFERROR(Inv_SY!R124/Inv_SY!$Y124-1,"")</f>
        <v>6.1155889296048871E-2</v>
      </c>
      <c r="S122" s="196">
        <f>IFERROR(Inv_SY!S124/Inv_SY!$Y124-1,"")</f>
        <v>-0.12032247795389162</v>
      </c>
      <c r="T122" s="196">
        <f>IFERROR(Inv_SY!T124/Inv_SY!$Y124-1,"")</f>
        <v>0.30604287156235643</v>
      </c>
      <c r="U122" s="196">
        <f>IFERROR(Inv_SY!U124/Inv_SY!$Y124-1,"")</f>
        <v>-0.12638637019873877</v>
      </c>
      <c r="V122" s="196">
        <f>IFERROR(Inv_SY!J124/Inv_SY!$Z124-1,"")</f>
        <v>-5.5524574829167728E-3</v>
      </c>
      <c r="W122" s="196" t="str">
        <f>IFERROR(Inv_SY!K124/Inv_SY!$Z124-1,"")</f>
        <v/>
      </c>
      <c r="X122" s="196">
        <f>IFERROR(Inv_SY!L124/Inv_SY!$Z124-1,"")</f>
        <v>-1.2544549276611083E-2</v>
      </c>
      <c r="Y122" s="196">
        <f>IFERROR(Inv_SY!M124/Inv_SY!$Z124-1,"")</f>
        <v>-1.2154505981679997E-2</v>
      </c>
      <c r="Z122" s="196">
        <f>IFERROR(Inv_SY!N124/Inv_SY!$Z124-1,"")</f>
        <v>-0.12888559982165426</v>
      </c>
      <c r="AA122" s="196">
        <f>IFERROR(Inv_SY!O124/Inv_SY!$Z124-1,"")</f>
        <v>6.3545253499900811E-2</v>
      </c>
      <c r="AB122" s="196">
        <f>IFERROR(Inv_SY!P124/Inv_SY!$Z124-1,"")</f>
        <v>-0.1287100230203484</v>
      </c>
      <c r="AC122" s="196" t="str">
        <f>IFERROR(Inv_SY!Q124/Inv_SY!$Z124-1,"")</f>
        <v/>
      </c>
      <c r="AD122" s="196">
        <f>IFERROR(Inv_SY!R124/Inv_SY!$Z124-1,"")</f>
        <v>3.7215856639364109E-2</v>
      </c>
      <c r="AE122" s="196">
        <f>IFERROR(Inv_SY!S124/Inv_SY!$Z124-1,"")</f>
        <v>-0.14016829779767148</v>
      </c>
      <c r="AF122" s="196">
        <f>IFERROR(Inv_SY!T124/Inv_SY!$Z124-1,"")</f>
        <v>0.27657810647777037</v>
      </c>
      <c r="AG122" s="196">
        <f>IFERROR(Inv_SY!U124/Inv_SY!$Z124-1,"")</f>
        <v>-0.14609538660031696</v>
      </c>
      <c r="AH122" s="196">
        <f>IFERROR(Inv_SY!V124/Inv_SY!$Y124-1,"")</f>
        <v>-2.5622405946475357E-2</v>
      </c>
      <c r="AI122" s="196">
        <f>IFERROR(Inv_SY!W124/Inv_SY!$Y124-1,"")</f>
        <v>2.3081051551074205E-2</v>
      </c>
      <c r="AJ122" s="196">
        <f>IFERROR(Inv_SY!X124/Inv_SY!$Y124-1,"")</f>
        <v>2.5413543954007078E-3</v>
      </c>
      <c r="AK122" s="196">
        <f>IFERROR(Inv_SY!V124/Inv_SY!$Z124-1,"")</f>
        <v>-4.7604691166658886E-2</v>
      </c>
      <c r="AL122" s="196">
        <f>IFERROR(Inv_SY!W124/Inv_SY!$Z124-1,"")</f>
        <v>0</v>
      </c>
      <c r="AM122" s="196">
        <f>IFERROR(Inv_SY!X124/Inv_SY!$Z124-1,"")</f>
        <v>-2.0076314701101716E-2</v>
      </c>
    </row>
    <row r="123" spans="1:39" x14ac:dyDescent="0.25">
      <c r="A123" s="191">
        <f>YEAR(Inv_SY_D[[#This Row],[Date]])+IF(MONTH(Inv_SY_D[[#This Row],[Date]])&gt;=4,1,0)</f>
        <v>2026</v>
      </c>
      <c r="B123" s="191">
        <v>4</v>
      </c>
      <c r="C123" s="191">
        <f>YEAR(Inv_SY_D[[#This Row],[Month Year]])</f>
        <v>2025</v>
      </c>
      <c r="D123" s="191" t="s">
        <v>4</v>
      </c>
      <c r="E123" s="191" t="s">
        <v>4</v>
      </c>
      <c r="F123" s="192" t="str">
        <f>TEXT(Inv_SY_D[[#This Row],[Date]],"mmm-yy")</f>
        <v>Jul-25</v>
      </c>
      <c r="G123" s="193">
        <f>DAY(EOMONTH(Inv_SY_D[[#This Row],[Month Year]],0))</f>
        <v>31</v>
      </c>
      <c r="H123" s="194">
        <f t="shared" si="2"/>
        <v>45866</v>
      </c>
      <c r="I123" s="195">
        <v>7.0991999999999997</v>
      </c>
      <c r="J123" s="196">
        <f>IFERROR(Inv_SY!J125/Inv_SY!$Y125-1,"")</f>
        <v>4.0976808508250695E-2</v>
      </c>
      <c r="K123" s="196">
        <f>IFERROR(Inv_SY!K125/Inv_SY!$Y125-1,"")</f>
        <v>-0.13759473106921338</v>
      </c>
      <c r="L123" s="196">
        <f>IFERROR(Inv_SY!L125/Inv_SY!$Y125-1,"")</f>
        <v>3.474250162052761E-2</v>
      </c>
      <c r="M123" s="196">
        <f>IFERROR(Inv_SY!M125/Inv_SY!$Y125-1,"")</f>
        <v>6.3985310386520888E-2</v>
      </c>
      <c r="N123" s="196">
        <f>IFERROR(Inv_SY!N125/Inv_SY!$Y125-1,"")</f>
        <v>-0.1213928503585473</v>
      </c>
      <c r="O123" s="196">
        <f>IFERROR(Inv_SY!O125/Inv_SY!$Y125-1,"")</f>
        <v>3.1141801823029391E-2</v>
      </c>
      <c r="P123" s="196">
        <f>IFERROR(Inv_SY!P125/Inv_SY!$Y125-1,"")</f>
        <v>-9.5054083948590606E-2</v>
      </c>
      <c r="Q123" s="196">
        <f>IFERROR(Inv_SY!Q125/Inv_SY!$Y125-1,"")</f>
        <v>0.31433009506832077</v>
      </c>
      <c r="R123" s="196">
        <f>IFERROR(Inv_SY!R125/Inv_SY!$Y125-1,"")</f>
        <v>5.8295344573058738E-2</v>
      </c>
      <c r="S123" s="196">
        <f>IFERROR(Inv_SY!S125/Inv_SY!$Y125-1,"")</f>
        <v>-0.12200895875496076</v>
      </c>
      <c r="T123" s="196">
        <f>IFERROR(Inv_SY!T125/Inv_SY!$Y125-1,"")</f>
        <v>0.30277172819388354</v>
      </c>
      <c r="U123" s="196">
        <f>IFERROR(Inv_SY!U125/Inv_SY!$Y125-1,"")</f>
        <v>-0.12859741798100743</v>
      </c>
      <c r="V123" s="196">
        <f>IFERROR(Inv_SY!J125/Inv_SY!$Z125-1,"")</f>
        <v>3.4812295997243892E-2</v>
      </c>
      <c r="W123" s="196">
        <f>IFERROR(Inv_SY!K125/Inv_SY!$Z125-1,"")</f>
        <v>-0.14270176902282594</v>
      </c>
      <c r="X123" s="196">
        <f>IFERROR(Inv_SY!L125/Inv_SY!$Z125-1,"")</f>
        <v>2.8614907763704567E-2</v>
      </c>
      <c r="Y123" s="196">
        <f>IFERROR(Inv_SY!M125/Inv_SY!$Z125-1,"")</f>
        <v>5.7684544890309386E-2</v>
      </c>
      <c r="Z123" s="196">
        <f>IFERROR(Inv_SY!N125/Inv_SY!$Z125-1,"")</f>
        <v>-0.12659583348166448</v>
      </c>
      <c r="AA123" s="196">
        <f>IFERROR(Inv_SY!O125/Inv_SY!$Z125-1,"")</f>
        <v>2.5035530784129456E-2</v>
      </c>
      <c r="AB123" s="196">
        <f>IFERROR(Inv_SY!P125/Inv_SY!$Z125-1,"")</f>
        <v>-0.10041304139671836</v>
      </c>
      <c r="AC123" s="196">
        <f>IFERROR(Inv_SY!Q125/Inv_SY!$Z125-1,"")</f>
        <v>0.3065468243475713</v>
      </c>
      <c r="AD123" s="196">
        <f>IFERROR(Inv_SY!R125/Inv_SY!$Z125-1,"")</f>
        <v>5.2028274222750248E-2</v>
      </c>
      <c r="AE123" s="196">
        <f>IFERROR(Inv_SY!S125/Inv_SY!$Z125-1,"")</f>
        <v>-0.1272082933742047</v>
      </c>
      <c r="AF123" s="196">
        <f>IFERROR(Inv_SY!T125/Inv_SY!$Z125-1,"")</f>
        <v>0.29505690443239563</v>
      </c>
      <c r="AG123" s="196">
        <f>IFERROR(Inv_SY!U125/Inv_SY!$Z125-1,"")</f>
        <v>-0.13375773670768276</v>
      </c>
      <c r="AH123" s="196">
        <f>IFERROR(Inv_SY!V125/Inv_SY!$Y125-1,"")</f>
        <v>-6.0806319088231309E-3</v>
      </c>
      <c r="AI123" s="196">
        <f>IFERROR(Inv_SY!W125/Inv_SY!$Y125-1,"")</f>
        <v>5.9571310998640659E-3</v>
      </c>
      <c r="AJ123" s="196">
        <f>IFERROR(Inv_SY!X125/Inv_SY!$Y125-1,"")</f>
        <v>1.2350080895928706E-4</v>
      </c>
      <c r="AK123" s="196">
        <f>IFERROR(Inv_SY!V125/Inv_SY!$Z125-1,"")</f>
        <v>-1.196647713558685E-2</v>
      </c>
      <c r="AL123" s="196">
        <f>IFERROR(Inv_SY!W125/Inv_SY!$Z125-1,"")</f>
        <v>0</v>
      </c>
      <c r="AM123" s="196">
        <f>IFERROR(Inv_SY!X125/Inv_SY!$Z125-1,"")</f>
        <v>-5.7990843849642371E-3</v>
      </c>
    </row>
    <row r="124" spans="1:39" x14ac:dyDescent="0.25">
      <c r="A124" s="191">
        <f>YEAR(Inv_SY_D[[#This Row],[Date]])+IF(MONTH(Inv_SY_D[[#This Row],[Date]])&gt;=4,1,0)</f>
        <v>2026</v>
      </c>
      <c r="B124" s="191">
        <v>4</v>
      </c>
      <c r="C124" s="191">
        <f>YEAR(Inv_SY_D[[#This Row],[Month Year]])</f>
        <v>2025</v>
      </c>
      <c r="D124" s="191" t="s">
        <v>4</v>
      </c>
      <c r="E124" s="191" t="s">
        <v>4</v>
      </c>
      <c r="F124" s="192" t="str">
        <f>TEXT(Inv_SY_D[[#This Row],[Date]],"mmm-yy")</f>
        <v>Jul-25</v>
      </c>
      <c r="G124" s="193">
        <f>DAY(EOMONTH(Inv_SY_D[[#This Row],[Month Year]],0))</f>
        <v>31</v>
      </c>
      <c r="H124" s="194">
        <f t="shared" si="2"/>
        <v>45867</v>
      </c>
      <c r="I124" s="195">
        <v>7.0991999999999997</v>
      </c>
      <c r="J124" s="196">
        <f>IFERROR(Inv_SY!J126/Inv_SY!$Y126-1,"")</f>
        <v>5.4511456056434149E-2</v>
      </c>
      <c r="K124" s="196">
        <f>IFERROR(Inv_SY!K126/Inv_SY!$Y126-1,"")</f>
        <v>-0.14018921509952831</v>
      </c>
      <c r="L124" s="196">
        <f>IFERROR(Inv_SY!L126/Inv_SY!$Y126-1,"")</f>
        <v>3.1084993203270628E-2</v>
      </c>
      <c r="M124" s="196">
        <f>IFERROR(Inv_SY!M126/Inv_SY!$Y126-1,"")</f>
        <v>3.1052717449656209E-2</v>
      </c>
      <c r="N124" s="196">
        <f>IFERROR(Inv_SY!N126/Inv_SY!$Y126-1,"")</f>
        <v>-0.11460313155790258</v>
      </c>
      <c r="O124" s="196">
        <f>IFERROR(Inv_SY!O126/Inv_SY!$Y126-1,"")</f>
        <v>3.8975186189664557E-2</v>
      </c>
      <c r="P124" s="196">
        <f>IFERROR(Inv_SY!P126/Inv_SY!$Y126-1,"")</f>
        <v>-0.11479313335123387</v>
      </c>
      <c r="Q124" s="196">
        <f>IFERROR(Inv_SY!Q126/Inv_SY!$Y126-1,"")</f>
        <v>0.34521436628673863</v>
      </c>
      <c r="R124" s="196">
        <f>IFERROR(Inv_SY!R126/Inv_SY!$Y126-1,"")</f>
        <v>6.1300489380596401E-2</v>
      </c>
      <c r="S124" s="196">
        <f>IFERROR(Inv_SY!S126/Inv_SY!$Y126-1,"")</f>
        <v>-0.12035887158357628</v>
      </c>
      <c r="T124" s="196">
        <f>IFERROR(Inv_SY!T126/Inv_SY!$Y126-1,"")</f>
        <v>0.30481801253866636</v>
      </c>
      <c r="U124" s="196">
        <f>IFERROR(Inv_SY!U126/Inv_SY!$Y126-1,"")</f>
        <v>-0.12673265354588603</v>
      </c>
      <c r="V124" s="196">
        <f>IFERROR(Inv_SY!J126/Inv_SY!$Z126-1,"")</f>
        <v>4.3985904521623098E-2</v>
      </c>
      <c r="W124" s="196">
        <f>IFERROR(Inv_SY!K126/Inv_SY!$Z126-1,"")</f>
        <v>-0.14877137195963541</v>
      </c>
      <c r="X124" s="196">
        <f>IFERROR(Inv_SY!L126/Inv_SY!$Z126-1,"")</f>
        <v>2.0793271695267901E-2</v>
      </c>
      <c r="Y124" s="196">
        <f>IFERROR(Inv_SY!M126/Inv_SY!$Z126-1,"")</f>
        <v>2.0761318100418036E-2</v>
      </c>
      <c r="Z124" s="196">
        <f>IFERROR(Inv_SY!N126/Inv_SY!$Z126-1,"")</f>
        <v>-0.12344067458697405</v>
      </c>
      <c r="AA124" s="196">
        <f>IFERROR(Inv_SY!O126/Inv_SY!$Z126-1,"")</f>
        <v>2.8604709128632111E-2</v>
      </c>
      <c r="AB124" s="196">
        <f>IFERROR(Inv_SY!P126/Inv_SY!$Z126-1,"")</f>
        <v>-0.12362877988723653</v>
      </c>
      <c r="AC124" s="196">
        <f>IFERROR(Inv_SY!Q126/Inv_SY!$Z126-1,"")</f>
        <v>0.33178717869536811</v>
      </c>
      <c r="AD124" s="196">
        <f>IFERROR(Inv_SY!R126/Inv_SY!$Z126-1,"")</f>
        <v>5.0707173460946775E-2</v>
      </c>
      <c r="AE124" s="196">
        <f>IFERROR(Inv_SY!S126/Inv_SY!$Z126-1,"")</f>
        <v>-0.12913896399140201</v>
      </c>
      <c r="AF124" s="196">
        <f>IFERROR(Inv_SY!T126/Inv_SY!$Z126-1,"")</f>
        <v>0.29179403906199464</v>
      </c>
      <c r="AG124" s="196">
        <f>IFERROR(Inv_SY!U126/Inv_SY!$Z126-1,"")</f>
        <v>-0.13544912637885487</v>
      </c>
      <c r="AH124" s="196">
        <f>IFERROR(Inv_SY!V126/Inv_SY!$Y126-1,"")</f>
        <v>-1.2313253243098732E-2</v>
      </c>
      <c r="AI124" s="196">
        <f>IFERROR(Inv_SY!W126/Inv_SY!$Y126-1,"")</f>
        <v>1.0082082036954265E-2</v>
      </c>
      <c r="AJ124" s="196">
        <f>IFERROR(Inv_SY!X126/Inv_SY!$Y126-1,"")</f>
        <v>2.2311712061440225E-3</v>
      </c>
      <c r="AK124" s="196">
        <f>IFERROR(Inv_SY!V126/Inv_SY!$Z126-1,"")</f>
        <v>-2.2171797399761939E-2</v>
      </c>
      <c r="AL124" s="196">
        <f>IFERROR(Inv_SY!W126/Inv_SY!$Z126-1,"")</f>
        <v>0</v>
      </c>
      <c r="AM124" s="196">
        <f>IFERROR(Inv_SY!X126/Inv_SY!$Z126-1,"")</f>
        <v>-7.7725473705839709E-3</v>
      </c>
    </row>
    <row r="125" spans="1:39" x14ac:dyDescent="0.25">
      <c r="A125" s="191">
        <f>YEAR(Inv_SY_D[[#This Row],[Date]])+IF(MONTH(Inv_SY_D[[#This Row],[Date]])&gt;=4,1,0)</f>
        <v>2026</v>
      </c>
      <c r="B125" s="191">
        <v>4</v>
      </c>
      <c r="C125" s="191">
        <f>YEAR(Inv_SY_D[[#This Row],[Month Year]])</f>
        <v>2025</v>
      </c>
      <c r="D125" s="191" t="s">
        <v>4</v>
      </c>
      <c r="E125" s="191" t="s">
        <v>4</v>
      </c>
      <c r="F125" s="192" t="str">
        <f>TEXT(Inv_SY_D[[#This Row],[Date]],"mmm-yy")</f>
        <v>Jul-25</v>
      </c>
      <c r="G125" s="193">
        <f>DAY(EOMONTH(Inv_SY_D[[#This Row],[Month Year]],0))</f>
        <v>31</v>
      </c>
      <c r="H125" s="194">
        <f t="shared" si="2"/>
        <v>45868</v>
      </c>
      <c r="I125" s="195">
        <v>7.0991999999999997</v>
      </c>
      <c r="J125" s="196">
        <f>IFERROR(Inv_SY!J127/Inv_SY!$Y127-1,"")</f>
        <v>3.2919326417784722E-2</v>
      </c>
      <c r="K125" s="196">
        <f>IFERROR(Inv_SY!K127/Inv_SY!$Y127-1,"")</f>
        <v>-0.14454246332750054</v>
      </c>
      <c r="L125" s="196">
        <f>IFERROR(Inv_SY!L127/Inv_SY!$Y127-1,"")</f>
        <v>2.5411018868437552E-2</v>
      </c>
      <c r="M125" s="196">
        <f>IFERROR(Inv_SY!M127/Inv_SY!$Y127-1,"")</f>
        <v>5.4336655212666729E-2</v>
      </c>
      <c r="N125" s="196">
        <f>IFERROR(Inv_SY!N127/Inv_SY!$Y127-1,"")</f>
        <v>-0.12409502597308131</v>
      </c>
      <c r="O125" s="196">
        <f>IFERROR(Inv_SY!O127/Inv_SY!$Y127-1,"")</f>
        <v>2.7702284788262199E-2</v>
      </c>
      <c r="P125" s="196">
        <f>IFERROR(Inv_SY!P127/Inv_SY!$Y127-1,"")</f>
        <v>-0.10025695227601195</v>
      </c>
      <c r="Q125" s="196">
        <f>IFERROR(Inv_SY!Q127/Inv_SY!$Y127-1,"")</f>
        <v>0.31115140149242815</v>
      </c>
      <c r="R125" s="196">
        <f>IFERROR(Inv_SY!R127/Inv_SY!$Y127-1,"")</f>
        <v>7.162396584295605E-2</v>
      </c>
      <c r="S125" s="196">
        <f>IFERROR(Inv_SY!S127/Inv_SY!$Y127-1,"")</f>
        <v>-0.11169788545384329</v>
      </c>
      <c r="T125" s="196">
        <f>IFERROR(Inv_SY!T127/Inv_SY!$Y127-1,"")</f>
        <v>0.31827351375394586</v>
      </c>
      <c r="U125" s="196">
        <f>IFERROR(Inv_SY!U127/Inv_SY!$Y127-1,"")</f>
        <v>-0.11800022689250445</v>
      </c>
      <c r="V125" s="196">
        <f>IFERROR(Inv_SY!J127/Inv_SY!$Z127-1,"")</f>
        <v>2.0445004161815605E-2</v>
      </c>
      <c r="W125" s="196">
        <f>IFERROR(Inv_SY!K127/Inv_SY!$Z127-1,"")</f>
        <v>-0.1548736215465637</v>
      </c>
      <c r="X125" s="196">
        <f>IFERROR(Inv_SY!L127/Inv_SY!$Z127-1,"")</f>
        <v>1.3027372665836756E-2</v>
      </c>
      <c r="Y125" s="196">
        <f>IFERROR(Inv_SY!M127/Inv_SY!$Z127-1,"")</f>
        <v>4.160368094543565E-2</v>
      </c>
      <c r="Z125" s="196">
        <f>IFERROR(Inv_SY!N127/Inv_SY!$Z127-1,"")</f>
        <v>-0.13467312305401313</v>
      </c>
      <c r="AA125" s="196">
        <f>IFERROR(Inv_SY!O127/Inv_SY!$Z127-1,"")</f>
        <v>1.5290967509395514E-2</v>
      </c>
      <c r="AB125" s="196">
        <f>IFERROR(Inv_SY!P127/Inv_SY!$Z127-1,"")</f>
        <v>-0.11112293613149948</v>
      </c>
      <c r="AC125" s="196">
        <f>IFERROR(Inv_SY!Q127/Inv_SY!$Z127-1,"")</f>
        <v>0.29531693631177913</v>
      </c>
      <c r="AD125" s="196">
        <f>IFERROR(Inv_SY!R127/Inv_SY!$Z127-1,"")</f>
        <v>5.8682216816432708E-2</v>
      </c>
      <c r="AE125" s="196">
        <f>IFERROR(Inv_SY!S127/Inv_SY!$Z127-1,"")</f>
        <v>-0.12242569986693663</v>
      </c>
      <c r="AF125" s="196">
        <f>IFERROR(Inv_SY!T127/Inv_SY!$Z127-1,"")</f>
        <v>0.30235303650902301</v>
      </c>
      <c r="AG125" s="196">
        <f>IFERROR(Inv_SY!U127/Inv_SY!$Z127-1,"")</f>
        <v>-0.12865192941954606</v>
      </c>
      <c r="AH125" s="196">
        <f>IFERROR(Inv_SY!V127/Inv_SY!$Y127-1,"")</f>
        <v>-1.4502539333974274E-2</v>
      </c>
      <c r="AI125" s="196">
        <f>IFERROR(Inv_SY!W127/Inv_SY!$Y127-1,"")</f>
        <v>2.2781448736228782E-3</v>
      </c>
      <c r="AJ125" s="196">
        <f>IFERROR(Inv_SY!X127/Inv_SY!$Y127-1,"")</f>
        <v>1.2224394460351506E-2</v>
      </c>
      <c r="AK125" s="196">
        <f>IFERROR(Inv_SY!V127/Inv_SY!$Z127-1,"")</f>
        <v>-2.6404158940048772E-2</v>
      </c>
      <c r="AL125" s="196">
        <f>IFERROR(Inv_SY!W127/Inv_SY!$Z127-1,"")</f>
        <v>-9.8261310843346106E-3</v>
      </c>
      <c r="AM125" s="196">
        <f>IFERROR(Inv_SY!X127/Inv_SY!$Z127-1,"")</f>
        <v>0</v>
      </c>
    </row>
    <row r="126" spans="1:39" x14ac:dyDescent="0.25">
      <c r="A126" s="191">
        <f>YEAR(Inv_SY_D[[#This Row],[Date]])+IF(MONTH(Inv_SY_D[[#This Row],[Date]])&gt;=4,1,0)</f>
        <v>2026</v>
      </c>
      <c r="B126" s="191">
        <v>4</v>
      </c>
      <c r="C126" s="191">
        <f>YEAR(Inv_SY_D[[#This Row],[Month Year]])</f>
        <v>2025</v>
      </c>
      <c r="D126" s="191" t="s">
        <v>4</v>
      </c>
      <c r="E126" s="191" t="s">
        <v>4</v>
      </c>
      <c r="F126" s="192" t="str">
        <f>TEXT(Inv_SY_D[[#This Row],[Date]],"mmm-yy")</f>
        <v>Jul-25</v>
      </c>
      <c r="G126" s="193">
        <f>DAY(EOMONTH(Inv_SY_D[[#This Row],[Month Year]],0))</f>
        <v>31</v>
      </c>
      <c r="H126" s="194">
        <f t="shared" si="2"/>
        <v>45869</v>
      </c>
      <c r="I126" s="195">
        <v>7.0991999999999997</v>
      </c>
      <c r="J126" s="196">
        <f>IFERROR(Inv_SY!J128/Inv_SY!$Y128-1,"")</f>
        <v>8.0936422713473677E-2</v>
      </c>
      <c r="K126" s="196">
        <f>IFERROR(Inv_SY!K128/Inv_SY!$Y128-1,"")</f>
        <v>-0.14244635216717194</v>
      </c>
      <c r="L126" s="196">
        <f>IFERROR(Inv_SY!L128/Inv_SY!$Y128-1,"")</f>
        <v>2.8740278604172387E-2</v>
      </c>
      <c r="M126" s="196">
        <f>IFERROR(Inv_SY!M128/Inv_SY!$Y128-1,"")</f>
        <v>2.8127871064736132E-2</v>
      </c>
      <c r="N126" s="196">
        <f>IFERROR(Inv_SY!N128/Inv_SY!$Y128-1,"")</f>
        <v>-0.12359244887513277</v>
      </c>
      <c r="O126" s="196">
        <f>IFERROR(Inv_SY!O128/Inv_SY!$Y128-1,"")</f>
        <v>2.8648152361767876E-2</v>
      </c>
      <c r="P126" s="196">
        <f>IFERROR(Inv_SY!P128/Inv_SY!$Y128-1,"")</f>
        <v>-0.12319372766889636</v>
      </c>
      <c r="Q126" s="196">
        <f>IFERROR(Inv_SY!Q128/Inv_SY!$Y128-1,"")</f>
        <v>0.3678446036943106</v>
      </c>
      <c r="R126" s="196">
        <f>IFERROR(Inv_SY!R128/Inv_SY!$Y128-1,"")</f>
        <v>5.9321160570611209E-2</v>
      </c>
      <c r="S126" s="196">
        <f>IFERROR(Inv_SY!S128/Inv_SY!$Y128-1,"")</f>
        <v>-0.12119092396582354</v>
      </c>
      <c r="T126" s="196">
        <f>IFERROR(Inv_SY!T128/Inv_SY!$Y128-1,"")</f>
        <v>0.30357376008061387</v>
      </c>
      <c r="U126" s="196">
        <f>IFERROR(Inv_SY!U128/Inv_SY!$Y128-1,"")</f>
        <v>-0.12791263224842597</v>
      </c>
      <c r="V126" s="196">
        <f>IFERROR(Inv_SY!J128/Inv_SY!$Z128-1,"")</f>
        <v>7.3458010456701528E-2</v>
      </c>
      <c r="W126" s="196">
        <f>IFERROR(Inv_SY!K128/Inv_SY!$Z128-1,"")</f>
        <v>-0.14837930028145041</v>
      </c>
      <c r="X126" s="196">
        <f>IFERROR(Inv_SY!L128/Inv_SY!$Z128-1,"")</f>
        <v>2.162298313064559E-2</v>
      </c>
      <c r="Y126" s="196">
        <f>IFERROR(Inv_SY!M128/Inv_SY!$Z128-1,"")</f>
        <v>2.1014812506491953E-2</v>
      </c>
      <c r="Z126" s="196">
        <f>IFERROR(Inv_SY!N128/Inv_SY!$Z128-1,"")</f>
        <v>-0.12965583691030247</v>
      </c>
      <c r="AA126" s="196">
        <f>IFERROR(Inv_SY!O128/Inv_SY!$Z128-1,"")</f>
        <v>2.1531494259696027E-2</v>
      </c>
      <c r="AB126" s="196">
        <f>IFERROR(Inv_SY!P128/Inv_SY!$Z128-1,"")</f>
        <v>-0.12925987423962193</v>
      </c>
      <c r="AC126" s="196">
        <f>IFERROR(Inv_SY!Q128/Inv_SY!$Z128-1,"")</f>
        <v>0.35838122949886175</v>
      </c>
      <c r="AD126" s="196">
        <f>IFERROR(Inv_SY!R128/Inv_SY!$Z128-1,"")</f>
        <v>5.1992292577447641E-2</v>
      </c>
      <c r="AE126" s="196">
        <f>IFERROR(Inv_SY!S128/Inv_SY!$Z128-1,"")</f>
        <v>-0.12727092684802699</v>
      </c>
      <c r="AF126" s="196">
        <f>IFERROR(Inv_SY!T128/Inv_SY!$Z128-1,"")</f>
        <v>0.29455504095879759</v>
      </c>
      <c r="AG126" s="196">
        <f>IFERROR(Inv_SY!U128/Inv_SY!$Z128-1,"")</f>
        <v>-0.13394613128030974</v>
      </c>
      <c r="AH126" s="196">
        <f>IFERROR(Inv_SY!V128/Inv_SY!$Y128-1,"")</f>
        <v>-7.9160522672806488E-3</v>
      </c>
      <c r="AI126" s="196">
        <f>IFERROR(Inv_SY!W128/Inv_SY!$Y128-1,"")</f>
        <v>6.9666555970742117E-3</v>
      </c>
      <c r="AJ126" s="196">
        <f>IFERROR(Inv_SY!X128/Inv_SY!$Y128-1,"")</f>
        <v>9.4939667020654817E-4</v>
      </c>
      <c r="AK126" s="196">
        <f>IFERROR(Inv_SY!V128/Inv_SY!$Z128-1,"")</f>
        <v>-1.4779742488623127E-2</v>
      </c>
      <c r="AL126" s="196">
        <f>IFERROR(Inv_SY!W128/Inv_SY!$Z128-1,"")</f>
        <v>0</v>
      </c>
      <c r="AM126" s="196">
        <f>IFERROR(Inv_SY!X128/Inv_SY!$Z128-1,"")</f>
        <v>-5.9756287791871143E-3</v>
      </c>
    </row>
    <row r="127" spans="1:39" x14ac:dyDescent="0.25">
      <c r="A127" s="191">
        <f>YEAR(Inv_SY_D[[#This Row],[Date]])+IF(MONTH(Inv_SY_D[[#This Row],[Date]])&gt;=4,1,0)</f>
        <v>2026</v>
      </c>
      <c r="B127" s="191">
        <v>4</v>
      </c>
      <c r="C127" s="191">
        <f>YEAR(Inv_SY_D[[#This Row],[Month Year]])</f>
        <v>2025</v>
      </c>
      <c r="D127" s="191" t="s">
        <v>4</v>
      </c>
      <c r="E127" s="191" t="s">
        <v>4</v>
      </c>
      <c r="F127" s="192" t="str">
        <f>TEXT(Inv_SY_D[[#This Row],[Date]],"mmm-yy")</f>
        <v>Aug-25</v>
      </c>
      <c r="G127" s="193">
        <f>DAY(EOMONTH(Inv_SY_D[[#This Row],[Month Year]],0))</f>
        <v>31</v>
      </c>
      <c r="H127" s="194">
        <f t="shared" si="2"/>
        <v>45870</v>
      </c>
      <c r="I127" s="195">
        <v>7.0991999999999997</v>
      </c>
      <c r="J127" s="196">
        <f>IFERROR(Inv_SY!J129/Inv_SY!$Y129-1,"")</f>
        <v>1.6721963457717814E-2</v>
      </c>
      <c r="K127" s="196">
        <f>IFERROR(Inv_SY!K129/Inv_SY!$Y129-1,"")</f>
        <v>-0.11267334298486686</v>
      </c>
      <c r="L127" s="196">
        <f>IFERROR(Inv_SY!L129/Inv_SY!$Y129-1,"")</f>
        <v>1.0456106065583226E-2</v>
      </c>
      <c r="M127" s="196">
        <f>IFERROR(Inv_SY!M129/Inv_SY!$Y129-1,"")</f>
        <v>9.3535654710807936E-3</v>
      </c>
      <c r="N127" s="196">
        <f>IFERROR(Inv_SY!N129/Inv_SY!$Y129-1,"")</f>
        <v>-8.4100207252421733E-2</v>
      </c>
      <c r="O127" s="196">
        <f>IFERROR(Inv_SY!O129/Inv_SY!$Y129-1,"")</f>
        <v>2.1166393989340282E-2</v>
      </c>
      <c r="P127" s="196">
        <f>IFERROR(Inv_SY!P129/Inv_SY!$Y129-1,"")</f>
        <v>-0.12912591283173469</v>
      </c>
      <c r="Q127" s="196">
        <f>IFERROR(Inv_SY!Q129/Inv_SY!$Y129-1,"")</f>
        <v>0.30197225067094546</v>
      </c>
      <c r="R127" s="196">
        <f>IFERROR(Inv_SY!R129/Inv_SY!$Y129-1,"")</f>
        <v>8.0856322026958471E-2</v>
      </c>
      <c r="S127" s="196">
        <f>IFERROR(Inv_SY!S129/Inv_SY!$Y129-1,"")</f>
        <v>-0.10305431955218169</v>
      </c>
      <c r="T127" s="196">
        <f>IFERROR(Inv_SY!T129/Inv_SY!$Y129-1,"")</f>
        <v>0.33006446811898438</v>
      </c>
      <c r="U127" s="196">
        <f>IFERROR(Inv_SY!U129/Inv_SY!$Y129-1,"")</f>
        <v>-0.11027082931913257</v>
      </c>
      <c r="V127" s="196">
        <f>IFERROR(Inv_SY!J129/Inv_SY!$Z129-1,"")</f>
        <v>-4.5298492822543057E-3</v>
      </c>
      <c r="W127" s="196">
        <f>IFERROR(Inv_SY!K129/Inv_SY!$Z129-1,"")</f>
        <v>-0.13122049808904124</v>
      </c>
      <c r="X127" s="196">
        <f>IFERROR(Inv_SY!L129/Inv_SY!$Z129-1,"")</f>
        <v>-1.0664735934364455E-2</v>
      </c>
      <c r="Y127" s="196">
        <f>IFERROR(Inv_SY!M129/Inv_SY!$Z129-1,"")</f>
        <v>-1.174423091060095E-2</v>
      </c>
      <c r="Z127" s="196">
        <f>IFERROR(Inv_SY!N129/Inv_SY!$Z129-1,"")</f>
        <v>-0.1032446061969029</v>
      </c>
      <c r="AA127" s="196">
        <f>IFERROR(Inv_SY!O129/Inv_SY!$Z129-1,"")</f>
        <v>-1.7831750642605115E-4</v>
      </c>
      <c r="AB127" s="196">
        <f>IFERROR(Inv_SY!P129/Inv_SY!$Z129-1,"")</f>
        <v>-0.14732917162399328</v>
      </c>
      <c r="AC127" s="196">
        <f>IFERROR(Inv_SY!Q129/Inv_SY!$Z129-1,"")</f>
        <v>0.27475805499270933</v>
      </c>
      <c r="AD127" s="196">
        <f>IFERROR(Inv_SY!R129/Inv_SY!$Z129-1,"")</f>
        <v>5.826395461471745E-2</v>
      </c>
      <c r="AE127" s="196">
        <f>IFERROR(Inv_SY!S129/Inv_SY!$Z129-1,"")</f>
        <v>-0.12180253423024157</v>
      </c>
      <c r="AF127" s="196">
        <f>IFERROR(Inv_SY!T129/Inv_SY!$Z129-1,"")</f>
        <v>0.30226308089171727</v>
      </c>
      <c r="AG127" s="196">
        <f>IFERROR(Inv_SY!U129/Inv_SY!$Z129-1,"")</f>
        <v>-0.12886820244983188</v>
      </c>
      <c r="AH127" s="196">
        <f>IFERROR(Inv_SY!V129/Inv_SY!$Y129-1,"")</f>
        <v>-2.352005652883149E-2</v>
      </c>
      <c r="AI127" s="196">
        <f>IFERROR(Inv_SY!W129/Inv_SY!$Y129-1,"")</f>
        <v>2.1715382185143461E-3</v>
      </c>
      <c r="AJ127" s="196">
        <f>IFERROR(Inv_SY!X129/Inv_SY!$Y129-1,"")</f>
        <v>2.1348518310317255E-2</v>
      </c>
      <c r="AK127" s="196">
        <f>IFERROR(Inv_SY!V129/Inv_SY!$Z129-1,"")</f>
        <v>-4.3930719078515645E-2</v>
      </c>
      <c r="AL127" s="196">
        <f>IFERROR(Inv_SY!W129/Inv_SY!$Z129-1,"")</f>
        <v>-1.8776137379166724E-2</v>
      </c>
      <c r="AM127" s="196">
        <f>IFERROR(Inv_SY!X129/Inv_SY!$Z129-1,"")</f>
        <v>0</v>
      </c>
    </row>
    <row r="128" spans="1:39" x14ac:dyDescent="0.25">
      <c r="A128" s="191">
        <f>YEAR(Inv_SY_D[[#This Row],[Date]])+IF(MONTH(Inv_SY_D[[#This Row],[Date]])&gt;=4,1,0)</f>
        <v>2026</v>
      </c>
      <c r="B128" s="191">
        <v>4</v>
      </c>
      <c r="C128" s="191">
        <f>YEAR(Inv_SY_D[[#This Row],[Month Year]])</f>
        <v>2025</v>
      </c>
      <c r="D128" s="191" t="s">
        <v>4</v>
      </c>
      <c r="E128" s="191" t="s">
        <v>4</v>
      </c>
      <c r="F128" s="192" t="str">
        <f>TEXT(Inv_SY_D[[#This Row],[Date]],"mmm-yy")</f>
        <v>Aug-25</v>
      </c>
      <c r="G128" s="193">
        <f>DAY(EOMONTH(Inv_SY_D[[#This Row],[Month Year]],0))</f>
        <v>31</v>
      </c>
      <c r="H128" s="194">
        <f t="shared" si="2"/>
        <v>45871</v>
      </c>
      <c r="I128" s="195">
        <v>7.0991999999999997</v>
      </c>
      <c r="J128" s="196">
        <f>IFERROR(Inv_SY!J130/Inv_SY!$Y130-1,"")</f>
        <v>3.3491656386057223E-2</v>
      </c>
      <c r="K128" s="196">
        <f>IFERROR(Inv_SY!K130/Inv_SY!$Y130-1,"")</f>
        <v>-0.14378453009815428</v>
      </c>
      <c r="L128" s="196">
        <f>IFERROR(Inv_SY!L130/Inv_SY!$Y130-1,"")</f>
        <v>5.6702013433512999E-2</v>
      </c>
      <c r="M128" s="196">
        <f>IFERROR(Inv_SY!M130/Inv_SY!$Y130-1,"")</f>
        <v>2.5511173263885745E-2</v>
      </c>
      <c r="N128" s="196">
        <f>IFERROR(Inv_SY!N130/Inv_SY!$Y130-1,"")</f>
        <v>-0.12363726936836328</v>
      </c>
      <c r="O128" s="196">
        <f>IFERROR(Inv_SY!O130/Inv_SY!$Y130-1,"")</f>
        <v>5.7547658141884117E-2</v>
      </c>
      <c r="P128" s="196">
        <f>IFERROR(Inv_SY!P130/Inv_SY!$Y130-1,"")</f>
        <v>-0.1217965169123062</v>
      </c>
      <c r="Q128" s="196">
        <f>IFERROR(Inv_SY!Q130/Inv_SY!$Y130-1,"")</f>
        <v>0.31119701136580469</v>
      </c>
      <c r="R128" s="196">
        <f>IFERROR(Inv_SY!R130/Inv_SY!$Y130-1,"")</f>
        <v>6.8596991179264766E-2</v>
      </c>
      <c r="S128" s="196">
        <f>IFERROR(Inv_SY!S130/Inv_SY!$Y130-1,"")</f>
        <v>-0.11239111606524677</v>
      </c>
      <c r="T128" s="196">
        <f>IFERROR(Inv_SY!T130/Inv_SY!$Y130-1,"")</f>
        <v>0.31526165763280556</v>
      </c>
      <c r="U128" s="196">
        <f>IFERROR(Inv_SY!U130/Inv_SY!$Y130-1,"")</f>
        <v>-0.12032880582007333</v>
      </c>
      <c r="V128" s="196">
        <f>IFERROR(Inv_SY!J130/Inv_SY!$Z130-1,"")</f>
        <v>2.3191214570468688E-2</v>
      </c>
      <c r="W128" s="196">
        <f>IFERROR(Inv_SY!K130/Inv_SY!$Z130-1,"")</f>
        <v>-0.15231812354792695</v>
      </c>
      <c r="X128" s="196">
        <f>IFERROR(Inv_SY!L130/Inv_SY!$Z130-1,"")</f>
        <v>4.6170242288065655E-2</v>
      </c>
      <c r="Y128" s="196">
        <f>IFERROR(Inv_SY!M130/Inv_SY!$Z130-1,"")</f>
        <v>1.529027007016448E-2</v>
      </c>
      <c r="Z128" s="196">
        <f>IFERROR(Inv_SY!N130/Inv_SY!$Z130-1,"")</f>
        <v>-0.13237166336220263</v>
      </c>
      <c r="AA128" s="196">
        <f>IFERROR(Inv_SY!O130/Inv_SY!$Z130-1,"")</f>
        <v>4.7007458757987841E-2</v>
      </c>
      <c r="AB128" s="196">
        <f>IFERROR(Inv_SY!P130/Inv_SY!$Z130-1,"")</f>
        <v>-0.13054925702771647</v>
      </c>
      <c r="AC128" s="196">
        <f>IFERROR(Inv_SY!Q130/Inv_SY!$Z130-1,"")</f>
        <v>0.29812877957032513</v>
      </c>
      <c r="AD128" s="196">
        <f>IFERROR(Inv_SY!R130/Inv_SY!$Z130-1,"")</f>
        <v>5.7946667043659694E-2</v>
      </c>
      <c r="AE128" s="196">
        <f>IFERROR(Inv_SY!S130/Inv_SY!$Z130-1,"")</f>
        <v>-0.12123759644801069</v>
      </c>
      <c r="AF128" s="196">
        <f>IFERROR(Inv_SY!T130/Inv_SY!$Z130-1,"")</f>
        <v>0.30215291496129182</v>
      </c>
      <c r="AG128" s="196">
        <f>IFERROR(Inv_SY!U130/Inv_SY!$Z130-1,"")</f>
        <v>-0.12909617408716167</v>
      </c>
      <c r="AH128" s="196">
        <f>IFERROR(Inv_SY!V130/Inv_SY!$Y130-1,"")</f>
        <v>-1.3585649636344455E-2</v>
      </c>
      <c r="AI128" s="196">
        <f>IFERROR(Inv_SY!W130/Inv_SY!$Y130-1,"")</f>
        <v>3.518673230656244E-3</v>
      </c>
      <c r="AJ128" s="196">
        <f>IFERROR(Inv_SY!X130/Inv_SY!$Y130-1,"")</f>
        <v>1.0066976405688433E-2</v>
      </c>
      <c r="AK128" s="196">
        <f>IFERROR(Inv_SY!V130/Inv_SY!$Z130-1,"")</f>
        <v>-2.3416888775237954E-2</v>
      </c>
      <c r="AL128" s="196">
        <f>IFERROR(Inv_SY!W130/Inv_SY!$Z130-1,"")</f>
        <v>-6.4830385786238676E-3</v>
      </c>
      <c r="AM128" s="196">
        <f>IFERROR(Inv_SY!X130/Inv_SY!$Z130-1,"")</f>
        <v>0</v>
      </c>
    </row>
    <row r="129" spans="1:39" x14ac:dyDescent="0.25">
      <c r="A129" s="191">
        <f>YEAR(Inv_SY_D[[#This Row],[Date]])+IF(MONTH(Inv_SY_D[[#This Row],[Date]])&gt;=4,1,0)</f>
        <v>2026</v>
      </c>
      <c r="B129" s="191">
        <v>4</v>
      </c>
      <c r="C129" s="191">
        <f>YEAR(Inv_SY_D[[#This Row],[Month Year]])</f>
        <v>2025</v>
      </c>
      <c r="D129" s="191" t="s">
        <v>4</v>
      </c>
      <c r="E129" s="191" t="s">
        <v>4</v>
      </c>
      <c r="F129" s="192" t="str">
        <f>TEXT(Inv_SY_D[[#This Row],[Date]],"mmm-yy")</f>
        <v>Aug-25</v>
      </c>
      <c r="G129" s="193">
        <f>DAY(EOMONTH(Inv_SY_D[[#This Row],[Month Year]],0))</f>
        <v>31</v>
      </c>
      <c r="H129" s="194">
        <f t="shared" si="2"/>
        <v>45872</v>
      </c>
      <c r="I129" s="195">
        <v>7.0991999999999997</v>
      </c>
      <c r="J129" s="196">
        <f>IFERROR(Inv_SY!J131/Inv_SY!$Y131-1,"")</f>
        <v>2.8349524531990022E-2</v>
      </c>
      <c r="K129" s="196">
        <f>IFERROR(Inv_SY!K131/Inv_SY!$Y131-1,"")</f>
        <v>-0.14800747311532458</v>
      </c>
      <c r="L129" s="196">
        <f>IFERROR(Inv_SY!L131/Inv_SY!$Y131-1,"")</f>
        <v>2.2972924075058465E-2</v>
      </c>
      <c r="M129" s="196">
        <f>IFERROR(Inv_SY!M131/Inv_SY!$Y131-1,"")</f>
        <v>4.8185031695226588E-2</v>
      </c>
      <c r="N129" s="196">
        <f>IFERROR(Inv_SY!N131/Inv_SY!$Y131-1,"")</f>
        <v>-0.11727029820931112</v>
      </c>
      <c r="O129" s="196">
        <f>IFERROR(Inv_SY!O131/Inv_SY!$Y131-1,"")</f>
        <v>3.7052059295307194E-2</v>
      </c>
      <c r="P129" s="196">
        <f>IFERROR(Inv_SY!P131/Inv_SY!$Y131-1,"")</f>
        <v>-9.1304056578562887E-2</v>
      </c>
      <c r="Q129" s="196">
        <f>IFERROR(Inv_SY!Q131/Inv_SY!$Y131-1,"")</f>
        <v>0.32135564260836835</v>
      </c>
      <c r="R129" s="196">
        <f>IFERROR(Inv_SY!R131/Inv_SY!$Y131-1,"")</f>
        <v>6.5756105078691673E-2</v>
      </c>
      <c r="S129" s="196">
        <f>IFERROR(Inv_SY!S131/Inv_SY!$Y131-1,"")</f>
        <v>-0.11441137130177537</v>
      </c>
      <c r="T129" s="196">
        <f>IFERROR(Inv_SY!T131/Inv_SY!$Y131-1,"")</f>
        <v>0.31234403220516427</v>
      </c>
      <c r="U129" s="196">
        <f>IFERROR(Inv_SY!U131/Inv_SY!$Y131-1,"")</f>
        <v>-0.12239407028912841</v>
      </c>
      <c r="V129" s="196">
        <f>IFERROR(Inv_SY!J131/Inv_SY!$Z131-1,"")</f>
        <v>1.7201910065828274E-2</v>
      </c>
      <c r="W129" s="196">
        <f>IFERROR(Inv_SY!K131/Inv_SY!$Z131-1,"")</f>
        <v>-0.15724332531458896</v>
      </c>
      <c r="X129" s="196">
        <f>IFERROR(Inv_SY!L131/Inv_SY!$Z131-1,"")</f>
        <v>1.1883593555748195E-2</v>
      </c>
      <c r="Y129" s="196">
        <f>IFERROR(Inv_SY!M131/Inv_SY!$Z131-1,"")</f>
        <v>3.6822394436403894E-2</v>
      </c>
      <c r="Z129" s="196">
        <f>IFERROR(Inv_SY!N131/Inv_SY!$Z131-1,"")</f>
        <v>-0.12683935051948825</v>
      </c>
      <c r="AA129" s="196">
        <f>IFERROR(Inv_SY!O131/Inv_SY!$Z131-1,"")</f>
        <v>2.5810106765962182E-2</v>
      </c>
      <c r="AB129" s="196">
        <f>IFERROR(Inv_SY!P131/Inv_SY!$Z131-1,"")</f>
        <v>-0.10115459066505195</v>
      </c>
      <c r="AC129" s="196">
        <f>IFERROR(Inv_SY!Q131/Inv_SY!$Z131-1,"")</f>
        <v>0.30703175474233446</v>
      </c>
      <c r="AD129" s="196">
        <f>IFERROR(Inv_SY!R131/Inv_SY!$Z131-1,"")</f>
        <v>5.4202992162358798E-2</v>
      </c>
      <c r="AE129" s="196">
        <f>IFERROR(Inv_SY!S131/Inv_SY!$Z131-1,"")</f>
        <v>-0.12401141522928871</v>
      </c>
      <c r="AF129" s="196">
        <f>IFERROR(Inv_SY!T131/Inv_SY!$Z131-1,"")</f>
        <v>0.29811783287410587</v>
      </c>
      <c r="AG129" s="196">
        <f>IFERROR(Inv_SY!U131/Inv_SY!$Z131-1,"")</f>
        <v>-0.13190757938720143</v>
      </c>
      <c r="AH129" s="196">
        <f>IFERROR(Inv_SY!V131/Inv_SY!$Y131-1,"")</f>
        <v>-1.8627035905031453E-2</v>
      </c>
      <c r="AI129" s="196">
        <f>IFERROR(Inv_SY!W131/Inv_SY!$Y131-1,"")</f>
        <v>1.095909706406295E-2</v>
      </c>
      <c r="AJ129" s="196">
        <f>IFERROR(Inv_SY!X131/Inv_SY!$Y131-1,"")</f>
        <v>7.6679388409688354E-3</v>
      </c>
      <c r="AK129" s="196">
        <f>IFERROR(Inv_SY!V131/Inv_SY!$Z131-1,"")</f>
        <v>-2.9265410494861532E-2</v>
      </c>
      <c r="AL129" s="196">
        <f>IFERROR(Inv_SY!W131/Inv_SY!$Z131-1,"")</f>
        <v>0</v>
      </c>
      <c r="AM129" s="196">
        <f>IFERROR(Inv_SY!X131/Inv_SY!$Z131-1,"")</f>
        <v>-3.2554810898403064E-3</v>
      </c>
    </row>
    <row r="130" spans="1:39" x14ac:dyDescent="0.25">
      <c r="A130" s="191">
        <f>YEAR(Inv_SY_D[[#This Row],[Date]])+IF(MONTH(Inv_SY_D[[#This Row],[Date]])&gt;=4,1,0)</f>
        <v>2026</v>
      </c>
      <c r="B130" s="191">
        <v>4</v>
      </c>
      <c r="C130" s="191">
        <f>YEAR(Inv_SY_D[[#This Row],[Month Year]])</f>
        <v>2025</v>
      </c>
      <c r="D130" s="191" t="s">
        <v>4</v>
      </c>
      <c r="E130" s="191" t="s">
        <v>4</v>
      </c>
      <c r="F130" s="192" t="str">
        <f>TEXT(Inv_SY_D[[#This Row],[Date]],"mmm-yy")</f>
        <v>Aug-25</v>
      </c>
      <c r="G130" s="193">
        <f>DAY(EOMONTH(Inv_SY_D[[#This Row],[Month Year]],0))</f>
        <v>31</v>
      </c>
      <c r="H130" s="194">
        <f t="shared" si="2"/>
        <v>45873</v>
      </c>
      <c r="I130" s="195">
        <v>7.0991999999999997</v>
      </c>
      <c r="J130" s="196">
        <f>IFERROR(Inv_SY!J132/Inv_SY!$Y132-1,"")</f>
        <v>9.8725441085345977E-2</v>
      </c>
      <c r="K130" s="196">
        <f>IFERROR(Inv_SY!K132/Inv_SY!$Y132-1,"")</f>
        <v>-0.14242603018482436</v>
      </c>
      <c r="L130" s="196">
        <f>IFERROR(Inv_SY!L132/Inv_SY!$Y132-1,"")</f>
        <v>2.9457872289798903E-2</v>
      </c>
      <c r="M130" s="196">
        <f>IFERROR(Inv_SY!M132/Inv_SY!$Y132-1,"")</f>
        <v>2.6914504989783206E-2</v>
      </c>
      <c r="N130" s="196">
        <f>IFERROR(Inv_SY!N132/Inv_SY!$Y132-1,"")</f>
        <v>-0.12818505724374629</v>
      </c>
      <c r="O130" s="196">
        <f>IFERROR(Inv_SY!O132/Inv_SY!$Y132-1,"")</f>
        <v>2.3773908962054557E-2</v>
      </c>
      <c r="P130" s="196">
        <f>IFERROR(Inv_SY!P132/Inv_SY!$Y132-1,"")</f>
        <v>-0.12667222988633475</v>
      </c>
      <c r="Q130" s="196">
        <f>IFERROR(Inv_SY!Q132/Inv_SY!$Y132-1,"")</f>
        <v>0.38345947376703249</v>
      </c>
      <c r="R130" s="196">
        <f>IFERROR(Inv_SY!R132/Inv_SY!$Y132-1,"")</f>
        <v>5.5537973312747013E-2</v>
      </c>
      <c r="S130" s="196">
        <f>IFERROR(Inv_SY!S132/Inv_SY!$Y132-1,"")</f>
        <v>-0.1236970887718517</v>
      </c>
      <c r="T130" s="196">
        <f>IFERROR(Inv_SY!T132/Inv_SY!$Y132-1,"")</f>
        <v>0.29840435268295562</v>
      </c>
      <c r="U130" s="196">
        <f>IFERROR(Inv_SY!U132/Inv_SY!$Y132-1,"")</f>
        <v>-0.13152202837580618</v>
      </c>
      <c r="V130" s="196">
        <f>IFERROR(Inv_SY!J132/Inv_SY!$Z132-1,"")</f>
        <v>9.1656781074813232E-2</v>
      </c>
      <c r="W130" s="196">
        <f>IFERROR(Inv_SY!K132/Inv_SY!$Z132-1,"")</f>
        <v>-0.14794324003528359</v>
      </c>
      <c r="X130" s="196">
        <f>IFERROR(Inv_SY!L132/Inv_SY!$Z132-1,"")</f>
        <v>2.283484580631745E-2</v>
      </c>
      <c r="Y130" s="196">
        <f>IFERROR(Inv_SY!M132/Inv_SY!$Z132-1,"")</f>
        <v>2.0307841282709349E-2</v>
      </c>
      <c r="Z130" s="196">
        <f>IFERROR(Inv_SY!N132/Inv_SY!$Z132-1,"")</f>
        <v>-0.13379388652174906</v>
      </c>
      <c r="AA130" s="196">
        <f>IFERROR(Inv_SY!O132/Inv_SY!$Z132-1,"")</f>
        <v>1.7187450307781349E-2</v>
      </c>
      <c r="AB130" s="196">
        <f>IFERROR(Inv_SY!P132/Inv_SY!$Z132-1,"")</f>
        <v>-0.1322907919527524</v>
      </c>
      <c r="AC130" s="196">
        <f>IFERROR(Inv_SY!Q132/Inv_SY!$Z132-1,"")</f>
        <v>0.37455897479547007</v>
      </c>
      <c r="AD130" s="196">
        <f>IFERROR(Inv_SY!R132/Inv_SY!$Z132-1,"")</f>
        <v>4.8747160264690059E-2</v>
      </c>
      <c r="AE130" s="196">
        <f>IFERROR(Inv_SY!S132/Inv_SY!$Z132-1,"")</f>
        <v>-0.12933479143539695</v>
      </c>
      <c r="AF130" s="196">
        <f>IFERROR(Inv_SY!T132/Inv_SY!$Z132-1,"")</f>
        <v>0.29005105659813468</v>
      </c>
      <c r="AG130" s="196">
        <f>IFERROR(Inv_SY!U132/Inv_SY!$Z132-1,"")</f>
        <v>-0.13710938922000782</v>
      </c>
      <c r="AH130" s="196">
        <f>IFERROR(Inv_SY!V132/Inv_SY!$Y132-1,"")</f>
        <v>-3.7902303307121299E-3</v>
      </c>
      <c r="AI130" s="196">
        <f>IFERROR(Inv_SY!W132/Inv_SY!$Y132-1,"")</f>
        <v>6.4751670424958441E-3</v>
      </c>
      <c r="AJ130" s="196">
        <f>IFERROR(Inv_SY!X132/Inv_SY!$Y132-1,"")</f>
        <v>-2.6849367117838252E-3</v>
      </c>
      <c r="AK130" s="196">
        <f>IFERROR(Inv_SY!V132/Inv_SY!$Z132-1,"")</f>
        <v>-1.0199354846848863E-2</v>
      </c>
      <c r="AL130" s="196">
        <f>IFERROR(Inv_SY!W132/Inv_SY!$Z132-1,"")</f>
        <v>0</v>
      </c>
      <c r="AM130" s="196">
        <f>IFERROR(Inv_SY!X132/Inv_SY!$Z132-1,"")</f>
        <v>-9.1011721443622351E-3</v>
      </c>
    </row>
    <row r="131" spans="1:39" x14ac:dyDescent="0.25">
      <c r="A131" s="191">
        <f>YEAR(Inv_SY_D[[#This Row],[Date]])+IF(MONTH(Inv_SY_D[[#This Row],[Date]])&gt;=4,1,0)</f>
        <v>2026</v>
      </c>
      <c r="B131" s="191">
        <v>4</v>
      </c>
      <c r="C131" s="191">
        <f>YEAR(Inv_SY_D[[#This Row],[Month Year]])</f>
        <v>2025</v>
      </c>
      <c r="D131" s="191" t="s">
        <v>4</v>
      </c>
      <c r="E131" s="191" t="s">
        <v>4</v>
      </c>
      <c r="F131" s="192" t="str">
        <f>TEXT(Inv_SY_D[[#This Row],[Date]],"mmm-yy")</f>
        <v>Aug-25</v>
      </c>
      <c r="G131" s="193">
        <f>DAY(EOMONTH(Inv_SY_D[[#This Row],[Month Year]],0))</f>
        <v>31</v>
      </c>
      <c r="H131" s="194">
        <f t="shared" si="2"/>
        <v>45874</v>
      </c>
      <c r="I131" s="195">
        <v>7.0991999999999997</v>
      </c>
      <c r="J131" s="196" t="str">
        <f>IFERROR(Inv_SY!J144/Inv_SY!$Y144-1,"")</f>
        <v/>
      </c>
      <c r="K131" s="196" t="str">
        <f>IFERROR(Inv_SY!K144/Inv_SY!$Y144-1,"")</f>
        <v/>
      </c>
      <c r="L131" s="196" t="str">
        <f>IFERROR(Inv_SY!L144/Inv_SY!$Y144-1,"")</f>
        <v/>
      </c>
      <c r="M131" s="196" t="str">
        <f>IFERROR(Inv_SY!M144/Inv_SY!$Y144-1,"")</f>
        <v/>
      </c>
      <c r="N131" s="196" t="str">
        <f>IFERROR(Inv_SY!N144/Inv_SY!$Y144-1,"")</f>
        <v/>
      </c>
      <c r="O131" s="196" t="str">
        <f>IFERROR(Inv_SY!O144/Inv_SY!$Y144-1,"")</f>
        <v/>
      </c>
      <c r="P131" s="196" t="str">
        <f>IFERROR(Inv_SY!P144/Inv_SY!$Y144-1,"")</f>
        <v/>
      </c>
      <c r="Q131" s="196" t="str">
        <f>IFERROR(Inv_SY!Q144/Inv_SY!$Y144-1,"")</f>
        <v/>
      </c>
      <c r="R131" s="196" t="str">
        <f>IFERROR(Inv_SY!R144/Inv_SY!$Y144-1,"")</f>
        <v/>
      </c>
      <c r="S131" s="196" t="str">
        <f>IFERROR(Inv_SY!S144/Inv_SY!$Y144-1,"")</f>
        <v/>
      </c>
      <c r="T131" s="196" t="str">
        <f>IFERROR(Inv_SY!T144/Inv_SY!$Y144-1,"")</f>
        <v/>
      </c>
      <c r="U131" s="196" t="str">
        <f>IFERROR(Inv_SY!U144/Inv_SY!$Y144-1,"")</f>
        <v/>
      </c>
      <c r="V131" s="196" t="str">
        <f>IFERROR(Inv_SY!J144/Inv_SY!$Z144-1,"")</f>
        <v/>
      </c>
      <c r="W131" s="196" t="str">
        <f>IFERROR(Inv_SY!K144/Inv_SY!$Z144-1,"")</f>
        <v/>
      </c>
      <c r="X131" s="196" t="str">
        <f>IFERROR(Inv_SY!L144/Inv_SY!$Z144-1,"")</f>
        <v/>
      </c>
      <c r="Y131" s="196" t="str">
        <f>IFERROR(Inv_SY!M144/Inv_SY!$Z144-1,"")</f>
        <v/>
      </c>
      <c r="Z131" s="196" t="str">
        <f>IFERROR(Inv_SY!N144/Inv_SY!$Z144-1,"")</f>
        <v/>
      </c>
      <c r="AA131" s="196" t="str">
        <f>IFERROR(Inv_SY!O144/Inv_SY!$Z144-1,"")</f>
        <v/>
      </c>
      <c r="AB131" s="196" t="str">
        <f>IFERROR(Inv_SY!P144/Inv_SY!$Z144-1,"")</f>
        <v/>
      </c>
      <c r="AC131" s="196" t="str">
        <f>IFERROR(Inv_SY!Q144/Inv_SY!$Z144-1,"")</f>
        <v/>
      </c>
      <c r="AD131" s="196" t="str">
        <f>IFERROR(Inv_SY!R144/Inv_SY!$Z144-1,"")</f>
        <v/>
      </c>
      <c r="AE131" s="196" t="str">
        <f>IFERROR(Inv_SY!S144/Inv_SY!$Z144-1,"")</f>
        <v/>
      </c>
      <c r="AF131" s="196" t="str">
        <f>IFERROR(Inv_SY!T144/Inv_SY!$Z144-1,"")</f>
        <v/>
      </c>
      <c r="AG131" s="196" t="str">
        <f>IFERROR(Inv_SY!U144/Inv_SY!$Z144-1,"")</f>
        <v/>
      </c>
      <c r="AH131" s="196" t="str">
        <f>IFERROR(Inv_SY!V144/Inv_SY!$Y144-1,"")</f>
        <v/>
      </c>
      <c r="AI131" s="196" t="str">
        <f>IFERROR(Inv_SY!W144/Inv_SY!$Y144-1,"")</f>
        <v/>
      </c>
      <c r="AJ131" s="196" t="str">
        <f>IFERROR(Inv_SY!X144/Inv_SY!$Y144-1,"")</f>
        <v/>
      </c>
      <c r="AK131" s="196" t="str">
        <f>IFERROR(Inv_SY!V144/Inv_SY!$Z144-1,"")</f>
        <v/>
      </c>
      <c r="AL131" s="196" t="str">
        <f>IFERROR(Inv_SY!W144/Inv_SY!$Z144-1,"")</f>
        <v/>
      </c>
      <c r="AM131" s="196" t="str">
        <f>IFERROR(Inv_SY!X144/Inv_SY!$Z144-1,"")</f>
        <v/>
      </c>
    </row>
    <row r="132" spans="1:39" x14ac:dyDescent="0.25">
      <c r="A132" s="191">
        <f>YEAR(Inv_SY_D[[#This Row],[Date]])+IF(MONTH(Inv_SY_D[[#This Row],[Date]])&gt;=4,1,0)</f>
        <v>2026</v>
      </c>
      <c r="B132" s="191">
        <v>4</v>
      </c>
      <c r="C132" s="191">
        <f>YEAR(Inv_SY_D[[#This Row],[Month Year]])</f>
        <v>2025</v>
      </c>
      <c r="D132" s="191" t="s">
        <v>4</v>
      </c>
      <c r="E132" s="191" t="s">
        <v>4</v>
      </c>
      <c r="F132" s="192" t="str">
        <f>TEXT(Inv_SY_D[[#This Row],[Date]],"mmm-yy")</f>
        <v>Aug-25</v>
      </c>
      <c r="G132" s="193">
        <f>DAY(EOMONTH(Inv_SY_D[[#This Row],[Month Year]],0))</f>
        <v>31</v>
      </c>
      <c r="H132" s="194">
        <f t="shared" si="2"/>
        <v>45875</v>
      </c>
      <c r="I132" s="195">
        <v>7.0991999999999997</v>
      </c>
      <c r="J132" s="196" t="str">
        <f>IFERROR(Inv_SY!J145/Inv_SY!$Y145-1,"")</f>
        <v/>
      </c>
      <c r="K132" s="196" t="str">
        <f>IFERROR(Inv_SY!K145/Inv_SY!$Y145-1,"")</f>
        <v/>
      </c>
      <c r="L132" s="196" t="str">
        <f>IFERROR(Inv_SY!L145/Inv_SY!$Y145-1,"")</f>
        <v/>
      </c>
      <c r="M132" s="196" t="str">
        <f>IFERROR(Inv_SY!M145/Inv_SY!$Y145-1,"")</f>
        <v/>
      </c>
      <c r="N132" s="196" t="str">
        <f>IFERROR(Inv_SY!N145/Inv_SY!$Y145-1,"")</f>
        <v/>
      </c>
      <c r="O132" s="196" t="str">
        <f>IFERROR(Inv_SY!O145/Inv_SY!$Y145-1,"")</f>
        <v/>
      </c>
      <c r="P132" s="196" t="str">
        <f>IFERROR(Inv_SY!P145/Inv_SY!$Y145-1,"")</f>
        <v/>
      </c>
      <c r="Q132" s="196" t="str">
        <f>IFERROR(Inv_SY!Q145/Inv_SY!$Y145-1,"")</f>
        <v/>
      </c>
      <c r="R132" s="196" t="str">
        <f>IFERROR(Inv_SY!R145/Inv_SY!$Y145-1,"")</f>
        <v/>
      </c>
      <c r="S132" s="196" t="str">
        <f>IFERROR(Inv_SY!S145/Inv_SY!$Y145-1,"")</f>
        <v/>
      </c>
      <c r="T132" s="196" t="str">
        <f>IFERROR(Inv_SY!T145/Inv_SY!$Y145-1,"")</f>
        <v/>
      </c>
      <c r="U132" s="196" t="str">
        <f>IFERROR(Inv_SY!U145/Inv_SY!$Y145-1,"")</f>
        <v/>
      </c>
      <c r="V132" s="196" t="str">
        <f>IFERROR(Inv_SY!J145/Inv_SY!$Z145-1,"")</f>
        <v/>
      </c>
      <c r="W132" s="196" t="str">
        <f>IFERROR(Inv_SY!K145/Inv_SY!$Z145-1,"")</f>
        <v/>
      </c>
      <c r="X132" s="196" t="str">
        <f>IFERROR(Inv_SY!L145/Inv_SY!$Z145-1,"")</f>
        <v/>
      </c>
      <c r="Y132" s="196" t="str">
        <f>IFERROR(Inv_SY!M145/Inv_SY!$Z145-1,"")</f>
        <v/>
      </c>
      <c r="Z132" s="196" t="str">
        <f>IFERROR(Inv_SY!N145/Inv_SY!$Z145-1,"")</f>
        <v/>
      </c>
      <c r="AA132" s="196" t="str">
        <f>IFERROR(Inv_SY!O145/Inv_SY!$Z145-1,"")</f>
        <v/>
      </c>
      <c r="AB132" s="196" t="str">
        <f>IFERROR(Inv_SY!P145/Inv_SY!$Z145-1,"")</f>
        <v/>
      </c>
      <c r="AC132" s="196" t="str">
        <f>IFERROR(Inv_SY!Q145/Inv_SY!$Z145-1,"")</f>
        <v/>
      </c>
      <c r="AD132" s="196" t="str">
        <f>IFERROR(Inv_SY!R145/Inv_SY!$Z145-1,"")</f>
        <v/>
      </c>
      <c r="AE132" s="196" t="str">
        <f>IFERROR(Inv_SY!S145/Inv_SY!$Z145-1,"")</f>
        <v/>
      </c>
      <c r="AF132" s="196" t="str">
        <f>IFERROR(Inv_SY!T145/Inv_SY!$Z145-1,"")</f>
        <v/>
      </c>
      <c r="AG132" s="196" t="str">
        <f>IFERROR(Inv_SY!U145/Inv_SY!$Z145-1,"")</f>
        <v/>
      </c>
      <c r="AH132" s="196" t="str">
        <f>IFERROR(Inv_SY!V145/Inv_SY!$Y145-1,"")</f>
        <v/>
      </c>
      <c r="AI132" s="196" t="str">
        <f>IFERROR(Inv_SY!W145/Inv_SY!$Y145-1,"")</f>
        <v/>
      </c>
      <c r="AJ132" s="196" t="str">
        <f>IFERROR(Inv_SY!X145/Inv_SY!$Y145-1,"")</f>
        <v/>
      </c>
      <c r="AK132" s="196" t="str">
        <f>IFERROR(Inv_SY!V145/Inv_SY!$Z145-1,"")</f>
        <v/>
      </c>
      <c r="AL132" s="196" t="str">
        <f>IFERROR(Inv_SY!W145/Inv_SY!$Z145-1,"")</f>
        <v/>
      </c>
      <c r="AM132" s="196" t="str">
        <f>IFERROR(Inv_SY!X145/Inv_SY!$Z145-1,"")</f>
        <v/>
      </c>
    </row>
    <row r="133" spans="1:39" x14ac:dyDescent="0.25">
      <c r="A133" s="191">
        <f>YEAR(Inv_SY_D[[#This Row],[Date]])+IF(MONTH(Inv_SY_D[[#This Row],[Date]])&gt;=4,1,0)</f>
        <v>2026</v>
      </c>
      <c r="B133" s="191">
        <v>4</v>
      </c>
      <c r="C133" s="191">
        <f>YEAR(Inv_SY_D[[#This Row],[Month Year]])</f>
        <v>2025</v>
      </c>
      <c r="D133" s="191" t="s">
        <v>4</v>
      </c>
      <c r="E133" s="191" t="s">
        <v>4</v>
      </c>
      <c r="F133" s="192" t="str">
        <f>TEXT(Inv_SY_D[[#This Row],[Date]],"mmm-yy")</f>
        <v>Aug-25</v>
      </c>
      <c r="G133" s="193">
        <f>DAY(EOMONTH(Inv_SY_D[[#This Row],[Month Year]],0))</f>
        <v>31</v>
      </c>
      <c r="H133" s="194">
        <f t="shared" si="2"/>
        <v>45876</v>
      </c>
      <c r="I133" s="195">
        <v>7.0991999999999997</v>
      </c>
      <c r="J133" s="196" t="str">
        <f>IFERROR(Inv_SY!J146/Inv_SY!$Y146-1,"")</f>
        <v/>
      </c>
      <c r="K133" s="196" t="str">
        <f>IFERROR(Inv_SY!K146/Inv_SY!$Y146-1,"")</f>
        <v/>
      </c>
      <c r="L133" s="196" t="str">
        <f>IFERROR(Inv_SY!L146/Inv_SY!$Y146-1,"")</f>
        <v/>
      </c>
      <c r="M133" s="196" t="str">
        <f>IFERROR(Inv_SY!M146/Inv_SY!$Y146-1,"")</f>
        <v/>
      </c>
      <c r="N133" s="196" t="str">
        <f>IFERROR(Inv_SY!N146/Inv_SY!$Y146-1,"")</f>
        <v/>
      </c>
      <c r="O133" s="196" t="str">
        <f>IFERROR(Inv_SY!O146/Inv_SY!$Y146-1,"")</f>
        <v/>
      </c>
      <c r="P133" s="196" t="str">
        <f>IFERROR(Inv_SY!P146/Inv_SY!$Y146-1,"")</f>
        <v/>
      </c>
      <c r="Q133" s="196" t="str">
        <f>IFERROR(Inv_SY!Q146/Inv_SY!$Y146-1,"")</f>
        <v/>
      </c>
      <c r="R133" s="196" t="str">
        <f>IFERROR(Inv_SY!R146/Inv_SY!$Y146-1,"")</f>
        <v/>
      </c>
      <c r="S133" s="196" t="str">
        <f>IFERROR(Inv_SY!S146/Inv_SY!$Y146-1,"")</f>
        <v/>
      </c>
      <c r="T133" s="196" t="str">
        <f>IFERROR(Inv_SY!T146/Inv_SY!$Y146-1,"")</f>
        <v/>
      </c>
      <c r="U133" s="196" t="str">
        <f>IFERROR(Inv_SY!U146/Inv_SY!$Y146-1,"")</f>
        <v/>
      </c>
      <c r="V133" s="196" t="str">
        <f>IFERROR(Inv_SY!J146/Inv_SY!$Z146-1,"")</f>
        <v/>
      </c>
      <c r="W133" s="196" t="str">
        <f>IFERROR(Inv_SY!K146/Inv_SY!$Z146-1,"")</f>
        <v/>
      </c>
      <c r="X133" s="196" t="str">
        <f>IFERROR(Inv_SY!L146/Inv_SY!$Z146-1,"")</f>
        <v/>
      </c>
      <c r="Y133" s="196" t="str">
        <f>IFERROR(Inv_SY!M146/Inv_SY!$Z146-1,"")</f>
        <v/>
      </c>
      <c r="Z133" s="196" t="str">
        <f>IFERROR(Inv_SY!N146/Inv_SY!$Z146-1,"")</f>
        <v/>
      </c>
      <c r="AA133" s="196" t="str">
        <f>IFERROR(Inv_SY!O146/Inv_SY!$Z146-1,"")</f>
        <v/>
      </c>
      <c r="AB133" s="196" t="str">
        <f>IFERROR(Inv_SY!P146/Inv_SY!$Z146-1,"")</f>
        <v/>
      </c>
      <c r="AC133" s="196" t="str">
        <f>IFERROR(Inv_SY!Q146/Inv_SY!$Z146-1,"")</f>
        <v/>
      </c>
      <c r="AD133" s="196" t="str">
        <f>IFERROR(Inv_SY!R146/Inv_SY!$Z146-1,"")</f>
        <v/>
      </c>
      <c r="AE133" s="196" t="str">
        <f>IFERROR(Inv_SY!S146/Inv_SY!$Z146-1,"")</f>
        <v/>
      </c>
      <c r="AF133" s="196" t="str">
        <f>IFERROR(Inv_SY!T146/Inv_SY!$Z146-1,"")</f>
        <v/>
      </c>
      <c r="AG133" s="196" t="str">
        <f>IFERROR(Inv_SY!U146/Inv_SY!$Z146-1,"")</f>
        <v/>
      </c>
      <c r="AH133" s="196" t="str">
        <f>IFERROR(Inv_SY!V146/Inv_SY!$Y146-1,"")</f>
        <v/>
      </c>
      <c r="AI133" s="196" t="str">
        <f>IFERROR(Inv_SY!W146/Inv_SY!$Y146-1,"")</f>
        <v/>
      </c>
      <c r="AJ133" s="196" t="str">
        <f>IFERROR(Inv_SY!X146/Inv_SY!$Y146-1,"")</f>
        <v/>
      </c>
      <c r="AK133" s="196" t="str">
        <f>IFERROR(Inv_SY!V146/Inv_SY!$Z146-1,"")</f>
        <v/>
      </c>
      <c r="AL133" s="196" t="str">
        <f>IFERROR(Inv_SY!W146/Inv_SY!$Z146-1,"")</f>
        <v/>
      </c>
      <c r="AM133" s="196" t="str">
        <f>IFERROR(Inv_SY!X146/Inv_SY!$Z146-1,"")</f>
        <v/>
      </c>
    </row>
    <row r="134" spans="1:39" x14ac:dyDescent="0.25">
      <c r="A134" s="191">
        <f>YEAR(Inv_SY_D[[#This Row],[Date]])+IF(MONTH(Inv_SY_D[[#This Row],[Date]])&gt;=4,1,0)</f>
        <v>2026</v>
      </c>
      <c r="B134" s="191">
        <v>4</v>
      </c>
      <c r="C134" s="191">
        <f>YEAR(Inv_SY_D[[#This Row],[Month Year]])</f>
        <v>2025</v>
      </c>
      <c r="D134" s="191" t="s">
        <v>4</v>
      </c>
      <c r="E134" s="191" t="s">
        <v>4</v>
      </c>
      <c r="F134" s="192" t="str">
        <f>TEXT(Inv_SY_D[[#This Row],[Date]],"mmm-yy")</f>
        <v>Aug-25</v>
      </c>
      <c r="G134" s="193">
        <f>DAY(EOMONTH(Inv_SY_D[[#This Row],[Month Year]],0))</f>
        <v>31</v>
      </c>
      <c r="H134" s="194">
        <f t="shared" si="2"/>
        <v>45877</v>
      </c>
      <c r="I134" s="195">
        <v>7.0991999999999997</v>
      </c>
      <c r="J134" s="196" t="str">
        <f>IFERROR(Inv_SY!J147/Inv_SY!$Y147-1,"")</f>
        <v/>
      </c>
      <c r="K134" s="196" t="str">
        <f>IFERROR(Inv_SY!K147/Inv_SY!$Y147-1,"")</f>
        <v/>
      </c>
      <c r="L134" s="196" t="str">
        <f>IFERROR(Inv_SY!L147/Inv_SY!$Y147-1,"")</f>
        <v/>
      </c>
      <c r="M134" s="196" t="str">
        <f>IFERROR(Inv_SY!M147/Inv_SY!$Y147-1,"")</f>
        <v/>
      </c>
      <c r="N134" s="196" t="str">
        <f>IFERROR(Inv_SY!N147/Inv_SY!$Y147-1,"")</f>
        <v/>
      </c>
      <c r="O134" s="196" t="str">
        <f>IFERROR(Inv_SY!O147/Inv_SY!$Y147-1,"")</f>
        <v/>
      </c>
      <c r="P134" s="196" t="str">
        <f>IFERROR(Inv_SY!P147/Inv_SY!$Y147-1,"")</f>
        <v/>
      </c>
      <c r="Q134" s="196" t="str">
        <f>IFERROR(Inv_SY!Q147/Inv_SY!$Y147-1,"")</f>
        <v/>
      </c>
      <c r="R134" s="196" t="str">
        <f>IFERROR(Inv_SY!R147/Inv_SY!$Y147-1,"")</f>
        <v/>
      </c>
      <c r="S134" s="196" t="str">
        <f>IFERROR(Inv_SY!S147/Inv_SY!$Y147-1,"")</f>
        <v/>
      </c>
      <c r="T134" s="196" t="str">
        <f>IFERROR(Inv_SY!T147/Inv_SY!$Y147-1,"")</f>
        <v/>
      </c>
      <c r="U134" s="196" t="str">
        <f>IFERROR(Inv_SY!U147/Inv_SY!$Y147-1,"")</f>
        <v/>
      </c>
      <c r="V134" s="196" t="str">
        <f>IFERROR(Inv_SY!J147/Inv_SY!$Z147-1,"")</f>
        <v/>
      </c>
      <c r="W134" s="196" t="str">
        <f>IFERROR(Inv_SY!K147/Inv_SY!$Z147-1,"")</f>
        <v/>
      </c>
      <c r="X134" s="196" t="str">
        <f>IFERROR(Inv_SY!L147/Inv_SY!$Z147-1,"")</f>
        <v/>
      </c>
      <c r="Y134" s="196" t="str">
        <f>IFERROR(Inv_SY!M147/Inv_SY!$Z147-1,"")</f>
        <v/>
      </c>
      <c r="Z134" s="196" t="str">
        <f>IFERROR(Inv_SY!N147/Inv_SY!$Z147-1,"")</f>
        <v/>
      </c>
      <c r="AA134" s="196" t="str">
        <f>IFERROR(Inv_SY!O147/Inv_SY!$Z147-1,"")</f>
        <v/>
      </c>
      <c r="AB134" s="196" t="str">
        <f>IFERROR(Inv_SY!P147/Inv_SY!$Z147-1,"")</f>
        <v/>
      </c>
      <c r="AC134" s="196" t="str">
        <f>IFERROR(Inv_SY!Q147/Inv_SY!$Z147-1,"")</f>
        <v/>
      </c>
      <c r="AD134" s="196" t="str">
        <f>IFERROR(Inv_SY!R147/Inv_SY!$Z147-1,"")</f>
        <v/>
      </c>
      <c r="AE134" s="196" t="str">
        <f>IFERROR(Inv_SY!S147/Inv_SY!$Z147-1,"")</f>
        <v/>
      </c>
      <c r="AF134" s="196" t="str">
        <f>IFERROR(Inv_SY!T147/Inv_SY!$Z147-1,"")</f>
        <v/>
      </c>
      <c r="AG134" s="196" t="str">
        <f>IFERROR(Inv_SY!U147/Inv_SY!$Z147-1,"")</f>
        <v/>
      </c>
      <c r="AH134" s="196" t="str">
        <f>IFERROR(Inv_SY!V147/Inv_SY!$Y147-1,"")</f>
        <v/>
      </c>
      <c r="AI134" s="196" t="str">
        <f>IFERROR(Inv_SY!W147/Inv_SY!$Y147-1,"")</f>
        <v/>
      </c>
      <c r="AJ134" s="196" t="str">
        <f>IFERROR(Inv_SY!X147/Inv_SY!$Y147-1,"")</f>
        <v/>
      </c>
      <c r="AK134" s="196" t="str">
        <f>IFERROR(Inv_SY!V147/Inv_SY!$Z147-1,"")</f>
        <v/>
      </c>
      <c r="AL134" s="196" t="str">
        <f>IFERROR(Inv_SY!W147/Inv_SY!$Z147-1,"")</f>
        <v/>
      </c>
      <c r="AM134" s="196" t="str">
        <f>IFERROR(Inv_SY!X147/Inv_SY!$Z147-1,"")</f>
        <v/>
      </c>
    </row>
    <row r="135" spans="1:39" x14ac:dyDescent="0.25">
      <c r="A135" s="191">
        <f>YEAR(Inv_SY_D[[#This Row],[Date]])+IF(MONTH(Inv_SY_D[[#This Row],[Date]])&gt;=4,1,0)</f>
        <v>2026</v>
      </c>
      <c r="B135" s="191">
        <v>4</v>
      </c>
      <c r="C135" s="191">
        <f>YEAR(Inv_SY_D[[#This Row],[Month Year]])</f>
        <v>2025</v>
      </c>
      <c r="D135" s="191" t="s">
        <v>4</v>
      </c>
      <c r="E135" s="191" t="s">
        <v>4</v>
      </c>
      <c r="F135" s="192" t="str">
        <f>TEXT(Inv_SY_D[[#This Row],[Date]],"mmm-yy")</f>
        <v>Aug-25</v>
      </c>
      <c r="G135" s="193">
        <f>DAY(EOMONTH(Inv_SY_D[[#This Row],[Month Year]],0))</f>
        <v>31</v>
      </c>
      <c r="H135" s="194">
        <f t="shared" si="2"/>
        <v>45878</v>
      </c>
      <c r="I135" s="195">
        <v>7.0991999999999997</v>
      </c>
      <c r="J135" s="196" t="str">
        <f>IFERROR(Inv_SY!J148/Inv_SY!$Y148-1,"")</f>
        <v/>
      </c>
      <c r="K135" s="196" t="str">
        <f>IFERROR(Inv_SY!K148/Inv_SY!$Y148-1,"")</f>
        <v/>
      </c>
      <c r="L135" s="196" t="str">
        <f>IFERROR(Inv_SY!L148/Inv_SY!$Y148-1,"")</f>
        <v/>
      </c>
      <c r="M135" s="196" t="str">
        <f>IFERROR(Inv_SY!M148/Inv_SY!$Y148-1,"")</f>
        <v/>
      </c>
      <c r="N135" s="196" t="str">
        <f>IFERROR(Inv_SY!N148/Inv_SY!$Y148-1,"")</f>
        <v/>
      </c>
      <c r="O135" s="196" t="str">
        <f>IFERROR(Inv_SY!O148/Inv_SY!$Y148-1,"")</f>
        <v/>
      </c>
      <c r="P135" s="196" t="str">
        <f>IFERROR(Inv_SY!P148/Inv_SY!$Y148-1,"")</f>
        <v/>
      </c>
      <c r="Q135" s="196" t="str">
        <f>IFERROR(Inv_SY!Q148/Inv_SY!$Y148-1,"")</f>
        <v/>
      </c>
      <c r="R135" s="196" t="str">
        <f>IFERROR(Inv_SY!R148/Inv_SY!$Y148-1,"")</f>
        <v/>
      </c>
      <c r="S135" s="196" t="str">
        <f>IFERROR(Inv_SY!S148/Inv_SY!$Y148-1,"")</f>
        <v/>
      </c>
      <c r="T135" s="196" t="str">
        <f>IFERROR(Inv_SY!T148/Inv_SY!$Y148-1,"")</f>
        <v/>
      </c>
      <c r="U135" s="196" t="str">
        <f>IFERROR(Inv_SY!U148/Inv_SY!$Y148-1,"")</f>
        <v/>
      </c>
      <c r="V135" s="196" t="str">
        <f>IFERROR(Inv_SY!J148/Inv_SY!$Z148-1,"")</f>
        <v/>
      </c>
      <c r="W135" s="196" t="str">
        <f>IFERROR(Inv_SY!K148/Inv_SY!$Z148-1,"")</f>
        <v/>
      </c>
      <c r="X135" s="196" t="str">
        <f>IFERROR(Inv_SY!L148/Inv_SY!$Z148-1,"")</f>
        <v/>
      </c>
      <c r="Y135" s="196" t="str">
        <f>IFERROR(Inv_SY!M148/Inv_SY!$Z148-1,"")</f>
        <v/>
      </c>
      <c r="Z135" s="196" t="str">
        <f>IFERROR(Inv_SY!N148/Inv_SY!$Z148-1,"")</f>
        <v/>
      </c>
      <c r="AA135" s="196" t="str">
        <f>IFERROR(Inv_SY!O148/Inv_SY!$Z148-1,"")</f>
        <v/>
      </c>
      <c r="AB135" s="196" t="str">
        <f>IFERROR(Inv_SY!P148/Inv_SY!$Z148-1,"")</f>
        <v/>
      </c>
      <c r="AC135" s="196" t="str">
        <f>IFERROR(Inv_SY!Q148/Inv_SY!$Z148-1,"")</f>
        <v/>
      </c>
      <c r="AD135" s="196" t="str">
        <f>IFERROR(Inv_SY!R148/Inv_SY!$Z148-1,"")</f>
        <v/>
      </c>
      <c r="AE135" s="196" t="str">
        <f>IFERROR(Inv_SY!S148/Inv_SY!$Z148-1,"")</f>
        <v/>
      </c>
      <c r="AF135" s="196" t="str">
        <f>IFERROR(Inv_SY!T148/Inv_SY!$Z148-1,"")</f>
        <v/>
      </c>
      <c r="AG135" s="196" t="str">
        <f>IFERROR(Inv_SY!U148/Inv_SY!$Z148-1,"")</f>
        <v/>
      </c>
      <c r="AH135" s="196" t="str">
        <f>IFERROR(Inv_SY!V148/Inv_SY!$Y148-1,"")</f>
        <v/>
      </c>
      <c r="AI135" s="196" t="str">
        <f>IFERROR(Inv_SY!W148/Inv_SY!$Y148-1,"")</f>
        <v/>
      </c>
      <c r="AJ135" s="196" t="str">
        <f>IFERROR(Inv_SY!X148/Inv_SY!$Y148-1,"")</f>
        <v/>
      </c>
      <c r="AK135" s="196" t="str">
        <f>IFERROR(Inv_SY!V148/Inv_SY!$Z148-1,"")</f>
        <v/>
      </c>
      <c r="AL135" s="196" t="str">
        <f>IFERROR(Inv_SY!W148/Inv_SY!$Z148-1,"")</f>
        <v/>
      </c>
      <c r="AM135" s="196" t="str">
        <f>IFERROR(Inv_SY!X148/Inv_SY!$Z148-1,"")</f>
        <v/>
      </c>
    </row>
    <row r="136" spans="1:39" x14ac:dyDescent="0.25">
      <c r="A136" s="191">
        <f>YEAR(Inv_SY_D[[#This Row],[Date]])+IF(MONTH(Inv_SY_D[[#This Row],[Date]])&gt;=4,1,0)</f>
        <v>2026</v>
      </c>
      <c r="B136" s="191">
        <v>4</v>
      </c>
      <c r="C136" s="191">
        <f>YEAR(Inv_SY_D[[#This Row],[Month Year]])</f>
        <v>2025</v>
      </c>
      <c r="D136" s="191" t="s">
        <v>4</v>
      </c>
      <c r="E136" s="191" t="s">
        <v>4</v>
      </c>
      <c r="F136" s="192" t="str">
        <f>TEXT(Inv_SY_D[[#This Row],[Date]],"mmm-yy")</f>
        <v>Aug-25</v>
      </c>
      <c r="G136" s="193">
        <f>DAY(EOMONTH(Inv_SY_D[[#This Row],[Month Year]],0))</f>
        <v>31</v>
      </c>
      <c r="H136" s="194">
        <f t="shared" si="2"/>
        <v>45879</v>
      </c>
      <c r="I136" s="195">
        <v>7.0991999999999997</v>
      </c>
      <c r="J136" s="196" t="str">
        <f>IFERROR(Inv_SY!J149/Inv_SY!$Y149-1,"")</f>
        <v/>
      </c>
      <c r="K136" s="196" t="str">
        <f>IFERROR(Inv_SY!K149/Inv_SY!$Y149-1,"")</f>
        <v/>
      </c>
      <c r="L136" s="196" t="str">
        <f>IFERROR(Inv_SY!L149/Inv_SY!$Y149-1,"")</f>
        <v/>
      </c>
      <c r="M136" s="196" t="str">
        <f>IFERROR(Inv_SY!M149/Inv_SY!$Y149-1,"")</f>
        <v/>
      </c>
      <c r="N136" s="196" t="str">
        <f>IFERROR(Inv_SY!N149/Inv_SY!$Y149-1,"")</f>
        <v/>
      </c>
      <c r="O136" s="196" t="str">
        <f>IFERROR(Inv_SY!O149/Inv_SY!$Y149-1,"")</f>
        <v/>
      </c>
      <c r="P136" s="196" t="str">
        <f>IFERROR(Inv_SY!P149/Inv_SY!$Y149-1,"")</f>
        <v/>
      </c>
      <c r="Q136" s="196" t="str">
        <f>IFERROR(Inv_SY!Q149/Inv_SY!$Y149-1,"")</f>
        <v/>
      </c>
      <c r="R136" s="196" t="str">
        <f>IFERROR(Inv_SY!R149/Inv_SY!$Y149-1,"")</f>
        <v/>
      </c>
      <c r="S136" s="196" t="str">
        <f>IFERROR(Inv_SY!S149/Inv_SY!$Y149-1,"")</f>
        <v/>
      </c>
      <c r="T136" s="196" t="str">
        <f>IFERROR(Inv_SY!T149/Inv_SY!$Y149-1,"")</f>
        <v/>
      </c>
      <c r="U136" s="196" t="str">
        <f>IFERROR(Inv_SY!U149/Inv_SY!$Y149-1,"")</f>
        <v/>
      </c>
      <c r="V136" s="196" t="str">
        <f>IFERROR(Inv_SY!J149/Inv_SY!$Z149-1,"")</f>
        <v/>
      </c>
      <c r="W136" s="196" t="str">
        <f>IFERROR(Inv_SY!K149/Inv_SY!$Z149-1,"")</f>
        <v/>
      </c>
      <c r="X136" s="196" t="str">
        <f>IFERROR(Inv_SY!L149/Inv_SY!$Z149-1,"")</f>
        <v/>
      </c>
      <c r="Y136" s="196" t="str">
        <f>IFERROR(Inv_SY!M149/Inv_SY!$Z149-1,"")</f>
        <v/>
      </c>
      <c r="Z136" s="196" t="str">
        <f>IFERROR(Inv_SY!N149/Inv_SY!$Z149-1,"")</f>
        <v/>
      </c>
      <c r="AA136" s="196" t="str">
        <f>IFERROR(Inv_SY!O149/Inv_SY!$Z149-1,"")</f>
        <v/>
      </c>
      <c r="AB136" s="196" t="str">
        <f>IFERROR(Inv_SY!P149/Inv_SY!$Z149-1,"")</f>
        <v/>
      </c>
      <c r="AC136" s="196" t="str">
        <f>IFERROR(Inv_SY!Q149/Inv_SY!$Z149-1,"")</f>
        <v/>
      </c>
      <c r="AD136" s="196" t="str">
        <f>IFERROR(Inv_SY!R149/Inv_SY!$Z149-1,"")</f>
        <v/>
      </c>
      <c r="AE136" s="196" t="str">
        <f>IFERROR(Inv_SY!S149/Inv_SY!$Z149-1,"")</f>
        <v/>
      </c>
      <c r="AF136" s="196" t="str">
        <f>IFERROR(Inv_SY!T149/Inv_SY!$Z149-1,"")</f>
        <v/>
      </c>
      <c r="AG136" s="196" t="str">
        <f>IFERROR(Inv_SY!U149/Inv_SY!$Z149-1,"")</f>
        <v/>
      </c>
      <c r="AH136" s="196" t="str">
        <f>IFERROR(Inv_SY!V149/Inv_SY!$Y149-1,"")</f>
        <v/>
      </c>
      <c r="AI136" s="196" t="str">
        <f>IFERROR(Inv_SY!W149/Inv_SY!$Y149-1,"")</f>
        <v/>
      </c>
      <c r="AJ136" s="196" t="str">
        <f>IFERROR(Inv_SY!X149/Inv_SY!$Y149-1,"")</f>
        <v/>
      </c>
      <c r="AK136" s="196" t="str">
        <f>IFERROR(Inv_SY!V149/Inv_SY!$Z149-1,"")</f>
        <v/>
      </c>
      <c r="AL136" s="196" t="str">
        <f>IFERROR(Inv_SY!W149/Inv_SY!$Z149-1,"")</f>
        <v/>
      </c>
      <c r="AM136" s="196" t="str">
        <f>IFERROR(Inv_SY!X149/Inv_SY!$Z149-1,"")</f>
        <v/>
      </c>
    </row>
    <row r="137" spans="1:39" x14ac:dyDescent="0.25">
      <c r="A137" s="191">
        <f>YEAR(Inv_SY_D[[#This Row],[Date]])+IF(MONTH(Inv_SY_D[[#This Row],[Date]])&gt;=4,1,0)</f>
        <v>2026</v>
      </c>
      <c r="B137" s="191">
        <v>4</v>
      </c>
      <c r="C137" s="191">
        <f>YEAR(Inv_SY_D[[#This Row],[Month Year]])</f>
        <v>2025</v>
      </c>
      <c r="D137" s="191" t="s">
        <v>4</v>
      </c>
      <c r="E137" s="191" t="s">
        <v>4</v>
      </c>
      <c r="F137" s="192" t="str">
        <f>TEXT(Inv_SY_D[[#This Row],[Date]],"mmm-yy")</f>
        <v>Aug-25</v>
      </c>
      <c r="G137" s="193">
        <f>DAY(EOMONTH(Inv_SY_D[[#This Row],[Month Year]],0))</f>
        <v>31</v>
      </c>
      <c r="H137" s="194">
        <f t="shared" si="2"/>
        <v>45880</v>
      </c>
      <c r="I137" s="195">
        <v>7.0991999999999997</v>
      </c>
      <c r="J137" s="196" t="str">
        <f>IFERROR(Inv_SY!J150/Inv_SY!$Y150-1,"")</f>
        <v/>
      </c>
      <c r="K137" s="196" t="str">
        <f>IFERROR(Inv_SY!K150/Inv_SY!$Y150-1,"")</f>
        <v/>
      </c>
      <c r="L137" s="196" t="str">
        <f>IFERROR(Inv_SY!L150/Inv_SY!$Y150-1,"")</f>
        <v/>
      </c>
      <c r="M137" s="196" t="str">
        <f>IFERROR(Inv_SY!M150/Inv_SY!$Y150-1,"")</f>
        <v/>
      </c>
      <c r="N137" s="196" t="str">
        <f>IFERROR(Inv_SY!N150/Inv_SY!$Y150-1,"")</f>
        <v/>
      </c>
      <c r="O137" s="196" t="str">
        <f>IFERROR(Inv_SY!O150/Inv_SY!$Y150-1,"")</f>
        <v/>
      </c>
      <c r="P137" s="196" t="str">
        <f>IFERROR(Inv_SY!P150/Inv_SY!$Y150-1,"")</f>
        <v/>
      </c>
      <c r="Q137" s="196" t="str">
        <f>IFERROR(Inv_SY!Q150/Inv_SY!$Y150-1,"")</f>
        <v/>
      </c>
      <c r="R137" s="196" t="str">
        <f>IFERROR(Inv_SY!R150/Inv_SY!$Y150-1,"")</f>
        <v/>
      </c>
      <c r="S137" s="196" t="str">
        <f>IFERROR(Inv_SY!S150/Inv_SY!$Y150-1,"")</f>
        <v/>
      </c>
      <c r="T137" s="196" t="str">
        <f>IFERROR(Inv_SY!T150/Inv_SY!$Y150-1,"")</f>
        <v/>
      </c>
      <c r="U137" s="196" t="str">
        <f>IFERROR(Inv_SY!U150/Inv_SY!$Y150-1,"")</f>
        <v/>
      </c>
      <c r="V137" s="196" t="str">
        <f>IFERROR(Inv_SY!J150/Inv_SY!$Z150-1,"")</f>
        <v/>
      </c>
      <c r="W137" s="196" t="str">
        <f>IFERROR(Inv_SY!K150/Inv_SY!$Z150-1,"")</f>
        <v/>
      </c>
      <c r="X137" s="196" t="str">
        <f>IFERROR(Inv_SY!L150/Inv_SY!$Z150-1,"")</f>
        <v/>
      </c>
      <c r="Y137" s="196" t="str">
        <f>IFERROR(Inv_SY!M150/Inv_SY!$Z150-1,"")</f>
        <v/>
      </c>
      <c r="Z137" s="196" t="str">
        <f>IFERROR(Inv_SY!N150/Inv_SY!$Z150-1,"")</f>
        <v/>
      </c>
      <c r="AA137" s="196" t="str">
        <f>IFERROR(Inv_SY!O150/Inv_SY!$Z150-1,"")</f>
        <v/>
      </c>
      <c r="AB137" s="196" t="str">
        <f>IFERROR(Inv_SY!P150/Inv_SY!$Z150-1,"")</f>
        <v/>
      </c>
      <c r="AC137" s="196" t="str">
        <f>IFERROR(Inv_SY!Q150/Inv_SY!$Z150-1,"")</f>
        <v/>
      </c>
      <c r="AD137" s="196" t="str">
        <f>IFERROR(Inv_SY!R150/Inv_SY!$Z150-1,"")</f>
        <v/>
      </c>
      <c r="AE137" s="196" t="str">
        <f>IFERROR(Inv_SY!S150/Inv_SY!$Z150-1,"")</f>
        <v/>
      </c>
      <c r="AF137" s="196" t="str">
        <f>IFERROR(Inv_SY!T150/Inv_SY!$Z150-1,"")</f>
        <v/>
      </c>
      <c r="AG137" s="196" t="str">
        <f>IFERROR(Inv_SY!U150/Inv_SY!$Z150-1,"")</f>
        <v/>
      </c>
      <c r="AH137" s="196" t="str">
        <f>IFERROR(Inv_SY!V150/Inv_SY!$Y150-1,"")</f>
        <v/>
      </c>
      <c r="AI137" s="196" t="str">
        <f>IFERROR(Inv_SY!W150/Inv_SY!$Y150-1,"")</f>
        <v/>
      </c>
      <c r="AJ137" s="196" t="str">
        <f>IFERROR(Inv_SY!X150/Inv_SY!$Y150-1,"")</f>
        <v/>
      </c>
      <c r="AK137" s="196" t="str">
        <f>IFERROR(Inv_SY!V150/Inv_SY!$Z150-1,"")</f>
        <v/>
      </c>
      <c r="AL137" s="196" t="str">
        <f>IFERROR(Inv_SY!W150/Inv_SY!$Z150-1,"")</f>
        <v/>
      </c>
      <c r="AM137" s="196" t="str">
        <f>IFERROR(Inv_SY!X150/Inv_SY!$Z150-1,"")</f>
        <v/>
      </c>
    </row>
    <row r="138" spans="1:39" x14ac:dyDescent="0.25">
      <c r="A138" s="191">
        <f>YEAR(Inv_SY_D[[#This Row],[Date]])+IF(MONTH(Inv_SY_D[[#This Row],[Date]])&gt;=4,1,0)</f>
        <v>2026</v>
      </c>
      <c r="B138" s="191">
        <v>4</v>
      </c>
      <c r="C138" s="191">
        <f>YEAR(Inv_SY_D[[#This Row],[Month Year]])</f>
        <v>2025</v>
      </c>
      <c r="D138" s="191" t="s">
        <v>4</v>
      </c>
      <c r="E138" s="191" t="s">
        <v>4</v>
      </c>
      <c r="F138" s="192" t="str">
        <f>TEXT(Inv_SY_D[[#This Row],[Date]],"mmm-yy")</f>
        <v>Aug-25</v>
      </c>
      <c r="G138" s="193">
        <f>DAY(EOMONTH(Inv_SY_D[[#This Row],[Month Year]],0))</f>
        <v>31</v>
      </c>
      <c r="H138" s="194">
        <f t="shared" si="2"/>
        <v>45881</v>
      </c>
      <c r="I138" s="195">
        <v>7.0991999999999997</v>
      </c>
      <c r="J138" s="196" t="str">
        <f>IFERROR(Inv_SY!J151/Inv_SY!$Y151-1,"")</f>
        <v/>
      </c>
      <c r="K138" s="196" t="str">
        <f>IFERROR(Inv_SY!K151/Inv_SY!$Y151-1,"")</f>
        <v/>
      </c>
      <c r="L138" s="196" t="str">
        <f>IFERROR(Inv_SY!L151/Inv_SY!$Y151-1,"")</f>
        <v/>
      </c>
      <c r="M138" s="196" t="str">
        <f>IFERROR(Inv_SY!M151/Inv_SY!$Y151-1,"")</f>
        <v/>
      </c>
      <c r="N138" s="196" t="str">
        <f>IFERROR(Inv_SY!N151/Inv_SY!$Y151-1,"")</f>
        <v/>
      </c>
      <c r="O138" s="196" t="str">
        <f>IFERROR(Inv_SY!O151/Inv_SY!$Y151-1,"")</f>
        <v/>
      </c>
      <c r="P138" s="196" t="str">
        <f>IFERROR(Inv_SY!P151/Inv_SY!$Y151-1,"")</f>
        <v/>
      </c>
      <c r="Q138" s="196" t="str">
        <f>IFERROR(Inv_SY!Q151/Inv_SY!$Y151-1,"")</f>
        <v/>
      </c>
      <c r="R138" s="196" t="str">
        <f>IFERROR(Inv_SY!R151/Inv_SY!$Y151-1,"")</f>
        <v/>
      </c>
      <c r="S138" s="196" t="str">
        <f>IFERROR(Inv_SY!S151/Inv_SY!$Y151-1,"")</f>
        <v/>
      </c>
      <c r="T138" s="196" t="str">
        <f>IFERROR(Inv_SY!T151/Inv_SY!$Y151-1,"")</f>
        <v/>
      </c>
      <c r="U138" s="196" t="str">
        <f>IFERROR(Inv_SY!U151/Inv_SY!$Y151-1,"")</f>
        <v/>
      </c>
      <c r="V138" s="196" t="str">
        <f>IFERROR(Inv_SY!J151/Inv_SY!$Z151-1,"")</f>
        <v/>
      </c>
      <c r="W138" s="196" t="str">
        <f>IFERROR(Inv_SY!K151/Inv_SY!$Z151-1,"")</f>
        <v/>
      </c>
      <c r="X138" s="196" t="str">
        <f>IFERROR(Inv_SY!L151/Inv_SY!$Z151-1,"")</f>
        <v/>
      </c>
      <c r="Y138" s="196" t="str">
        <f>IFERROR(Inv_SY!M151/Inv_SY!$Z151-1,"")</f>
        <v/>
      </c>
      <c r="Z138" s="196" t="str">
        <f>IFERROR(Inv_SY!N151/Inv_SY!$Z151-1,"")</f>
        <v/>
      </c>
      <c r="AA138" s="196" t="str">
        <f>IFERROR(Inv_SY!O151/Inv_SY!$Z151-1,"")</f>
        <v/>
      </c>
      <c r="AB138" s="196" t="str">
        <f>IFERROR(Inv_SY!P151/Inv_SY!$Z151-1,"")</f>
        <v/>
      </c>
      <c r="AC138" s="196" t="str">
        <f>IFERROR(Inv_SY!Q151/Inv_SY!$Z151-1,"")</f>
        <v/>
      </c>
      <c r="AD138" s="196" t="str">
        <f>IFERROR(Inv_SY!R151/Inv_SY!$Z151-1,"")</f>
        <v/>
      </c>
      <c r="AE138" s="196" t="str">
        <f>IFERROR(Inv_SY!S151/Inv_SY!$Z151-1,"")</f>
        <v/>
      </c>
      <c r="AF138" s="196" t="str">
        <f>IFERROR(Inv_SY!T151/Inv_SY!$Z151-1,"")</f>
        <v/>
      </c>
      <c r="AG138" s="196" t="str">
        <f>IFERROR(Inv_SY!U151/Inv_SY!$Z151-1,"")</f>
        <v/>
      </c>
      <c r="AH138" s="196" t="str">
        <f>IFERROR(Inv_SY!V151/Inv_SY!$Y151-1,"")</f>
        <v/>
      </c>
      <c r="AI138" s="196" t="str">
        <f>IFERROR(Inv_SY!W151/Inv_SY!$Y151-1,"")</f>
        <v/>
      </c>
      <c r="AJ138" s="196" t="str">
        <f>IFERROR(Inv_SY!X151/Inv_SY!$Y151-1,"")</f>
        <v/>
      </c>
      <c r="AK138" s="196" t="str">
        <f>IFERROR(Inv_SY!V151/Inv_SY!$Z151-1,"")</f>
        <v/>
      </c>
      <c r="AL138" s="196" t="str">
        <f>IFERROR(Inv_SY!W151/Inv_SY!$Z151-1,"")</f>
        <v/>
      </c>
      <c r="AM138" s="196" t="str">
        <f>IFERROR(Inv_SY!X151/Inv_SY!$Z151-1,"")</f>
        <v/>
      </c>
    </row>
    <row r="139" spans="1:39" x14ac:dyDescent="0.25">
      <c r="A139" s="191">
        <f>YEAR(Inv_SY_D[[#This Row],[Date]])+IF(MONTH(Inv_SY_D[[#This Row],[Date]])&gt;=4,1,0)</f>
        <v>2026</v>
      </c>
      <c r="B139" s="191">
        <v>4</v>
      </c>
      <c r="C139" s="191">
        <f>YEAR(Inv_SY_D[[#This Row],[Month Year]])</f>
        <v>2025</v>
      </c>
      <c r="D139" s="191" t="s">
        <v>4</v>
      </c>
      <c r="E139" s="191" t="s">
        <v>4</v>
      </c>
      <c r="F139" s="192" t="str">
        <f>TEXT(Inv_SY_D[[#This Row],[Date]],"mmm-yy")</f>
        <v>Aug-25</v>
      </c>
      <c r="G139" s="193">
        <f>DAY(EOMONTH(Inv_SY_D[[#This Row],[Month Year]],0))</f>
        <v>31</v>
      </c>
      <c r="H139" s="194">
        <f t="shared" si="2"/>
        <v>45882</v>
      </c>
      <c r="I139" s="195">
        <v>7.0991999999999997</v>
      </c>
      <c r="J139" s="196" t="str">
        <f>IFERROR(Inv_SY!J152/Inv_SY!$Y152-1,"")</f>
        <v/>
      </c>
      <c r="K139" s="196" t="str">
        <f>IFERROR(Inv_SY!K152/Inv_SY!$Y152-1,"")</f>
        <v/>
      </c>
      <c r="L139" s="196" t="str">
        <f>IFERROR(Inv_SY!L152/Inv_SY!$Y152-1,"")</f>
        <v/>
      </c>
      <c r="M139" s="196" t="str">
        <f>IFERROR(Inv_SY!M152/Inv_SY!$Y152-1,"")</f>
        <v/>
      </c>
      <c r="N139" s="196" t="str">
        <f>IFERROR(Inv_SY!N152/Inv_SY!$Y152-1,"")</f>
        <v/>
      </c>
      <c r="O139" s="196" t="str">
        <f>IFERROR(Inv_SY!O152/Inv_SY!$Y152-1,"")</f>
        <v/>
      </c>
      <c r="P139" s="196" t="str">
        <f>IFERROR(Inv_SY!P152/Inv_SY!$Y152-1,"")</f>
        <v/>
      </c>
      <c r="Q139" s="196" t="str">
        <f>IFERROR(Inv_SY!Q152/Inv_SY!$Y152-1,"")</f>
        <v/>
      </c>
      <c r="R139" s="196" t="str">
        <f>IFERROR(Inv_SY!R152/Inv_SY!$Y152-1,"")</f>
        <v/>
      </c>
      <c r="S139" s="196" t="str">
        <f>IFERROR(Inv_SY!S152/Inv_SY!$Y152-1,"")</f>
        <v/>
      </c>
      <c r="T139" s="196" t="str">
        <f>IFERROR(Inv_SY!T152/Inv_SY!$Y152-1,"")</f>
        <v/>
      </c>
      <c r="U139" s="196" t="str">
        <f>IFERROR(Inv_SY!U152/Inv_SY!$Y152-1,"")</f>
        <v/>
      </c>
      <c r="V139" s="196" t="str">
        <f>IFERROR(Inv_SY!J152/Inv_SY!$Z152-1,"")</f>
        <v/>
      </c>
      <c r="W139" s="196" t="str">
        <f>IFERROR(Inv_SY!K152/Inv_SY!$Z152-1,"")</f>
        <v/>
      </c>
      <c r="X139" s="196" t="str">
        <f>IFERROR(Inv_SY!L152/Inv_SY!$Z152-1,"")</f>
        <v/>
      </c>
      <c r="Y139" s="196" t="str">
        <f>IFERROR(Inv_SY!M152/Inv_SY!$Z152-1,"")</f>
        <v/>
      </c>
      <c r="Z139" s="196" t="str">
        <f>IFERROR(Inv_SY!N152/Inv_SY!$Z152-1,"")</f>
        <v/>
      </c>
      <c r="AA139" s="196" t="str">
        <f>IFERROR(Inv_SY!O152/Inv_SY!$Z152-1,"")</f>
        <v/>
      </c>
      <c r="AB139" s="196" t="str">
        <f>IFERROR(Inv_SY!P152/Inv_SY!$Z152-1,"")</f>
        <v/>
      </c>
      <c r="AC139" s="196" t="str">
        <f>IFERROR(Inv_SY!Q152/Inv_SY!$Z152-1,"")</f>
        <v/>
      </c>
      <c r="AD139" s="196" t="str">
        <f>IFERROR(Inv_SY!R152/Inv_SY!$Z152-1,"")</f>
        <v/>
      </c>
      <c r="AE139" s="196" t="str">
        <f>IFERROR(Inv_SY!S152/Inv_SY!$Z152-1,"")</f>
        <v/>
      </c>
      <c r="AF139" s="196" t="str">
        <f>IFERROR(Inv_SY!T152/Inv_SY!$Z152-1,"")</f>
        <v/>
      </c>
      <c r="AG139" s="196" t="str">
        <f>IFERROR(Inv_SY!U152/Inv_SY!$Z152-1,"")</f>
        <v/>
      </c>
      <c r="AH139" s="196" t="str">
        <f>IFERROR(Inv_SY!V152/Inv_SY!$Y152-1,"")</f>
        <v/>
      </c>
      <c r="AI139" s="196" t="str">
        <f>IFERROR(Inv_SY!W152/Inv_SY!$Y152-1,"")</f>
        <v/>
      </c>
      <c r="AJ139" s="196" t="str">
        <f>IFERROR(Inv_SY!X152/Inv_SY!$Y152-1,"")</f>
        <v/>
      </c>
      <c r="AK139" s="196" t="str">
        <f>IFERROR(Inv_SY!V152/Inv_SY!$Z152-1,"")</f>
        <v/>
      </c>
      <c r="AL139" s="196" t="str">
        <f>IFERROR(Inv_SY!W152/Inv_SY!$Z152-1,"")</f>
        <v/>
      </c>
      <c r="AM139" s="196" t="str">
        <f>IFERROR(Inv_SY!X152/Inv_SY!$Z152-1,"")</f>
        <v/>
      </c>
    </row>
    <row r="140" spans="1:39" x14ac:dyDescent="0.25">
      <c r="A140" s="191">
        <f>YEAR(Inv_SY_D[[#This Row],[Date]])+IF(MONTH(Inv_SY_D[[#This Row],[Date]])&gt;=4,1,0)</f>
        <v>2026</v>
      </c>
      <c r="B140" s="191">
        <v>4</v>
      </c>
      <c r="C140" s="191">
        <f>YEAR(Inv_SY_D[[#This Row],[Month Year]])</f>
        <v>2025</v>
      </c>
      <c r="D140" s="191" t="s">
        <v>4</v>
      </c>
      <c r="E140" s="191" t="s">
        <v>4</v>
      </c>
      <c r="F140" s="192" t="str">
        <f>TEXT(Inv_SY_D[[#This Row],[Date]],"mmm-yy")</f>
        <v>Aug-25</v>
      </c>
      <c r="G140" s="193">
        <f>DAY(EOMONTH(Inv_SY_D[[#This Row],[Month Year]],0))</f>
        <v>31</v>
      </c>
      <c r="H140" s="194">
        <f t="shared" si="2"/>
        <v>45883</v>
      </c>
      <c r="I140" s="195">
        <v>7.0991999999999997</v>
      </c>
      <c r="J140" s="196" t="str">
        <f>IFERROR(Inv_SY!J153/Inv_SY!$Y153-1,"")</f>
        <v/>
      </c>
      <c r="K140" s="196" t="str">
        <f>IFERROR(Inv_SY!K153/Inv_SY!$Y153-1,"")</f>
        <v/>
      </c>
      <c r="L140" s="196" t="str">
        <f>IFERROR(Inv_SY!L153/Inv_SY!$Y153-1,"")</f>
        <v/>
      </c>
      <c r="M140" s="196" t="str">
        <f>IFERROR(Inv_SY!M153/Inv_SY!$Y153-1,"")</f>
        <v/>
      </c>
      <c r="N140" s="196" t="str">
        <f>IFERROR(Inv_SY!N153/Inv_SY!$Y153-1,"")</f>
        <v/>
      </c>
      <c r="O140" s="196" t="str">
        <f>IFERROR(Inv_SY!O153/Inv_SY!$Y153-1,"")</f>
        <v/>
      </c>
      <c r="P140" s="196" t="str">
        <f>IFERROR(Inv_SY!P153/Inv_SY!$Y153-1,"")</f>
        <v/>
      </c>
      <c r="Q140" s="196" t="str">
        <f>IFERROR(Inv_SY!Q153/Inv_SY!$Y153-1,"")</f>
        <v/>
      </c>
      <c r="R140" s="196" t="str">
        <f>IFERROR(Inv_SY!R153/Inv_SY!$Y153-1,"")</f>
        <v/>
      </c>
      <c r="S140" s="196" t="str">
        <f>IFERROR(Inv_SY!S153/Inv_SY!$Y153-1,"")</f>
        <v/>
      </c>
      <c r="T140" s="196" t="str">
        <f>IFERROR(Inv_SY!T153/Inv_SY!$Y153-1,"")</f>
        <v/>
      </c>
      <c r="U140" s="196" t="str">
        <f>IFERROR(Inv_SY!U153/Inv_SY!$Y153-1,"")</f>
        <v/>
      </c>
      <c r="V140" s="196" t="str">
        <f>IFERROR(Inv_SY!J153/Inv_SY!$Z153-1,"")</f>
        <v/>
      </c>
      <c r="W140" s="196" t="str">
        <f>IFERROR(Inv_SY!K153/Inv_SY!$Z153-1,"")</f>
        <v/>
      </c>
      <c r="X140" s="196" t="str">
        <f>IFERROR(Inv_SY!L153/Inv_SY!$Z153-1,"")</f>
        <v/>
      </c>
      <c r="Y140" s="196" t="str">
        <f>IFERROR(Inv_SY!M153/Inv_SY!$Z153-1,"")</f>
        <v/>
      </c>
      <c r="Z140" s="196" t="str">
        <f>IFERROR(Inv_SY!N153/Inv_SY!$Z153-1,"")</f>
        <v/>
      </c>
      <c r="AA140" s="196" t="str">
        <f>IFERROR(Inv_SY!O153/Inv_SY!$Z153-1,"")</f>
        <v/>
      </c>
      <c r="AB140" s="196" t="str">
        <f>IFERROR(Inv_SY!P153/Inv_SY!$Z153-1,"")</f>
        <v/>
      </c>
      <c r="AC140" s="196" t="str">
        <f>IFERROR(Inv_SY!Q153/Inv_SY!$Z153-1,"")</f>
        <v/>
      </c>
      <c r="AD140" s="196" t="str">
        <f>IFERROR(Inv_SY!R153/Inv_SY!$Z153-1,"")</f>
        <v/>
      </c>
      <c r="AE140" s="196" t="str">
        <f>IFERROR(Inv_SY!S153/Inv_SY!$Z153-1,"")</f>
        <v/>
      </c>
      <c r="AF140" s="196" t="str">
        <f>IFERROR(Inv_SY!T153/Inv_SY!$Z153-1,"")</f>
        <v/>
      </c>
      <c r="AG140" s="196" t="str">
        <f>IFERROR(Inv_SY!U153/Inv_SY!$Z153-1,"")</f>
        <v/>
      </c>
      <c r="AH140" s="196" t="str">
        <f>IFERROR(Inv_SY!V153/Inv_SY!$Y153-1,"")</f>
        <v/>
      </c>
      <c r="AI140" s="196" t="str">
        <f>IFERROR(Inv_SY!W153/Inv_SY!$Y153-1,"")</f>
        <v/>
      </c>
      <c r="AJ140" s="196" t="str">
        <f>IFERROR(Inv_SY!X153/Inv_SY!$Y153-1,"")</f>
        <v/>
      </c>
      <c r="AK140" s="196" t="str">
        <f>IFERROR(Inv_SY!V153/Inv_SY!$Z153-1,"")</f>
        <v/>
      </c>
      <c r="AL140" s="196" t="str">
        <f>IFERROR(Inv_SY!W153/Inv_SY!$Z153-1,"")</f>
        <v/>
      </c>
      <c r="AM140" s="196" t="str">
        <f>IFERROR(Inv_SY!X153/Inv_SY!$Z153-1,"")</f>
        <v/>
      </c>
    </row>
    <row r="141" spans="1:39" x14ac:dyDescent="0.25">
      <c r="A141" s="191">
        <f>YEAR(Inv_SY_D[[#This Row],[Date]])+IF(MONTH(Inv_SY_D[[#This Row],[Date]])&gt;=4,1,0)</f>
        <v>2026</v>
      </c>
      <c r="B141" s="191">
        <v>4</v>
      </c>
      <c r="C141" s="191">
        <f>YEAR(Inv_SY_D[[#This Row],[Month Year]])</f>
        <v>2025</v>
      </c>
      <c r="D141" s="191" t="s">
        <v>4</v>
      </c>
      <c r="E141" s="191" t="s">
        <v>4</v>
      </c>
      <c r="F141" s="192" t="str">
        <f>TEXT(Inv_SY_D[[#This Row],[Date]],"mmm-yy")</f>
        <v>Aug-25</v>
      </c>
      <c r="G141" s="193">
        <f>DAY(EOMONTH(Inv_SY_D[[#This Row],[Month Year]],0))</f>
        <v>31</v>
      </c>
      <c r="H141" s="194">
        <f t="shared" ref="H141:H149" si="3">H140+1</f>
        <v>45884</v>
      </c>
      <c r="I141" s="195">
        <v>7.0991999999999997</v>
      </c>
      <c r="J141" s="196" t="str">
        <f>IFERROR(Inv_SY!J154/Inv_SY!$Y154-1,"")</f>
        <v/>
      </c>
      <c r="K141" s="196" t="str">
        <f>IFERROR(Inv_SY!K154/Inv_SY!$Y154-1,"")</f>
        <v/>
      </c>
      <c r="L141" s="196" t="str">
        <f>IFERROR(Inv_SY!L154/Inv_SY!$Y154-1,"")</f>
        <v/>
      </c>
      <c r="M141" s="196" t="str">
        <f>IFERROR(Inv_SY!M154/Inv_SY!$Y154-1,"")</f>
        <v/>
      </c>
      <c r="N141" s="196" t="str">
        <f>IFERROR(Inv_SY!N154/Inv_SY!$Y154-1,"")</f>
        <v/>
      </c>
      <c r="O141" s="196" t="str">
        <f>IFERROR(Inv_SY!O154/Inv_SY!$Y154-1,"")</f>
        <v/>
      </c>
      <c r="P141" s="196" t="str">
        <f>IFERROR(Inv_SY!P154/Inv_SY!$Y154-1,"")</f>
        <v/>
      </c>
      <c r="Q141" s="196" t="str">
        <f>IFERROR(Inv_SY!Q154/Inv_SY!$Y154-1,"")</f>
        <v/>
      </c>
      <c r="R141" s="196" t="str">
        <f>IFERROR(Inv_SY!R154/Inv_SY!$Y154-1,"")</f>
        <v/>
      </c>
      <c r="S141" s="196" t="str">
        <f>IFERROR(Inv_SY!S154/Inv_SY!$Y154-1,"")</f>
        <v/>
      </c>
      <c r="T141" s="196" t="str">
        <f>IFERROR(Inv_SY!T154/Inv_SY!$Y154-1,"")</f>
        <v/>
      </c>
      <c r="U141" s="196" t="str">
        <f>IFERROR(Inv_SY!U154/Inv_SY!$Y154-1,"")</f>
        <v/>
      </c>
      <c r="V141" s="196" t="str">
        <f>IFERROR(Inv_SY!J154/Inv_SY!$Z154-1,"")</f>
        <v/>
      </c>
      <c r="W141" s="196" t="str">
        <f>IFERROR(Inv_SY!K154/Inv_SY!$Z154-1,"")</f>
        <v/>
      </c>
      <c r="X141" s="196" t="str">
        <f>IFERROR(Inv_SY!L154/Inv_SY!$Z154-1,"")</f>
        <v/>
      </c>
      <c r="Y141" s="196" t="str">
        <f>IFERROR(Inv_SY!M154/Inv_SY!$Z154-1,"")</f>
        <v/>
      </c>
      <c r="Z141" s="196" t="str">
        <f>IFERROR(Inv_SY!N154/Inv_SY!$Z154-1,"")</f>
        <v/>
      </c>
      <c r="AA141" s="196" t="str">
        <f>IFERROR(Inv_SY!O154/Inv_SY!$Z154-1,"")</f>
        <v/>
      </c>
      <c r="AB141" s="196" t="str">
        <f>IFERROR(Inv_SY!P154/Inv_SY!$Z154-1,"")</f>
        <v/>
      </c>
      <c r="AC141" s="196" t="str">
        <f>IFERROR(Inv_SY!Q154/Inv_SY!$Z154-1,"")</f>
        <v/>
      </c>
      <c r="AD141" s="196" t="str">
        <f>IFERROR(Inv_SY!R154/Inv_SY!$Z154-1,"")</f>
        <v/>
      </c>
      <c r="AE141" s="196" t="str">
        <f>IFERROR(Inv_SY!S154/Inv_SY!$Z154-1,"")</f>
        <v/>
      </c>
      <c r="AF141" s="196" t="str">
        <f>IFERROR(Inv_SY!T154/Inv_SY!$Z154-1,"")</f>
        <v/>
      </c>
      <c r="AG141" s="196" t="str">
        <f>IFERROR(Inv_SY!U154/Inv_SY!$Z154-1,"")</f>
        <v/>
      </c>
      <c r="AH141" s="196" t="str">
        <f>IFERROR(Inv_SY!V154/Inv_SY!$Y154-1,"")</f>
        <v/>
      </c>
      <c r="AI141" s="196" t="str">
        <f>IFERROR(Inv_SY!W154/Inv_SY!$Y154-1,"")</f>
        <v/>
      </c>
      <c r="AJ141" s="196" t="str">
        <f>IFERROR(Inv_SY!X154/Inv_SY!$Y154-1,"")</f>
        <v/>
      </c>
      <c r="AK141" s="196" t="str">
        <f>IFERROR(Inv_SY!V154/Inv_SY!$Z154-1,"")</f>
        <v/>
      </c>
      <c r="AL141" s="196" t="str">
        <f>IFERROR(Inv_SY!W154/Inv_SY!$Z154-1,"")</f>
        <v/>
      </c>
      <c r="AM141" s="196" t="str">
        <f>IFERROR(Inv_SY!X154/Inv_SY!$Z154-1,"")</f>
        <v/>
      </c>
    </row>
    <row r="142" spans="1:39" x14ac:dyDescent="0.25">
      <c r="A142" s="191">
        <f>YEAR(Inv_SY_D[[#This Row],[Date]])+IF(MONTH(Inv_SY_D[[#This Row],[Date]])&gt;=4,1,0)</f>
        <v>2026</v>
      </c>
      <c r="B142" s="191">
        <v>4</v>
      </c>
      <c r="C142" s="191">
        <f>YEAR(Inv_SY_D[[#This Row],[Month Year]])</f>
        <v>2025</v>
      </c>
      <c r="D142" s="191" t="s">
        <v>4</v>
      </c>
      <c r="E142" s="191" t="s">
        <v>4</v>
      </c>
      <c r="F142" s="192" t="str">
        <f>TEXT(Inv_SY_D[[#This Row],[Date]],"mmm-yy")</f>
        <v>Aug-25</v>
      </c>
      <c r="G142" s="193">
        <f>DAY(EOMONTH(Inv_SY_D[[#This Row],[Month Year]],0))</f>
        <v>31</v>
      </c>
      <c r="H142" s="194">
        <f t="shared" si="3"/>
        <v>45885</v>
      </c>
      <c r="I142" s="195">
        <v>7.0991999999999997</v>
      </c>
      <c r="J142" s="196" t="str">
        <f>IFERROR(Inv_SY!J155/Inv_SY!$Y155-1,"")</f>
        <v/>
      </c>
      <c r="K142" s="196" t="str">
        <f>IFERROR(Inv_SY!K155/Inv_SY!$Y155-1,"")</f>
        <v/>
      </c>
      <c r="L142" s="196" t="str">
        <f>IFERROR(Inv_SY!L155/Inv_SY!$Y155-1,"")</f>
        <v/>
      </c>
      <c r="M142" s="196" t="str">
        <f>IFERROR(Inv_SY!M155/Inv_SY!$Y155-1,"")</f>
        <v/>
      </c>
      <c r="N142" s="196" t="str">
        <f>IFERROR(Inv_SY!N155/Inv_SY!$Y155-1,"")</f>
        <v/>
      </c>
      <c r="O142" s="196" t="str">
        <f>IFERROR(Inv_SY!O155/Inv_SY!$Y155-1,"")</f>
        <v/>
      </c>
      <c r="P142" s="196" t="str">
        <f>IFERROR(Inv_SY!P155/Inv_SY!$Y155-1,"")</f>
        <v/>
      </c>
      <c r="Q142" s="196" t="str">
        <f>IFERROR(Inv_SY!Q155/Inv_SY!$Y155-1,"")</f>
        <v/>
      </c>
      <c r="R142" s="196" t="str">
        <f>IFERROR(Inv_SY!R155/Inv_SY!$Y155-1,"")</f>
        <v/>
      </c>
      <c r="S142" s="196" t="str">
        <f>IFERROR(Inv_SY!S155/Inv_SY!$Y155-1,"")</f>
        <v/>
      </c>
      <c r="T142" s="196" t="str">
        <f>IFERROR(Inv_SY!T155/Inv_SY!$Y155-1,"")</f>
        <v/>
      </c>
      <c r="U142" s="196" t="str">
        <f>IFERROR(Inv_SY!U155/Inv_SY!$Y155-1,"")</f>
        <v/>
      </c>
      <c r="V142" s="196" t="str">
        <f>IFERROR(Inv_SY!J155/Inv_SY!$Z155-1,"")</f>
        <v/>
      </c>
      <c r="W142" s="196" t="str">
        <f>IFERROR(Inv_SY!K155/Inv_SY!$Z155-1,"")</f>
        <v/>
      </c>
      <c r="X142" s="196" t="str">
        <f>IFERROR(Inv_SY!L155/Inv_SY!$Z155-1,"")</f>
        <v/>
      </c>
      <c r="Y142" s="196" t="str">
        <f>IFERROR(Inv_SY!M155/Inv_SY!$Z155-1,"")</f>
        <v/>
      </c>
      <c r="Z142" s="196" t="str">
        <f>IFERROR(Inv_SY!N155/Inv_SY!$Z155-1,"")</f>
        <v/>
      </c>
      <c r="AA142" s="196" t="str">
        <f>IFERROR(Inv_SY!O155/Inv_SY!$Z155-1,"")</f>
        <v/>
      </c>
      <c r="AB142" s="196" t="str">
        <f>IFERROR(Inv_SY!P155/Inv_SY!$Z155-1,"")</f>
        <v/>
      </c>
      <c r="AC142" s="196" t="str">
        <f>IFERROR(Inv_SY!Q155/Inv_SY!$Z155-1,"")</f>
        <v/>
      </c>
      <c r="AD142" s="196" t="str">
        <f>IFERROR(Inv_SY!R155/Inv_SY!$Z155-1,"")</f>
        <v/>
      </c>
      <c r="AE142" s="196" t="str">
        <f>IFERROR(Inv_SY!S155/Inv_SY!$Z155-1,"")</f>
        <v/>
      </c>
      <c r="AF142" s="196" t="str">
        <f>IFERROR(Inv_SY!T155/Inv_SY!$Z155-1,"")</f>
        <v/>
      </c>
      <c r="AG142" s="196" t="str">
        <f>IFERROR(Inv_SY!U155/Inv_SY!$Z155-1,"")</f>
        <v/>
      </c>
      <c r="AH142" s="196" t="str">
        <f>IFERROR(Inv_SY!V155/Inv_SY!$Y155-1,"")</f>
        <v/>
      </c>
      <c r="AI142" s="196" t="str">
        <f>IFERROR(Inv_SY!W155/Inv_SY!$Y155-1,"")</f>
        <v/>
      </c>
      <c r="AJ142" s="196" t="str">
        <f>IFERROR(Inv_SY!X155/Inv_SY!$Y155-1,"")</f>
        <v/>
      </c>
      <c r="AK142" s="196" t="str">
        <f>IFERROR(Inv_SY!V155/Inv_SY!$Z155-1,"")</f>
        <v/>
      </c>
      <c r="AL142" s="196" t="str">
        <f>IFERROR(Inv_SY!W155/Inv_SY!$Z155-1,"")</f>
        <v/>
      </c>
      <c r="AM142" s="196" t="str">
        <f>IFERROR(Inv_SY!X155/Inv_SY!$Z155-1,"")</f>
        <v/>
      </c>
    </row>
    <row r="143" spans="1:39" x14ac:dyDescent="0.25">
      <c r="A143" s="191">
        <f>YEAR(Inv_SY_D[[#This Row],[Date]])+IF(MONTH(Inv_SY_D[[#This Row],[Date]])&gt;=4,1,0)</f>
        <v>2026</v>
      </c>
      <c r="B143" s="191">
        <v>4</v>
      </c>
      <c r="C143" s="191">
        <f>YEAR(Inv_SY_D[[#This Row],[Month Year]])</f>
        <v>2025</v>
      </c>
      <c r="D143" s="191" t="s">
        <v>4</v>
      </c>
      <c r="E143" s="191" t="s">
        <v>4</v>
      </c>
      <c r="F143" s="192" t="str">
        <f>TEXT(Inv_SY_D[[#This Row],[Date]],"mmm-yy")</f>
        <v>Aug-25</v>
      </c>
      <c r="G143" s="193">
        <f>DAY(EOMONTH(Inv_SY_D[[#This Row],[Month Year]],0))</f>
        <v>31</v>
      </c>
      <c r="H143" s="194">
        <f t="shared" si="3"/>
        <v>45886</v>
      </c>
      <c r="I143" s="195">
        <v>7.0991999999999997</v>
      </c>
      <c r="J143" s="196" t="str">
        <f>IFERROR(Inv_SY!J156/Inv_SY!$Y156-1,"")</f>
        <v/>
      </c>
      <c r="K143" s="196" t="str">
        <f>IFERROR(Inv_SY!K156/Inv_SY!$Y156-1,"")</f>
        <v/>
      </c>
      <c r="L143" s="196" t="str">
        <f>IFERROR(Inv_SY!L156/Inv_SY!$Y156-1,"")</f>
        <v/>
      </c>
      <c r="M143" s="196" t="str">
        <f>IFERROR(Inv_SY!M156/Inv_SY!$Y156-1,"")</f>
        <v/>
      </c>
      <c r="N143" s="196" t="str">
        <f>IFERROR(Inv_SY!N156/Inv_SY!$Y156-1,"")</f>
        <v/>
      </c>
      <c r="O143" s="196" t="str">
        <f>IFERROR(Inv_SY!O156/Inv_SY!$Y156-1,"")</f>
        <v/>
      </c>
      <c r="P143" s="196" t="str">
        <f>IFERROR(Inv_SY!P156/Inv_SY!$Y156-1,"")</f>
        <v/>
      </c>
      <c r="Q143" s="196" t="str">
        <f>IFERROR(Inv_SY!Q156/Inv_SY!$Y156-1,"")</f>
        <v/>
      </c>
      <c r="R143" s="196" t="str">
        <f>IFERROR(Inv_SY!R156/Inv_SY!$Y156-1,"")</f>
        <v/>
      </c>
      <c r="S143" s="196" t="str">
        <f>IFERROR(Inv_SY!S156/Inv_SY!$Y156-1,"")</f>
        <v/>
      </c>
      <c r="T143" s="196" t="str">
        <f>IFERROR(Inv_SY!T156/Inv_SY!$Y156-1,"")</f>
        <v/>
      </c>
      <c r="U143" s="196" t="str">
        <f>IFERROR(Inv_SY!U156/Inv_SY!$Y156-1,"")</f>
        <v/>
      </c>
      <c r="V143" s="196" t="str">
        <f>IFERROR(Inv_SY!J156/Inv_SY!$Z156-1,"")</f>
        <v/>
      </c>
      <c r="W143" s="196" t="str">
        <f>IFERROR(Inv_SY!K156/Inv_SY!$Z156-1,"")</f>
        <v/>
      </c>
      <c r="X143" s="196" t="str">
        <f>IFERROR(Inv_SY!L156/Inv_SY!$Z156-1,"")</f>
        <v/>
      </c>
      <c r="Y143" s="196" t="str">
        <f>IFERROR(Inv_SY!M156/Inv_SY!$Z156-1,"")</f>
        <v/>
      </c>
      <c r="Z143" s="196" t="str">
        <f>IFERROR(Inv_SY!N156/Inv_SY!$Z156-1,"")</f>
        <v/>
      </c>
      <c r="AA143" s="196" t="str">
        <f>IFERROR(Inv_SY!O156/Inv_SY!$Z156-1,"")</f>
        <v/>
      </c>
      <c r="AB143" s="196" t="str">
        <f>IFERROR(Inv_SY!P156/Inv_SY!$Z156-1,"")</f>
        <v/>
      </c>
      <c r="AC143" s="196" t="str">
        <f>IFERROR(Inv_SY!Q156/Inv_SY!$Z156-1,"")</f>
        <v/>
      </c>
      <c r="AD143" s="196" t="str">
        <f>IFERROR(Inv_SY!R156/Inv_SY!$Z156-1,"")</f>
        <v/>
      </c>
      <c r="AE143" s="196" t="str">
        <f>IFERROR(Inv_SY!S156/Inv_SY!$Z156-1,"")</f>
        <v/>
      </c>
      <c r="AF143" s="196" t="str">
        <f>IFERROR(Inv_SY!T156/Inv_SY!$Z156-1,"")</f>
        <v/>
      </c>
      <c r="AG143" s="196" t="str">
        <f>IFERROR(Inv_SY!U156/Inv_SY!$Z156-1,"")</f>
        <v/>
      </c>
      <c r="AH143" s="196" t="str">
        <f>IFERROR(Inv_SY!V156/Inv_SY!$Y156-1,"")</f>
        <v/>
      </c>
      <c r="AI143" s="196" t="str">
        <f>IFERROR(Inv_SY!W156/Inv_SY!$Y156-1,"")</f>
        <v/>
      </c>
      <c r="AJ143" s="196" t="str">
        <f>IFERROR(Inv_SY!X156/Inv_SY!$Y156-1,"")</f>
        <v/>
      </c>
      <c r="AK143" s="196" t="str">
        <f>IFERROR(Inv_SY!V156/Inv_SY!$Z156-1,"")</f>
        <v/>
      </c>
      <c r="AL143" s="196" t="str">
        <f>IFERROR(Inv_SY!W156/Inv_SY!$Z156-1,"")</f>
        <v/>
      </c>
      <c r="AM143" s="196" t="str">
        <f>IFERROR(Inv_SY!X156/Inv_SY!$Z156-1,"")</f>
        <v/>
      </c>
    </row>
    <row r="144" spans="1:39" x14ac:dyDescent="0.25">
      <c r="A144" s="191">
        <f>YEAR(Inv_SY_D[[#This Row],[Date]])+IF(MONTH(Inv_SY_D[[#This Row],[Date]])&gt;=4,1,0)</f>
        <v>2026</v>
      </c>
      <c r="B144" s="191">
        <v>4</v>
      </c>
      <c r="C144" s="191">
        <f>YEAR(Inv_SY_D[[#This Row],[Month Year]])</f>
        <v>2025</v>
      </c>
      <c r="D144" s="191" t="s">
        <v>4</v>
      </c>
      <c r="E144" s="191" t="s">
        <v>4</v>
      </c>
      <c r="F144" s="192" t="str">
        <f>TEXT(Inv_SY_D[[#This Row],[Date]],"mmm-yy")</f>
        <v>Aug-25</v>
      </c>
      <c r="G144" s="193">
        <f>DAY(EOMONTH(Inv_SY_D[[#This Row],[Month Year]],0))</f>
        <v>31</v>
      </c>
      <c r="H144" s="194">
        <f t="shared" si="3"/>
        <v>45887</v>
      </c>
      <c r="I144" s="195">
        <v>7.0991999999999997</v>
      </c>
      <c r="J144" s="196" t="str">
        <f>IFERROR(Inv_SY!J157/Inv_SY!$Y157-1,"")</f>
        <v/>
      </c>
      <c r="K144" s="196" t="str">
        <f>IFERROR(Inv_SY!K157/Inv_SY!$Y157-1,"")</f>
        <v/>
      </c>
      <c r="L144" s="196" t="str">
        <f>IFERROR(Inv_SY!L157/Inv_SY!$Y157-1,"")</f>
        <v/>
      </c>
      <c r="M144" s="196" t="str">
        <f>IFERROR(Inv_SY!M157/Inv_SY!$Y157-1,"")</f>
        <v/>
      </c>
      <c r="N144" s="196" t="str">
        <f>IFERROR(Inv_SY!N157/Inv_SY!$Y157-1,"")</f>
        <v/>
      </c>
      <c r="O144" s="196" t="str">
        <f>IFERROR(Inv_SY!O157/Inv_SY!$Y157-1,"")</f>
        <v/>
      </c>
      <c r="P144" s="196" t="str">
        <f>IFERROR(Inv_SY!P157/Inv_SY!$Y157-1,"")</f>
        <v/>
      </c>
      <c r="Q144" s="196" t="str">
        <f>IFERROR(Inv_SY!Q157/Inv_SY!$Y157-1,"")</f>
        <v/>
      </c>
      <c r="R144" s="196" t="str">
        <f>IFERROR(Inv_SY!R157/Inv_SY!$Y157-1,"")</f>
        <v/>
      </c>
      <c r="S144" s="196" t="str">
        <f>IFERROR(Inv_SY!S157/Inv_SY!$Y157-1,"")</f>
        <v/>
      </c>
      <c r="T144" s="196" t="str">
        <f>IFERROR(Inv_SY!T157/Inv_SY!$Y157-1,"")</f>
        <v/>
      </c>
      <c r="U144" s="196" t="str">
        <f>IFERROR(Inv_SY!U157/Inv_SY!$Y157-1,"")</f>
        <v/>
      </c>
      <c r="V144" s="196" t="str">
        <f>IFERROR(Inv_SY!J157/Inv_SY!$Z157-1,"")</f>
        <v/>
      </c>
      <c r="W144" s="196" t="str">
        <f>IFERROR(Inv_SY!K157/Inv_SY!$Z157-1,"")</f>
        <v/>
      </c>
      <c r="X144" s="196" t="str">
        <f>IFERROR(Inv_SY!L157/Inv_SY!$Z157-1,"")</f>
        <v/>
      </c>
      <c r="Y144" s="196" t="str">
        <f>IFERROR(Inv_SY!M157/Inv_SY!$Z157-1,"")</f>
        <v/>
      </c>
      <c r="Z144" s="196" t="str">
        <f>IFERROR(Inv_SY!N157/Inv_SY!$Z157-1,"")</f>
        <v/>
      </c>
      <c r="AA144" s="196" t="str">
        <f>IFERROR(Inv_SY!O157/Inv_SY!$Z157-1,"")</f>
        <v/>
      </c>
      <c r="AB144" s="196" t="str">
        <f>IFERROR(Inv_SY!P157/Inv_SY!$Z157-1,"")</f>
        <v/>
      </c>
      <c r="AC144" s="196" t="str">
        <f>IFERROR(Inv_SY!Q157/Inv_SY!$Z157-1,"")</f>
        <v/>
      </c>
      <c r="AD144" s="196" t="str">
        <f>IFERROR(Inv_SY!R157/Inv_SY!$Z157-1,"")</f>
        <v/>
      </c>
      <c r="AE144" s="196" t="str">
        <f>IFERROR(Inv_SY!S157/Inv_SY!$Z157-1,"")</f>
        <v/>
      </c>
      <c r="AF144" s="196" t="str">
        <f>IFERROR(Inv_SY!T157/Inv_SY!$Z157-1,"")</f>
        <v/>
      </c>
      <c r="AG144" s="196" t="str">
        <f>IFERROR(Inv_SY!U157/Inv_SY!$Z157-1,"")</f>
        <v/>
      </c>
      <c r="AH144" s="196" t="str">
        <f>IFERROR(Inv_SY!V157/Inv_SY!$Y157-1,"")</f>
        <v/>
      </c>
      <c r="AI144" s="196" t="str">
        <f>IFERROR(Inv_SY!W157/Inv_SY!$Y157-1,"")</f>
        <v/>
      </c>
      <c r="AJ144" s="196" t="str">
        <f>IFERROR(Inv_SY!X157/Inv_SY!$Y157-1,"")</f>
        <v/>
      </c>
      <c r="AK144" s="196" t="str">
        <f>IFERROR(Inv_SY!V157/Inv_SY!$Z157-1,"")</f>
        <v/>
      </c>
      <c r="AL144" s="196" t="str">
        <f>IFERROR(Inv_SY!W157/Inv_SY!$Z157-1,"")</f>
        <v/>
      </c>
      <c r="AM144" s="196" t="str">
        <f>IFERROR(Inv_SY!X157/Inv_SY!$Z157-1,"")</f>
        <v/>
      </c>
    </row>
    <row r="145" spans="1:39" x14ac:dyDescent="0.25">
      <c r="A145" s="191">
        <f>YEAR(Inv_SY_D[[#This Row],[Date]])+IF(MONTH(Inv_SY_D[[#This Row],[Date]])&gt;=4,1,0)</f>
        <v>2026</v>
      </c>
      <c r="B145" s="191">
        <v>4</v>
      </c>
      <c r="C145" s="191">
        <f>YEAR(Inv_SY_D[[#This Row],[Month Year]])</f>
        <v>2025</v>
      </c>
      <c r="D145" s="191" t="s">
        <v>4</v>
      </c>
      <c r="E145" s="191" t="s">
        <v>4</v>
      </c>
      <c r="F145" s="192" t="str">
        <f>TEXT(Inv_SY_D[[#This Row],[Date]],"mmm-yy")</f>
        <v>Aug-25</v>
      </c>
      <c r="G145" s="193">
        <f>DAY(EOMONTH(Inv_SY_D[[#This Row],[Month Year]],0))</f>
        <v>31</v>
      </c>
      <c r="H145" s="194">
        <f t="shared" si="3"/>
        <v>45888</v>
      </c>
      <c r="I145" s="195">
        <v>7.0991999999999997</v>
      </c>
      <c r="J145" s="196" t="str">
        <f>IFERROR(Inv_SY!J158/Inv_SY!$Y158-1,"")</f>
        <v/>
      </c>
      <c r="K145" s="196" t="str">
        <f>IFERROR(Inv_SY!K158/Inv_SY!$Y158-1,"")</f>
        <v/>
      </c>
      <c r="L145" s="196" t="str">
        <f>IFERROR(Inv_SY!L158/Inv_SY!$Y158-1,"")</f>
        <v/>
      </c>
      <c r="M145" s="196" t="str">
        <f>IFERROR(Inv_SY!M158/Inv_SY!$Y158-1,"")</f>
        <v/>
      </c>
      <c r="N145" s="196" t="str">
        <f>IFERROR(Inv_SY!N158/Inv_SY!$Y158-1,"")</f>
        <v/>
      </c>
      <c r="O145" s="196" t="str">
        <f>IFERROR(Inv_SY!O158/Inv_SY!$Y158-1,"")</f>
        <v/>
      </c>
      <c r="P145" s="196" t="str">
        <f>IFERROR(Inv_SY!P158/Inv_SY!$Y158-1,"")</f>
        <v/>
      </c>
      <c r="Q145" s="196" t="str">
        <f>IFERROR(Inv_SY!Q158/Inv_SY!$Y158-1,"")</f>
        <v/>
      </c>
      <c r="R145" s="196" t="str">
        <f>IFERROR(Inv_SY!R158/Inv_SY!$Y158-1,"")</f>
        <v/>
      </c>
      <c r="S145" s="196" t="str">
        <f>IFERROR(Inv_SY!S158/Inv_SY!$Y158-1,"")</f>
        <v/>
      </c>
      <c r="T145" s="196" t="str">
        <f>IFERROR(Inv_SY!T158/Inv_SY!$Y158-1,"")</f>
        <v/>
      </c>
      <c r="U145" s="196" t="str">
        <f>IFERROR(Inv_SY!U158/Inv_SY!$Y158-1,"")</f>
        <v/>
      </c>
      <c r="V145" s="196" t="str">
        <f>IFERROR(Inv_SY!J158/Inv_SY!$Z158-1,"")</f>
        <v/>
      </c>
      <c r="W145" s="196" t="str">
        <f>IFERROR(Inv_SY!K158/Inv_SY!$Z158-1,"")</f>
        <v/>
      </c>
      <c r="X145" s="196" t="str">
        <f>IFERROR(Inv_SY!L158/Inv_SY!$Z158-1,"")</f>
        <v/>
      </c>
      <c r="Y145" s="196" t="str">
        <f>IFERROR(Inv_SY!M158/Inv_SY!$Z158-1,"")</f>
        <v/>
      </c>
      <c r="Z145" s="196" t="str">
        <f>IFERROR(Inv_SY!N158/Inv_SY!$Z158-1,"")</f>
        <v/>
      </c>
      <c r="AA145" s="196" t="str">
        <f>IFERROR(Inv_SY!O158/Inv_SY!$Z158-1,"")</f>
        <v/>
      </c>
      <c r="AB145" s="196" t="str">
        <f>IFERROR(Inv_SY!P158/Inv_SY!$Z158-1,"")</f>
        <v/>
      </c>
      <c r="AC145" s="196" t="str">
        <f>IFERROR(Inv_SY!Q158/Inv_SY!$Z158-1,"")</f>
        <v/>
      </c>
      <c r="AD145" s="196" t="str">
        <f>IFERROR(Inv_SY!R158/Inv_SY!$Z158-1,"")</f>
        <v/>
      </c>
      <c r="AE145" s="196" t="str">
        <f>IFERROR(Inv_SY!S158/Inv_SY!$Z158-1,"")</f>
        <v/>
      </c>
      <c r="AF145" s="196" t="str">
        <f>IFERROR(Inv_SY!T158/Inv_SY!$Z158-1,"")</f>
        <v/>
      </c>
      <c r="AG145" s="196" t="str">
        <f>IFERROR(Inv_SY!U158/Inv_SY!$Z158-1,"")</f>
        <v/>
      </c>
      <c r="AH145" s="196" t="str">
        <f>IFERROR(Inv_SY!V158/Inv_SY!$Y158-1,"")</f>
        <v/>
      </c>
      <c r="AI145" s="196" t="str">
        <f>IFERROR(Inv_SY!W158/Inv_SY!$Y158-1,"")</f>
        <v/>
      </c>
      <c r="AJ145" s="196" t="str">
        <f>IFERROR(Inv_SY!X158/Inv_SY!$Y158-1,"")</f>
        <v/>
      </c>
      <c r="AK145" s="196" t="str">
        <f>IFERROR(Inv_SY!V158/Inv_SY!$Z158-1,"")</f>
        <v/>
      </c>
      <c r="AL145" s="196" t="str">
        <f>IFERROR(Inv_SY!W158/Inv_SY!$Z158-1,"")</f>
        <v/>
      </c>
      <c r="AM145" s="196" t="str">
        <f>IFERROR(Inv_SY!X158/Inv_SY!$Z158-1,"")</f>
        <v/>
      </c>
    </row>
    <row r="146" spans="1:39" x14ac:dyDescent="0.25">
      <c r="A146" s="191">
        <f>YEAR(Inv_SY_D[[#This Row],[Date]])+IF(MONTH(Inv_SY_D[[#This Row],[Date]])&gt;=4,1,0)</f>
        <v>2026</v>
      </c>
      <c r="B146" s="191">
        <v>4</v>
      </c>
      <c r="C146" s="191">
        <f>YEAR(Inv_SY_D[[#This Row],[Month Year]])</f>
        <v>2025</v>
      </c>
      <c r="D146" s="191" t="s">
        <v>4</v>
      </c>
      <c r="E146" s="191" t="s">
        <v>4</v>
      </c>
      <c r="F146" s="192" t="str">
        <f>TEXT(Inv_SY_D[[#This Row],[Date]],"mmm-yy")</f>
        <v>Aug-25</v>
      </c>
      <c r="G146" s="193">
        <f>DAY(EOMONTH(Inv_SY_D[[#This Row],[Month Year]],0))</f>
        <v>31</v>
      </c>
      <c r="H146" s="194">
        <f t="shared" si="3"/>
        <v>45889</v>
      </c>
      <c r="I146" s="195">
        <v>7.0991999999999997</v>
      </c>
      <c r="J146" s="196" t="str">
        <f>IFERROR(Inv_SY!J159/Inv_SY!$Y159-1,"")</f>
        <v/>
      </c>
      <c r="K146" s="196" t="str">
        <f>IFERROR(Inv_SY!K159/Inv_SY!$Y159-1,"")</f>
        <v/>
      </c>
      <c r="L146" s="196" t="str">
        <f>IFERROR(Inv_SY!L159/Inv_SY!$Y159-1,"")</f>
        <v/>
      </c>
      <c r="M146" s="196" t="str">
        <f>IFERROR(Inv_SY!M159/Inv_SY!$Y159-1,"")</f>
        <v/>
      </c>
      <c r="N146" s="196" t="str">
        <f>IFERROR(Inv_SY!N159/Inv_SY!$Y159-1,"")</f>
        <v/>
      </c>
      <c r="O146" s="196" t="str">
        <f>IFERROR(Inv_SY!O159/Inv_SY!$Y159-1,"")</f>
        <v/>
      </c>
      <c r="P146" s="196" t="str">
        <f>IFERROR(Inv_SY!P159/Inv_SY!$Y159-1,"")</f>
        <v/>
      </c>
      <c r="Q146" s="196" t="str">
        <f>IFERROR(Inv_SY!Q159/Inv_SY!$Y159-1,"")</f>
        <v/>
      </c>
      <c r="R146" s="196" t="str">
        <f>IFERROR(Inv_SY!R159/Inv_SY!$Y159-1,"")</f>
        <v/>
      </c>
      <c r="S146" s="196" t="str">
        <f>IFERROR(Inv_SY!S159/Inv_SY!$Y159-1,"")</f>
        <v/>
      </c>
      <c r="T146" s="196" t="str">
        <f>IFERROR(Inv_SY!T159/Inv_SY!$Y159-1,"")</f>
        <v/>
      </c>
      <c r="U146" s="196" t="str">
        <f>IFERROR(Inv_SY!U159/Inv_SY!$Y159-1,"")</f>
        <v/>
      </c>
      <c r="V146" s="196" t="str">
        <f>IFERROR(Inv_SY!J159/Inv_SY!$Z159-1,"")</f>
        <v/>
      </c>
      <c r="W146" s="196" t="str">
        <f>IFERROR(Inv_SY!K159/Inv_SY!$Z159-1,"")</f>
        <v/>
      </c>
      <c r="X146" s="196" t="str">
        <f>IFERROR(Inv_SY!L159/Inv_SY!$Z159-1,"")</f>
        <v/>
      </c>
      <c r="Y146" s="196" t="str">
        <f>IFERROR(Inv_SY!M159/Inv_SY!$Z159-1,"")</f>
        <v/>
      </c>
      <c r="Z146" s="196" t="str">
        <f>IFERROR(Inv_SY!N159/Inv_SY!$Z159-1,"")</f>
        <v/>
      </c>
      <c r="AA146" s="196" t="str">
        <f>IFERROR(Inv_SY!O159/Inv_SY!$Z159-1,"")</f>
        <v/>
      </c>
      <c r="AB146" s="196" t="str">
        <f>IFERROR(Inv_SY!P159/Inv_SY!$Z159-1,"")</f>
        <v/>
      </c>
      <c r="AC146" s="196" t="str">
        <f>IFERROR(Inv_SY!Q159/Inv_SY!$Z159-1,"")</f>
        <v/>
      </c>
      <c r="AD146" s="196" t="str">
        <f>IFERROR(Inv_SY!R159/Inv_SY!$Z159-1,"")</f>
        <v/>
      </c>
      <c r="AE146" s="196" t="str">
        <f>IFERROR(Inv_SY!S159/Inv_SY!$Z159-1,"")</f>
        <v/>
      </c>
      <c r="AF146" s="196" t="str">
        <f>IFERROR(Inv_SY!T159/Inv_SY!$Z159-1,"")</f>
        <v/>
      </c>
      <c r="AG146" s="196" t="str">
        <f>IFERROR(Inv_SY!U159/Inv_SY!$Z159-1,"")</f>
        <v/>
      </c>
      <c r="AH146" s="196" t="str">
        <f>IFERROR(Inv_SY!V159/Inv_SY!$Y159-1,"")</f>
        <v/>
      </c>
      <c r="AI146" s="196" t="str">
        <f>IFERROR(Inv_SY!W159/Inv_SY!$Y159-1,"")</f>
        <v/>
      </c>
      <c r="AJ146" s="196" t="str">
        <f>IFERROR(Inv_SY!X159/Inv_SY!$Y159-1,"")</f>
        <v/>
      </c>
      <c r="AK146" s="196" t="str">
        <f>IFERROR(Inv_SY!V159/Inv_SY!$Z159-1,"")</f>
        <v/>
      </c>
      <c r="AL146" s="196" t="str">
        <f>IFERROR(Inv_SY!W159/Inv_SY!$Z159-1,"")</f>
        <v/>
      </c>
      <c r="AM146" s="196" t="str">
        <f>IFERROR(Inv_SY!X159/Inv_SY!$Z159-1,"")</f>
        <v/>
      </c>
    </row>
    <row r="147" spans="1:39" x14ac:dyDescent="0.25">
      <c r="A147" s="191">
        <f>YEAR(Inv_SY_D[[#This Row],[Date]])+IF(MONTH(Inv_SY_D[[#This Row],[Date]])&gt;=4,1,0)</f>
        <v>2026</v>
      </c>
      <c r="B147" s="191">
        <v>4</v>
      </c>
      <c r="C147" s="191">
        <f>YEAR(Inv_SY_D[[#This Row],[Month Year]])</f>
        <v>2025</v>
      </c>
      <c r="D147" s="191" t="s">
        <v>4</v>
      </c>
      <c r="E147" s="191" t="s">
        <v>4</v>
      </c>
      <c r="F147" s="192" t="str">
        <f>TEXT(Inv_SY_D[[#This Row],[Date]],"mmm-yy")</f>
        <v>Aug-25</v>
      </c>
      <c r="G147" s="193">
        <f>DAY(EOMONTH(Inv_SY_D[[#This Row],[Month Year]],0))</f>
        <v>31</v>
      </c>
      <c r="H147" s="194">
        <f t="shared" si="3"/>
        <v>45890</v>
      </c>
      <c r="I147" s="195">
        <v>7.0991999999999997</v>
      </c>
      <c r="J147" s="196" t="str">
        <f>IFERROR(Inv_SY!J160/Inv_SY!$Y160-1,"")</f>
        <v/>
      </c>
      <c r="K147" s="196" t="str">
        <f>IFERROR(Inv_SY!K160/Inv_SY!$Y160-1,"")</f>
        <v/>
      </c>
      <c r="L147" s="196" t="str">
        <f>IFERROR(Inv_SY!L160/Inv_SY!$Y160-1,"")</f>
        <v/>
      </c>
      <c r="M147" s="196" t="str">
        <f>IFERROR(Inv_SY!M160/Inv_SY!$Y160-1,"")</f>
        <v/>
      </c>
      <c r="N147" s="196" t="str">
        <f>IFERROR(Inv_SY!N160/Inv_SY!$Y160-1,"")</f>
        <v/>
      </c>
      <c r="O147" s="196" t="str">
        <f>IFERROR(Inv_SY!O160/Inv_SY!$Y160-1,"")</f>
        <v/>
      </c>
      <c r="P147" s="196" t="str">
        <f>IFERROR(Inv_SY!P160/Inv_SY!$Y160-1,"")</f>
        <v/>
      </c>
      <c r="Q147" s="196" t="str">
        <f>IFERROR(Inv_SY!Q160/Inv_SY!$Y160-1,"")</f>
        <v/>
      </c>
      <c r="R147" s="196" t="str">
        <f>IFERROR(Inv_SY!R160/Inv_SY!$Y160-1,"")</f>
        <v/>
      </c>
      <c r="S147" s="196" t="str">
        <f>IFERROR(Inv_SY!S160/Inv_SY!$Y160-1,"")</f>
        <v/>
      </c>
      <c r="T147" s="196" t="str">
        <f>IFERROR(Inv_SY!T160/Inv_SY!$Y160-1,"")</f>
        <v/>
      </c>
      <c r="U147" s="196" t="str">
        <f>IFERROR(Inv_SY!U160/Inv_SY!$Y160-1,"")</f>
        <v/>
      </c>
      <c r="V147" s="196" t="str">
        <f>IFERROR(Inv_SY!J160/Inv_SY!$Z160-1,"")</f>
        <v/>
      </c>
      <c r="W147" s="196" t="str">
        <f>IFERROR(Inv_SY!K160/Inv_SY!$Z160-1,"")</f>
        <v/>
      </c>
      <c r="X147" s="196" t="str">
        <f>IFERROR(Inv_SY!L160/Inv_SY!$Z160-1,"")</f>
        <v/>
      </c>
      <c r="Y147" s="196" t="str">
        <f>IFERROR(Inv_SY!M160/Inv_SY!$Z160-1,"")</f>
        <v/>
      </c>
      <c r="Z147" s="196" t="str">
        <f>IFERROR(Inv_SY!N160/Inv_SY!$Z160-1,"")</f>
        <v/>
      </c>
      <c r="AA147" s="196" t="str">
        <f>IFERROR(Inv_SY!O160/Inv_SY!$Z160-1,"")</f>
        <v/>
      </c>
      <c r="AB147" s="196" t="str">
        <f>IFERROR(Inv_SY!P160/Inv_SY!$Z160-1,"")</f>
        <v/>
      </c>
      <c r="AC147" s="196" t="str">
        <f>IFERROR(Inv_SY!Q160/Inv_SY!$Z160-1,"")</f>
        <v/>
      </c>
      <c r="AD147" s="196" t="str">
        <f>IFERROR(Inv_SY!R160/Inv_SY!$Z160-1,"")</f>
        <v/>
      </c>
      <c r="AE147" s="196" t="str">
        <f>IFERROR(Inv_SY!S160/Inv_SY!$Z160-1,"")</f>
        <v/>
      </c>
      <c r="AF147" s="196" t="str">
        <f>IFERROR(Inv_SY!T160/Inv_SY!$Z160-1,"")</f>
        <v/>
      </c>
      <c r="AG147" s="196" t="str">
        <f>IFERROR(Inv_SY!U160/Inv_SY!$Z160-1,"")</f>
        <v/>
      </c>
      <c r="AH147" s="196" t="str">
        <f>IFERROR(Inv_SY!V160/Inv_SY!$Y160-1,"")</f>
        <v/>
      </c>
      <c r="AI147" s="196" t="str">
        <f>IFERROR(Inv_SY!W160/Inv_SY!$Y160-1,"")</f>
        <v/>
      </c>
      <c r="AJ147" s="196" t="str">
        <f>IFERROR(Inv_SY!X160/Inv_SY!$Y160-1,"")</f>
        <v/>
      </c>
      <c r="AK147" s="196" t="str">
        <f>IFERROR(Inv_SY!V160/Inv_SY!$Z160-1,"")</f>
        <v/>
      </c>
      <c r="AL147" s="196" t="str">
        <f>IFERROR(Inv_SY!W160/Inv_SY!$Z160-1,"")</f>
        <v/>
      </c>
      <c r="AM147" s="196" t="str">
        <f>IFERROR(Inv_SY!X160/Inv_SY!$Z160-1,"")</f>
        <v/>
      </c>
    </row>
    <row r="148" spans="1:39" x14ac:dyDescent="0.25">
      <c r="A148" s="191">
        <f>YEAR(Inv_SY_D[[#This Row],[Date]])+IF(MONTH(Inv_SY_D[[#This Row],[Date]])&gt;=4,1,0)</f>
        <v>2026</v>
      </c>
      <c r="B148" s="191">
        <v>4</v>
      </c>
      <c r="C148" s="191">
        <f>YEAR(Inv_SY_D[[#This Row],[Month Year]])</f>
        <v>2025</v>
      </c>
      <c r="D148" s="191" t="s">
        <v>4</v>
      </c>
      <c r="E148" s="191" t="s">
        <v>4</v>
      </c>
      <c r="F148" s="192" t="str">
        <f>TEXT(Inv_SY_D[[#This Row],[Date]],"mmm-yy")</f>
        <v>Aug-25</v>
      </c>
      <c r="G148" s="193">
        <f>DAY(EOMONTH(Inv_SY_D[[#This Row],[Month Year]],0))</f>
        <v>31</v>
      </c>
      <c r="H148" s="194">
        <f t="shared" si="3"/>
        <v>45891</v>
      </c>
      <c r="I148" s="195">
        <v>7.0991999999999997</v>
      </c>
      <c r="J148" s="196" t="str">
        <f>IFERROR(Inv_SY!J161/Inv_SY!$Y161-1,"")</f>
        <v/>
      </c>
      <c r="K148" s="196" t="str">
        <f>IFERROR(Inv_SY!K161/Inv_SY!$Y161-1,"")</f>
        <v/>
      </c>
      <c r="L148" s="196" t="str">
        <f>IFERROR(Inv_SY!L161/Inv_SY!$Y161-1,"")</f>
        <v/>
      </c>
      <c r="M148" s="196" t="str">
        <f>IFERROR(Inv_SY!M161/Inv_SY!$Y161-1,"")</f>
        <v/>
      </c>
      <c r="N148" s="196" t="str">
        <f>IFERROR(Inv_SY!N161/Inv_SY!$Y161-1,"")</f>
        <v/>
      </c>
      <c r="O148" s="196" t="str">
        <f>IFERROR(Inv_SY!O161/Inv_SY!$Y161-1,"")</f>
        <v/>
      </c>
      <c r="P148" s="196" t="str">
        <f>IFERROR(Inv_SY!P161/Inv_SY!$Y161-1,"")</f>
        <v/>
      </c>
      <c r="Q148" s="196" t="str">
        <f>IFERROR(Inv_SY!Q161/Inv_SY!$Y161-1,"")</f>
        <v/>
      </c>
      <c r="R148" s="196" t="str">
        <f>IFERROR(Inv_SY!R161/Inv_SY!$Y161-1,"")</f>
        <v/>
      </c>
      <c r="S148" s="196" t="str">
        <f>IFERROR(Inv_SY!S161/Inv_SY!$Y161-1,"")</f>
        <v/>
      </c>
      <c r="T148" s="196" t="str">
        <f>IFERROR(Inv_SY!T161/Inv_SY!$Y161-1,"")</f>
        <v/>
      </c>
      <c r="U148" s="196" t="str">
        <f>IFERROR(Inv_SY!U161/Inv_SY!$Y161-1,"")</f>
        <v/>
      </c>
      <c r="V148" s="196" t="str">
        <f>IFERROR(Inv_SY!J161/Inv_SY!$Z161-1,"")</f>
        <v/>
      </c>
      <c r="W148" s="196" t="str">
        <f>IFERROR(Inv_SY!K161/Inv_SY!$Z161-1,"")</f>
        <v/>
      </c>
      <c r="X148" s="196" t="str">
        <f>IFERROR(Inv_SY!L161/Inv_SY!$Z161-1,"")</f>
        <v/>
      </c>
      <c r="Y148" s="196" t="str">
        <f>IFERROR(Inv_SY!M161/Inv_SY!$Z161-1,"")</f>
        <v/>
      </c>
      <c r="Z148" s="196" t="str">
        <f>IFERROR(Inv_SY!N161/Inv_SY!$Z161-1,"")</f>
        <v/>
      </c>
      <c r="AA148" s="196" t="str">
        <f>IFERROR(Inv_SY!O161/Inv_SY!$Z161-1,"")</f>
        <v/>
      </c>
      <c r="AB148" s="196" t="str">
        <f>IFERROR(Inv_SY!P161/Inv_SY!$Z161-1,"")</f>
        <v/>
      </c>
      <c r="AC148" s="196" t="str">
        <f>IFERROR(Inv_SY!Q161/Inv_SY!$Z161-1,"")</f>
        <v/>
      </c>
      <c r="AD148" s="196" t="str">
        <f>IFERROR(Inv_SY!R161/Inv_SY!$Z161-1,"")</f>
        <v/>
      </c>
      <c r="AE148" s="196" t="str">
        <f>IFERROR(Inv_SY!S161/Inv_SY!$Z161-1,"")</f>
        <v/>
      </c>
      <c r="AF148" s="196" t="str">
        <f>IFERROR(Inv_SY!T161/Inv_SY!$Z161-1,"")</f>
        <v/>
      </c>
      <c r="AG148" s="196" t="str">
        <f>IFERROR(Inv_SY!U161/Inv_SY!$Z161-1,"")</f>
        <v/>
      </c>
      <c r="AH148" s="196" t="str">
        <f>IFERROR(Inv_SY!V161/Inv_SY!$Y161-1,"")</f>
        <v/>
      </c>
      <c r="AI148" s="196" t="str">
        <f>IFERROR(Inv_SY!W161/Inv_SY!$Y161-1,"")</f>
        <v/>
      </c>
      <c r="AJ148" s="196" t="str">
        <f>IFERROR(Inv_SY!X161/Inv_SY!$Y161-1,"")</f>
        <v/>
      </c>
      <c r="AK148" s="196" t="str">
        <f>IFERROR(Inv_SY!V161/Inv_SY!$Z161-1,"")</f>
        <v/>
      </c>
      <c r="AL148" s="196" t="str">
        <f>IFERROR(Inv_SY!W161/Inv_SY!$Z161-1,"")</f>
        <v/>
      </c>
      <c r="AM148" s="196" t="str">
        <f>IFERROR(Inv_SY!X161/Inv_SY!$Z161-1,"")</f>
        <v/>
      </c>
    </row>
    <row r="149" spans="1:39" x14ac:dyDescent="0.25">
      <c r="A149" s="191">
        <f>YEAR(Inv_SY_D[[#This Row],[Date]])+IF(MONTH(Inv_SY_D[[#This Row],[Date]])&gt;=4,1,0)</f>
        <v>2026</v>
      </c>
      <c r="B149" s="191">
        <v>4</v>
      </c>
      <c r="C149" s="191">
        <f>YEAR(Inv_SY_D[[#This Row],[Month Year]])</f>
        <v>2025</v>
      </c>
      <c r="D149" s="191" t="s">
        <v>4</v>
      </c>
      <c r="E149" s="191" t="s">
        <v>4</v>
      </c>
      <c r="F149" s="192" t="str">
        <f>TEXT(Inv_SY_D[[#This Row],[Date]],"mmm-yy")</f>
        <v>Aug-25</v>
      </c>
      <c r="G149" s="193">
        <f>DAY(EOMONTH(Inv_SY_D[[#This Row],[Month Year]],0))</f>
        <v>31</v>
      </c>
      <c r="H149" s="194">
        <f t="shared" si="3"/>
        <v>45892</v>
      </c>
      <c r="I149" s="195">
        <v>7.0991999999999997</v>
      </c>
      <c r="J149" s="196" t="str">
        <f>IFERROR(Inv_SY!J162/Inv_SY!$Y162-1,"")</f>
        <v/>
      </c>
      <c r="K149" s="196" t="str">
        <f>IFERROR(Inv_SY!K162/Inv_SY!$Y162-1,"")</f>
        <v/>
      </c>
      <c r="L149" s="196" t="str">
        <f>IFERROR(Inv_SY!L162/Inv_SY!$Y162-1,"")</f>
        <v/>
      </c>
      <c r="M149" s="196" t="str">
        <f>IFERROR(Inv_SY!M162/Inv_SY!$Y162-1,"")</f>
        <v/>
      </c>
      <c r="N149" s="196" t="str">
        <f>IFERROR(Inv_SY!N162/Inv_SY!$Y162-1,"")</f>
        <v/>
      </c>
      <c r="O149" s="196" t="str">
        <f>IFERROR(Inv_SY!O162/Inv_SY!$Y162-1,"")</f>
        <v/>
      </c>
      <c r="P149" s="196" t="str">
        <f>IFERROR(Inv_SY!P162/Inv_SY!$Y162-1,"")</f>
        <v/>
      </c>
      <c r="Q149" s="196" t="str">
        <f>IFERROR(Inv_SY!Q162/Inv_SY!$Y162-1,"")</f>
        <v/>
      </c>
      <c r="R149" s="196" t="str">
        <f>IFERROR(Inv_SY!R162/Inv_SY!$Y162-1,"")</f>
        <v/>
      </c>
      <c r="S149" s="196" t="str">
        <f>IFERROR(Inv_SY!S162/Inv_SY!$Y162-1,"")</f>
        <v/>
      </c>
      <c r="T149" s="196" t="str">
        <f>IFERROR(Inv_SY!T162/Inv_SY!$Y162-1,"")</f>
        <v/>
      </c>
      <c r="U149" s="196" t="str">
        <f>IFERROR(Inv_SY!U162/Inv_SY!$Y162-1,"")</f>
        <v/>
      </c>
      <c r="V149" s="196" t="str">
        <f>IFERROR(Inv_SY!J162/Inv_SY!$Z162-1,"")</f>
        <v/>
      </c>
      <c r="W149" s="196" t="str">
        <f>IFERROR(Inv_SY!K162/Inv_SY!$Z162-1,"")</f>
        <v/>
      </c>
      <c r="X149" s="196" t="str">
        <f>IFERROR(Inv_SY!L162/Inv_SY!$Z162-1,"")</f>
        <v/>
      </c>
      <c r="Y149" s="196" t="str">
        <f>IFERROR(Inv_SY!M162/Inv_SY!$Z162-1,"")</f>
        <v/>
      </c>
      <c r="Z149" s="196" t="str">
        <f>IFERROR(Inv_SY!N162/Inv_SY!$Z162-1,"")</f>
        <v/>
      </c>
      <c r="AA149" s="196" t="str">
        <f>IFERROR(Inv_SY!O162/Inv_SY!$Z162-1,"")</f>
        <v/>
      </c>
      <c r="AB149" s="196" t="str">
        <f>IFERROR(Inv_SY!P162/Inv_SY!$Z162-1,"")</f>
        <v/>
      </c>
      <c r="AC149" s="196" t="str">
        <f>IFERROR(Inv_SY!Q162/Inv_SY!$Z162-1,"")</f>
        <v/>
      </c>
      <c r="AD149" s="196" t="str">
        <f>IFERROR(Inv_SY!R162/Inv_SY!$Z162-1,"")</f>
        <v/>
      </c>
      <c r="AE149" s="196" t="str">
        <f>IFERROR(Inv_SY!S162/Inv_SY!$Z162-1,"")</f>
        <v/>
      </c>
      <c r="AF149" s="196" t="str">
        <f>IFERROR(Inv_SY!T162/Inv_SY!$Z162-1,"")</f>
        <v/>
      </c>
      <c r="AG149" s="196" t="str">
        <f>IFERROR(Inv_SY!U162/Inv_SY!$Z162-1,"")</f>
        <v/>
      </c>
      <c r="AH149" s="196" t="str">
        <f>IFERROR(Inv_SY!V162/Inv_SY!$Y162-1,"")</f>
        <v/>
      </c>
      <c r="AI149" s="196" t="str">
        <f>IFERROR(Inv_SY!W162/Inv_SY!$Y162-1,"")</f>
        <v/>
      </c>
      <c r="AJ149" s="196" t="str">
        <f>IFERROR(Inv_SY!X162/Inv_SY!$Y162-1,"")</f>
        <v/>
      </c>
      <c r="AK149" s="196" t="str">
        <f>IFERROR(Inv_SY!V162/Inv_SY!$Z162-1,"")</f>
        <v/>
      </c>
      <c r="AL149" s="196" t="str">
        <f>IFERROR(Inv_SY!W162/Inv_SY!$Z162-1,"")</f>
        <v/>
      </c>
      <c r="AM149" s="196" t="str">
        <f>IFERROR(Inv_SY!X162/Inv_SY!$Z162-1,"")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K3" sqref="K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9" customFormat="1" ht="30" x14ac:dyDescent="0.25">
      <c r="A1" s="17" t="s">
        <v>176</v>
      </c>
      <c r="B1" s="18" t="s">
        <v>177</v>
      </c>
      <c r="C1" s="28" t="s">
        <v>178</v>
      </c>
      <c r="E1" s="17" t="s">
        <v>179</v>
      </c>
      <c r="H1" s="19" t="s">
        <v>180</v>
      </c>
      <c r="J1" s="19" t="s">
        <v>1072</v>
      </c>
    </row>
    <row r="2" spans="1:10" x14ac:dyDescent="0.25">
      <c r="A2" s="3" t="s">
        <v>100</v>
      </c>
      <c r="B2" s="5">
        <v>2379.6000000000008</v>
      </c>
      <c r="C2" s="8">
        <f>IFERROR(B2/$B$89,"")</f>
        <v>0.33519269776876276</v>
      </c>
      <c r="E2" s="3" t="s">
        <v>181</v>
      </c>
      <c r="H2" t="s">
        <v>182</v>
      </c>
      <c r="J2" s="9">
        <f>7099.2/1000</f>
        <v>7.0991999999999997</v>
      </c>
    </row>
    <row r="3" spans="1:10" x14ac:dyDescent="0.25">
      <c r="A3" s="3" t="s">
        <v>101</v>
      </c>
      <c r="B3" s="5">
        <v>2350.2600000000002</v>
      </c>
      <c r="C3" s="8">
        <f t="shared" ref="C3:C66" si="0">IFERROR(B3/$B$89,"")</f>
        <v>0.33105983772819475</v>
      </c>
      <c r="E3" s="3" t="s">
        <v>183</v>
      </c>
      <c r="H3" t="s">
        <v>184</v>
      </c>
    </row>
    <row r="4" spans="1:10" x14ac:dyDescent="0.25">
      <c r="A4" s="3" t="s">
        <v>102</v>
      </c>
      <c r="B4" s="5">
        <v>2369.3399999999997</v>
      </c>
      <c r="C4" s="8">
        <f t="shared" si="0"/>
        <v>0.33374746450304255</v>
      </c>
      <c r="E4" s="3" t="s">
        <v>185</v>
      </c>
    </row>
    <row r="5" spans="1:10" x14ac:dyDescent="0.25">
      <c r="A5" s="3" t="s">
        <v>151</v>
      </c>
      <c r="B5" s="5">
        <v>567.00000000000011</v>
      </c>
      <c r="C5" s="8">
        <f t="shared" si="0"/>
        <v>7.9868154158215021E-2</v>
      </c>
      <c r="E5" s="3" t="s">
        <v>186</v>
      </c>
    </row>
    <row r="6" spans="1:10" x14ac:dyDescent="0.25">
      <c r="A6" s="3" t="s">
        <v>152</v>
      </c>
      <c r="B6" s="5">
        <v>680.40000000000009</v>
      </c>
      <c r="C6" s="8">
        <f t="shared" si="0"/>
        <v>9.5841784989858014E-2</v>
      </c>
      <c r="E6" s="3" t="s">
        <v>187</v>
      </c>
    </row>
    <row r="7" spans="1:10" x14ac:dyDescent="0.25">
      <c r="A7" s="3" t="s">
        <v>153</v>
      </c>
      <c r="B7" s="5">
        <v>565.20000000000005</v>
      </c>
      <c r="C7" s="8">
        <f t="shared" si="0"/>
        <v>7.9614604462474647E-2</v>
      </c>
      <c r="E7" s="3" t="s">
        <v>188</v>
      </c>
    </row>
    <row r="8" spans="1:10" x14ac:dyDescent="0.25">
      <c r="A8" s="3" t="s">
        <v>154</v>
      </c>
      <c r="B8" s="5">
        <v>567.00000000000011</v>
      </c>
      <c r="C8" s="8">
        <f t="shared" si="0"/>
        <v>7.9868154158215021E-2</v>
      </c>
      <c r="E8" s="3" t="s">
        <v>189</v>
      </c>
    </row>
    <row r="9" spans="1:10" x14ac:dyDescent="0.25">
      <c r="A9" s="3" t="s">
        <v>155</v>
      </c>
      <c r="B9" s="5">
        <v>669.59999999999991</v>
      </c>
      <c r="C9" s="8">
        <f t="shared" si="0"/>
        <v>9.4320486815415799E-2</v>
      </c>
      <c r="E9" s="3" t="s">
        <v>190</v>
      </c>
    </row>
    <row r="10" spans="1:10" x14ac:dyDescent="0.25">
      <c r="A10" s="3" t="s">
        <v>156</v>
      </c>
      <c r="B10" s="5">
        <v>567.00000000000011</v>
      </c>
      <c r="C10" s="8">
        <f t="shared" si="0"/>
        <v>7.9868154158215021E-2</v>
      </c>
      <c r="E10" s="3" t="s">
        <v>191</v>
      </c>
    </row>
    <row r="11" spans="1:10" x14ac:dyDescent="0.25">
      <c r="A11" s="3" t="s">
        <v>157</v>
      </c>
      <c r="B11" s="5">
        <v>665.46</v>
      </c>
      <c r="C11" s="8">
        <f t="shared" si="0"/>
        <v>9.3737322515212981E-2</v>
      </c>
      <c r="E11" s="3" t="s">
        <v>192</v>
      </c>
    </row>
    <row r="12" spans="1:10" x14ac:dyDescent="0.25">
      <c r="A12" s="3" t="s">
        <v>158</v>
      </c>
      <c r="B12" s="5">
        <v>448.2</v>
      </c>
      <c r="C12" s="8">
        <f t="shared" si="0"/>
        <v>6.3133874239350907E-2</v>
      </c>
      <c r="E12" s="3" t="s">
        <v>193</v>
      </c>
    </row>
    <row r="13" spans="1:10" x14ac:dyDescent="0.25">
      <c r="A13" s="3" t="s">
        <v>159</v>
      </c>
      <c r="B13" s="5">
        <v>559.79999999999995</v>
      </c>
      <c r="C13" s="8">
        <f t="shared" si="0"/>
        <v>7.885395537525354E-2</v>
      </c>
      <c r="E13" s="3" t="s">
        <v>194</v>
      </c>
    </row>
    <row r="14" spans="1:10" x14ac:dyDescent="0.25">
      <c r="A14" s="3" t="s">
        <v>160</v>
      </c>
      <c r="B14" s="5">
        <v>676.8</v>
      </c>
      <c r="C14" s="8">
        <f t="shared" si="0"/>
        <v>9.5334685598377267E-2</v>
      </c>
      <c r="E14" s="3" t="s">
        <v>195</v>
      </c>
    </row>
    <row r="15" spans="1:10" x14ac:dyDescent="0.25">
      <c r="A15" s="3" t="s">
        <v>161</v>
      </c>
      <c r="B15" s="5">
        <v>454.14</v>
      </c>
      <c r="C15" s="8">
        <f t="shared" si="0"/>
        <v>6.3970588235294112E-2</v>
      </c>
      <c r="E15" s="3" t="s">
        <v>196</v>
      </c>
    </row>
    <row r="16" spans="1:10" x14ac:dyDescent="0.25">
      <c r="A16" s="3" t="s">
        <v>162</v>
      </c>
      <c r="B16" s="5">
        <v>678.59999999999991</v>
      </c>
      <c r="C16" s="8">
        <f t="shared" si="0"/>
        <v>9.5588235294117627E-2</v>
      </c>
      <c r="E16" s="3" t="s">
        <v>197</v>
      </c>
    </row>
    <row r="17" spans="1:5" x14ac:dyDescent="0.25">
      <c r="A17" s="3" t="s">
        <v>198</v>
      </c>
      <c r="B17" s="5">
        <v>113.40000000000002</v>
      </c>
      <c r="C17" s="8">
        <f t="shared" si="0"/>
        <v>1.5973630831643004E-2</v>
      </c>
      <c r="E17" s="3" t="s">
        <v>199</v>
      </c>
    </row>
    <row r="18" spans="1:5" x14ac:dyDescent="0.25">
      <c r="A18" s="3" t="s">
        <v>200</v>
      </c>
      <c r="B18" s="5">
        <v>113.40000000000002</v>
      </c>
      <c r="C18" s="8">
        <f t="shared" si="0"/>
        <v>1.5973630831643004E-2</v>
      </c>
      <c r="E18" s="3" t="s">
        <v>201</v>
      </c>
    </row>
    <row r="19" spans="1:5" x14ac:dyDescent="0.25">
      <c r="A19" s="3" t="s">
        <v>202</v>
      </c>
      <c r="B19" s="5">
        <v>113.40000000000002</v>
      </c>
      <c r="C19" s="8">
        <f t="shared" si="0"/>
        <v>1.5973630831643004E-2</v>
      </c>
      <c r="E19" s="3" t="s">
        <v>203</v>
      </c>
    </row>
    <row r="20" spans="1:5" x14ac:dyDescent="0.25">
      <c r="A20" s="3" t="s">
        <v>204</v>
      </c>
      <c r="B20" s="5">
        <v>113.40000000000002</v>
      </c>
      <c r="C20" s="8">
        <f t="shared" si="0"/>
        <v>1.5973630831643004E-2</v>
      </c>
      <c r="E20" s="3" t="s">
        <v>205</v>
      </c>
    </row>
    <row r="21" spans="1:5" x14ac:dyDescent="0.25">
      <c r="A21" s="3" t="s">
        <v>206</v>
      </c>
      <c r="B21" s="5">
        <v>113.40000000000002</v>
      </c>
      <c r="C21" s="8">
        <f t="shared" si="0"/>
        <v>1.5973630831643004E-2</v>
      </c>
      <c r="E21" s="3" t="s">
        <v>207</v>
      </c>
    </row>
    <row r="22" spans="1:5" x14ac:dyDescent="0.25">
      <c r="A22" s="3" t="s">
        <v>208</v>
      </c>
      <c r="B22" s="5">
        <v>113.40000000000002</v>
      </c>
      <c r="C22" s="8">
        <f t="shared" si="0"/>
        <v>1.5973630831643004E-2</v>
      </c>
      <c r="E22" s="3" t="s">
        <v>209</v>
      </c>
    </row>
    <row r="23" spans="1:5" x14ac:dyDescent="0.25">
      <c r="A23" s="3" t="s">
        <v>210</v>
      </c>
      <c r="B23" s="5">
        <v>113.40000000000002</v>
      </c>
      <c r="C23" s="8">
        <f t="shared" si="0"/>
        <v>1.5973630831643004E-2</v>
      </c>
      <c r="E23" s="3" t="s">
        <v>211</v>
      </c>
    </row>
    <row r="24" spans="1:5" x14ac:dyDescent="0.25">
      <c r="A24" s="3" t="s">
        <v>212</v>
      </c>
      <c r="B24" s="5">
        <v>113.40000000000002</v>
      </c>
      <c r="C24" s="8">
        <f t="shared" si="0"/>
        <v>1.5973630831643004E-2</v>
      </c>
      <c r="E24" s="3" t="s">
        <v>213</v>
      </c>
    </row>
    <row r="25" spans="1:5" x14ac:dyDescent="0.25">
      <c r="A25" s="3" t="s">
        <v>214</v>
      </c>
      <c r="B25" s="5">
        <v>111.59999999999998</v>
      </c>
      <c r="C25" s="8">
        <f t="shared" si="0"/>
        <v>1.5720081135902633E-2</v>
      </c>
      <c r="E25" s="3" t="s">
        <v>215</v>
      </c>
    </row>
    <row r="26" spans="1:5" x14ac:dyDescent="0.25">
      <c r="A26" s="3" t="s">
        <v>216</v>
      </c>
      <c r="B26" s="5">
        <v>113.40000000000002</v>
      </c>
      <c r="C26" s="8">
        <f t="shared" si="0"/>
        <v>1.5973630831643004E-2</v>
      </c>
      <c r="E26" s="4" t="s">
        <v>217</v>
      </c>
    </row>
    <row r="27" spans="1:5" x14ac:dyDescent="0.25">
      <c r="A27" s="3" t="s">
        <v>218</v>
      </c>
      <c r="B27" s="5">
        <v>113.40000000000002</v>
      </c>
      <c r="C27" s="8">
        <f t="shared" si="0"/>
        <v>1.5973630831643004E-2</v>
      </c>
      <c r="E27" s="4" t="s">
        <v>219</v>
      </c>
    </row>
    <row r="28" spans="1:5" x14ac:dyDescent="0.25">
      <c r="A28" s="3" t="s">
        <v>220</v>
      </c>
      <c r="B28" s="5">
        <v>113.40000000000002</v>
      </c>
      <c r="C28" s="8">
        <f t="shared" si="0"/>
        <v>1.5973630831643004E-2</v>
      </c>
      <c r="E28" s="4" t="s">
        <v>221</v>
      </c>
    </row>
    <row r="29" spans="1:5" x14ac:dyDescent="0.25">
      <c r="A29" s="3" t="s">
        <v>222</v>
      </c>
      <c r="B29" s="5">
        <v>113.40000000000002</v>
      </c>
      <c r="C29" s="8">
        <f t="shared" si="0"/>
        <v>1.5973630831643004E-2</v>
      </c>
      <c r="E29" s="3"/>
    </row>
    <row r="30" spans="1:5" x14ac:dyDescent="0.25">
      <c r="A30" s="3" t="s">
        <v>223</v>
      </c>
      <c r="B30" s="5">
        <v>113.40000000000002</v>
      </c>
      <c r="C30" s="8">
        <f t="shared" si="0"/>
        <v>1.5973630831643004E-2</v>
      </c>
      <c r="E30" s="3"/>
    </row>
    <row r="31" spans="1:5" x14ac:dyDescent="0.25">
      <c r="A31" s="3" t="s">
        <v>224</v>
      </c>
      <c r="B31" s="5">
        <v>113.40000000000002</v>
      </c>
      <c r="C31" s="8">
        <f t="shared" si="0"/>
        <v>1.5973630831643004E-2</v>
      </c>
      <c r="E31" s="3"/>
    </row>
    <row r="32" spans="1:5" x14ac:dyDescent="0.25">
      <c r="A32" s="3" t="s">
        <v>225</v>
      </c>
      <c r="B32" s="5">
        <v>113.40000000000002</v>
      </c>
      <c r="C32" s="8">
        <f t="shared" si="0"/>
        <v>1.5973630831643004E-2</v>
      </c>
      <c r="E32" s="3"/>
    </row>
    <row r="33" spans="1:5" x14ac:dyDescent="0.25">
      <c r="A33" s="3" t="s">
        <v>226</v>
      </c>
      <c r="B33" s="5">
        <v>113.40000000000002</v>
      </c>
      <c r="C33" s="8">
        <f t="shared" si="0"/>
        <v>1.5973630831643004E-2</v>
      </c>
      <c r="E33" s="3"/>
    </row>
    <row r="34" spans="1:5" x14ac:dyDescent="0.25">
      <c r="A34" s="3" t="s">
        <v>227</v>
      </c>
      <c r="B34" s="5">
        <v>113.40000000000002</v>
      </c>
      <c r="C34" s="8">
        <f t="shared" si="0"/>
        <v>1.5973630831643004E-2</v>
      </c>
      <c r="E34" s="3"/>
    </row>
    <row r="35" spans="1:5" x14ac:dyDescent="0.25">
      <c r="A35" s="3" t="s">
        <v>228</v>
      </c>
      <c r="B35" s="5">
        <v>113.40000000000002</v>
      </c>
      <c r="C35" s="8">
        <f t="shared" si="0"/>
        <v>1.5973630831643004E-2</v>
      </c>
      <c r="E35" s="3"/>
    </row>
    <row r="36" spans="1:5" x14ac:dyDescent="0.25">
      <c r="A36" s="3" t="s">
        <v>229</v>
      </c>
      <c r="B36" s="5">
        <v>113.40000000000002</v>
      </c>
      <c r="C36" s="8">
        <f t="shared" si="0"/>
        <v>1.5973630831643004E-2</v>
      </c>
      <c r="E36" s="3"/>
    </row>
    <row r="37" spans="1:5" x14ac:dyDescent="0.25">
      <c r="A37" s="3" t="s">
        <v>230</v>
      </c>
      <c r="B37" s="5">
        <v>113.40000000000002</v>
      </c>
      <c r="C37" s="8">
        <f t="shared" si="0"/>
        <v>1.5973630831643004E-2</v>
      </c>
      <c r="E37" s="4"/>
    </row>
    <row r="38" spans="1:5" x14ac:dyDescent="0.25">
      <c r="A38" s="3" t="s">
        <v>231</v>
      </c>
      <c r="B38" s="5">
        <v>111.59999999999998</v>
      </c>
      <c r="C38" s="8">
        <f t="shared" si="0"/>
        <v>1.5720081135902633E-2</v>
      </c>
      <c r="E38" s="4"/>
    </row>
    <row r="39" spans="1:5" x14ac:dyDescent="0.25">
      <c r="A39" s="3" t="s">
        <v>232</v>
      </c>
      <c r="B39" s="5">
        <v>111.59999999999998</v>
      </c>
      <c r="C39" s="8">
        <f t="shared" si="0"/>
        <v>1.5720081135902633E-2</v>
      </c>
      <c r="E39" s="4"/>
    </row>
    <row r="40" spans="1:5" x14ac:dyDescent="0.25">
      <c r="A40" s="3" t="s">
        <v>233</v>
      </c>
      <c r="B40" s="5">
        <v>111.59999999999998</v>
      </c>
      <c r="C40" s="8">
        <f t="shared" si="0"/>
        <v>1.5720081135902633E-2</v>
      </c>
    </row>
    <row r="41" spans="1:5" x14ac:dyDescent="0.25">
      <c r="A41" s="3" t="s">
        <v>234</v>
      </c>
      <c r="B41" s="5">
        <v>113.40000000000002</v>
      </c>
      <c r="C41" s="8">
        <f t="shared" si="0"/>
        <v>1.5973630831643004E-2</v>
      </c>
    </row>
    <row r="42" spans="1:5" x14ac:dyDescent="0.25">
      <c r="A42" s="3" t="s">
        <v>235</v>
      </c>
      <c r="B42" s="5">
        <v>113.40000000000002</v>
      </c>
      <c r="C42" s="8">
        <f t="shared" si="0"/>
        <v>1.5973630831643004E-2</v>
      </c>
    </row>
    <row r="43" spans="1:5" x14ac:dyDescent="0.25">
      <c r="A43" s="3" t="s">
        <v>236</v>
      </c>
      <c r="B43" s="5">
        <v>111.59999999999998</v>
      </c>
      <c r="C43" s="8">
        <f t="shared" si="0"/>
        <v>1.5720081135902633E-2</v>
      </c>
    </row>
    <row r="44" spans="1:5" x14ac:dyDescent="0.25">
      <c r="A44" s="3" t="s">
        <v>237</v>
      </c>
      <c r="B44" s="5">
        <v>113.40000000000002</v>
      </c>
      <c r="C44" s="8">
        <f t="shared" si="0"/>
        <v>1.5973630831643004E-2</v>
      </c>
    </row>
    <row r="45" spans="1:5" x14ac:dyDescent="0.25">
      <c r="A45" s="3" t="s">
        <v>238</v>
      </c>
      <c r="B45" s="5">
        <v>111.59999999999998</v>
      </c>
      <c r="C45" s="8">
        <f t="shared" si="0"/>
        <v>1.5720081135902633E-2</v>
      </c>
    </row>
    <row r="46" spans="1:5" x14ac:dyDescent="0.25">
      <c r="A46" s="3" t="s">
        <v>239</v>
      </c>
      <c r="B46" s="5">
        <v>113.40000000000002</v>
      </c>
      <c r="C46" s="8">
        <f t="shared" si="0"/>
        <v>1.5973630831643004E-2</v>
      </c>
    </row>
    <row r="47" spans="1:5" x14ac:dyDescent="0.25">
      <c r="A47" s="3" t="s">
        <v>240</v>
      </c>
      <c r="B47" s="5">
        <v>111.59999999999998</v>
      </c>
      <c r="C47" s="8">
        <f t="shared" si="0"/>
        <v>1.5720081135902633E-2</v>
      </c>
    </row>
    <row r="48" spans="1:5" x14ac:dyDescent="0.25">
      <c r="A48" s="3" t="s">
        <v>241</v>
      </c>
      <c r="B48" s="5">
        <v>113.40000000000002</v>
      </c>
      <c r="C48" s="8">
        <f t="shared" si="0"/>
        <v>1.5973630831643004E-2</v>
      </c>
    </row>
    <row r="49" spans="1:3" x14ac:dyDescent="0.25">
      <c r="A49" s="3" t="s">
        <v>242</v>
      </c>
      <c r="B49" s="5">
        <v>102.06000000000002</v>
      </c>
      <c r="C49" s="8">
        <f t="shared" si="0"/>
        <v>1.4376267748478702E-2</v>
      </c>
    </row>
    <row r="50" spans="1:3" x14ac:dyDescent="0.25">
      <c r="A50" s="3" t="s">
        <v>243</v>
      </c>
      <c r="B50" s="5">
        <v>111.59999999999998</v>
      </c>
      <c r="C50" s="8">
        <f t="shared" si="0"/>
        <v>1.5720081135902633E-2</v>
      </c>
    </row>
    <row r="51" spans="1:3" x14ac:dyDescent="0.25">
      <c r="A51" s="3" t="s">
        <v>244</v>
      </c>
      <c r="B51" s="5">
        <v>111.59999999999998</v>
      </c>
      <c r="C51" s="8">
        <f t="shared" si="0"/>
        <v>1.5720081135902633E-2</v>
      </c>
    </row>
    <row r="52" spans="1:3" x14ac:dyDescent="0.25">
      <c r="A52" s="3" t="s">
        <v>245</v>
      </c>
      <c r="B52" s="5">
        <v>111.59999999999998</v>
      </c>
      <c r="C52" s="8">
        <f t="shared" si="0"/>
        <v>1.5720081135902633E-2</v>
      </c>
    </row>
    <row r="53" spans="1:3" x14ac:dyDescent="0.25">
      <c r="A53" s="3" t="s">
        <v>246</v>
      </c>
      <c r="B53" s="5">
        <v>113.40000000000002</v>
      </c>
      <c r="C53" s="8">
        <f t="shared" si="0"/>
        <v>1.5973630831643004E-2</v>
      </c>
    </row>
    <row r="54" spans="1:3" x14ac:dyDescent="0.25">
      <c r="A54" s="3" t="s">
        <v>247</v>
      </c>
      <c r="B54" s="5">
        <v>113.40000000000002</v>
      </c>
      <c r="C54" s="8">
        <f t="shared" si="0"/>
        <v>1.5973630831643004E-2</v>
      </c>
    </row>
    <row r="55" spans="1:3" x14ac:dyDescent="0.25">
      <c r="A55" s="3" t="s">
        <v>248</v>
      </c>
      <c r="B55" s="5">
        <v>111.59999999999998</v>
      </c>
      <c r="C55" s="8">
        <f t="shared" si="0"/>
        <v>1.5720081135902633E-2</v>
      </c>
    </row>
    <row r="56" spans="1:3" x14ac:dyDescent="0.25">
      <c r="A56" s="3" t="s">
        <v>249</v>
      </c>
      <c r="B56" s="5">
        <v>111.59999999999998</v>
      </c>
      <c r="C56" s="8">
        <f t="shared" si="0"/>
        <v>1.5720081135902633E-2</v>
      </c>
    </row>
    <row r="57" spans="1:3" x14ac:dyDescent="0.25">
      <c r="A57" s="3" t="s">
        <v>250</v>
      </c>
      <c r="B57" s="5">
        <v>113.40000000000002</v>
      </c>
      <c r="C57" s="8">
        <f t="shared" si="0"/>
        <v>1.5973630831643004E-2</v>
      </c>
    </row>
    <row r="58" spans="1:3" x14ac:dyDescent="0.25">
      <c r="A58" s="3" t="s">
        <v>251</v>
      </c>
      <c r="B58" s="5">
        <v>113.40000000000002</v>
      </c>
      <c r="C58" s="8">
        <f t="shared" si="0"/>
        <v>1.5973630831643004E-2</v>
      </c>
    </row>
    <row r="59" spans="1:3" x14ac:dyDescent="0.25">
      <c r="A59" s="3" t="s">
        <v>252</v>
      </c>
      <c r="B59" s="5">
        <v>113.40000000000002</v>
      </c>
      <c r="C59" s="8">
        <f t="shared" si="0"/>
        <v>1.5973630831643004E-2</v>
      </c>
    </row>
    <row r="60" spans="1:3" x14ac:dyDescent="0.25">
      <c r="A60" s="3" t="s">
        <v>253</v>
      </c>
      <c r="B60" s="5">
        <v>111.59999999999998</v>
      </c>
      <c r="C60" s="8">
        <f t="shared" si="0"/>
        <v>1.5720081135902633E-2</v>
      </c>
    </row>
    <row r="61" spans="1:3" x14ac:dyDescent="0.25">
      <c r="A61" s="3" t="s">
        <v>254</v>
      </c>
      <c r="B61" s="5">
        <v>111.59999999999998</v>
      </c>
      <c r="C61" s="8">
        <f t="shared" si="0"/>
        <v>1.5720081135902633E-2</v>
      </c>
    </row>
    <row r="62" spans="1:3" x14ac:dyDescent="0.25">
      <c r="A62" s="3" t="s">
        <v>255</v>
      </c>
      <c r="B62" s="5">
        <v>113.40000000000002</v>
      </c>
      <c r="C62" s="8">
        <f t="shared" si="0"/>
        <v>1.5973630831643004E-2</v>
      </c>
    </row>
    <row r="63" spans="1:3" x14ac:dyDescent="0.25">
      <c r="A63" s="3" t="s">
        <v>256</v>
      </c>
      <c r="B63" s="5">
        <v>113.40000000000002</v>
      </c>
      <c r="C63" s="8">
        <f t="shared" si="0"/>
        <v>1.5973630831643004E-2</v>
      </c>
    </row>
    <row r="64" spans="1:3" x14ac:dyDescent="0.25">
      <c r="A64" s="3" t="s">
        <v>257</v>
      </c>
      <c r="B64" s="5">
        <v>113.40000000000002</v>
      </c>
      <c r="C64" s="8">
        <f t="shared" si="0"/>
        <v>1.5973630831643004E-2</v>
      </c>
    </row>
    <row r="65" spans="1:3" x14ac:dyDescent="0.25">
      <c r="A65" s="3" t="s">
        <v>258</v>
      </c>
      <c r="B65" s="5">
        <v>111.59999999999998</v>
      </c>
      <c r="C65" s="8">
        <f t="shared" si="0"/>
        <v>1.5720081135902633E-2</v>
      </c>
    </row>
    <row r="66" spans="1:3" x14ac:dyDescent="0.25">
      <c r="A66" s="3" t="s">
        <v>259</v>
      </c>
      <c r="B66" s="5">
        <v>113.40000000000002</v>
      </c>
      <c r="C66" s="8">
        <f t="shared" si="0"/>
        <v>1.5973630831643004E-2</v>
      </c>
    </row>
    <row r="67" spans="1:3" x14ac:dyDescent="0.25">
      <c r="A67" s="3" t="s">
        <v>260</v>
      </c>
      <c r="B67" s="5">
        <v>111.59999999999998</v>
      </c>
      <c r="C67" s="8">
        <f t="shared" ref="C67:C88" si="1">IFERROR(B67/$B$89,"")</f>
        <v>1.5720081135902633E-2</v>
      </c>
    </row>
    <row r="68" spans="1:3" x14ac:dyDescent="0.25">
      <c r="A68" s="3" t="s">
        <v>261</v>
      </c>
      <c r="B68" s="5">
        <v>111.59999999999998</v>
      </c>
      <c r="C68" s="8">
        <f t="shared" si="1"/>
        <v>1.5720081135902633E-2</v>
      </c>
    </row>
    <row r="69" spans="1:3" x14ac:dyDescent="0.25">
      <c r="A69" s="3" t="s">
        <v>262</v>
      </c>
      <c r="B69" s="5">
        <v>111.59999999999998</v>
      </c>
      <c r="C69" s="8">
        <f t="shared" si="1"/>
        <v>1.5720081135902633E-2</v>
      </c>
    </row>
    <row r="70" spans="1:3" x14ac:dyDescent="0.25">
      <c r="A70" s="3" t="s">
        <v>263</v>
      </c>
      <c r="B70" s="5">
        <v>111.59999999999998</v>
      </c>
      <c r="C70" s="8">
        <f t="shared" si="1"/>
        <v>1.5720081135902633E-2</v>
      </c>
    </row>
    <row r="71" spans="1:3" x14ac:dyDescent="0.25">
      <c r="A71" s="3" t="s">
        <v>264</v>
      </c>
      <c r="B71" s="5">
        <v>111.59999999999998</v>
      </c>
      <c r="C71" s="8">
        <f t="shared" si="1"/>
        <v>1.5720081135902633E-2</v>
      </c>
    </row>
    <row r="72" spans="1:3" x14ac:dyDescent="0.25">
      <c r="A72" s="3" t="s">
        <v>265</v>
      </c>
      <c r="B72" s="5">
        <v>113.40000000000002</v>
      </c>
      <c r="C72" s="8">
        <f t="shared" si="1"/>
        <v>1.5973630831643004E-2</v>
      </c>
    </row>
    <row r="73" spans="1:3" x14ac:dyDescent="0.25">
      <c r="A73" s="3" t="s">
        <v>266</v>
      </c>
      <c r="B73" s="5">
        <v>115.19999999999997</v>
      </c>
      <c r="C73" s="8">
        <f t="shared" si="1"/>
        <v>1.6227180527383363E-2</v>
      </c>
    </row>
    <row r="74" spans="1:3" x14ac:dyDescent="0.25">
      <c r="A74" s="3" t="s">
        <v>267</v>
      </c>
      <c r="B74" s="5">
        <v>113.40000000000002</v>
      </c>
      <c r="C74" s="8">
        <f t="shared" si="1"/>
        <v>1.5973630831643004E-2</v>
      </c>
    </row>
    <row r="75" spans="1:3" x14ac:dyDescent="0.25">
      <c r="A75" s="3" t="s">
        <v>268</v>
      </c>
      <c r="B75" s="5">
        <v>115.19999999999997</v>
      </c>
      <c r="C75" s="8">
        <f t="shared" si="1"/>
        <v>1.6227180527383363E-2</v>
      </c>
    </row>
    <row r="76" spans="1:3" x14ac:dyDescent="0.25">
      <c r="A76" s="3" t="s">
        <v>269</v>
      </c>
      <c r="B76" s="5">
        <v>113.40000000000002</v>
      </c>
      <c r="C76" s="8">
        <f t="shared" si="1"/>
        <v>1.5973630831643004E-2</v>
      </c>
    </row>
    <row r="77" spans="1:3" x14ac:dyDescent="0.25">
      <c r="A77" s="3" t="s">
        <v>270</v>
      </c>
      <c r="B77" s="5">
        <v>112.13999999999997</v>
      </c>
      <c r="C77" s="8">
        <f t="shared" si="1"/>
        <v>1.5796146044624742E-2</v>
      </c>
    </row>
    <row r="78" spans="1:3" x14ac:dyDescent="0.25">
      <c r="A78" s="3" t="s">
        <v>271</v>
      </c>
      <c r="B78" s="5">
        <v>115.19999999999997</v>
      </c>
      <c r="C78" s="8">
        <f t="shared" si="1"/>
        <v>1.6227180527383363E-2</v>
      </c>
    </row>
    <row r="79" spans="1:3" x14ac:dyDescent="0.25">
      <c r="A79" s="3" t="s">
        <v>272</v>
      </c>
      <c r="B79" s="5">
        <v>111.59999999999998</v>
      </c>
      <c r="C79" s="8">
        <f t="shared" si="1"/>
        <v>1.5720081135902633E-2</v>
      </c>
    </row>
    <row r="80" spans="1:3" x14ac:dyDescent="0.25">
      <c r="A80" s="3" t="s">
        <v>273</v>
      </c>
      <c r="B80" s="5">
        <v>2379.6000000000008</v>
      </c>
      <c r="C80" s="8">
        <f t="shared" si="1"/>
        <v>0.33519269776876276</v>
      </c>
    </row>
    <row r="81" spans="1:3" x14ac:dyDescent="0.25">
      <c r="A81" s="3" t="s">
        <v>274</v>
      </c>
      <c r="B81" s="5">
        <v>2350.2600000000002</v>
      </c>
      <c r="C81" s="8">
        <f t="shared" si="1"/>
        <v>0.33105983772819475</v>
      </c>
    </row>
    <row r="82" spans="1:3" x14ac:dyDescent="0.25">
      <c r="A82" s="3" t="s">
        <v>275</v>
      </c>
      <c r="B82" s="5">
        <v>2369.3399999999997</v>
      </c>
      <c r="C82" s="8">
        <f t="shared" si="1"/>
        <v>0.33374746450304255</v>
      </c>
    </row>
    <row r="83" spans="1:3" x14ac:dyDescent="0.25">
      <c r="A83" s="3" t="s">
        <v>276</v>
      </c>
      <c r="B83" s="5">
        <v>2379.6000000000008</v>
      </c>
      <c r="C83" s="8">
        <f t="shared" si="1"/>
        <v>0.33519269776876276</v>
      </c>
    </row>
    <row r="84" spans="1:3" x14ac:dyDescent="0.25">
      <c r="A84" s="3" t="s">
        <v>277</v>
      </c>
      <c r="B84" s="5">
        <v>2350.2600000000002</v>
      </c>
      <c r="C84" s="8">
        <f t="shared" si="1"/>
        <v>0.33105983772819475</v>
      </c>
    </row>
    <row r="85" spans="1:3" x14ac:dyDescent="0.25">
      <c r="A85" s="3" t="s">
        <v>278</v>
      </c>
      <c r="B85" s="5">
        <v>2369.3399999999997</v>
      </c>
      <c r="C85" s="8">
        <f t="shared" si="1"/>
        <v>0.33374746450304255</v>
      </c>
    </row>
    <row r="86" spans="1:3" x14ac:dyDescent="0.25">
      <c r="A86" s="3" t="s">
        <v>279</v>
      </c>
      <c r="B86" s="5">
        <v>2379.6000000000008</v>
      </c>
      <c r="C86" s="8">
        <f t="shared" si="1"/>
        <v>0.33519269776876276</v>
      </c>
    </row>
    <row r="87" spans="1:3" x14ac:dyDescent="0.25">
      <c r="A87" s="3" t="s">
        <v>280</v>
      </c>
      <c r="B87" s="5">
        <v>2350.2600000000002</v>
      </c>
      <c r="C87" s="8">
        <f t="shared" si="1"/>
        <v>0.33105983772819475</v>
      </c>
    </row>
    <row r="88" spans="1:3" x14ac:dyDescent="0.25">
      <c r="A88" s="3" t="s">
        <v>281</v>
      </c>
      <c r="B88" s="5">
        <v>2369.3399999999997</v>
      </c>
      <c r="C88" s="8">
        <f t="shared" si="1"/>
        <v>0.33374746450304255</v>
      </c>
    </row>
    <row r="89" spans="1:3" x14ac:dyDescent="0.25">
      <c r="A89" s="3" t="s">
        <v>282</v>
      </c>
      <c r="B89" s="5">
        <f>SUM(B86:B88)</f>
        <v>7099.2000000000007</v>
      </c>
      <c r="C89" s="8">
        <v>1</v>
      </c>
    </row>
    <row r="90" spans="1:3" x14ac:dyDescent="0.25">
      <c r="A90" s="3" t="s">
        <v>283</v>
      </c>
      <c r="B90" s="5">
        <f>18*0.305</f>
        <v>5.49</v>
      </c>
      <c r="C90" s="8">
        <f>B90/$B$89</f>
        <v>7.7332657200811358E-4</v>
      </c>
    </row>
    <row r="91" spans="1:3" x14ac:dyDescent="0.25">
      <c r="A91" s="3" t="s">
        <v>284</v>
      </c>
      <c r="B91" s="5">
        <f>18*0.31</f>
        <v>5.58</v>
      </c>
      <c r="C91" s="8">
        <f t="shared" ref="C91:C154" si="2">B91/$B$89</f>
        <v>7.8600405679513173E-4</v>
      </c>
    </row>
    <row r="92" spans="1:3" x14ac:dyDescent="0.25">
      <c r="A92" s="3" t="s">
        <v>285</v>
      </c>
      <c r="B92" s="5">
        <f>18*0.315</f>
        <v>5.67</v>
      </c>
      <c r="C92" s="8">
        <f t="shared" si="2"/>
        <v>7.9868154158214998E-4</v>
      </c>
    </row>
    <row r="93" spans="1:3" x14ac:dyDescent="0.25">
      <c r="A93" s="3" t="s">
        <v>286</v>
      </c>
      <c r="B93" s="5">
        <f>36*0.305</f>
        <v>10.98</v>
      </c>
      <c r="C93" s="8">
        <f t="shared" si="2"/>
        <v>1.5466531440162272E-3</v>
      </c>
    </row>
    <row r="94" spans="1:3" x14ac:dyDescent="0.25">
      <c r="A94" s="3" t="s">
        <v>287</v>
      </c>
      <c r="B94" s="5">
        <f>36*0.31</f>
        <v>11.16</v>
      </c>
      <c r="C94" s="8">
        <f t="shared" si="2"/>
        <v>1.5720081135902635E-3</v>
      </c>
    </row>
    <row r="95" spans="1:3" x14ac:dyDescent="0.25">
      <c r="A95" s="3" t="s">
        <v>288</v>
      </c>
      <c r="B95" s="5">
        <f>36*0.315</f>
        <v>11.34</v>
      </c>
      <c r="C95" s="8">
        <f t="shared" si="2"/>
        <v>1.5973630831643E-3</v>
      </c>
    </row>
    <row r="96" spans="1:3" x14ac:dyDescent="0.25">
      <c r="A96" s="60" t="s">
        <v>289</v>
      </c>
      <c r="B96" s="61">
        <v>11.34</v>
      </c>
      <c r="C96" s="8">
        <f t="shared" si="2"/>
        <v>1.5973630831643E-3</v>
      </c>
    </row>
    <row r="97" spans="1:3" x14ac:dyDescent="0.25">
      <c r="A97" s="60" t="s">
        <v>290</v>
      </c>
      <c r="B97" s="61">
        <v>11.34</v>
      </c>
      <c r="C97" s="8">
        <f t="shared" si="2"/>
        <v>1.5973630831643E-3</v>
      </c>
    </row>
    <row r="98" spans="1:3" x14ac:dyDescent="0.25">
      <c r="A98" s="60" t="s">
        <v>291</v>
      </c>
      <c r="B98" s="61">
        <v>11.34</v>
      </c>
      <c r="C98" s="8">
        <f t="shared" si="2"/>
        <v>1.5973630831643E-3</v>
      </c>
    </row>
    <row r="99" spans="1:3" x14ac:dyDescent="0.25">
      <c r="A99" s="60" t="s">
        <v>292</v>
      </c>
      <c r="B99" s="61">
        <v>11.34</v>
      </c>
      <c r="C99" s="8">
        <f t="shared" si="2"/>
        <v>1.5973630831643E-3</v>
      </c>
    </row>
    <row r="100" spans="1:3" x14ac:dyDescent="0.25">
      <c r="A100" s="60" t="s">
        <v>293</v>
      </c>
      <c r="B100" s="61">
        <v>11.34</v>
      </c>
      <c r="C100" s="8">
        <f t="shared" si="2"/>
        <v>1.5973630831643E-3</v>
      </c>
    </row>
    <row r="101" spans="1:3" x14ac:dyDescent="0.25">
      <c r="A101" s="60" t="s">
        <v>294</v>
      </c>
      <c r="B101" s="61">
        <v>11.34</v>
      </c>
      <c r="C101" s="8">
        <f t="shared" si="2"/>
        <v>1.5973630831643E-3</v>
      </c>
    </row>
    <row r="102" spans="1:3" x14ac:dyDescent="0.25">
      <c r="A102" s="60" t="s">
        <v>295</v>
      </c>
      <c r="B102" s="61">
        <v>11.34</v>
      </c>
      <c r="C102" s="8">
        <f t="shared" si="2"/>
        <v>1.5973630831643E-3</v>
      </c>
    </row>
    <row r="103" spans="1:3" x14ac:dyDescent="0.25">
      <c r="A103" s="60" t="s">
        <v>296</v>
      </c>
      <c r="B103" s="61">
        <v>11.34</v>
      </c>
      <c r="C103" s="8">
        <f t="shared" si="2"/>
        <v>1.5973630831643E-3</v>
      </c>
    </row>
    <row r="104" spans="1:3" x14ac:dyDescent="0.25">
      <c r="A104" s="60" t="s">
        <v>297</v>
      </c>
      <c r="B104" s="61">
        <v>11.34</v>
      </c>
      <c r="C104" s="8">
        <f t="shared" si="2"/>
        <v>1.5973630831643E-3</v>
      </c>
    </row>
    <row r="105" spans="1:3" x14ac:dyDescent="0.25">
      <c r="A105" s="60" t="s">
        <v>298</v>
      </c>
      <c r="B105" s="61">
        <v>11.34</v>
      </c>
      <c r="C105" s="8">
        <f t="shared" si="2"/>
        <v>1.5973630831643E-3</v>
      </c>
    </row>
    <row r="106" spans="1:3" x14ac:dyDescent="0.25">
      <c r="A106" s="60" t="s">
        <v>299</v>
      </c>
      <c r="B106" s="61">
        <v>11.34</v>
      </c>
      <c r="C106" s="8">
        <f t="shared" si="2"/>
        <v>1.5973630831643E-3</v>
      </c>
    </row>
    <row r="107" spans="1:3" x14ac:dyDescent="0.25">
      <c r="A107" s="60" t="s">
        <v>300</v>
      </c>
      <c r="B107" s="61">
        <v>11.34</v>
      </c>
      <c r="C107" s="8">
        <f t="shared" si="2"/>
        <v>1.5973630831643E-3</v>
      </c>
    </row>
    <row r="108" spans="1:3" x14ac:dyDescent="0.25">
      <c r="A108" s="60" t="s">
        <v>301</v>
      </c>
      <c r="B108" s="61">
        <v>11.34</v>
      </c>
      <c r="C108" s="8">
        <f t="shared" si="2"/>
        <v>1.5973630831643E-3</v>
      </c>
    </row>
    <row r="109" spans="1:3" x14ac:dyDescent="0.25">
      <c r="A109" s="60" t="s">
        <v>302</v>
      </c>
      <c r="B109" s="61">
        <v>11.34</v>
      </c>
      <c r="C109" s="8">
        <f t="shared" si="2"/>
        <v>1.5973630831643E-3</v>
      </c>
    </row>
    <row r="110" spans="1:3" x14ac:dyDescent="0.25">
      <c r="A110" s="60" t="s">
        <v>303</v>
      </c>
      <c r="B110" s="61">
        <v>11.34</v>
      </c>
      <c r="C110" s="8">
        <f t="shared" si="2"/>
        <v>1.5973630831643E-3</v>
      </c>
    </row>
    <row r="111" spans="1:3" x14ac:dyDescent="0.25">
      <c r="A111" s="60" t="s">
        <v>304</v>
      </c>
      <c r="B111" s="61">
        <v>11.34</v>
      </c>
      <c r="C111" s="8">
        <f t="shared" si="2"/>
        <v>1.5973630831643E-3</v>
      </c>
    </row>
    <row r="112" spans="1:3" x14ac:dyDescent="0.25">
      <c r="A112" s="60" t="s">
        <v>305</v>
      </c>
      <c r="B112" s="61">
        <v>11.34</v>
      </c>
      <c r="C112" s="8">
        <f t="shared" si="2"/>
        <v>1.5973630831643E-3</v>
      </c>
    </row>
    <row r="113" spans="1:3" x14ac:dyDescent="0.25">
      <c r="A113" s="60" t="s">
        <v>306</v>
      </c>
      <c r="B113" s="61">
        <v>11.34</v>
      </c>
      <c r="C113" s="8">
        <f t="shared" si="2"/>
        <v>1.5973630831643E-3</v>
      </c>
    </row>
    <row r="114" spans="1:3" x14ac:dyDescent="0.25">
      <c r="A114" s="60" t="s">
        <v>307</v>
      </c>
      <c r="B114" s="61">
        <v>11.34</v>
      </c>
      <c r="C114" s="8">
        <f t="shared" si="2"/>
        <v>1.5973630831643E-3</v>
      </c>
    </row>
    <row r="115" spans="1:3" x14ac:dyDescent="0.25">
      <c r="A115" s="60" t="s">
        <v>308</v>
      </c>
      <c r="B115" s="61">
        <v>11.34</v>
      </c>
      <c r="C115" s="8">
        <f t="shared" si="2"/>
        <v>1.5973630831643E-3</v>
      </c>
    </row>
    <row r="116" spans="1:3" x14ac:dyDescent="0.25">
      <c r="A116" s="60" t="s">
        <v>309</v>
      </c>
      <c r="B116" s="61">
        <v>11.34</v>
      </c>
      <c r="C116" s="8">
        <f t="shared" si="2"/>
        <v>1.5973630831643E-3</v>
      </c>
    </row>
    <row r="117" spans="1:3" x14ac:dyDescent="0.25">
      <c r="A117" s="60" t="s">
        <v>310</v>
      </c>
      <c r="B117" s="61">
        <v>11.34</v>
      </c>
      <c r="C117" s="8">
        <f t="shared" si="2"/>
        <v>1.5973630831643E-3</v>
      </c>
    </row>
    <row r="118" spans="1:3" x14ac:dyDescent="0.25">
      <c r="A118" s="60" t="s">
        <v>311</v>
      </c>
      <c r="B118" s="61">
        <v>11.34</v>
      </c>
      <c r="C118" s="8">
        <f t="shared" si="2"/>
        <v>1.5973630831643E-3</v>
      </c>
    </row>
    <row r="119" spans="1:3" x14ac:dyDescent="0.25">
      <c r="A119" s="60" t="s">
        <v>312</v>
      </c>
      <c r="B119" s="61">
        <v>11.34</v>
      </c>
      <c r="C119" s="8">
        <f t="shared" si="2"/>
        <v>1.5973630831643E-3</v>
      </c>
    </row>
    <row r="120" spans="1:3" x14ac:dyDescent="0.25">
      <c r="A120" s="60" t="s">
        <v>313</v>
      </c>
      <c r="B120" s="61">
        <v>11.34</v>
      </c>
      <c r="C120" s="8">
        <f t="shared" si="2"/>
        <v>1.5973630831643E-3</v>
      </c>
    </row>
    <row r="121" spans="1:3" x14ac:dyDescent="0.25">
      <c r="A121" s="60" t="s">
        <v>314</v>
      </c>
      <c r="B121" s="61">
        <v>11.34</v>
      </c>
      <c r="C121" s="8">
        <f t="shared" si="2"/>
        <v>1.5973630831643E-3</v>
      </c>
    </row>
    <row r="122" spans="1:3" x14ac:dyDescent="0.25">
      <c r="A122" s="60" t="s">
        <v>315</v>
      </c>
      <c r="B122" s="61">
        <v>11.34</v>
      </c>
      <c r="C122" s="8">
        <f t="shared" si="2"/>
        <v>1.5973630831643E-3</v>
      </c>
    </row>
    <row r="123" spans="1:3" x14ac:dyDescent="0.25">
      <c r="A123" s="60" t="s">
        <v>316</v>
      </c>
      <c r="B123" s="61">
        <v>11.34</v>
      </c>
      <c r="C123" s="8">
        <f t="shared" si="2"/>
        <v>1.5973630831643E-3</v>
      </c>
    </row>
    <row r="124" spans="1:3" x14ac:dyDescent="0.25">
      <c r="A124" s="60" t="s">
        <v>317</v>
      </c>
      <c r="B124" s="61">
        <v>11.34</v>
      </c>
      <c r="C124" s="8">
        <f t="shared" si="2"/>
        <v>1.5973630831643E-3</v>
      </c>
    </row>
    <row r="125" spans="1:3" x14ac:dyDescent="0.25">
      <c r="A125" s="60" t="s">
        <v>318</v>
      </c>
      <c r="B125" s="61">
        <v>11.34</v>
      </c>
      <c r="C125" s="8">
        <f t="shared" si="2"/>
        <v>1.5973630831643E-3</v>
      </c>
    </row>
    <row r="126" spans="1:3" x14ac:dyDescent="0.25">
      <c r="A126" s="60" t="s">
        <v>319</v>
      </c>
      <c r="B126" s="61">
        <v>11.34</v>
      </c>
      <c r="C126" s="8">
        <f t="shared" si="2"/>
        <v>1.5973630831643E-3</v>
      </c>
    </row>
    <row r="127" spans="1:3" x14ac:dyDescent="0.25">
      <c r="A127" s="60" t="s">
        <v>320</v>
      </c>
      <c r="B127" s="61">
        <v>11.34</v>
      </c>
      <c r="C127" s="8">
        <f t="shared" si="2"/>
        <v>1.5973630831643E-3</v>
      </c>
    </row>
    <row r="128" spans="1:3" x14ac:dyDescent="0.25">
      <c r="A128" s="60" t="s">
        <v>321</v>
      </c>
      <c r="B128" s="61">
        <v>11.34</v>
      </c>
      <c r="C128" s="8">
        <f t="shared" si="2"/>
        <v>1.5973630831643E-3</v>
      </c>
    </row>
    <row r="129" spans="1:3" x14ac:dyDescent="0.25">
      <c r="A129" s="60" t="s">
        <v>322</v>
      </c>
      <c r="B129" s="61">
        <v>11.34</v>
      </c>
      <c r="C129" s="8">
        <f t="shared" si="2"/>
        <v>1.5973630831643E-3</v>
      </c>
    </row>
    <row r="130" spans="1:3" x14ac:dyDescent="0.25">
      <c r="A130" s="60" t="s">
        <v>323</v>
      </c>
      <c r="B130" s="61">
        <v>11.34</v>
      </c>
      <c r="C130" s="8">
        <f t="shared" si="2"/>
        <v>1.5973630831643E-3</v>
      </c>
    </row>
    <row r="131" spans="1:3" x14ac:dyDescent="0.25">
      <c r="A131" s="60" t="s">
        <v>324</v>
      </c>
      <c r="B131" s="61">
        <v>11.34</v>
      </c>
      <c r="C131" s="8">
        <f t="shared" si="2"/>
        <v>1.5973630831643E-3</v>
      </c>
    </row>
    <row r="132" spans="1:3" x14ac:dyDescent="0.25">
      <c r="A132" s="60" t="s">
        <v>325</v>
      </c>
      <c r="B132" s="61">
        <v>11.34</v>
      </c>
      <c r="C132" s="8">
        <f t="shared" si="2"/>
        <v>1.5973630831643E-3</v>
      </c>
    </row>
    <row r="133" spans="1:3" x14ac:dyDescent="0.25">
      <c r="A133" s="60" t="s">
        <v>326</v>
      </c>
      <c r="B133" s="61">
        <v>11.34</v>
      </c>
      <c r="C133" s="8">
        <f t="shared" si="2"/>
        <v>1.5973630831643E-3</v>
      </c>
    </row>
    <row r="134" spans="1:3" x14ac:dyDescent="0.25">
      <c r="A134" s="60" t="s">
        <v>327</v>
      </c>
      <c r="B134" s="61">
        <v>11.34</v>
      </c>
      <c r="C134" s="8">
        <f t="shared" si="2"/>
        <v>1.5973630831643E-3</v>
      </c>
    </row>
    <row r="135" spans="1:3" x14ac:dyDescent="0.25">
      <c r="A135" s="60" t="s">
        <v>328</v>
      </c>
      <c r="B135" s="61">
        <v>11.34</v>
      </c>
      <c r="C135" s="8">
        <f t="shared" si="2"/>
        <v>1.5973630831643E-3</v>
      </c>
    </row>
    <row r="136" spans="1:3" x14ac:dyDescent="0.25">
      <c r="A136" s="60" t="s">
        <v>329</v>
      </c>
      <c r="B136" s="61">
        <v>11.34</v>
      </c>
      <c r="C136" s="8">
        <f t="shared" si="2"/>
        <v>1.5973630831643E-3</v>
      </c>
    </row>
    <row r="137" spans="1:3" x14ac:dyDescent="0.25">
      <c r="A137" s="60" t="s">
        <v>330</v>
      </c>
      <c r="B137" s="61">
        <v>11.34</v>
      </c>
      <c r="C137" s="8">
        <f t="shared" si="2"/>
        <v>1.5973630831643E-3</v>
      </c>
    </row>
    <row r="138" spans="1:3" x14ac:dyDescent="0.25">
      <c r="A138" s="60" t="s">
        <v>331</v>
      </c>
      <c r="B138" s="61">
        <v>11.34</v>
      </c>
      <c r="C138" s="8">
        <f t="shared" si="2"/>
        <v>1.5973630831643E-3</v>
      </c>
    </row>
    <row r="139" spans="1:3" x14ac:dyDescent="0.25">
      <c r="A139" s="60" t="s">
        <v>332</v>
      </c>
      <c r="B139" s="61">
        <v>11.34</v>
      </c>
      <c r="C139" s="8">
        <f t="shared" si="2"/>
        <v>1.5973630831643E-3</v>
      </c>
    </row>
    <row r="140" spans="1:3" x14ac:dyDescent="0.25">
      <c r="A140" s="60" t="s">
        <v>333</v>
      </c>
      <c r="B140" s="61">
        <v>11.34</v>
      </c>
      <c r="C140" s="8">
        <f t="shared" si="2"/>
        <v>1.5973630831643E-3</v>
      </c>
    </row>
    <row r="141" spans="1:3" x14ac:dyDescent="0.25">
      <c r="A141" s="60" t="s">
        <v>334</v>
      </c>
      <c r="B141" s="61">
        <v>11.34</v>
      </c>
      <c r="C141" s="8">
        <f t="shared" si="2"/>
        <v>1.5973630831643E-3</v>
      </c>
    </row>
    <row r="142" spans="1:3" x14ac:dyDescent="0.25">
      <c r="A142" s="60" t="s">
        <v>335</v>
      </c>
      <c r="B142" s="61">
        <v>11.34</v>
      </c>
      <c r="C142" s="8">
        <f t="shared" si="2"/>
        <v>1.5973630831643E-3</v>
      </c>
    </row>
    <row r="143" spans="1:3" x14ac:dyDescent="0.25">
      <c r="A143" s="60" t="s">
        <v>336</v>
      </c>
      <c r="B143" s="61">
        <v>11.34</v>
      </c>
      <c r="C143" s="8">
        <f t="shared" si="2"/>
        <v>1.5973630831643E-3</v>
      </c>
    </row>
    <row r="144" spans="1:3" x14ac:dyDescent="0.25">
      <c r="A144" s="60" t="s">
        <v>337</v>
      </c>
      <c r="B144" s="61">
        <v>11.34</v>
      </c>
      <c r="C144" s="8">
        <f t="shared" si="2"/>
        <v>1.5973630831643E-3</v>
      </c>
    </row>
    <row r="145" spans="1:3" x14ac:dyDescent="0.25">
      <c r="A145" s="60" t="s">
        <v>338</v>
      </c>
      <c r="B145" s="61">
        <v>11.34</v>
      </c>
      <c r="C145" s="8">
        <f t="shared" si="2"/>
        <v>1.5973630831643E-3</v>
      </c>
    </row>
    <row r="146" spans="1:3" x14ac:dyDescent="0.25">
      <c r="A146" s="60" t="s">
        <v>339</v>
      </c>
      <c r="B146" s="61">
        <v>11.34</v>
      </c>
      <c r="C146" s="8">
        <f t="shared" si="2"/>
        <v>1.5973630831643E-3</v>
      </c>
    </row>
    <row r="147" spans="1:3" x14ac:dyDescent="0.25">
      <c r="A147" s="60" t="s">
        <v>340</v>
      </c>
      <c r="B147" s="61">
        <v>11.34</v>
      </c>
      <c r="C147" s="8">
        <f t="shared" si="2"/>
        <v>1.5973630831643E-3</v>
      </c>
    </row>
    <row r="148" spans="1:3" x14ac:dyDescent="0.25">
      <c r="A148" s="60" t="s">
        <v>341</v>
      </c>
      <c r="B148" s="61">
        <v>11.34</v>
      </c>
      <c r="C148" s="8">
        <f t="shared" si="2"/>
        <v>1.5973630831643E-3</v>
      </c>
    </row>
    <row r="149" spans="1:3" x14ac:dyDescent="0.25">
      <c r="A149" s="60" t="s">
        <v>342</v>
      </c>
      <c r="B149" s="61">
        <v>11.34</v>
      </c>
      <c r="C149" s="8">
        <f t="shared" si="2"/>
        <v>1.5973630831643E-3</v>
      </c>
    </row>
    <row r="150" spans="1:3" x14ac:dyDescent="0.25">
      <c r="A150" s="60" t="s">
        <v>343</v>
      </c>
      <c r="B150" s="61">
        <v>11.34</v>
      </c>
      <c r="C150" s="8">
        <f t="shared" si="2"/>
        <v>1.5973630831643E-3</v>
      </c>
    </row>
    <row r="151" spans="1:3" x14ac:dyDescent="0.25">
      <c r="A151" s="60" t="s">
        <v>344</v>
      </c>
      <c r="B151" s="61">
        <v>11.34</v>
      </c>
      <c r="C151" s="8">
        <f t="shared" si="2"/>
        <v>1.5973630831643E-3</v>
      </c>
    </row>
    <row r="152" spans="1:3" x14ac:dyDescent="0.25">
      <c r="A152" s="60" t="s">
        <v>345</v>
      </c>
      <c r="B152" s="61">
        <v>11.34</v>
      </c>
      <c r="C152" s="8">
        <f t="shared" si="2"/>
        <v>1.5973630831643E-3</v>
      </c>
    </row>
    <row r="153" spans="1:3" x14ac:dyDescent="0.25">
      <c r="A153" s="60" t="s">
        <v>346</v>
      </c>
      <c r="B153" s="61">
        <v>11.34</v>
      </c>
      <c r="C153" s="8">
        <f t="shared" si="2"/>
        <v>1.5973630831643E-3</v>
      </c>
    </row>
    <row r="154" spans="1:3" x14ac:dyDescent="0.25">
      <c r="A154" s="60" t="s">
        <v>347</v>
      </c>
      <c r="B154" s="61">
        <v>11.34</v>
      </c>
      <c r="C154" s="8">
        <f t="shared" si="2"/>
        <v>1.5973630831643E-3</v>
      </c>
    </row>
    <row r="155" spans="1:3" x14ac:dyDescent="0.25">
      <c r="A155" s="60" t="s">
        <v>348</v>
      </c>
      <c r="B155" s="61">
        <v>11.34</v>
      </c>
      <c r="C155" s="8">
        <f t="shared" ref="C155:C218" si="3">B155/$B$89</f>
        <v>1.5973630831643E-3</v>
      </c>
    </row>
    <row r="156" spans="1:3" x14ac:dyDescent="0.25">
      <c r="A156" s="60" t="s">
        <v>349</v>
      </c>
      <c r="B156" s="61">
        <v>11.34</v>
      </c>
      <c r="C156" s="8">
        <f t="shared" si="3"/>
        <v>1.5973630831643E-3</v>
      </c>
    </row>
    <row r="157" spans="1:3" x14ac:dyDescent="0.25">
      <c r="A157" s="60" t="s">
        <v>350</v>
      </c>
      <c r="B157" s="61">
        <v>11.34</v>
      </c>
      <c r="C157" s="8">
        <f t="shared" si="3"/>
        <v>1.5973630831643E-3</v>
      </c>
    </row>
    <row r="158" spans="1:3" x14ac:dyDescent="0.25">
      <c r="A158" s="60" t="s">
        <v>351</v>
      </c>
      <c r="B158" s="61">
        <v>11.34</v>
      </c>
      <c r="C158" s="8">
        <f t="shared" si="3"/>
        <v>1.5973630831643E-3</v>
      </c>
    </row>
    <row r="159" spans="1:3" x14ac:dyDescent="0.25">
      <c r="A159" s="60" t="s">
        <v>352</v>
      </c>
      <c r="B159" s="61">
        <v>11.34</v>
      </c>
      <c r="C159" s="8">
        <f t="shared" si="3"/>
        <v>1.5973630831643E-3</v>
      </c>
    </row>
    <row r="160" spans="1:3" x14ac:dyDescent="0.25">
      <c r="A160" s="60" t="s">
        <v>353</v>
      </c>
      <c r="B160" s="61">
        <v>11.34</v>
      </c>
      <c r="C160" s="8">
        <f t="shared" si="3"/>
        <v>1.5973630831643E-3</v>
      </c>
    </row>
    <row r="161" spans="1:3" x14ac:dyDescent="0.25">
      <c r="A161" s="60" t="s">
        <v>354</v>
      </c>
      <c r="B161" s="61">
        <v>11.34</v>
      </c>
      <c r="C161" s="8">
        <f t="shared" si="3"/>
        <v>1.5973630831643E-3</v>
      </c>
    </row>
    <row r="162" spans="1:3" x14ac:dyDescent="0.25">
      <c r="A162" s="60" t="s">
        <v>355</v>
      </c>
      <c r="B162" s="61">
        <v>11.34</v>
      </c>
      <c r="C162" s="8">
        <f t="shared" si="3"/>
        <v>1.5973630831643E-3</v>
      </c>
    </row>
    <row r="163" spans="1:3" x14ac:dyDescent="0.25">
      <c r="A163" s="60" t="s">
        <v>356</v>
      </c>
      <c r="B163" s="61">
        <v>11.34</v>
      </c>
      <c r="C163" s="8">
        <f t="shared" si="3"/>
        <v>1.5973630831643E-3</v>
      </c>
    </row>
    <row r="164" spans="1:3" x14ac:dyDescent="0.25">
      <c r="A164" s="60" t="s">
        <v>357</v>
      </c>
      <c r="B164" s="61">
        <v>11.34</v>
      </c>
      <c r="C164" s="8">
        <f t="shared" si="3"/>
        <v>1.5973630831643E-3</v>
      </c>
    </row>
    <row r="165" spans="1:3" x14ac:dyDescent="0.25">
      <c r="A165" s="60" t="s">
        <v>358</v>
      </c>
      <c r="B165" s="61">
        <v>11.34</v>
      </c>
      <c r="C165" s="8">
        <f t="shared" si="3"/>
        <v>1.5973630831643E-3</v>
      </c>
    </row>
    <row r="166" spans="1:3" x14ac:dyDescent="0.25">
      <c r="A166" s="60" t="s">
        <v>359</v>
      </c>
      <c r="B166" s="61">
        <v>11.34</v>
      </c>
      <c r="C166" s="8">
        <f t="shared" si="3"/>
        <v>1.5973630831643E-3</v>
      </c>
    </row>
    <row r="167" spans="1:3" x14ac:dyDescent="0.25">
      <c r="A167" s="60" t="s">
        <v>360</v>
      </c>
      <c r="B167" s="61">
        <v>11.34</v>
      </c>
      <c r="C167" s="8">
        <f t="shared" si="3"/>
        <v>1.5973630831643E-3</v>
      </c>
    </row>
    <row r="168" spans="1:3" x14ac:dyDescent="0.25">
      <c r="A168" s="60" t="s">
        <v>361</v>
      </c>
      <c r="B168" s="61">
        <v>11.34</v>
      </c>
      <c r="C168" s="8">
        <f t="shared" si="3"/>
        <v>1.5973630831643E-3</v>
      </c>
    </row>
    <row r="169" spans="1:3" x14ac:dyDescent="0.25">
      <c r="A169" s="60" t="s">
        <v>362</v>
      </c>
      <c r="B169" s="61">
        <v>11.34</v>
      </c>
      <c r="C169" s="8">
        <f t="shared" si="3"/>
        <v>1.5973630831643E-3</v>
      </c>
    </row>
    <row r="170" spans="1:3" x14ac:dyDescent="0.25">
      <c r="A170" s="60" t="s">
        <v>363</v>
      </c>
      <c r="B170" s="61">
        <v>11.34</v>
      </c>
      <c r="C170" s="8">
        <f t="shared" si="3"/>
        <v>1.5973630831643E-3</v>
      </c>
    </row>
    <row r="171" spans="1:3" x14ac:dyDescent="0.25">
      <c r="A171" s="60" t="s">
        <v>364</v>
      </c>
      <c r="B171" s="61">
        <v>11.34</v>
      </c>
      <c r="C171" s="8">
        <f t="shared" si="3"/>
        <v>1.5973630831643E-3</v>
      </c>
    </row>
    <row r="172" spans="1:3" x14ac:dyDescent="0.25">
      <c r="A172" s="60" t="s">
        <v>365</v>
      </c>
      <c r="B172" s="61">
        <v>11.34</v>
      </c>
      <c r="C172" s="8">
        <f t="shared" si="3"/>
        <v>1.5973630831643E-3</v>
      </c>
    </row>
    <row r="173" spans="1:3" x14ac:dyDescent="0.25">
      <c r="A173" s="60" t="s">
        <v>366</v>
      </c>
      <c r="B173" s="61">
        <v>11.34</v>
      </c>
      <c r="C173" s="8">
        <f t="shared" si="3"/>
        <v>1.5973630831643E-3</v>
      </c>
    </row>
    <row r="174" spans="1:3" x14ac:dyDescent="0.25">
      <c r="A174" s="60" t="s">
        <v>367</v>
      </c>
      <c r="B174" s="61">
        <v>11.34</v>
      </c>
      <c r="C174" s="8">
        <f t="shared" si="3"/>
        <v>1.5973630831643E-3</v>
      </c>
    </row>
    <row r="175" spans="1:3" x14ac:dyDescent="0.25">
      <c r="A175" s="60" t="s">
        <v>368</v>
      </c>
      <c r="B175" s="61">
        <v>11.34</v>
      </c>
      <c r="C175" s="8">
        <f t="shared" si="3"/>
        <v>1.5973630831643E-3</v>
      </c>
    </row>
    <row r="176" spans="1:3" x14ac:dyDescent="0.25">
      <c r="A176" s="60" t="s">
        <v>369</v>
      </c>
      <c r="B176" s="61">
        <v>11.16</v>
      </c>
      <c r="C176" s="8">
        <f t="shared" si="3"/>
        <v>1.5720081135902635E-3</v>
      </c>
    </row>
    <row r="177" spans="1:3" x14ac:dyDescent="0.25">
      <c r="A177" s="60" t="s">
        <v>370</v>
      </c>
      <c r="B177" s="61">
        <v>11.16</v>
      </c>
      <c r="C177" s="8">
        <f t="shared" si="3"/>
        <v>1.5720081135902635E-3</v>
      </c>
    </row>
    <row r="178" spans="1:3" x14ac:dyDescent="0.25">
      <c r="A178" s="60" t="s">
        <v>371</v>
      </c>
      <c r="B178" s="61">
        <v>11.16</v>
      </c>
      <c r="C178" s="8">
        <f t="shared" si="3"/>
        <v>1.5720081135902635E-3</v>
      </c>
    </row>
    <row r="179" spans="1:3" x14ac:dyDescent="0.25">
      <c r="A179" s="60" t="s">
        <v>372</v>
      </c>
      <c r="B179" s="61">
        <v>11.16</v>
      </c>
      <c r="C179" s="8">
        <f t="shared" si="3"/>
        <v>1.5720081135902635E-3</v>
      </c>
    </row>
    <row r="180" spans="1:3" x14ac:dyDescent="0.25">
      <c r="A180" s="60" t="s">
        <v>373</v>
      </c>
      <c r="B180" s="61">
        <v>11.16</v>
      </c>
      <c r="C180" s="8">
        <f t="shared" si="3"/>
        <v>1.5720081135902635E-3</v>
      </c>
    </row>
    <row r="181" spans="1:3" x14ac:dyDescent="0.25">
      <c r="A181" s="60" t="s">
        <v>374</v>
      </c>
      <c r="B181" s="61">
        <v>11.16</v>
      </c>
      <c r="C181" s="8">
        <f t="shared" si="3"/>
        <v>1.5720081135902635E-3</v>
      </c>
    </row>
    <row r="182" spans="1:3" x14ac:dyDescent="0.25">
      <c r="A182" s="60" t="s">
        <v>375</v>
      </c>
      <c r="B182" s="61">
        <v>11.16</v>
      </c>
      <c r="C182" s="8">
        <f t="shared" si="3"/>
        <v>1.5720081135902635E-3</v>
      </c>
    </row>
    <row r="183" spans="1:3" x14ac:dyDescent="0.25">
      <c r="A183" s="60" t="s">
        <v>376</v>
      </c>
      <c r="B183" s="61">
        <v>11.16</v>
      </c>
      <c r="C183" s="8">
        <f t="shared" si="3"/>
        <v>1.5720081135902635E-3</v>
      </c>
    </row>
    <row r="184" spans="1:3" x14ac:dyDescent="0.25">
      <c r="A184" s="60" t="s">
        <v>377</v>
      </c>
      <c r="B184" s="61">
        <v>11.16</v>
      </c>
      <c r="C184" s="8">
        <f t="shared" si="3"/>
        <v>1.5720081135902635E-3</v>
      </c>
    </row>
    <row r="185" spans="1:3" x14ac:dyDescent="0.25">
      <c r="A185" s="60" t="s">
        <v>378</v>
      </c>
      <c r="B185" s="61">
        <v>11.16</v>
      </c>
      <c r="C185" s="8">
        <f t="shared" si="3"/>
        <v>1.5720081135902635E-3</v>
      </c>
    </row>
    <row r="186" spans="1:3" x14ac:dyDescent="0.25">
      <c r="A186" s="60" t="s">
        <v>379</v>
      </c>
      <c r="B186" s="61">
        <v>11.34</v>
      </c>
      <c r="C186" s="8">
        <f t="shared" si="3"/>
        <v>1.5973630831643E-3</v>
      </c>
    </row>
    <row r="187" spans="1:3" x14ac:dyDescent="0.25">
      <c r="A187" s="60" t="s">
        <v>380</v>
      </c>
      <c r="B187" s="61">
        <v>11.34</v>
      </c>
      <c r="C187" s="8">
        <f t="shared" si="3"/>
        <v>1.5973630831643E-3</v>
      </c>
    </row>
    <row r="188" spans="1:3" x14ac:dyDescent="0.25">
      <c r="A188" s="60" t="s">
        <v>381</v>
      </c>
      <c r="B188" s="61">
        <v>11.34</v>
      </c>
      <c r="C188" s="8">
        <f t="shared" si="3"/>
        <v>1.5973630831643E-3</v>
      </c>
    </row>
    <row r="189" spans="1:3" x14ac:dyDescent="0.25">
      <c r="A189" s="60" t="s">
        <v>382</v>
      </c>
      <c r="B189" s="61">
        <v>11.34</v>
      </c>
      <c r="C189" s="8">
        <f t="shared" si="3"/>
        <v>1.5973630831643E-3</v>
      </c>
    </row>
    <row r="190" spans="1:3" x14ac:dyDescent="0.25">
      <c r="A190" s="60" t="s">
        <v>383</v>
      </c>
      <c r="B190" s="61">
        <v>11.34</v>
      </c>
      <c r="C190" s="8">
        <f t="shared" si="3"/>
        <v>1.5973630831643E-3</v>
      </c>
    </row>
    <row r="191" spans="1:3" x14ac:dyDescent="0.25">
      <c r="A191" s="60" t="s">
        <v>384</v>
      </c>
      <c r="B191" s="61">
        <v>11.34</v>
      </c>
      <c r="C191" s="8">
        <f t="shared" si="3"/>
        <v>1.5973630831643E-3</v>
      </c>
    </row>
    <row r="192" spans="1:3" x14ac:dyDescent="0.25">
      <c r="A192" s="60" t="s">
        <v>385</v>
      </c>
      <c r="B192" s="61">
        <v>11.34</v>
      </c>
      <c r="C192" s="8">
        <f t="shared" si="3"/>
        <v>1.5973630831643E-3</v>
      </c>
    </row>
    <row r="193" spans="1:3" x14ac:dyDescent="0.25">
      <c r="A193" s="60" t="s">
        <v>386</v>
      </c>
      <c r="B193" s="61">
        <v>11.34</v>
      </c>
      <c r="C193" s="8">
        <f t="shared" si="3"/>
        <v>1.5973630831643E-3</v>
      </c>
    </row>
    <row r="194" spans="1:3" x14ac:dyDescent="0.25">
      <c r="A194" s="60" t="s">
        <v>387</v>
      </c>
      <c r="B194" s="61">
        <v>11.34</v>
      </c>
      <c r="C194" s="8">
        <f t="shared" si="3"/>
        <v>1.5973630831643E-3</v>
      </c>
    </row>
    <row r="195" spans="1:3" x14ac:dyDescent="0.25">
      <c r="A195" s="60" t="s">
        <v>388</v>
      </c>
      <c r="B195" s="61">
        <v>11.34</v>
      </c>
      <c r="C195" s="8">
        <f t="shared" si="3"/>
        <v>1.5973630831643E-3</v>
      </c>
    </row>
    <row r="196" spans="1:3" x14ac:dyDescent="0.25">
      <c r="A196" s="60" t="s">
        <v>389</v>
      </c>
      <c r="B196" s="61">
        <v>11.34</v>
      </c>
      <c r="C196" s="8">
        <f t="shared" si="3"/>
        <v>1.5973630831643E-3</v>
      </c>
    </row>
    <row r="197" spans="1:3" x14ac:dyDescent="0.25">
      <c r="A197" s="60" t="s">
        <v>390</v>
      </c>
      <c r="B197" s="61">
        <v>11.34</v>
      </c>
      <c r="C197" s="8">
        <f t="shared" si="3"/>
        <v>1.5973630831643E-3</v>
      </c>
    </row>
    <row r="198" spans="1:3" x14ac:dyDescent="0.25">
      <c r="A198" s="60" t="s">
        <v>391</v>
      </c>
      <c r="B198" s="61">
        <v>11.34</v>
      </c>
      <c r="C198" s="8">
        <f t="shared" si="3"/>
        <v>1.5973630831643E-3</v>
      </c>
    </row>
    <row r="199" spans="1:3" x14ac:dyDescent="0.25">
      <c r="A199" s="60" t="s">
        <v>392</v>
      </c>
      <c r="B199" s="61">
        <v>11.34</v>
      </c>
      <c r="C199" s="8">
        <f t="shared" si="3"/>
        <v>1.5973630831643E-3</v>
      </c>
    </row>
    <row r="200" spans="1:3" x14ac:dyDescent="0.25">
      <c r="A200" s="60" t="s">
        <v>393</v>
      </c>
      <c r="B200" s="61">
        <v>11.34</v>
      </c>
      <c r="C200" s="8">
        <f t="shared" si="3"/>
        <v>1.5973630831643E-3</v>
      </c>
    </row>
    <row r="201" spans="1:3" x14ac:dyDescent="0.25">
      <c r="A201" s="60" t="s">
        <v>394</v>
      </c>
      <c r="B201" s="61">
        <v>11.34</v>
      </c>
      <c r="C201" s="8">
        <f t="shared" si="3"/>
        <v>1.5973630831643E-3</v>
      </c>
    </row>
    <row r="202" spans="1:3" x14ac:dyDescent="0.25">
      <c r="A202" s="60" t="s">
        <v>395</v>
      </c>
      <c r="B202" s="61">
        <v>11.34</v>
      </c>
      <c r="C202" s="8">
        <f t="shared" si="3"/>
        <v>1.5973630831643E-3</v>
      </c>
    </row>
    <row r="203" spans="1:3" x14ac:dyDescent="0.25">
      <c r="A203" s="60" t="s">
        <v>396</v>
      </c>
      <c r="B203" s="61">
        <v>11.34</v>
      </c>
      <c r="C203" s="8">
        <f t="shared" si="3"/>
        <v>1.5973630831643E-3</v>
      </c>
    </row>
    <row r="204" spans="1:3" x14ac:dyDescent="0.25">
      <c r="A204" s="60" t="s">
        <v>397</v>
      </c>
      <c r="B204" s="61">
        <v>11.34</v>
      </c>
      <c r="C204" s="8">
        <f t="shared" si="3"/>
        <v>1.5973630831643E-3</v>
      </c>
    </row>
    <row r="205" spans="1:3" x14ac:dyDescent="0.25">
      <c r="A205" s="60" t="s">
        <v>398</v>
      </c>
      <c r="B205" s="61">
        <v>11.34</v>
      </c>
      <c r="C205" s="8">
        <f t="shared" si="3"/>
        <v>1.5973630831643E-3</v>
      </c>
    </row>
    <row r="206" spans="1:3" x14ac:dyDescent="0.25">
      <c r="A206" s="60" t="s">
        <v>399</v>
      </c>
      <c r="B206" s="61">
        <v>11.34</v>
      </c>
      <c r="C206" s="8">
        <f t="shared" si="3"/>
        <v>1.5973630831643E-3</v>
      </c>
    </row>
    <row r="207" spans="1:3" x14ac:dyDescent="0.25">
      <c r="A207" s="60" t="s">
        <v>400</v>
      </c>
      <c r="B207" s="61">
        <v>11.34</v>
      </c>
      <c r="C207" s="8">
        <f t="shared" si="3"/>
        <v>1.5973630831643E-3</v>
      </c>
    </row>
    <row r="208" spans="1:3" x14ac:dyDescent="0.25">
      <c r="A208" s="60" t="s">
        <v>401</v>
      </c>
      <c r="B208" s="61">
        <v>11.34</v>
      </c>
      <c r="C208" s="8">
        <f t="shared" si="3"/>
        <v>1.5973630831643E-3</v>
      </c>
    </row>
    <row r="209" spans="1:3" x14ac:dyDescent="0.25">
      <c r="A209" s="60" t="s">
        <v>402</v>
      </c>
      <c r="B209" s="61">
        <v>11.34</v>
      </c>
      <c r="C209" s="8">
        <f t="shared" si="3"/>
        <v>1.5973630831643E-3</v>
      </c>
    </row>
    <row r="210" spans="1:3" x14ac:dyDescent="0.25">
      <c r="A210" s="60" t="s">
        <v>403</v>
      </c>
      <c r="B210" s="61">
        <v>11.34</v>
      </c>
      <c r="C210" s="8">
        <f t="shared" si="3"/>
        <v>1.5973630831643E-3</v>
      </c>
    </row>
    <row r="211" spans="1:3" x14ac:dyDescent="0.25">
      <c r="A211" s="60" t="s">
        <v>404</v>
      </c>
      <c r="B211" s="61">
        <v>11.34</v>
      </c>
      <c r="C211" s="8">
        <f t="shared" si="3"/>
        <v>1.5973630831643E-3</v>
      </c>
    </row>
    <row r="212" spans="1:3" x14ac:dyDescent="0.25">
      <c r="A212" s="60" t="s">
        <v>405</v>
      </c>
      <c r="B212" s="61">
        <v>11.34</v>
      </c>
      <c r="C212" s="8">
        <f t="shared" si="3"/>
        <v>1.5973630831643E-3</v>
      </c>
    </row>
    <row r="213" spans="1:3" x14ac:dyDescent="0.25">
      <c r="A213" s="60" t="s">
        <v>406</v>
      </c>
      <c r="B213" s="61">
        <v>11.34</v>
      </c>
      <c r="C213" s="8">
        <f t="shared" si="3"/>
        <v>1.5973630831643E-3</v>
      </c>
    </row>
    <row r="214" spans="1:3" x14ac:dyDescent="0.25">
      <c r="A214" s="60" t="s">
        <v>407</v>
      </c>
      <c r="B214" s="61">
        <v>11.34</v>
      </c>
      <c r="C214" s="8">
        <f t="shared" si="3"/>
        <v>1.5973630831643E-3</v>
      </c>
    </row>
    <row r="215" spans="1:3" x14ac:dyDescent="0.25">
      <c r="A215" s="60" t="s">
        <v>408</v>
      </c>
      <c r="B215" s="61">
        <v>11.34</v>
      </c>
      <c r="C215" s="8">
        <f t="shared" si="3"/>
        <v>1.5973630831643E-3</v>
      </c>
    </row>
    <row r="216" spans="1:3" x14ac:dyDescent="0.25">
      <c r="A216" s="60" t="s">
        <v>409</v>
      </c>
      <c r="B216" s="61">
        <v>11.34</v>
      </c>
      <c r="C216" s="8">
        <f t="shared" si="3"/>
        <v>1.5973630831643E-3</v>
      </c>
    </row>
    <row r="217" spans="1:3" x14ac:dyDescent="0.25">
      <c r="A217" s="60" t="s">
        <v>410</v>
      </c>
      <c r="B217" s="61">
        <v>11.34</v>
      </c>
      <c r="C217" s="8">
        <f t="shared" si="3"/>
        <v>1.5973630831643E-3</v>
      </c>
    </row>
    <row r="218" spans="1:3" x14ac:dyDescent="0.25">
      <c r="A218" s="60" t="s">
        <v>411</v>
      </c>
      <c r="B218" s="61">
        <v>11.34</v>
      </c>
      <c r="C218" s="8">
        <f t="shared" si="3"/>
        <v>1.5973630831643E-3</v>
      </c>
    </row>
    <row r="219" spans="1:3" x14ac:dyDescent="0.25">
      <c r="A219" s="60" t="s">
        <v>412</v>
      </c>
      <c r="B219" s="61">
        <v>11.34</v>
      </c>
      <c r="C219" s="8">
        <f t="shared" ref="C219:C282" si="4">B219/$B$89</f>
        <v>1.5973630831643E-3</v>
      </c>
    </row>
    <row r="220" spans="1:3" x14ac:dyDescent="0.25">
      <c r="A220" s="60" t="s">
        <v>413</v>
      </c>
      <c r="B220" s="61">
        <v>11.34</v>
      </c>
      <c r="C220" s="8">
        <f t="shared" si="4"/>
        <v>1.5973630831643E-3</v>
      </c>
    </row>
    <row r="221" spans="1:3" x14ac:dyDescent="0.25">
      <c r="A221" s="60" t="s">
        <v>414</v>
      </c>
      <c r="B221" s="61">
        <v>11.34</v>
      </c>
      <c r="C221" s="8">
        <f t="shared" si="4"/>
        <v>1.5973630831643E-3</v>
      </c>
    </row>
    <row r="222" spans="1:3" x14ac:dyDescent="0.25">
      <c r="A222" s="60" t="s">
        <v>415</v>
      </c>
      <c r="B222" s="61">
        <v>11.34</v>
      </c>
      <c r="C222" s="8">
        <f t="shared" si="4"/>
        <v>1.5973630831643E-3</v>
      </c>
    </row>
    <row r="223" spans="1:3" x14ac:dyDescent="0.25">
      <c r="A223" s="60" t="s">
        <v>416</v>
      </c>
      <c r="B223" s="61">
        <v>11.34</v>
      </c>
      <c r="C223" s="8">
        <f t="shared" si="4"/>
        <v>1.5973630831643E-3</v>
      </c>
    </row>
    <row r="224" spans="1:3" x14ac:dyDescent="0.25">
      <c r="A224" s="60" t="s">
        <v>417</v>
      </c>
      <c r="B224" s="61">
        <v>11.34</v>
      </c>
      <c r="C224" s="8">
        <f t="shared" si="4"/>
        <v>1.5973630831643E-3</v>
      </c>
    </row>
    <row r="225" spans="1:3" x14ac:dyDescent="0.25">
      <c r="A225" s="60" t="s">
        <v>418</v>
      </c>
      <c r="B225" s="61">
        <v>11.34</v>
      </c>
      <c r="C225" s="8">
        <f t="shared" si="4"/>
        <v>1.5973630831643E-3</v>
      </c>
    </row>
    <row r="226" spans="1:3" x14ac:dyDescent="0.25">
      <c r="A226" s="60" t="s">
        <v>419</v>
      </c>
      <c r="B226" s="61">
        <v>11.34</v>
      </c>
      <c r="C226" s="8">
        <f t="shared" si="4"/>
        <v>1.5973630831643E-3</v>
      </c>
    </row>
    <row r="227" spans="1:3" x14ac:dyDescent="0.25">
      <c r="A227" s="60" t="s">
        <v>420</v>
      </c>
      <c r="B227" s="61">
        <v>11.34</v>
      </c>
      <c r="C227" s="8">
        <f t="shared" si="4"/>
        <v>1.5973630831643E-3</v>
      </c>
    </row>
    <row r="228" spans="1:3" x14ac:dyDescent="0.25">
      <c r="A228" s="60" t="s">
        <v>421</v>
      </c>
      <c r="B228" s="61">
        <v>11.34</v>
      </c>
      <c r="C228" s="8">
        <f t="shared" si="4"/>
        <v>1.5973630831643E-3</v>
      </c>
    </row>
    <row r="229" spans="1:3" x14ac:dyDescent="0.25">
      <c r="A229" s="60" t="s">
        <v>422</v>
      </c>
      <c r="B229" s="61">
        <v>11.34</v>
      </c>
      <c r="C229" s="8">
        <f t="shared" si="4"/>
        <v>1.5973630831643E-3</v>
      </c>
    </row>
    <row r="230" spans="1:3" x14ac:dyDescent="0.25">
      <c r="A230" s="60" t="s">
        <v>423</v>
      </c>
      <c r="B230" s="61">
        <v>11.34</v>
      </c>
      <c r="C230" s="8">
        <f t="shared" si="4"/>
        <v>1.5973630831643E-3</v>
      </c>
    </row>
    <row r="231" spans="1:3" x14ac:dyDescent="0.25">
      <c r="A231" s="60" t="s">
        <v>424</v>
      </c>
      <c r="B231" s="61">
        <v>11.34</v>
      </c>
      <c r="C231" s="8">
        <f t="shared" si="4"/>
        <v>1.5973630831643E-3</v>
      </c>
    </row>
    <row r="232" spans="1:3" x14ac:dyDescent="0.25">
      <c r="A232" s="60" t="s">
        <v>425</v>
      </c>
      <c r="B232" s="61">
        <v>11.34</v>
      </c>
      <c r="C232" s="8">
        <f t="shared" si="4"/>
        <v>1.5973630831643E-3</v>
      </c>
    </row>
    <row r="233" spans="1:3" x14ac:dyDescent="0.25">
      <c r="A233" s="60" t="s">
        <v>426</v>
      </c>
      <c r="B233" s="61">
        <v>11.34</v>
      </c>
      <c r="C233" s="8">
        <f t="shared" si="4"/>
        <v>1.5973630831643E-3</v>
      </c>
    </row>
    <row r="234" spans="1:3" x14ac:dyDescent="0.25">
      <c r="A234" s="60" t="s">
        <v>427</v>
      </c>
      <c r="B234" s="61">
        <v>11.34</v>
      </c>
      <c r="C234" s="8">
        <f t="shared" si="4"/>
        <v>1.5973630831643E-3</v>
      </c>
    </row>
    <row r="235" spans="1:3" x14ac:dyDescent="0.25">
      <c r="A235" s="60" t="s">
        <v>428</v>
      </c>
      <c r="B235" s="61">
        <v>11.34</v>
      </c>
      <c r="C235" s="8">
        <f t="shared" si="4"/>
        <v>1.5973630831643E-3</v>
      </c>
    </row>
    <row r="236" spans="1:3" x14ac:dyDescent="0.25">
      <c r="A236" s="60" t="s">
        <v>429</v>
      </c>
      <c r="B236" s="61">
        <v>11.34</v>
      </c>
      <c r="C236" s="8">
        <f t="shared" si="4"/>
        <v>1.5973630831643E-3</v>
      </c>
    </row>
    <row r="237" spans="1:3" x14ac:dyDescent="0.25">
      <c r="A237" s="60" t="s">
        <v>430</v>
      </c>
      <c r="B237" s="61">
        <v>11.34</v>
      </c>
      <c r="C237" s="8">
        <f t="shared" si="4"/>
        <v>1.5973630831643E-3</v>
      </c>
    </row>
    <row r="238" spans="1:3" x14ac:dyDescent="0.25">
      <c r="A238" s="60" t="s">
        <v>431</v>
      </c>
      <c r="B238" s="61">
        <v>11.34</v>
      </c>
      <c r="C238" s="8">
        <f t="shared" si="4"/>
        <v>1.5973630831643E-3</v>
      </c>
    </row>
    <row r="239" spans="1:3" x14ac:dyDescent="0.25">
      <c r="A239" s="60" t="s">
        <v>432</v>
      </c>
      <c r="B239" s="61">
        <v>11.34</v>
      </c>
      <c r="C239" s="8">
        <f t="shared" si="4"/>
        <v>1.5973630831643E-3</v>
      </c>
    </row>
    <row r="240" spans="1:3" x14ac:dyDescent="0.25">
      <c r="A240" s="60" t="s">
        <v>433</v>
      </c>
      <c r="B240" s="61">
        <v>11.34</v>
      </c>
      <c r="C240" s="8">
        <f t="shared" si="4"/>
        <v>1.5973630831643E-3</v>
      </c>
    </row>
    <row r="241" spans="1:3" x14ac:dyDescent="0.25">
      <c r="A241" s="60" t="s">
        <v>434</v>
      </c>
      <c r="B241" s="61">
        <v>11.34</v>
      </c>
      <c r="C241" s="8">
        <f t="shared" si="4"/>
        <v>1.5973630831643E-3</v>
      </c>
    </row>
    <row r="242" spans="1:3" x14ac:dyDescent="0.25">
      <c r="A242" s="60" t="s">
        <v>435</v>
      </c>
      <c r="B242" s="61">
        <v>11.34</v>
      </c>
      <c r="C242" s="8">
        <f t="shared" si="4"/>
        <v>1.5973630831643E-3</v>
      </c>
    </row>
    <row r="243" spans="1:3" x14ac:dyDescent="0.25">
      <c r="A243" s="60" t="s">
        <v>436</v>
      </c>
      <c r="B243" s="61">
        <v>11.34</v>
      </c>
      <c r="C243" s="8">
        <f t="shared" si="4"/>
        <v>1.5973630831643E-3</v>
      </c>
    </row>
    <row r="244" spans="1:3" x14ac:dyDescent="0.25">
      <c r="A244" s="60" t="s">
        <v>437</v>
      </c>
      <c r="B244" s="61">
        <v>11.34</v>
      </c>
      <c r="C244" s="8">
        <f t="shared" si="4"/>
        <v>1.5973630831643E-3</v>
      </c>
    </row>
    <row r="245" spans="1:3" x14ac:dyDescent="0.25">
      <c r="A245" s="60" t="s">
        <v>438</v>
      </c>
      <c r="B245" s="61">
        <v>11.34</v>
      </c>
      <c r="C245" s="8">
        <f t="shared" si="4"/>
        <v>1.5973630831643E-3</v>
      </c>
    </row>
    <row r="246" spans="1:3" x14ac:dyDescent="0.25">
      <c r="A246" s="60" t="s">
        <v>439</v>
      </c>
      <c r="B246" s="61">
        <v>11.34</v>
      </c>
      <c r="C246" s="8">
        <f t="shared" si="4"/>
        <v>1.5973630831643E-3</v>
      </c>
    </row>
    <row r="247" spans="1:3" x14ac:dyDescent="0.25">
      <c r="A247" s="60" t="s">
        <v>440</v>
      </c>
      <c r="B247" s="61">
        <v>11.34</v>
      </c>
      <c r="C247" s="8">
        <f t="shared" si="4"/>
        <v>1.5973630831643E-3</v>
      </c>
    </row>
    <row r="248" spans="1:3" x14ac:dyDescent="0.25">
      <c r="A248" s="60" t="s">
        <v>441</v>
      </c>
      <c r="B248" s="61">
        <v>11.34</v>
      </c>
      <c r="C248" s="8">
        <f t="shared" si="4"/>
        <v>1.5973630831643E-3</v>
      </c>
    </row>
    <row r="249" spans="1:3" x14ac:dyDescent="0.25">
      <c r="A249" s="60" t="s">
        <v>442</v>
      </c>
      <c r="B249" s="61">
        <v>11.34</v>
      </c>
      <c r="C249" s="8">
        <f t="shared" si="4"/>
        <v>1.5973630831643E-3</v>
      </c>
    </row>
    <row r="250" spans="1:3" x14ac:dyDescent="0.25">
      <c r="A250" s="60" t="s">
        <v>443</v>
      </c>
      <c r="B250" s="61">
        <v>11.34</v>
      </c>
      <c r="C250" s="8">
        <f t="shared" si="4"/>
        <v>1.5973630831643E-3</v>
      </c>
    </row>
    <row r="251" spans="1:3" x14ac:dyDescent="0.25">
      <c r="A251" s="60" t="s">
        <v>444</v>
      </c>
      <c r="B251" s="61">
        <v>11.34</v>
      </c>
      <c r="C251" s="8">
        <f t="shared" si="4"/>
        <v>1.5973630831643E-3</v>
      </c>
    </row>
    <row r="252" spans="1:3" x14ac:dyDescent="0.25">
      <c r="A252" s="60" t="s">
        <v>445</v>
      </c>
      <c r="B252" s="61">
        <v>11.34</v>
      </c>
      <c r="C252" s="8">
        <f t="shared" si="4"/>
        <v>1.5973630831643E-3</v>
      </c>
    </row>
    <row r="253" spans="1:3" x14ac:dyDescent="0.25">
      <c r="A253" s="60" t="s">
        <v>446</v>
      </c>
      <c r="B253" s="61">
        <v>11.34</v>
      </c>
      <c r="C253" s="8">
        <f t="shared" si="4"/>
        <v>1.5973630831643E-3</v>
      </c>
    </row>
    <row r="254" spans="1:3" x14ac:dyDescent="0.25">
      <c r="A254" s="60" t="s">
        <v>447</v>
      </c>
      <c r="B254" s="61">
        <v>11.34</v>
      </c>
      <c r="C254" s="8">
        <f t="shared" si="4"/>
        <v>1.5973630831643E-3</v>
      </c>
    </row>
    <row r="255" spans="1:3" x14ac:dyDescent="0.25">
      <c r="A255" s="60" t="s">
        <v>448</v>
      </c>
      <c r="B255" s="61">
        <v>11.34</v>
      </c>
      <c r="C255" s="8">
        <f t="shared" si="4"/>
        <v>1.5973630831643E-3</v>
      </c>
    </row>
    <row r="256" spans="1:3" x14ac:dyDescent="0.25">
      <c r="A256" s="60" t="s">
        <v>449</v>
      </c>
      <c r="B256" s="61">
        <v>11.34</v>
      </c>
      <c r="C256" s="8">
        <f t="shared" si="4"/>
        <v>1.5973630831643E-3</v>
      </c>
    </row>
    <row r="257" spans="1:3" x14ac:dyDescent="0.25">
      <c r="A257" s="60" t="s">
        <v>450</v>
      </c>
      <c r="B257" s="61">
        <v>11.34</v>
      </c>
      <c r="C257" s="8">
        <f t="shared" si="4"/>
        <v>1.5973630831643E-3</v>
      </c>
    </row>
    <row r="258" spans="1:3" x14ac:dyDescent="0.25">
      <c r="A258" s="60" t="s">
        <v>451</v>
      </c>
      <c r="B258" s="61">
        <v>11.34</v>
      </c>
      <c r="C258" s="8">
        <f t="shared" si="4"/>
        <v>1.5973630831643E-3</v>
      </c>
    </row>
    <row r="259" spans="1:3" x14ac:dyDescent="0.25">
      <c r="A259" s="60" t="s">
        <v>452</v>
      </c>
      <c r="B259" s="61">
        <v>11.34</v>
      </c>
      <c r="C259" s="8">
        <f t="shared" si="4"/>
        <v>1.5973630831643E-3</v>
      </c>
    </row>
    <row r="260" spans="1:3" x14ac:dyDescent="0.25">
      <c r="A260" s="60" t="s">
        <v>453</v>
      </c>
      <c r="B260" s="61">
        <v>11.34</v>
      </c>
      <c r="C260" s="8">
        <f t="shared" si="4"/>
        <v>1.5973630831643E-3</v>
      </c>
    </row>
    <row r="261" spans="1:3" x14ac:dyDescent="0.25">
      <c r="A261" s="60" t="s">
        <v>454</v>
      </c>
      <c r="B261" s="61">
        <v>11.34</v>
      </c>
      <c r="C261" s="8">
        <f t="shared" si="4"/>
        <v>1.5973630831643E-3</v>
      </c>
    </row>
    <row r="262" spans="1:3" x14ac:dyDescent="0.25">
      <c r="A262" s="60" t="s">
        <v>455</v>
      </c>
      <c r="B262" s="61">
        <v>11.34</v>
      </c>
      <c r="C262" s="8">
        <f t="shared" si="4"/>
        <v>1.5973630831643E-3</v>
      </c>
    </row>
    <row r="263" spans="1:3" x14ac:dyDescent="0.25">
      <c r="A263" s="60" t="s">
        <v>456</v>
      </c>
      <c r="B263" s="61">
        <v>11.34</v>
      </c>
      <c r="C263" s="8">
        <f t="shared" si="4"/>
        <v>1.5973630831643E-3</v>
      </c>
    </row>
    <row r="264" spans="1:3" x14ac:dyDescent="0.25">
      <c r="A264" s="60" t="s">
        <v>457</v>
      </c>
      <c r="B264" s="61">
        <v>11.34</v>
      </c>
      <c r="C264" s="8">
        <f t="shared" si="4"/>
        <v>1.5973630831643E-3</v>
      </c>
    </row>
    <row r="265" spans="1:3" x14ac:dyDescent="0.25">
      <c r="A265" s="60" t="s">
        <v>458</v>
      </c>
      <c r="B265" s="61">
        <v>11.34</v>
      </c>
      <c r="C265" s="8">
        <f t="shared" si="4"/>
        <v>1.5973630831643E-3</v>
      </c>
    </row>
    <row r="266" spans="1:3" x14ac:dyDescent="0.25">
      <c r="A266" s="60" t="s">
        <v>459</v>
      </c>
      <c r="B266" s="61">
        <v>11.34</v>
      </c>
      <c r="C266" s="8">
        <f t="shared" si="4"/>
        <v>1.5973630831643E-3</v>
      </c>
    </row>
    <row r="267" spans="1:3" x14ac:dyDescent="0.25">
      <c r="A267" s="60" t="s">
        <v>460</v>
      </c>
      <c r="B267" s="61">
        <v>11.34</v>
      </c>
      <c r="C267" s="8">
        <f t="shared" si="4"/>
        <v>1.5973630831643E-3</v>
      </c>
    </row>
    <row r="268" spans="1:3" x14ac:dyDescent="0.25">
      <c r="A268" s="60" t="s">
        <v>461</v>
      </c>
      <c r="B268" s="61">
        <v>11.34</v>
      </c>
      <c r="C268" s="8">
        <f t="shared" si="4"/>
        <v>1.5973630831643E-3</v>
      </c>
    </row>
    <row r="269" spans="1:3" x14ac:dyDescent="0.25">
      <c r="A269" s="60" t="s">
        <v>462</v>
      </c>
      <c r="B269" s="61">
        <v>11.34</v>
      </c>
      <c r="C269" s="8">
        <f t="shared" si="4"/>
        <v>1.5973630831643E-3</v>
      </c>
    </row>
    <row r="270" spans="1:3" x14ac:dyDescent="0.25">
      <c r="A270" s="60" t="s">
        <v>463</v>
      </c>
      <c r="B270" s="61">
        <v>11.34</v>
      </c>
      <c r="C270" s="8">
        <f t="shared" si="4"/>
        <v>1.5973630831643E-3</v>
      </c>
    </row>
    <row r="271" spans="1:3" x14ac:dyDescent="0.25">
      <c r="A271" s="60" t="s">
        <v>464</v>
      </c>
      <c r="B271" s="61">
        <v>11.34</v>
      </c>
      <c r="C271" s="8">
        <f t="shared" si="4"/>
        <v>1.5973630831643E-3</v>
      </c>
    </row>
    <row r="272" spans="1:3" x14ac:dyDescent="0.25">
      <c r="A272" s="60" t="s">
        <v>465</v>
      </c>
      <c r="B272" s="61">
        <v>11.34</v>
      </c>
      <c r="C272" s="8">
        <f t="shared" si="4"/>
        <v>1.5973630831643E-3</v>
      </c>
    </row>
    <row r="273" spans="1:3" x14ac:dyDescent="0.25">
      <c r="A273" s="60" t="s">
        <v>466</v>
      </c>
      <c r="B273" s="61">
        <v>11.34</v>
      </c>
      <c r="C273" s="8">
        <f t="shared" si="4"/>
        <v>1.5973630831643E-3</v>
      </c>
    </row>
    <row r="274" spans="1:3" x14ac:dyDescent="0.25">
      <c r="A274" s="60" t="s">
        <v>467</v>
      </c>
      <c r="B274" s="61">
        <v>11.34</v>
      </c>
      <c r="C274" s="8">
        <f t="shared" si="4"/>
        <v>1.5973630831643E-3</v>
      </c>
    </row>
    <row r="275" spans="1:3" x14ac:dyDescent="0.25">
      <c r="A275" s="60" t="s">
        <v>468</v>
      </c>
      <c r="B275" s="61">
        <v>11.34</v>
      </c>
      <c r="C275" s="8">
        <f t="shared" si="4"/>
        <v>1.5973630831643E-3</v>
      </c>
    </row>
    <row r="276" spans="1:3" x14ac:dyDescent="0.25">
      <c r="A276" s="60" t="s">
        <v>469</v>
      </c>
      <c r="B276" s="61">
        <v>11.34</v>
      </c>
      <c r="C276" s="8">
        <f t="shared" si="4"/>
        <v>1.5973630831643E-3</v>
      </c>
    </row>
    <row r="277" spans="1:3" x14ac:dyDescent="0.25">
      <c r="A277" s="60" t="s">
        <v>470</v>
      </c>
      <c r="B277" s="61">
        <v>11.34</v>
      </c>
      <c r="C277" s="8">
        <f t="shared" si="4"/>
        <v>1.5973630831643E-3</v>
      </c>
    </row>
    <row r="278" spans="1:3" x14ac:dyDescent="0.25">
      <c r="A278" s="60" t="s">
        <v>471</v>
      </c>
      <c r="B278" s="61">
        <v>11.34</v>
      </c>
      <c r="C278" s="8">
        <f t="shared" si="4"/>
        <v>1.5973630831643E-3</v>
      </c>
    </row>
    <row r="279" spans="1:3" x14ac:dyDescent="0.25">
      <c r="A279" s="60" t="s">
        <v>472</v>
      </c>
      <c r="B279" s="61">
        <v>11.34</v>
      </c>
      <c r="C279" s="8">
        <f t="shared" si="4"/>
        <v>1.5973630831643E-3</v>
      </c>
    </row>
    <row r="280" spans="1:3" x14ac:dyDescent="0.25">
      <c r="A280" s="60" t="s">
        <v>473</v>
      </c>
      <c r="B280" s="61">
        <v>11.34</v>
      </c>
      <c r="C280" s="8">
        <f t="shared" si="4"/>
        <v>1.5973630831643E-3</v>
      </c>
    </row>
    <row r="281" spans="1:3" x14ac:dyDescent="0.25">
      <c r="A281" s="60" t="s">
        <v>474</v>
      </c>
      <c r="B281" s="61">
        <v>11.34</v>
      </c>
      <c r="C281" s="8">
        <f t="shared" si="4"/>
        <v>1.5973630831643E-3</v>
      </c>
    </row>
    <row r="282" spans="1:3" x14ac:dyDescent="0.25">
      <c r="A282" s="60" t="s">
        <v>475</v>
      </c>
      <c r="B282" s="61">
        <v>11.34</v>
      </c>
      <c r="C282" s="8">
        <f t="shared" si="4"/>
        <v>1.5973630831643E-3</v>
      </c>
    </row>
    <row r="283" spans="1:3" x14ac:dyDescent="0.25">
      <c r="A283" s="60" t="s">
        <v>476</v>
      </c>
      <c r="B283" s="61">
        <v>11.34</v>
      </c>
      <c r="C283" s="8">
        <f t="shared" ref="C283:C346" si="5">B283/$B$89</f>
        <v>1.5973630831643E-3</v>
      </c>
    </row>
    <row r="284" spans="1:3" x14ac:dyDescent="0.25">
      <c r="A284" s="60" t="s">
        <v>477</v>
      </c>
      <c r="B284" s="61">
        <v>11.34</v>
      </c>
      <c r="C284" s="8">
        <f t="shared" si="5"/>
        <v>1.5973630831643E-3</v>
      </c>
    </row>
    <row r="285" spans="1:3" x14ac:dyDescent="0.25">
      <c r="A285" s="60" t="s">
        <v>478</v>
      </c>
      <c r="B285" s="61">
        <v>11.34</v>
      </c>
      <c r="C285" s="8">
        <f t="shared" si="5"/>
        <v>1.5973630831643E-3</v>
      </c>
    </row>
    <row r="286" spans="1:3" x14ac:dyDescent="0.25">
      <c r="A286" s="60" t="s">
        <v>479</v>
      </c>
      <c r="B286" s="61">
        <v>11.34</v>
      </c>
      <c r="C286" s="8">
        <f t="shared" si="5"/>
        <v>1.5973630831643E-3</v>
      </c>
    </row>
    <row r="287" spans="1:3" x14ac:dyDescent="0.25">
      <c r="A287" s="60" t="s">
        <v>480</v>
      </c>
      <c r="B287" s="61">
        <v>11.34</v>
      </c>
      <c r="C287" s="8">
        <f t="shared" si="5"/>
        <v>1.5973630831643E-3</v>
      </c>
    </row>
    <row r="288" spans="1:3" x14ac:dyDescent="0.25">
      <c r="A288" s="60" t="s">
        <v>481</v>
      </c>
      <c r="B288" s="61">
        <v>11.34</v>
      </c>
      <c r="C288" s="8">
        <f t="shared" si="5"/>
        <v>1.5973630831643E-3</v>
      </c>
    </row>
    <row r="289" spans="1:3" x14ac:dyDescent="0.25">
      <c r="A289" s="60" t="s">
        <v>482</v>
      </c>
      <c r="B289" s="61">
        <v>11.34</v>
      </c>
      <c r="C289" s="8">
        <f t="shared" si="5"/>
        <v>1.5973630831643E-3</v>
      </c>
    </row>
    <row r="290" spans="1:3" x14ac:dyDescent="0.25">
      <c r="A290" s="60" t="s">
        <v>483</v>
      </c>
      <c r="B290" s="61">
        <v>11.34</v>
      </c>
      <c r="C290" s="8">
        <f t="shared" si="5"/>
        <v>1.5973630831643E-3</v>
      </c>
    </row>
    <row r="291" spans="1:3" x14ac:dyDescent="0.25">
      <c r="A291" s="60" t="s">
        <v>484</v>
      </c>
      <c r="B291" s="61">
        <v>11.34</v>
      </c>
      <c r="C291" s="8">
        <f t="shared" si="5"/>
        <v>1.5973630831643E-3</v>
      </c>
    </row>
    <row r="292" spans="1:3" x14ac:dyDescent="0.25">
      <c r="A292" s="60" t="s">
        <v>485</v>
      </c>
      <c r="B292" s="61">
        <v>11.34</v>
      </c>
      <c r="C292" s="8">
        <f t="shared" si="5"/>
        <v>1.5973630831643E-3</v>
      </c>
    </row>
    <row r="293" spans="1:3" x14ac:dyDescent="0.25">
      <c r="A293" s="60" t="s">
        <v>486</v>
      </c>
      <c r="B293" s="61">
        <v>11.34</v>
      </c>
      <c r="C293" s="8">
        <f t="shared" si="5"/>
        <v>1.5973630831643E-3</v>
      </c>
    </row>
    <row r="294" spans="1:3" x14ac:dyDescent="0.25">
      <c r="A294" s="60" t="s">
        <v>487</v>
      </c>
      <c r="B294" s="61">
        <v>11.34</v>
      </c>
      <c r="C294" s="8">
        <f t="shared" si="5"/>
        <v>1.5973630831643E-3</v>
      </c>
    </row>
    <row r="295" spans="1:3" x14ac:dyDescent="0.25">
      <c r="A295" s="60" t="s">
        <v>488</v>
      </c>
      <c r="B295" s="61">
        <v>11.34</v>
      </c>
      <c r="C295" s="8">
        <f t="shared" si="5"/>
        <v>1.5973630831643E-3</v>
      </c>
    </row>
    <row r="296" spans="1:3" x14ac:dyDescent="0.25">
      <c r="A296" s="60" t="s">
        <v>489</v>
      </c>
      <c r="B296" s="61">
        <v>11.34</v>
      </c>
      <c r="C296" s="8">
        <f t="shared" si="5"/>
        <v>1.5973630831643E-3</v>
      </c>
    </row>
    <row r="297" spans="1:3" x14ac:dyDescent="0.25">
      <c r="A297" s="60" t="s">
        <v>490</v>
      </c>
      <c r="B297" s="61">
        <v>11.34</v>
      </c>
      <c r="C297" s="8">
        <f t="shared" si="5"/>
        <v>1.5973630831643E-3</v>
      </c>
    </row>
    <row r="298" spans="1:3" x14ac:dyDescent="0.25">
      <c r="A298" s="60" t="s">
        <v>491</v>
      </c>
      <c r="B298" s="61">
        <v>11.34</v>
      </c>
      <c r="C298" s="8">
        <f t="shared" si="5"/>
        <v>1.5973630831643E-3</v>
      </c>
    </row>
    <row r="299" spans="1:3" x14ac:dyDescent="0.25">
      <c r="A299" s="60" t="s">
        <v>492</v>
      </c>
      <c r="B299" s="61">
        <v>11.34</v>
      </c>
      <c r="C299" s="8">
        <f t="shared" si="5"/>
        <v>1.5973630831643E-3</v>
      </c>
    </row>
    <row r="300" spans="1:3" x14ac:dyDescent="0.25">
      <c r="A300" s="60" t="s">
        <v>493</v>
      </c>
      <c r="B300" s="61">
        <v>11.34</v>
      </c>
      <c r="C300" s="8">
        <f t="shared" si="5"/>
        <v>1.5973630831643E-3</v>
      </c>
    </row>
    <row r="301" spans="1:3" x14ac:dyDescent="0.25">
      <c r="A301" s="60" t="s">
        <v>494</v>
      </c>
      <c r="B301" s="61">
        <v>11.34</v>
      </c>
      <c r="C301" s="8">
        <f t="shared" si="5"/>
        <v>1.5973630831643E-3</v>
      </c>
    </row>
    <row r="302" spans="1:3" x14ac:dyDescent="0.25">
      <c r="A302" s="60" t="s">
        <v>495</v>
      </c>
      <c r="B302" s="61">
        <v>11.34</v>
      </c>
      <c r="C302" s="8">
        <f t="shared" si="5"/>
        <v>1.5973630831643E-3</v>
      </c>
    </row>
    <row r="303" spans="1:3" x14ac:dyDescent="0.25">
      <c r="A303" s="60" t="s">
        <v>496</v>
      </c>
      <c r="B303" s="61">
        <v>11.34</v>
      </c>
      <c r="C303" s="8">
        <f t="shared" si="5"/>
        <v>1.5973630831643E-3</v>
      </c>
    </row>
    <row r="304" spans="1:3" x14ac:dyDescent="0.25">
      <c r="A304" s="60" t="s">
        <v>497</v>
      </c>
      <c r="B304" s="61">
        <v>11.34</v>
      </c>
      <c r="C304" s="8">
        <f t="shared" si="5"/>
        <v>1.5973630831643E-3</v>
      </c>
    </row>
    <row r="305" spans="1:3" x14ac:dyDescent="0.25">
      <c r="A305" s="60" t="s">
        <v>498</v>
      </c>
      <c r="B305" s="61">
        <v>11.34</v>
      </c>
      <c r="C305" s="8">
        <f t="shared" si="5"/>
        <v>1.5973630831643E-3</v>
      </c>
    </row>
    <row r="306" spans="1:3" x14ac:dyDescent="0.25">
      <c r="A306" s="60" t="s">
        <v>499</v>
      </c>
      <c r="B306" s="61">
        <v>11.16</v>
      </c>
      <c r="C306" s="8">
        <f t="shared" si="5"/>
        <v>1.5720081135902635E-3</v>
      </c>
    </row>
    <row r="307" spans="1:3" x14ac:dyDescent="0.25">
      <c r="A307" s="60" t="s">
        <v>500</v>
      </c>
      <c r="B307" s="61">
        <v>11.16</v>
      </c>
      <c r="C307" s="8">
        <f t="shared" si="5"/>
        <v>1.5720081135902635E-3</v>
      </c>
    </row>
    <row r="308" spans="1:3" x14ac:dyDescent="0.25">
      <c r="A308" s="60" t="s">
        <v>501</v>
      </c>
      <c r="B308" s="61">
        <v>11.16</v>
      </c>
      <c r="C308" s="8">
        <f t="shared" si="5"/>
        <v>1.5720081135902635E-3</v>
      </c>
    </row>
    <row r="309" spans="1:3" x14ac:dyDescent="0.25">
      <c r="A309" s="60" t="s">
        <v>502</v>
      </c>
      <c r="B309" s="61">
        <v>11.16</v>
      </c>
      <c r="C309" s="8">
        <f t="shared" si="5"/>
        <v>1.5720081135902635E-3</v>
      </c>
    </row>
    <row r="310" spans="1:3" x14ac:dyDescent="0.25">
      <c r="A310" s="60" t="s">
        <v>503</v>
      </c>
      <c r="B310" s="61">
        <v>11.16</v>
      </c>
      <c r="C310" s="8">
        <f t="shared" si="5"/>
        <v>1.5720081135902635E-3</v>
      </c>
    </row>
    <row r="311" spans="1:3" x14ac:dyDescent="0.25">
      <c r="A311" s="60" t="s">
        <v>504</v>
      </c>
      <c r="B311" s="61">
        <v>11.16</v>
      </c>
      <c r="C311" s="8">
        <f t="shared" si="5"/>
        <v>1.5720081135902635E-3</v>
      </c>
    </row>
    <row r="312" spans="1:3" x14ac:dyDescent="0.25">
      <c r="A312" s="60" t="s">
        <v>505</v>
      </c>
      <c r="B312" s="61">
        <v>11.16</v>
      </c>
      <c r="C312" s="8">
        <f t="shared" si="5"/>
        <v>1.5720081135902635E-3</v>
      </c>
    </row>
    <row r="313" spans="1:3" x14ac:dyDescent="0.25">
      <c r="A313" s="60" t="s">
        <v>506</v>
      </c>
      <c r="B313" s="61">
        <v>11.16</v>
      </c>
      <c r="C313" s="8">
        <f t="shared" si="5"/>
        <v>1.5720081135902635E-3</v>
      </c>
    </row>
    <row r="314" spans="1:3" x14ac:dyDescent="0.25">
      <c r="A314" s="60" t="s">
        <v>507</v>
      </c>
      <c r="B314" s="61">
        <v>11.16</v>
      </c>
      <c r="C314" s="8">
        <f t="shared" si="5"/>
        <v>1.5720081135902635E-3</v>
      </c>
    </row>
    <row r="315" spans="1:3" x14ac:dyDescent="0.25">
      <c r="A315" s="60" t="s">
        <v>508</v>
      </c>
      <c r="B315" s="61">
        <v>11.16</v>
      </c>
      <c r="C315" s="8">
        <f t="shared" si="5"/>
        <v>1.5720081135902635E-3</v>
      </c>
    </row>
    <row r="316" spans="1:3" x14ac:dyDescent="0.25">
      <c r="A316" s="60" t="s">
        <v>509</v>
      </c>
      <c r="B316" s="61">
        <v>11.16</v>
      </c>
      <c r="C316" s="8">
        <f t="shared" si="5"/>
        <v>1.5720081135902635E-3</v>
      </c>
    </row>
    <row r="317" spans="1:3" x14ac:dyDescent="0.25">
      <c r="A317" s="60" t="s">
        <v>510</v>
      </c>
      <c r="B317" s="61">
        <v>11.16</v>
      </c>
      <c r="C317" s="8">
        <f t="shared" si="5"/>
        <v>1.5720081135902635E-3</v>
      </c>
    </row>
    <row r="318" spans="1:3" x14ac:dyDescent="0.25">
      <c r="A318" s="60" t="s">
        <v>511</v>
      </c>
      <c r="B318" s="61">
        <v>11.16</v>
      </c>
      <c r="C318" s="8">
        <f t="shared" si="5"/>
        <v>1.5720081135902635E-3</v>
      </c>
    </row>
    <row r="319" spans="1:3" x14ac:dyDescent="0.25">
      <c r="A319" s="60" t="s">
        <v>512</v>
      </c>
      <c r="B319" s="61">
        <v>11.16</v>
      </c>
      <c r="C319" s="8">
        <f t="shared" si="5"/>
        <v>1.5720081135902635E-3</v>
      </c>
    </row>
    <row r="320" spans="1:3" x14ac:dyDescent="0.25">
      <c r="A320" s="60" t="s">
        <v>513</v>
      </c>
      <c r="B320" s="61">
        <v>11.16</v>
      </c>
      <c r="C320" s="8">
        <f t="shared" si="5"/>
        <v>1.5720081135902635E-3</v>
      </c>
    </row>
    <row r="321" spans="1:3" x14ac:dyDescent="0.25">
      <c r="A321" s="60" t="s">
        <v>514</v>
      </c>
      <c r="B321" s="61">
        <v>11.16</v>
      </c>
      <c r="C321" s="8">
        <f t="shared" si="5"/>
        <v>1.5720081135902635E-3</v>
      </c>
    </row>
    <row r="322" spans="1:3" x14ac:dyDescent="0.25">
      <c r="A322" s="60" t="s">
        <v>515</v>
      </c>
      <c r="B322" s="61">
        <v>11.16</v>
      </c>
      <c r="C322" s="8">
        <f t="shared" si="5"/>
        <v>1.5720081135902635E-3</v>
      </c>
    </row>
    <row r="323" spans="1:3" x14ac:dyDescent="0.25">
      <c r="A323" s="60" t="s">
        <v>516</v>
      </c>
      <c r="B323" s="61">
        <v>11.16</v>
      </c>
      <c r="C323" s="8">
        <f t="shared" si="5"/>
        <v>1.5720081135902635E-3</v>
      </c>
    </row>
    <row r="324" spans="1:3" x14ac:dyDescent="0.25">
      <c r="A324" s="60" t="s">
        <v>517</v>
      </c>
      <c r="B324" s="61">
        <v>11.16</v>
      </c>
      <c r="C324" s="8">
        <f t="shared" si="5"/>
        <v>1.5720081135902635E-3</v>
      </c>
    </row>
    <row r="325" spans="1:3" x14ac:dyDescent="0.25">
      <c r="A325" s="60" t="s">
        <v>518</v>
      </c>
      <c r="B325" s="61">
        <v>11.16</v>
      </c>
      <c r="C325" s="8">
        <f t="shared" si="5"/>
        <v>1.5720081135902635E-3</v>
      </c>
    </row>
    <row r="326" spans="1:3" x14ac:dyDescent="0.25">
      <c r="A326" s="60" t="s">
        <v>519</v>
      </c>
      <c r="B326" s="61">
        <v>11.16</v>
      </c>
      <c r="C326" s="8">
        <f t="shared" si="5"/>
        <v>1.5720081135902635E-3</v>
      </c>
    </row>
    <row r="327" spans="1:3" x14ac:dyDescent="0.25">
      <c r="A327" s="60" t="s">
        <v>520</v>
      </c>
      <c r="B327" s="61">
        <v>11.16</v>
      </c>
      <c r="C327" s="8">
        <f t="shared" si="5"/>
        <v>1.5720081135902635E-3</v>
      </c>
    </row>
    <row r="328" spans="1:3" x14ac:dyDescent="0.25">
      <c r="A328" s="60" t="s">
        <v>521</v>
      </c>
      <c r="B328" s="61">
        <v>11.16</v>
      </c>
      <c r="C328" s="8">
        <f t="shared" si="5"/>
        <v>1.5720081135902635E-3</v>
      </c>
    </row>
    <row r="329" spans="1:3" x14ac:dyDescent="0.25">
      <c r="A329" s="60" t="s">
        <v>522</v>
      </c>
      <c r="B329" s="61">
        <v>11.16</v>
      </c>
      <c r="C329" s="8">
        <f t="shared" si="5"/>
        <v>1.5720081135902635E-3</v>
      </c>
    </row>
    <row r="330" spans="1:3" x14ac:dyDescent="0.25">
      <c r="A330" s="60" t="s">
        <v>523</v>
      </c>
      <c r="B330" s="61">
        <v>11.16</v>
      </c>
      <c r="C330" s="8">
        <f t="shared" si="5"/>
        <v>1.5720081135902635E-3</v>
      </c>
    </row>
    <row r="331" spans="1:3" x14ac:dyDescent="0.25">
      <c r="A331" s="60" t="s">
        <v>524</v>
      </c>
      <c r="B331" s="61">
        <v>11.16</v>
      </c>
      <c r="C331" s="8">
        <f t="shared" si="5"/>
        <v>1.5720081135902635E-3</v>
      </c>
    </row>
    <row r="332" spans="1:3" x14ac:dyDescent="0.25">
      <c r="A332" s="60" t="s">
        <v>525</v>
      </c>
      <c r="B332" s="61">
        <v>11.16</v>
      </c>
      <c r="C332" s="8">
        <f t="shared" si="5"/>
        <v>1.5720081135902635E-3</v>
      </c>
    </row>
    <row r="333" spans="1:3" x14ac:dyDescent="0.25">
      <c r="A333" s="60" t="s">
        <v>526</v>
      </c>
      <c r="B333" s="61">
        <v>11.16</v>
      </c>
      <c r="C333" s="8">
        <f t="shared" si="5"/>
        <v>1.5720081135902635E-3</v>
      </c>
    </row>
    <row r="334" spans="1:3" x14ac:dyDescent="0.25">
      <c r="A334" s="60" t="s">
        <v>527</v>
      </c>
      <c r="B334" s="61">
        <v>11.16</v>
      </c>
      <c r="C334" s="8">
        <f t="shared" si="5"/>
        <v>1.5720081135902635E-3</v>
      </c>
    </row>
    <row r="335" spans="1:3" x14ac:dyDescent="0.25">
      <c r="A335" s="60" t="s">
        <v>528</v>
      </c>
      <c r="B335" s="61">
        <v>11.16</v>
      </c>
      <c r="C335" s="8">
        <f t="shared" si="5"/>
        <v>1.5720081135902635E-3</v>
      </c>
    </row>
    <row r="336" spans="1:3" x14ac:dyDescent="0.25">
      <c r="A336" s="60" t="s">
        <v>529</v>
      </c>
      <c r="B336" s="61">
        <v>11.34</v>
      </c>
      <c r="C336" s="8">
        <f t="shared" si="5"/>
        <v>1.5973630831643E-3</v>
      </c>
    </row>
    <row r="337" spans="1:3" x14ac:dyDescent="0.25">
      <c r="A337" s="60" t="s">
        <v>530</v>
      </c>
      <c r="B337" s="61">
        <v>11.34</v>
      </c>
      <c r="C337" s="8">
        <f t="shared" si="5"/>
        <v>1.5973630831643E-3</v>
      </c>
    </row>
    <row r="338" spans="1:3" x14ac:dyDescent="0.25">
      <c r="A338" s="60" t="s">
        <v>531</v>
      </c>
      <c r="B338" s="61">
        <v>11.34</v>
      </c>
      <c r="C338" s="8">
        <f t="shared" si="5"/>
        <v>1.5973630831643E-3</v>
      </c>
    </row>
    <row r="339" spans="1:3" x14ac:dyDescent="0.25">
      <c r="A339" s="60" t="s">
        <v>532</v>
      </c>
      <c r="B339" s="61">
        <v>11.34</v>
      </c>
      <c r="C339" s="8">
        <f t="shared" si="5"/>
        <v>1.5973630831643E-3</v>
      </c>
    </row>
    <row r="340" spans="1:3" x14ac:dyDescent="0.25">
      <c r="A340" s="60" t="s">
        <v>533</v>
      </c>
      <c r="B340" s="61">
        <v>11.34</v>
      </c>
      <c r="C340" s="8">
        <f t="shared" si="5"/>
        <v>1.5973630831643E-3</v>
      </c>
    </row>
    <row r="341" spans="1:3" x14ac:dyDescent="0.25">
      <c r="A341" s="60" t="s">
        <v>534</v>
      </c>
      <c r="B341" s="61">
        <v>11.34</v>
      </c>
      <c r="C341" s="8">
        <f t="shared" si="5"/>
        <v>1.5973630831643E-3</v>
      </c>
    </row>
    <row r="342" spans="1:3" x14ac:dyDescent="0.25">
      <c r="A342" s="60" t="s">
        <v>535</v>
      </c>
      <c r="B342" s="61">
        <v>11.34</v>
      </c>
      <c r="C342" s="8">
        <f t="shared" si="5"/>
        <v>1.5973630831643E-3</v>
      </c>
    </row>
    <row r="343" spans="1:3" x14ac:dyDescent="0.25">
      <c r="A343" s="60" t="s">
        <v>536</v>
      </c>
      <c r="B343" s="61">
        <v>11.34</v>
      </c>
      <c r="C343" s="8">
        <f t="shared" si="5"/>
        <v>1.5973630831643E-3</v>
      </c>
    </row>
    <row r="344" spans="1:3" x14ac:dyDescent="0.25">
      <c r="A344" s="60" t="s">
        <v>537</v>
      </c>
      <c r="B344" s="61">
        <v>11.34</v>
      </c>
      <c r="C344" s="8">
        <f t="shared" si="5"/>
        <v>1.5973630831643E-3</v>
      </c>
    </row>
    <row r="345" spans="1:3" x14ac:dyDescent="0.25">
      <c r="A345" s="60" t="s">
        <v>538</v>
      </c>
      <c r="B345" s="61">
        <v>11.34</v>
      </c>
      <c r="C345" s="8">
        <f t="shared" si="5"/>
        <v>1.5973630831643E-3</v>
      </c>
    </row>
    <row r="346" spans="1:3" x14ac:dyDescent="0.25">
      <c r="A346" s="60" t="s">
        <v>539</v>
      </c>
      <c r="B346" s="61">
        <v>11.34</v>
      </c>
      <c r="C346" s="8">
        <f t="shared" si="5"/>
        <v>1.5973630831643E-3</v>
      </c>
    </row>
    <row r="347" spans="1:3" x14ac:dyDescent="0.25">
      <c r="A347" s="60" t="s">
        <v>540</v>
      </c>
      <c r="B347" s="61">
        <v>11.34</v>
      </c>
      <c r="C347" s="8">
        <f t="shared" ref="C347:C410" si="6">B347/$B$89</f>
        <v>1.5973630831643E-3</v>
      </c>
    </row>
    <row r="348" spans="1:3" x14ac:dyDescent="0.25">
      <c r="A348" s="60" t="s">
        <v>541</v>
      </c>
      <c r="B348" s="61">
        <v>11.34</v>
      </c>
      <c r="C348" s="8">
        <f t="shared" si="6"/>
        <v>1.5973630831643E-3</v>
      </c>
    </row>
    <row r="349" spans="1:3" x14ac:dyDescent="0.25">
      <c r="A349" s="60" t="s">
        <v>542</v>
      </c>
      <c r="B349" s="61">
        <v>11.34</v>
      </c>
      <c r="C349" s="8">
        <f t="shared" si="6"/>
        <v>1.5973630831643E-3</v>
      </c>
    </row>
    <row r="350" spans="1:3" x14ac:dyDescent="0.25">
      <c r="A350" s="60" t="s">
        <v>543</v>
      </c>
      <c r="B350" s="61">
        <v>11.34</v>
      </c>
      <c r="C350" s="8">
        <f t="shared" si="6"/>
        <v>1.5973630831643E-3</v>
      </c>
    </row>
    <row r="351" spans="1:3" x14ac:dyDescent="0.25">
      <c r="A351" s="60" t="s">
        <v>544</v>
      </c>
      <c r="B351" s="61">
        <v>11.34</v>
      </c>
      <c r="C351" s="8">
        <f t="shared" si="6"/>
        <v>1.5973630831643E-3</v>
      </c>
    </row>
    <row r="352" spans="1:3" x14ac:dyDescent="0.25">
      <c r="A352" s="60" t="s">
        <v>545</v>
      </c>
      <c r="B352" s="61">
        <v>11.34</v>
      </c>
      <c r="C352" s="8">
        <f t="shared" si="6"/>
        <v>1.5973630831643E-3</v>
      </c>
    </row>
    <row r="353" spans="1:3" x14ac:dyDescent="0.25">
      <c r="A353" s="60" t="s">
        <v>546</v>
      </c>
      <c r="B353" s="61">
        <v>11.34</v>
      </c>
      <c r="C353" s="8">
        <f t="shared" si="6"/>
        <v>1.5973630831643E-3</v>
      </c>
    </row>
    <row r="354" spans="1:3" x14ac:dyDescent="0.25">
      <c r="A354" s="60" t="s">
        <v>547</v>
      </c>
      <c r="B354" s="61">
        <v>11.34</v>
      </c>
      <c r="C354" s="8">
        <f t="shared" si="6"/>
        <v>1.5973630831643E-3</v>
      </c>
    </row>
    <row r="355" spans="1:3" x14ac:dyDescent="0.25">
      <c r="A355" s="60" t="s">
        <v>548</v>
      </c>
      <c r="B355" s="61">
        <v>11.34</v>
      </c>
      <c r="C355" s="8">
        <f t="shared" si="6"/>
        <v>1.5973630831643E-3</v>
      </c>
    </row>
    <row r="356" spans="1:3" x14ac:dyDescent="0.25">
      <c r="A356" s="60" t="s">
        <v>549</v>
      </c>
      <c r="B356" s="61">
        <v>11.16</v>
      </c>
      <c r="C356" s="8">
        <f t="shared" si="6"/>
        <v>1.5720081135902635E-3</v>
      </c>
    </row>
    <row r="357" spans="1:3" x14ac:dyDescent="0.25">
      <c r="A357" s="60" t="s">
        <v>550</v>
      </c>
      <c r="B357" s="61">
        <v>11.16</v>
      </c>
      <c r="C357" s="8">
        <f t="shared" si="6"/>
        <v>1.5720081135902635E-3</v>
      </c>
    </row>
    <row r="358" spans="1:3" x14ac:dyDescent="0.25">
      <c r="A358" s="60" t="s">
        <v>551</v>
      </c>
      <c r="B358" s="61">
        <v>11.16</v>
      </c>
      <c r="C358" s="8">
        <f t="shared" si="6"/>
        <v>1.5720081135902635E-3</v>
      </c>
    </row>
    <row r="359" spans="1:3" x14ac:dyDescent="0.25">
      <c r="A359" s="60" t="s">
        <v>552</v>
      </c>
      <c r="B359" s="61">
        <v>11.16</v>
      </c>
      <c r="C359" s="8">
        <f t="shared" si="6"/>
        <v>1.5720081135902635E-3</v>
      </c>
    </row>
    <row r="360" spans="1:3" x14ac:dyDescent="0.25">
      <c r="A360" s="60" t="s">
        <v>553</v>
      </c>
      <c r="B360" s="61">
        <v>11.16</v>
      </c>
      <c r="C360" s="8">
        <f t="shared" si="6"/>
        <v>1.5720081135902635E-3</v>
      </c>
    </row>
    <row r="361" spans="1:3" x14ac:dyDescent="0.25">
      <c r="A361" s="60" t="s">
        <v>554</v>
      </c>
      <c r="B361" s="61">
        <v>11.16</v>
      </c>
      <c r="C361" s="8">
        <f t="shared" si="6"/>
        <v>1.5720081135902635E-3</v>
      </c>
    </row>
    <row r="362" spans="1:3" x14ac:dyDescent="0.25">
      <c r="A362" s="60" t="s">
        <v>555</v>
      </c>
      <c r="B362" s="61">
        <v>11.16</v>
      </c>
      <c r="C362" s="8">
        <f t="shared" si="6"/>
        <v>1.5720081135902635E-3</v>
      </c>
    </row>
    <row r="363" spans="1:3" x14ac:dyDescent="0.25">
      <c r="A363" s="60" t="s">
        <v>556</v>
      </c>
      <c r="B363" s="61">
        <v>11.16</v>
      </c>
      <c r="C363" s="8">
        <f t="shared" si="6"/>
        <v>1.5720081135902635E-3</v>
      </c>
    </row>
    <row r="364" spans="1:3" x14ac:dyDescent="0.25">
      <c r="A364" s="60" t="s">
        <v>557</v>
      </c>
      <c r="B364" s="61">
        <v>11.16</v>
      </c>
      <c r="C364" s="8">
        <f t="shared" si="6"/>
        <v>1.5720081135902635E-3</v>
      </c>
    </row>
    <row r="365" spans="1:3" x14ac:dyDescent="0.25">
      <c r="A365" s="60" t="s">
        <v>558</v>
      </c>
      <c r="B365" s="61">
        <v>11.16</v>
      </c>
      <c r="C365" s="8">
        <f t="shared" si="6"/>
        <v>1.5720081135902635E-3</v>
      </c>
    </row>
    <row r="366" spans="1:3" x14ac:dyDescent="0.25">
      <c r="A366" s="60" t="s">
        <v>559</v>
      </c>
      <c r="B366" s="61">
        <v>11.34</v>
      </c>
      <c r="C366" s="8">
        <f t="shared" si="6"/>
        <v>1.5973630831643E-3</v>
      </c>
    </row>
    <row r="367" spans="1:3" x14ac:dyDescent="0.25">
      <c r="A367" s="60" t="s">
        <v>560</v>
      </c>
      <c r="B367" s="61">
        <v>11.34</v>
      </c>
      <c r="C367" s="8">
        <f t="shared" si="6"/>
        <v>1.5973630831643E-3</v>
      </c>
    </row>
    <row r="368" spans="1:3" x14ac:dyDescent="0.25">
      <c r="A368" s="60" t="s">
        <v>561</v>
      </c>
      <c r="B368" s="61">
        <v>11.34</v>
      </c>
      <c r="C368" s="8">
        <f t="shared" si="6"/>
        <v>1.5973630831643E-3</v>
      </c>
    </row>
    <row r="369" spans="1:3" x14ac:dyDescent="0.25">
      <c r="A369" s="60" t="s">
        <v>562</v>
      </c>
      <c r="B369" s="61">
        <v>11.34</v>
      </c>
      <c r="C369" s="8">
        <f t="shared" si="6"/>
        <v>1.5973630831643E-3</v>
      </c>
    </row>
    <row r="370" spans="1:3" x14ac:dyDescent="0.25">
      <c r="A370" s="60" t="s">
        <v>563</v>
      </c>
      <c r="B370" s="61">
        <v>11.34</v>
      </c>
      <c r="C370" s="8">
        <f t="shared" si="6"/>
        <v>1.5973630831643E-3</v>
      </c>
    </row>
    <row r="371" spans="1:3" x14ac:dyDescent="0.25">
      <c r="A371" s="60" t="s">
        <v>564</v>
      </c>
      <c r="B371" s="61">
        <v>11.34</v>
      </c>
      <c r="C371" s="8">
        <f t="shared" si="6"/>
        <v>1.5973630831643E-3</v>
      </c>
    </row>
    <row r="372" spans="1:3" x14ac:dyDescent="0.25">
      <c r="A372" s="60" t="s">
        <v>565</v>
      </c>
      <c r="B372" s="61">
        <v>11.34</v>
      </c>
      <c r="C372" s="8">
        <f t="shared" si="6"/>
        <v>1.5973630831643E-3</v>
      </c>
    </row>
    <row r="373" spans="1:3" x14ac:dyDescent="0.25">
      <c r="A373" s="60" t="s">
        <v>566</v>
      </c>
      <c r="B373" s="61">
        <v>11.34</v>
      </c>
      <c r="C373" s="8">
        <f t="shared" si="6"/>
        <v>1.5973630831643E-3</v>
      </c>
    </row>
    <row r="374" spans="1:3" x14ac:dyDescent="0.25">
      <c r="A374" s="60" t="s">
        <v>567</v>
      </c>
      <c r="B374" s="61">
        <v>11.34</v>
      </c>
      <c r="C374" s="8">
        <f t="shared" si="6"/>
        <v>1.5973630831643E-3</v>
      </c>
    </row>
    <row r="375" spans="1:3" x14ac:dyDescent="0.25">
      <c r="A375" s="60" t="s">
        <v>568</v>
      </c>
      <c r="B375" s="61">
        <v>11.34</v>
      </c>
      <c r="C375" s="8">
        <f t="shared" si="6"/>
        <v>1.5973630831643E-3</v>
      </c>
    </row>
    <row r="376" spans="1:3" x14ac:dyDescent="0.25">
      <c r="A376" s="60" t="s">
        <v>569</v>
      </c>
      <c r="B376" s="61">
        <v>11.16</v>
      </c>
      <c r="C376" s="8">
        <f t="shared" si="6"/>
        <v>1.5720081135902635E-3</v>
      </c>
    </row>
    <row r="377" spans="1:3" x14ac:dyDescent="0.25">
      <c r="A377" s="60" t="s">
        <v>570</v>
      </c>
      <c r="B377" s="61">
        <v>11.16</v>
      </c>
      <c r="C377" s="8">
        <f t="shared" si="6"/>
        <v>1.5720081135902635E-3</v>
      </c>
    </row>
    <row r="378" spans="1:3" x14ac:dyDescent="0.25">
      <c r="A378" s="60" t="s">
        <v>571</v>
      </c>
      <c r="B378" s="61">
        <v>11.16</v>
      </c>
      <c r="C378" s="8">
        <f t="shared" si="6"/>
        <v>1.5720081135902635E-3</v>
      </c>
    </row>
    <row r="379" spans="1:3" x14ac:dyDescent="0.25">
      <c r="A379" s="60" t="s">
        <v>572</v>
      </c>
      <c r="B379" s="61">
        <v>11.16</v>
      </c>
      <c r="C379" s="8">
        <f t="shared" si="6"/>
        <v>1.5720081135902635E-3</v>
      </c>
    </row>
    <row r="380" spans="1:3" x14ac:dyDescent="0.25">
      <c r="A380" s="60" t="s">
        <v>573</v>
      </c>
      <c r="B380" s="61">
        <v>11.16</v>
      </c>
      <c r="C380" s="8">
        <f t="shared" si="6"/>
        <v>1.5720081135902635E-3</v>
      </c>
    </row>
    <row r="381" spans="1:3" x14ac:dyDescent="0.25">
      <c r="A381" s="60" t="s">
        <v>574</v>
      </c>
      <c r="B381" s="61">
        <v>11.16</v>
      </c>
      <c r="C381" s="8">
        <f t="shared" si="6"/>
        <v>1.5720081135902635E-3</v>
      </c>
    </row>
    <row r="382" spans="1:3" x14ac:dyDescent="0.25">
      <c r="A382" s="60" t="s">
        <v>575</v>
      </c>
      <c r="B382" s="61">
        <v>11.16</v>
      </c>
      <c r="C382" s="8">
        <f t="shared" si="6"/>
        <v>1.5720081135902635E-3</v>
      </c>
    </row>
    <row r="383" spans="1:3" x14ac:dyDescent="0.25">
      <c r="A383" s="60" t="s">
        <v>576</v>
      </c>
      <c r="B383" s="61">
        <v>11.16</v>
      </c>
      <c r="C383" s="8">
        <f t="shared" si="6"/>
        <v>1.5720081135902635E-3</v>
      </c>
    </row>
    <row r="384" spans="1:3" x14ac:dyDescent="0.25">
      <c r="A384" s="60" t="s">
        <v>577</v>
      </c>
      <c r="B384" s="61">
        <v>11.16</v>
      </c>
      <c r="C384" s="8">
        <f t="shared" si="6"/>
        <v>1.5720081135902635E-3</v>
      </c>
    </row>
    <row r="385" spans="1:3" x14ac:dyDescent="0.25">
      <c r="A385" s="60" t="s">
        <v>578</v>
      </c>
      <c r="B385" s="61">
        <v>11.16</v>
      </c>
      <c r="C385" s="8">
        <f t="shared" si="6"/>
        <v>1.5720081135902635E-3</v>
      </c>
    </row>
    <row r="386" spans="1:3" x14ac:dyDescent="0.25">
      <c r="A386" s="60" t="s">
        <v>579</v>
      </c>
      <c r="B386" s="61">
        <v>11.34</v>
      </c>
      <c r="C386" s="8">
        <f t="shared" si="6"/>
        <v>1.5973630831643E-3</v>
      </c>
    </row>
    <row r="387" spans="1:3" x14ac:dyDescent="0.25">
      <c r="A387" s="60" t="s">
        <v>580</v>
      </c>
      <c r="B387" s="61">
        <v>11.34</v>
      </c>
      <c r="C387" s="8">
        <f t="shared" si="6"/>
        <v>1.5973630831643E-3</v>
      </c>
    </row>
    <row r="388" spans="1:3" x14ac:dyDescent="0.25">
      <c r="A388" s="60" t="s">
        <v>581</v>
      </c>
      <c r="B388" s="61">
        <v>11.34</v>
      </c>
      <c r="C388" s="8">
        <f t="shared" si="6"/>
        <v>1.5973630831643E-3</v>
      </c>
    </row>
    <row r="389" spans="1:3" x14ac:dyDescent="0.25">
      <c r="A389" s="60" t="s">
        <v>582</v>
      </c>
      <c r="B389" s="61">
        <v>11.34</v>
      </c>
      <c r="C389" s="8">
        <f t="shared" si="6"/>
        <v>1.5973630831643E-3</v>
      </c>
    </row>
    <row r="390" spans="1:3" x14ac:dyDescent="0.25">
      <c r="A390" s="60" t="s">
        <v>583</v>
      </c>
      <c r="B390" s="61">
        <v>11.34</v>
      </c>
      <c r="C390" s="8">
        <f t="shared" si="6"/>
        <v>1.5973630831643E-3</v>
      </c>
    </row>
    <row r="391" spans="1:3" x14ac:dyDescent="0.25">
      <c r="A391" s="60" t="s">
        <v>584</v>
      </c>
      <c r="B391" s="61">
        <v>11.34</v>
      </c>
      <c r="C391" s="8">
        <f t="shared" si="6"/>
        <v>1.5973630831643E-3</v>
      </c>
    </row>
    <row r="392" spans="1:3" x14ac:dyDescent="0.25">
      <c r="A392" s="60" t="s">
        <v>585</v>
      </c>
      <c r="B392" s="61">
        <v>11.34</v>
      </c>
      <c r="C392" s="8">
        <f t="shared" si="6"/>
        <v>1.5973630831643E-3</v>
      </c>
    </row>
    <row r="393" spans="1:3" x14ac:dyDescent="0.25">
      <c r="A393" s="60" t="s">
        <v>586</v>
      </c>
      <c r="B393" s="61">
        <v>11.34</v>
      </c>
      <c r="C393" s="8">
        <f t="shared" si="6"/>
        <v>1.5973630831643E-3</v>
      </c>
    </row>
    <row r="394" spans="1:3" x14ac:dyDescent="0.25">
      <c r="A394" s="60" t="s">
        <v>587</v>
      </c>
      <c r="B394" s="61">
        <v>11.34</v>
      </c>
      <c r="C394" s="8">
        <f t="shared" si="6"/>
        <v>1.5973630831643E-3</v>
      </c>
    </row>
    <row r="395" spans="1:3" x14ac:dyDescent="0.25">
      <c r="A395" s="60" t="s">
        <v>588</v>
      </c>
      <c r="B395" s="61">
        <v>11.34</v>
      </c>
      <c r="C395" s="8">
        <f t="shared" si="6"/>
        <v>1.5973630831643E-3</v>
      </c>
    </row>
    <row r="396" spans="1:3" x14ac:dyDescent="0.25">
      <c r="A396" s="60" t="s">
        <v>589</v>
      </c>
      <c r="B396" s="61">
        <v>11.16</v>
      </c>
      <c r="C396" s="8">
        <f t="shared" si="6"/>
        <v>1.5720081135902635E-3</v>
      </c>
    </row>
    <row r="397" spans="1:3" x14ac:dyDescent="0.25">
      <c r="A397" s="60" t="s">
        <v>590</v>
      </c>
      <c r="B397" s="61">
        <v>11.16</v>
      </c>
      <c r="C397" s="8">
        <f t="shared" si="6"/>
        <v>1.5720081135902635E-3</v>
      </c>
    </row>
    <row r="398" spans="1:3" x14ac:dyDescent="0.25">
      <c r="A398" s="60" t="s">
        <v>591</v>
      </c>
      <c r="B398" s="61">
        <v>11.16</v>
      </c>
      <c r="C398" s="8">
        <f t="shared" si="6"/>
        <v>1.5720081135902635E-3</v>
      </c>
    </row>
    <row r="399" spans="1:3" x14ac:dyDescent="0.25">
      <c r="A399" s="60" t="s">
        <v>592</v>
      </c>
      <c r="B399" s="61">
        <v>11.16</v>
      </c>
      <c r="C399" s="8">
        <f t="shared" si="6"/>
        <v>1.5720081135902635E-3</v>
      </c>
    </row>
    <row r="400" spans="1:3" x14ac:dyDescent="0.25">
      <c r="A400" s="60" t="s">
        <v>593</v>
      </c>
      <c r="B400" s="61">
        <v>11.16</v>
      </c>
      <c r="C400" s="8">
        <f t="shared" si="6"/>
        <v>1.5720081135902635E-3</v>
      </c>
    </row>
    <row r="401" spans="1:3" x14ac:dyDescent="0.25">
      <c r="A401" s="60" t="s">
        <v>594</v>
      </c>
      <c r="B401" s="61">
        <v>11.16</v>
      </c>
      <c r="C401" s="8">
        <f t="shared" si="6"/>
        <v>1.5720081135902635E-3</v>
      </c>
    </row>
    <row r="402" spans="1:3" x14ac:dyDescent="0.25">
      <c r="A402" s="60" t="s">
        <v>595</v>
      </c>
      <c r="B402" s="61">
        <v>11.16</v>
      </c>
      <c r="C402" s="8">
        <f t="shared" si="6"/>
        <v>1.5720081135902635E-3</v>
      </c>
    </row>
    <row r="403" spans="1:3" x14ac:dyDescent="0.25">
      <c r="A403" s="60" t="s">
        <v>596</v>
      </c>
      <c r="B403" s="61">
        <v>11.16</v>
      </c>
      <c r="C403" s="8">
        <f t="shared" si="6"/>
        <v>1.5720081135902635E-3</v>
      </c>
    </row>
    <row r="404" spans="1:3" x14ac:dyDescent="0.25">
      <c r="A404" s="60" t="s">
        <v>597</v>
      </c>
      <c r="B404" s="61">
        <v>11.16</v>
      </c>
      <c r="C404" s="8">
        <f t="shared" si="6"/>
        <v>1.5720081135902635E-3</v>
      </c>
    </row>
    <row r="405" spans="1:3" x14ac:dyDescent="0.25">
      <c r="A405" s="60" t="s">
        <v>598</v>
      </c>
      <c r="B405" s="61">
        <v>11.16</v>
      </c>
      <c r="C405" s="8">
        <f t="shared" si="6"/>
        <v>1.5720081135902635E-3</v>
      </c>
    </row>
    <row r="406" spans="1:3" x14ac:dyDescent="0.25">
      <c r="A406" s="60" t="s">
        <v>599</v>
      </c>
      <c r="B406" s="61">
        <v>11.34</v>
      </c>
      <c r="C406" s="8">
        <f t="shared" si="6"/>
        <v>1.5973630831643E-3</v>
      </c>
    </row>
    <row r="407" spans="1:3" x14ac:dyDescent="0.25">
      <c r="A407" s="60" t="s">
        <v>600</v>
      </c>
      <c r="B407" s="61">
        <v>11.34</v>
      </c>
      <c r="C407" s="8">
        <f t="shared" si="6"/>
        <v>1.5973630831643E-3</v>
      </c>
    </row>
    <row r="408" spans="1:3" x14ac:dyDescent="0.25">
      <c r="A408" s="60" t="s">
        <v>601</v>
      </c>
      <c r="B408" s="61">
        <v>11.34</v>
      </c>
      <c r="C408" s="8">
        <f t="shared" si="6"/>
        <v>1.5973630831643E-3</v>
      </c>
    </row>
    <row r="409" spans="1:3" x14ac:dyDescent="0.25">
      <c r="A409" s="60" t="s">
        <v>602</v>
      </c>
      <c r="B409" s="61">
        <v>11.34</v>
      </c>
      <c r="C409" s="8">
        <f t="shared" si="6"/>
        <v>1.5973630831643E-3</v>
      </c>
    </row>
    <row r="410" spans="1:3" x14ac:dyDescent="0.25">
      <c r="A410" s="60" t="s">
        <v>603</v>
      </c>
      <c r="B410" s="61">
        <v>11.34</v>
      </c>
      <c r="C410" s="8">
        <f t="shared" si="6"/>
        <v>1.5973630831643E-3</v>
      </c>
    </row>
    <row r="411" spans="1:3" x14ac:dyDescent="0.25">
      <c r="A411" s="60" t="s">
        <v>604</v>
      </c>
      <c r="B411" s="61">
        <v>11.34</v>
      </c>
      <c r="C411" s="8">
        <f t="shared" ref="C411:C474" si="7">B411/$B$89</f>
        <v>1.5973630831643E-3</v>
      </c>
    </row>
    <row r="412" spans="1:3" x14ac:dyDescent="0.25">
      <c r="A412" s="60" t="s">
        <v>605</v>
      </c>
      <c r="B412" s="61">
        <v>11.34</v>
      </c>
      <c r="C412" s="8">
        <f t="shared" si="7"/>
        <v>1.5973630831643E-3</v>
      </c>
    </row>
    <row r="413" spans="1:3" x14ac:dyDescent="0.25">
      <c r="A413" s="60" t="s">
        <v>606</v>
      </c>
      <c r="B413" s="61">
        <v>11.34</v>
      </c>
      <c r="C413" s="8">
        <f t="shared" si="7"/>
        <v>1.5973630831643E-3</v>
      </c>
    </row>
    <row r="414" spans="1:3" x14ac:dyDescent="0.25">
      <c r="A414" s="60" t="s">
        <v>607</v>
      </c>
      <c r="B414" s="61">
        <v>11.34</v>
      </c>
      <c r="C414" s="8">
        <f t="shared" si="7"/>
        <v>1.5973630831643E-3</v>
      </c>
    </row>
    <row r="415" spans="1:3" x14ac:dyDescent="0.25">
      <c r="A415" s="60" t="s">
        <v>608</v>
      </c>
      <c r="B415" s="61">
        <v>11.34</v>
      </c>
      <c r="C415" s="8">
        <f t="shared" si="7"/>
        <v>1.5973630831643E-3</v>
      </c>
    </row>
    <row r="416" spans="1:3" x14ac:dyDescent="0.25">
      <c r="A416" s="60" t="s">
        <v>609</v>
      </c>
      <c r="B416" s="61">
        <v>11.34</v>
      </c>
      <c r="C416" s="8">
        <f t="shared" si="7"/>
        <v>1.5973630831643E-3</v>
      </c>
    </row>
    <row r="417" spans="1:3" x14ac:dyDescent="0.25">
      <c r="A417" s="60" t="s">
        <v>610</v>
      </c>
      <c r="B417" s="61">
        <v>11.34</v>
      </c>
      <c r="C417" s="8">
        <f t="shared" si="7"/>
        <v>1.5973630831643E-3</v>
      </c>
    </row>
    <row r="418" spans="1:3" x14ac:dyDescent="0.25">
      <c r="A418" s="60" t="s">
        <v>611</v>
      </c>
      <c r="B418" s="61">
        <v>11.34</v>
      </c>
      <c r="C418" s="8">
        <f t="shared" si="7"/>
        <v>1.5973630831643E-3</v>
      </c>
    </row>
    <row r="419" spans="1:3" x14ac:dyDescent="0.25">
      <c r="A419" s="60" t="s">
        <v>612</v>
      </c>
      <c r="B419" s="61">
        <v>11.34</v>
      </c>
      <c r="C419" s="8">
        <f t="shared" si="7"/>
        <v>1.5973630831643E-3</v>
      </c>
    </row>
    <row r="420" spans="1:3" x14ac:dyDescent="0.25">
      <c r="A420" s="60" t="s">
        <v>613</v>
      </c>
      <c r="B420" s="61">
        <v>11.34</v>
      </c>
      <c r="C420" s="8">
        <f t="shared" si="7"/>
        <v>1.5973630831643E-3</v>
      </c>
    </row>
    <row r="421" spans="1:3" x14ac:dyDescent="0.25">
      <c r="A421" s="60" t="s">
        <v>614</v>
      </c>
      <c r="B421" s="61">
        <v>11.34</v>
      </c>
      <c r="C421" s="8">
        <f t="shared" si="7"/>
        <v>1.5973630831643E-3</v>
      </c>
    </row>
    <row r="422" spans="1:3" x14ac:dyDescent="0.25">
      <c r="A422" s="60" t="s">
        <v>615</v>
      </c>
      <c r="B422" s="61">
        <v>11.34</v>
      </c>
      <c r="C422" s="8">
        <f t="shared" si="7"/>
        <v>1.5973630831643E-3</v>
      </c>
    </row>
    <row r="423" spans="1:3" x14ac:dyDescent="0.25">
      <c r="A423" s="60" t="s">
        <v>616</v>
      </c>
      <c r="B423" s="61">
        <v>11.34</v>
      </c>
      <c r="C423" s="8">
        <f t="shared" si="7"/>
        <v>1.5973630831643E-3</v>
      </c>
    </row>
    <row r="424" spans="1:3" x14ac:dyDescent="0.25">
      <c r="A424" s="60" t="s">
        <v>617</v>
      </c>
      <c r="B424" s="61">
        <v>11.34</v>
      </c>
      <c r="C424" s="8">
        <f t="shared" si="7"/>
        <v>1.5973630831643E-3</v>
      </c>
    </row>
    <row r="425" spans="1:3" x14ac:dyDescent="0.25">
      <c r="A425" s="60" t="s">
        <v>618</v>
      </c>
      <c r="B425" s="61">
        <v>11.16</v>
      </c>
      <c r="C425" s="8">
        <f t="shared" si="7"/>
        <v>1.5720081135902635E-3</v>
      </c>
    </row>
    <row r="426" spans="1:3" x14ac:dyDescent="0.25">
      <c r="A426" s="60" t="s">
        <v>619</v>
      </c>
      <c r="B426" s="61">
        <v>11.16</v>
      </c>
      <c r="C426" s="8">
        <f t="shared" si="7"/>
        <v>1.5720081135902635E-3</v>
      </c>
    </row>
    <row r="427" spans="1:3" x14ac:dyDescent="0.25">
      <c r="A427" s="60" t="s">
        <v>620</v>
      </c>
      <c r="B427" s="61">
        <v>11.16</v>
      </c>
      <c r="C427" s="8">
        <f t="shared" si="7"/>
        <v>1.5720081135902635E-3</v>
      </c>
    </row>
    <row r="428" spans="1:3" x14ac:dyDescent="0.25">
      <c r="A428" s="60" t="s">
        <v>621</v>
      </c>
      <c r="B428" s="61">
        <v>11.16</v>
      </c>
      <c r="C428" s="8">
        <f t="shared" si="7"/>
        <v>1.5720081135902635E-3</v>
      </c>
    </row>
    <row r="429" spans="1:3" x14ac:dyDescent="0.25">
      <c r="A429" s="60" t="s">
        <v>622</v>
      </c>
      <c r="B429" s="61">
        <v>11.16</v>
      </c>
      <c r="C429" s="8">
        <f t="shared" si="7"/>
        <v>1.5720081135902635E-3</v>
      </c>
    </row>
    <row r="430" spans="1:3" x14ac:dyDescent="0.25">
      <c r="A430" s="60" t="s">
        <v>623</v>
      </c>
      <c r="B430" s="61">
        <v>11.16</v>
      </c>
      <c r="C430" s="8">
        <f t="shared" si="7"/>
        <v>1.5720081135902635E-3</v>
      </c>
    </row>
    <row r="431" spans="1:3" x14ac:dyDescent="0.25">
      <c r="A431" s="60" t="s">
        <v>624</v>
      </c>
      <c r="B431" s="61">
        <v>11.16</v>
      </c>
      <c r="C431" s="8">
        <f t="shared" si="7"/>
        <v>1.5720081135902635E-3</v>
      </c>
    </row>
    <row r="432" spans="1:3" x14ac:dyDescent="0.25">
      <c r="A432" s="60" t="s">
        <v>625</v>
      </c>
      <c r="B432" s="61">
        <v>11.16</v>
      </c>
      <c r="C432" s="8">
        <f t="shared" si="7"/>
        <v>1.5720081135902635E-3</v>
      </c>
    </row>
    <row r="433" spans="1:3" x14ac:dyDescent="0.25">
      <c r="A433" s="60" t="s">
        <v>626</v>
      </c>
      <c r="B433" s="61">
        <v>11.16</v>
      </c>
      <c r="C433" s="8">
        <f t="shared" si="7"/>
        <v>1.5720081135902635E-3</v>
      </c>
    </row>
    <row r="434" spans="1:3" x14ac:dyDescent="0.25">
      <c r="A434" s="60" t="s">
        <v>627</v>
      </c>
      <c r="B434" s="61">
        <v>11.16</v>
      </c>
      <c r="C434" s="8">
        <f t="shared" si="7"/>
        <v>1.5720081135902635E-3</v>
      </c>
    </row>
    <row r="435" spans="1:3" x14ac:dyDescent="0.25">
      <c r="A435" s="60" t="s">
        <v>628</v>
      </c>
      <c r="B435" s="61">
        <v>11.16</v>
      </c>
      <c r="C435" s="8">
        <f t="shared" si="7"/>
        <v>1.5720081135902635E-3</v>
      </c>
    </row>
    <row r="436" spans="1:3" x14ac:dyDescent="0.25">
      <c r="A436" s="60" t="s">
        <v>629</v>
      </c>
      <c r="B436" s="61">
        <v>11.16</v>
      </c>
      <c r="C436" s="8">
        <f t="shared" si="7"/>
        <v>1.5720081135902635E-3</v>
      </c>
    </row>
    <row r="437" spans="1:3" x14ac:dyDescent="0.25">
      <c r="A437" s="60" t="s">
        <v>630</v>
      </c>
      <c r="B437" s="61">
        <v>11.16</v>
      </c>
      <c r="C437" s="8">
        <f t="shared" si="7"/>
        <v>1.5720081135902635E-3</v>
      </c>
    </row>
    <row r="438" spans="1:3" x14ac:dyDescent="0.25">
      <c r="A438" s="60" t="s">
        <v>631</v>
      </c>
      <c r="B438" s="61">
        <v>11.16</v>
      </c>
      <c r="C438" s="8">
        <f t="shared" si="7"/>
        <v>1.5720081135902635E-3</v>
      </c>
    </row>
    <row r="439" spans="1:3" x14ac:dyDescent="0.25">
      <c r="A439" s="60" t="s">
        <v>632</v>
      </c>
      <c r="B439" s="61">
        <v>11.16</v>
      </c>
      <c r="C439" s="8">
        <f t="shared" si="7"/>
        <v>1.5720081135902635E-3</v>
      </c>
    </row>
    <row r="440" spans="1:3" x14ac:dyDescent="0.25">
      <c r="A440" s="60" t="s">
        <v>633</v>
      </c>
      <c r="B440" s="61">
        <v>11.16</v>
      </c>
      <c r="C440" s="8">
        <f t="shared" si="7"/>
        <v>1.5720081135902635E-3</v>
      </c>
    </row>
    <row r="441" spans="1:3" x14ac:dyDescent="0.25">
      <c r="A441" s="60" t="s">
        <v>634</v>
      </c>
      <c r="B441" s="61">
        <v>11.16</v>
      </c>
      <c r="C441" s="8">
        <f t="shared" si="7"/>
        <v>1.5720081135902635E-3</v>
      </c>
    </row>
    <row r="442" spans="1:3" x14ac:dyDescent="0.25">
      <c r="A442" s="60" t="s">
        <v>635</v>
      </c>
      <c r="B442" s="61">
        <v>11.16</v>
      </c>
      <c r="C442" s="8">
        <f t="shared" si="7"/>
        <v>1.5720081135902635E-3</v>
      </c>
    </row>
    <row r="443" spans="1:3" x14ac:dyDescent="0.25">
      <c r="A443" s="60" t="s">
        <v>636</v>
      </c>
      <c r="B443" s="61">
        <v>11.16</v>
      </c>
      <c r="C443" s="8">
        <f t="shared" si="7"/>
        <v>1.5720081135902635E-3</v>
      </c>
    </row>
    <row r="444" spans="1:3" x14ac:dyDescent="0.25">
      <c r="A444" s="60" t="s">
        <v>637</v>
      </c>
      <c r="B444" s="61">
        <v>11.16</v>
      </c>
      <c r="C444" s="8">
        <f t="shared" si="7"/>
        <v>1.5720081135902635E-3</v>
      </c>
    </row>
    <row r="445" spans="1:3" x14ac:dyDescent="0.25">
      <c r="A445" s="60" t="s">
        <v>638</v>
      </c>
      <c r="B445" s="61">
        <v>11.16</v>
      </c>
      <c r="C445" s="8">
        <f t="shared" si="7"/>
        <v>1.5720081135902635E-3</v>
      </c>
    </row>
    <row r="446" spans="1:3" x14ac:dyDescent="0.25">
      <c r="A446" s="60" t="s">
        <v>639</v>
      </c>
      <c r="B446" s="61">
        <v>11.16</v>
      </c>
      <c r="C446" s="8">
        <f t="shared" si="7"/>
        <v>1.5720081135902635E-3</v>
      </c>
    </row>
    <row r="447" spans="1:3" x14ac:dyDescent="0.25">
      <c r="A447" s="60" t="s">
        <v>640</v>
      </c>
      <c r="B447" s="61">
        <v>11.16</v>
      </c>
      <c r="C447" s="8">
        <f t="shared" si="7"/>
        <v>1.5720081135902635E-3</v>
      </c>
    </row>
    <row r="448" spans="1:3" x14ac:dyDescent="0.25">
      <c r="A448" s="60" t="s">
        <v>641</v>
      </c>
      <c r="B448" s="61">
        <v>11.16</v>
      </c>
      <c r="C448" s="8">
        <f t="shared" si="7"/>
        <v>1.5720081135902635E-3</v>
      </c>
    </row>
    <row r="449" spans="1:3" x14ac:dyDescent="0.25">
      <c r="A449" s="60" t="s">
        <v>642</v>
      </c>
      <c r="B449" s="61">
        <v>11.16</v>
      </c>
      <c r="C449" s="8">
        <f t="shared" si="7"/>
        <v>1.5720081135902635E-3</v>
      </c>
    </row>
    <row r="450" spans="1:3" x14ac:dyDescent="0.25">
      <c r="A450" s="60" t="s">
        <v>643</v>
      </c>
      <c r="B450" s="61">
        <v>11.16</v>
      </c>
      <c r="C450" s="8">
        <f t="shared" si="7"/>
        <v>1.5720081135902635E-3</v>
      </c>
    </row>
    <row r="451" spans="1:3" x14ac:dyDescent="0.25">
      <c r="A451" s="60" t="s">
        <v>644</v>
      </c>
      <c r="B451" s="61">
        <v>11.16</v>
      </c>
      <c r="C451" s="8">
        <f t="shared" si="7"/>
        <v>1.5720081135902635E-3</v>
      </c>
    </row>
    <row r="452" spans="1:3" x14ac:dyDescent="0.25">
      <c r="A452" s="60" t="s">
        <v>645</v>
      </c>
      <c r="B452" s="61">
        <v>11.16</v>
      </c>
      <c r="C452" s="8">
        <f t="shared" si="7"/>
        <v>1.5720081135902635E-3</v>
      </c>
    </row>
    <row r="453" spans="1:3" x14ac:dyDescent="0.25">
      <c r="A453" s="60" t="s">
        <v>646</v>
      </c>
      <c r="B453" s="61">
        <v>11.16</v>
      </c>
      <c r="C453" s="8">
        <f t="shared" si="7"/>
        <v>1.5720081135902635E-3</v>
      </c>
    </row>
    <row r="454" spans="1:3" x14ac:dyDescent="0.25">
      <c r="A454" s="60" t="s">
        <v>647</v>
      </c>
      <c r="B454" s="61">
        <v>11.16</v>
      </c>
      <c r="C454" s="8">
        <f t="shared" si="7"/>
        <v>1.5720081135902635E-3</v>
      </c>
    </row>
    <row r="455" spans="1:3" x14ac:dyDescent="0.25">
      <c r="A455" s="60" t="s">
        <v>648</v>
      </c>
      <c r="B455" s="61">
        <v>11.34</v>
      </c>
      <c r="C455" s="8">
        <f t="shared" si="7"/>
        <v>1.5973630831643E-3</v>
      </c>
    </row>
    <row r="456" spans="1:3" x14ac:dyDescent="0.25">
      <c r="A456" s="60" t="s">
        <v>649</v>
      </c>
      <c r="B456" s="61">
        <v>11.34</v>
      </c>
      <c r="C456" s="8">
        <f t="shared" si="7"/>
        <v>1.5973630831643E-3</v>
      </c>
    </row>
    <row r="457" spans="1:3" x14ac:dyDescent="0.25">
      <c r="A457" s="60" t="s">
        <v>650</v>
      </c>
      <c r="B457" s="61">
        <v>11.34</v>
      </c>
      <c r="C457" s="8">
        <f t="shared" si="7"/>
        <v>1.5973630831643E-3</v>
      </c>
    </row>
    <row r="458" spans="1:3" x14ac:dyDescent="0.25">
      <c r="A458" s="60" t="s">
        <v>651</v>
      </c>
      <c r="B458" s="61">
        <v>11.34</v>
      </c>
      <c r="C458" s="8">
        <f t="shared" si="7"/>
        <v>1.5973630831643E-3</v>
      </c>
    </row>
    <row r="459" spans="1:3" x14ac:dyDescent="0.25">
      <c r="A459" s="60" t="s">
        <v>652</v>
      </c>
      <c r="B459" s="61">
        <v>11.34</v>
      </c>
      <c r="C459" s="8">
        <f t="shared" si="7"/>
        <v>1.5973630831643E-3</v>
      </c>
    </row>
    <row r="460" spans="1:3" x14ac:dyDescent="0.25">
      <c r="A460" s="60" t="s">
        <v>653</v>
      </c>
      <c r="B460" s="61">
        <v>11.34</v>
      </c>
      <c r="C460" s="8">
        <f t="shared" si="7"/>
        <v>1.5973630831643E-3</v>
      </c>
    </row>
    <row r="461" spans="1:3" x14ac:dyDescent="0.25">
      <c r="A461" s="60" t="s">
        <v>654</v>
      </c>
      <c r="B461" s="61">
        <v>11.34</v>
      </c>
      <c r="C461" s="8">
        <f t="shared" si="7"/>
        <v>1.5973630831643E-3</v>
      </c>
    </row>
    <row r="462" spans="1:3" x14ac:dyDescent="0.25">
      <c r="A462" s="60" t="s">
        <v>655</v>
      </c>
      <c r="B462" s="61">
        <v>11.34</v>
      </c>
      <c r="C462" s="8">
        <f t="shared" si="7"/>
        <v>1.5973630831643E-3</v>
      </c>
    </row>
    <row r="463" spans="1:3" x14ac:dyDescent="0.25">
      <c r="A463" s="60" t="s">
        <v>656</v>
      </c>
      <c r="B463" s="61">
        <v>11.34</v>
      </c>
      <c r="C463" s="8">
        <f t="shared" si="7"/>
        <v>1.5973630831643E-3</v>
      </c>
    </row>
    <row r="464" spans="1:3" x14ac:dyDescent="0.25">
      <c r="A464" s="60" t="s">
        <v>657</v>
      </c>
      <c r="B464" s="61">
        <v>11.34</v>
      </c>
      <c r="C464" s="8">
        <f t="shared" si="7"/>
        <v>1.5973630831643E-3</v>
      </c>
    </row>
    <row r="465" spans="1:3" x14ac:dyDescent="0.25">
      <c r="A465" s="60" t="s">
        <v>658</v>
      </c>
      <c r="B465" s="61">
        <v>11.34</v>
      </c>
      <c r="C465" s="8">
        <f t="shared" si="7"/>
        <v>1.5973630831643E-3</v>
      </c>
    </row>
    <row r="466" spans="1:3" x14ac:dyDescent="0.25">
      <c r="A466" s="60" t="s">
        <v>659</v>
      </c>
      <c r="B466" s="61">
        <v>11.34</v>
      </c>
      <c r="C466" s="8">
        <f t="shared" si="7"/>
        <v>1.5973630831643E-3</v>
      </c>
    </row>
    <row r="467" spans="1:3" x14ac:dyDescent="0.25">
      <c r="A467" s="60" t="s">
        <v>660</v>
      </c>
      <c r="B467" s="61">
        <v>11.34</v>
      </c>
      <c r="C467" s="8">
        <f t="shared" si="7"/>
        <v>1.5973630831643E-3</v>
      </c>
    </row>
    <row r="468" spans="1:3" x14ac:dyDescent="0.25">
      <c r="A468" s="60" t="s">
        <v>661</v>
      </c>
      <c r="B468" s="61">
        <v>11.34</v>
      </c>
      <c r="C468" s="8">
        <f t="shared" si="7"/>
        <v>1.5973630831643E-3</v>
      </c>
    </row>
    <row r="469" spans="1:3" x14ac:dyDescent="0.25">
      <c r="A469" s="60" t="s">
        <v>662</v>
      </c>
      <c r="B469" s="61">
        <v>11.34</v>
      </c>
      <c r="C469" s="8">
        <f t="shared" si="7"/>
        <v>1.5973630831643E-3</v>
      </c>
    </row>
    <row r="470" spans="1:3" x14ac:dyDescent="0.25">
      <c r="A470" s="60" t="s">
        <v>663</v>
      </c>
      <c r="B470" s="61">
        <v>11.34</v>
      </c>
      <c r="C470" s="8">
        <f t="shared" si="7"/>
        <v>1.5973630831643E-3</v>
      </c>
    </row>
    <row r="471" spans="1:3" x14ac:dyDescent="0.25">
      <c r="A471" s="60" t="s">
        <v>664</v>
      </c>
      <c r="B471" s="61">
        <v>11.34</v>
      </c>
      <c r="C471" s="8">
        <f t="shared" si="7"/>
        <v>1.5973630831643E-3</v>
      </c>
    </row>
    <row r="472" spans="1:3" x14ac:dyDescent="0.25">
      <c r="A472" s="60" t="s">
        <v>665</v>
      </c>
      <c r="B472" s="61">
        <v>11.34</v>
      </c>
      <c r="C472" s="8">
        <f t="shared" si="7"/>
        <v>1.5973630831643E-3</v>
      </c>
    </row>
    <row r="473" spans="1:3" x14ac:dyDescent="0.25">
      <c r="A473" s="60" t="s">
        <v>666</v>
      </c>
      <c r="B473" s="61">
        <v>11.34</v>
      </c>
      <c r="C473" s="8">
        <f t="shared" si="7"/>
        <v>1.5973630831643E-3</v>
      </c>
    </row>
    <row r="474" spans="1:3" x14ac:dyDescent="0.25">
      <c r="A474" s="60" t="s">
        <v>667</v>
      </c>
      <c r="B474" s="61">
        <v>11.34</v>
      </c>
      <c r="C474" s="8">
        <f t="shared" si="7"/>
        <v>1.5973630831643E-3</v>
      </c>
    </row>
    <row r="475" spans="1:3" x14ac:dyDescent="0.25">
      <c r="A475" s="60" t="s">
        <v>668</v>
      </c>
      <c r="B475" s="61">
        <v>11.16</v>
      </c>
      <c r="C475" s="8">
        <f t="shared" ref="C475:C538" si="8">B475/$B$89</f>
        <v>1.5720081135902635E-3</v>
      </c>
    </row>
    <row r="476" spans="1:3" x14ac:dyDescent="0.25">
      <c r="A476" s="60" t="s">
        <v>669</v>
      </c>
      <c r="B476" s="61">
        <v>11.16</v>
      </c>
      <c r="C476" s="8">
        <f t="shared" si="8"/>
        <v>1.5720081135902635E-3</v>
      </c>
    </row>
    <row r="477" spans="1:3" x14ac:dyDescent="0.25">
      <c r="A477" s="60" t="s">
        <v>670</v>
      </c>
      <c r="B477" s="61">
        <v>11.16</v>
      </c>
      <c r="C477" s="8">
        <f t="shared" si="8"/>
        <v>1.5720081135902635E-3</v>
      </c>
    </row>
    <row r="478" spans="1:3" x14ac:dyDescent="0.25">
      <c r="A478" s="60" t="s">
        <v>671</v>
      </c>
      <c r="B478" s="61">
        <v>11.16</v>
      </c>
      <c r="C478" s="8">
        <f t="shared" si="8"/>
        <v>1.5720081135902635E-3</v>
      </c>
    </row>
    <row r="479" spans="1:3" x14ac:dyDescent="0.25">
      <c r="A479" s="60" t="s">
        <v>672</v>
      </c>
      <c r="B479" s="61">
        <v>11.16</v>
      </c>
      <c r="C479" s="8">
        <f t="shared" si="8"/>
        <v>1.5720081135902635E-3</v>
      </c>
    </row>
    <row r="480" spans="1:3" x14ac:dyDescent="0.25">
      <c r="A480" s="60" t="s">
        <v>673</v>
      </c>
      <c r="B480" s="61">
        <v>11.16</v>
      </c>
      <c r="C480" s="8">
        <f t="shared" si="8"/>
        <v>1.5720081135902635E-3</v>
      </c>
    </row>
    <row r="481" spans="1:3" x14ac:dyDescent="0.25">
      <c r="A481" s="60" t="s">
        <v>674</v>
      </c>
      <c r="B481" s="61">
        <v>11.16</v>
      </c>
      <c r="C481" s="8">
        <f t="shared" si="8"/>
        <v>1.5720081135902635E-3</v>
      </c>
    </row>
    <row r="482" spans="1:3" x14ac:dyDescent="0.25">
      <c r="A482" s="60" t="s">
        <v>675</v>
      </c>
      <c r="B482" s="61">
        <v>11.16</v>
      </c>
      <c r="C482" s="8">
        <f t="shared" si="8"/>
        <v>1.5720081135902635E-3</v>
      </c>
    </row>
    <row r="483" spans="1:3" x14ac:dyDescent="0.25">
      <c r="A483" s="60" t="s">
        <v>676</v>
      </c>
      <c r="B483" s="61">
        <v>11.16</v>
      </c>
      <c r="C483" s="8">
        <f t="shared" si="8"/>
        <v>1.5720081135902635E-3</v>
      </c>
    </row>
    <row r="484" spans="1:3" x14ac:dyDescent="0.25">
      <c r="A484" s="60" t="s">
        <v>677</v>
      </c>
      <c r="B484" s="61">
        <v>11.16</v>
      </c>
      <c r="C484" s="8">
        <f t="shared" si="8"/>
        <v>1.5720081135902635E-3</v>
      </c>
    </row>
    <row r="485" spans="1:3" x14ac:dyDescent="0.25">
      <c r="A485" s="60" t="s">
        <v>678</v>
      </c>
      <c r="B485" s="61">
        <v>11.16</v>
      </c>
      <c r="C485" s="8">
        <f t="shared" si="8"/>
        <v>1.5720081135902635E-3</v>
      </c>
    </row>
    <row r="486" spans="1:3" x14ac:dyDescent="0.25">
      <c r="A486" s="60" t="s">
        <v>679</v>
      </c>
      <c r="B486" s="61">
        <v>11.16</v>
      </c>
      <c r="C486" s="8">
        <f t="shared" si="8"/>
        <v>1.5720081135902635E-3</v>
      </c>
    </row>
    <row r="487" spans="1:3" x14ac:dyDescent="0.25">
      <c r="A487" s="60" t="s">
        <v>680</v>
      </c>
      <c r="B487" s="61">
        <v>11.16</v>
      </c>
      <c r="C487" s="8">
        <f t="shared" si="8"/>
        <v>1.5720081135902635E-3</v>
      </c>
    </row>
    <row r="488" spans="1:3" x14ac:dyDescent="0.25">
      <c r="A488" s="60" t="s">
        <v>681</v>
      </c>
      <c r="B488" s="61">
        <v>11.16</v>
      </c>
      <c r="C488" s="8">
        <f t="shared" si="8"/>
        <v>1.5720081135902635E-3</v>
      </c>
    </row>
    <row r="489" spans="1:3" x14ac:dyDescent="0.25">
      <c r="A489" s="60" t="s">
        <v>682</v>
      </c>
      <c r="B489" s="61">
        <v>11.16</v>
      </c>
      <c r="C489" s="8">
        <f t="shared" si="8"/>
        <v>1.5720081135902635E-3</v>
      </c>
    </row>
    <row r="490" spans="1:3" x14ac:dyDescent="0.25">
      <c r="A490" s="60" t="s">
        <v>683</v>
      </c>
      <c r="B490" s="61">
        <v>11.16</v>
      </c>
      <c r="C490" s="8">
        <f t="shared" si="8"/>
        <v>1.5720081135902635E-3</v>
      </c>
    </row>
    <row r="491" spans="1:3" x14ac:dyDescent="0.25">
      <c r="A491" s="60" t="s">
        <v>684</v>
      </c>
      <c r="B491" s="61">
        <v>11.16</v>
      </c>
      <c r="C491" s="8">
        <f t="shared" si="8"/>
        <v>1.5720081135902635E-3</v>
      </c>
    </row>
    <row r="492" spans="1:3" x14ac:dyDescent="0.25">
      <c r="A492" s="60" t="s">
        <v>685</v>
      </c>
      <c r="B492" s="61">
        <v>11.16</v>
      </c>
      <c r="C492" s="8">
        <f t="shared" si="8"/>
        <v>1.5720081135902635E-3</v>
      </c>
    </row>
    <row r="493" spans="1:3" x14ac:dyDescent="0.25">
      <c r="A493" s="60" t="s">
        <v>686</v>
      </c>
      <c r="B493" s="61">
        <v>11.16</v>
      </c>
      <c r="C493" s="8">
        <f t="shared" si="8"/>
        <v>1.5720081135902635E-3</v>
      </c>
    </row>
    <row r="494" spans="1:3" x14ac:dyDescent="0.25">
      <c r="A494" s="60" t="s">
        <v>687</v>
      </c>
      <c r="B494" s="61">
        <v>11.16</v>
      </c>
      <c r="C494" s="8">
        <f t="shared" si="8"/>
        <v>1.5720081135902635E-3</v>
      </c>
    </row>
    <row r="495" spans="1:3" x14ac:dyDescent="0.25">
      <c r="A495" s="60" t="s">
        <v>688</v>
      </c>
      <c r="B495" s="61">
        <v>11.34</v>
      </c>
      <c r="C495" s="8">
        <f t="shared" si="8"/>
        <v>1.5973630831643E-3</v>
      </c>
    </row>
    <row r="496" spans="1:3" x14ac:dyDescent="0.25">
      <c r="A496" s="60" t="s">
        <v>689</v>
      </c>
      <c r="B496" s="61">
        <v>11.34</v>
      </c>
      <c r="C496" s="8">
        <f t="shared" si="8"/>
        <v>1.5973630831643E-3</v>
      </c>
    </row>
    <row r="497" spans="1:3" x14ac:dyDescent="0.25">
      <c r="A497" s="60" t="s">
        <v>690</v>
      </c>
      <c r="B497" s="61">
        <v>11.34</v>
      </c>
      <c r="C497" s="8">
        <f t="shared" si="8"/>
        <v>1.5973630831643E-3</v>
      </c>
    </row>
    <row r="498" spans="1:3" x14ac:dyDescent="0.25">
      <c r="A498" s="60" t="s">
        <v>691</v>
      </c>
      <c r="B498" s="61">
        <v>11.34</v>
      </c>
      <c r="C498" s="8">
        <f t="shared" si="8"/>
        <v>1.5973630831643E-3</v>
      </c>
    </row>
    <row r="499" spans="1:3" x14ac:dyDescent="0.25">
      <c r="A499" s="60" t="s">
        <v>692</v>
      </c>
      <c r="B499" s="61">
        <v>11.34</v>
      </c>
      <c r="C499" s="8">
        <f t="shared" si="8"/>
        <v>1.5973630831643E-3</v>
      </c>
    </row>
    <row r="500" spans="1:3" x14ac:dyDescent="0.25">
      <c r="A500" s="60" t="s">
        <v>693</v>
      </c>
      <c r="B500" s="61">
        <v>11.34</v>
      </c>
      <c r="C500" s="8">
        <f t="shared" si="8"/>
        <v>1.5973630831643E-3</v>
      </c>
    </row>
    <row r="501" spans="1:3" x14ac:dyDescent="0.25">
      <c r="A501" s="60" t="s">
        <v>694</v>
      </c>
      <c r="B501" s="61">
        <v>11.34</v>
      </c>
      <c r="C501" s="8">
        <f t="shared" si="8"/>
        <v>1.5973630831643E-3</v>
      </c>
    </row>
    <row r="502" spans="1:3" x14ac:dyDescent="0.25">
      <c r="A502" s="60" t="s">
        <v>695</v>
      </c>
      <c r="B502" s="61">
        <v>11.34</v>
      </c>
      <c r="C502" s="8">
        <f t="shared" si="8"/>
        <v>1.5973630831643E-3</v>
      </c>
    </row>
    <row r="503" spans="1:3" x14ac:dyDescent="0.25">
      <c r="A503" s="60" t="s">
        <v>696</v>
      </c>
      <c r="B503" s="61">
        <v>11.34</v>
      </c>
      <c r="C503" s="8">
        <f t="shared" si="8"/>
        <v>1.5973630831643E-3</v>
      </c>
    </row>
    <row r="504" spans="1:3" x14ac:dyDescent="0.25">
      <c r="A504" s="60" t="s">
        <v>697</v>
      </c>
      <c r="B504" s="61">
        <v>11.34</v>
      </c>
      <c r="C504" s="8">
        <f t="shared" si="8"/>
        <v>1.5973630831643E-3</v>
      </c>
    </row>
    <row r="505" spans="1:3" x14ac:dyDescent="0.25">
      <c r="A505" s="60" t="s">
        <v>698</v>
      </c>
      <c r="B505" s="61">
        <v>11.34</v>
      </c>
      <c r="C505" s="8">
        <f t="shared" si="8"/>
        <v>1.5973630831643E-3</v>
      </c>
    </row>
    <row r="506" spans="1:3" x14ac:dyDescent="0.25">
      <c r="A506" s="60" t="s">
        <v>699</v>
      </c>
      <c r="B506" s="61">
        <v>11.34</v>
      </c>
      <c r="C506" s="8">
        <f t="shared" si="8"/>
        <v>1.5973630831643E-3</v>
      </c>
    </row>
    <row r="507" spans="1:3" x14ac:dyDescent="0.25">
      <c r="A507" s="60" t="s">
        <v>700</v>
      </c>
      <c r="B507" s="61">
        <v>11.34</v>
      </c>
      <c r="C507" s="8">
        <f t="shared" si="8"/>
        <v>1.5973630831643E-3</v>
      </c>
    </row>
    <row r="508" spans="1:3" x14ac:dyDescent="0.25">
      <c r="A508" s="60" t="s">
        <v>701</v>
      </c>
      <c r="B508" s="61">
        <v>11.34</v>
      </c>
      <c r="C508" s="8">
        <f t="shared" si="8"/>
        <v>1.5973630831643E-3</v>
      </c>
    </row>
    <row r="509" spans="1:3" x14ac:dyDescent="0.25">
      <c r="A509" s="60" t="s">
        <v>702</v>
      </c>
      <c r="B509" s="61">
        <v>11.34</v>
      </c>
      <c r="C509" s="8">
        <f t="shared" si="8"/>
        <v>1.5973630831643E-3</v>
      </c>
    </row>
    <row r="510" spans="1:3" x14ac:dyDescent="0.25">
      <c r="A510" s="60" t="s">
        <v>703</v>
      </c>
      <c r="B510" s="61">
        <v>11.34</v>
      </c>
      <c r="C510" s="8">
        <f t="shared" si="8"/>
        <v>1.5973630831643E-3</v>
      </c>
    </row>
    <row r="511" spans="1:3" x14ac:dyDescent="0.25">
      <c r="A511" s="60" t="s">
        <v>704</v>
      </c>
      <c r="B511" s="61">
        <v>11.34</v>
      </c>
      <c r="C511" s="8">
        <f t="shared" si="8"/>
        <v>1.5973630831643E-3</v>
      </c>
    </row>
    <row r="512" spans="1:3" x14ac:dyDescent="0.25">
      <c r="A512" s="60" t="s">
        <v>705</v>
      </c>
      <c r="B512" s="61">
        <v>11.34</v>
      </c>
      <c r="C512" s="8">
        <f t="shared" si="8"/>
        <v>1.5973630831643E-3</v>
      </c>
    </row>
    <row r="513" spans="1:3" x14ac:dyDescent="0.25">
      <c r="A513" s="60" t="s">
        <v>706</v>
      </c>
      <c r="B513" s="61">
        <v>11.34</v>
      </c>
      <c r="C513" s="8">
        <f t="shared" si="8"/>
        <v>1.5973630831643E-3</v>
      </c>
    </row>
    <row r="514" spans="1:3" x14ac:dyDescent="0.25">
      <c r="A514" s="60" t="s">
        <v>707</v>
      </c>
      <c r="B514" s="61">
        <v>11.34</v>
      </c>
      <c r="C514" s="8">
        <f t="shared" si="8"/>
        <v>1.5973630831643E-3</v>
      </c>
    </row>
    <row r="515" spans="1:3" x14ac:dyDescent="0.25">
      <c r="A515" s="60" t="s">
        <v>708</v>
      </c>
      <c r="B515" s="61">
        <v>11.34</v>
      </c>
      <c r="C515" s="8">
        <f t="shared" si="8"/>
        <v>1.5973630831643E-3</v>
      </c>
    </row>
    <row r="516" spans="1:3" x14ac:dyDescent="0.25">
      <c r="A516" s="60" t="s">
        <v>709</v>
      </c>
      <c r="B516" s="61">
        <v>11.34</v>
      </c>
      <c r="C516" s="8">
        <f t="shared" si="8"/>
        <v>1.5973630831643E-3</v>
      </c>
    </row>
    <row r="517" spans="1:3" x14ac:dyDescent="0.25">
      <c r="A517" s="60" t="s">
        <v>710</v>
      </c>
      <c r="B517" s="61">
        <v>11.34</v>
      </c>
      <c r="C517" s="8">
        <f t="shared" si="8"/>
        <v>1.5973630831643E-3</v>
      </c>
    </row>
    <row r="518" spans="1:3" x14ac:dyDescent="0.25">
      <c r="A518" s="60" t="s">
        <v>711</v>
      </c>
      <c r="B518" s="61">
        <v>11.34</v>
      </c>
      <c r="C518" s="8">
        <f t="shared" si="8"/>
        <v>1.5973630831643E-3</v>
      </c>
    </row>
    <row r="519" spans="1:3" x14ac:dyDescent="0.25">
      <c r="A519" s="60" t="s">
        <v>712</v>
      </c>
      <c r="B519" s="61">
        <v>11.34</v>
      </c>
      <c r="C519" s="8">
        <f t="shared" si="8"/>
        <v>1.5973630831643E-3</v>
      </c>
    </row>
    <row r="520" spans="1:3" x14ac:dyDescent="0.25">
      <c r="A520" s="60" t="s">
        <v>713</v>
      </c>
      <c r="B520" s="61">
        <v>11.34</v>
      </c>
      <c r="C520" s="8">
        <f t="shared" si="8"/>
        <v>1.5973630831643E-3</v>
      </c>
    </row>
    <row r="521" spans="1:3" x14ac:dyDescent="0.25">
      <c r="A521" s="60" t="s">
        <v>714</v>
      </c>
      <c r="B521" s="61">
        <v>11.34</v>
      </c>
      <c r="C521" s="8">
        <f t="shared" si="8"/>
        <v>1.5973630831643E-3</v>
      </c>
    </row>
    <row r="522" spans="1:3" x14ac:dyDescent="0.25">
      <c r="A522" s="60" t="s">
        <v>715</v>
      </c>
      <c r="B522" s="61">
        <v>11.34</v>
      </c>
      <c r="C522" s="8">
        <f t="shared" si="8"/>
        <v>1.5973630831643E-3</v>
      </c>
    </row>
    <row r="523" spans="1:3" x14ac:dyDescent="0.25">
      <c r="A523" s="60" t="s">
        <v>716</v>
      </c>
      <c r="B523" s="61">
        <v>11.34</v>
      </c>
      <c r="C523" s="8">
        <f t="shared" si="8"/>
        <v>1.5973630831643E-3</v>
      </c>
    </row>
    <row r="524" spans="1:3" x14ac:dyDescent="0.25">
      <c r="A524" s="60" t="s">
        <v>717</v>
      </c>
      <c r="B524" s="61">
        <v>11.34</v>
      </c>
      <c r="C524" s="8">
        <f t="shared" si="8"/>
        <v>1.5973630831643E-3</v>
      </c>
    </row>
    <row r="525" spans="1:3" x14ac:dyDescent="0.25">
      <c r="A525" s="60" t="s">
        <v>718</v>
      </c>
      <c r="B525" s="61">
        <v>11.16</v>
      </c>
      <c r="C525" s="8">
        <f t="shared" si="8"/>
        <v>1.5720081135902635E-3</v>
      </c>
    </row>
    <row r="526" spans="1:3" x14ac:dyDescent="0.25">
      <c r="A526" s="60" t="s">
        <v>719</v>
      </c>
      <c r="B526" s="61">
        <v>11.16</v>
      </c>
      <c r="C526" s="8">
        <f t="shared" si="8"/>
        <v>1.5720081135902635E-3</v>
      </c>
    </row>
    <row r="527" spans="1:3" x14ac:dyDescent="0.25">
      <c r="A527" s="60" t="s">
        <v>720</v>
      </c>
      <c r="B527" s="61">
        <v>11.16</v>
      </c>
      <c r="C527" s="8">
        <f t="shared" si="8"/>
        <v>1.5720081135902635E-3</v>
      </c>
    </row>
    <row r="528" spans="1:3" x14ac:dyDescent="0.25">
      <c r="A528" s="60" t="s">
        <v>721</v>
      </c>
      <c r="B528" s="61">
        <v>11.16</v>
      </c>
      <c r="C528" s="8">
        <f t="shared" si="8"/>
        <v>1.5720081135902635E-3</v>
      </c>
    </row>
    <row r="529" spans="1:3" x14ac:dyDescent="0.25">
      <c r="A529" s="60" t="s">
        <v>722</v>
      </c>
      <c r="B529" s="61">
        <v>11.16</v>
      </c>
      <c r="C529" s="8">
        <f t="shared" si="8"/>
        <v>1.5720081135902635E-3</v>
      </c>
    </row>
    <row r="530" spans="1:3" x14ac:dyDescent="0.25">
      <c r="A530" s="60" t="s">
        <v>723</v>
      </c>
      <c r="B530" s="61">
        <v>11.16</v>
      </c>
      <c r="C530" s="8">
        <f t="shared" si="8"/>
        <v>1.5720081135902635E-3</v>
      </c>
    </row>
    <row r="531" spans="1:3" x14ac:dyDescent="0.25">
      <c r="A531" s="60" t="s">
        <v>724</v>
      </c>
      <c r="B531" s="61">
        <v>11.16</v>
      </c>
      <c r="C531" s="8">
        <f t="shared" si="8"/>
        <v>1.5720081135902635E-3</v>
      </c>
    </row>
    <row r="532" spans="1:3" x14ac:dyDescent="0.25">
      <c r="A532" s="60" t="s">
        <v>725</v>
      </c>
      <c r="B532" s="61">
        <v>11.16</v>
      </c>
      <c r="C532" s="8">
        <f t="shared" si="8"/>
        <v>1.5720081135902635E-3</v>
      </c>
    </row>
    <row r="533" spans="1:3" x14ac:dyDescent="0.25">
      <c r="A533" s="60" t="s">
        <v>726</v>
      </c>
      <c r="B533" s="61">
        <v>11.16</v>
      </c>
      <c r="C533" s="8">
        <f t="shared" si="8"/>
        <v>1.5720081135902635E-3</v>
      </c>
    </row>
    <row r="534" spans="1:3" x14ac:dyDescent="0.25">
      <c r="A534" s="60" t="s">
        <v>727</v>
      </c>
      <c r="B534" s="61">
        <v>11.16</v>
      </c>
      <c r="C534" s="8">
        <f t="shared" si="8"/>
        <v>1.5720081135902635E-3</v>
      </c>
    </row>
    <row r="535" spans="1:3" x14ac:dyDescent="0.25">
      <c r="A535" s="60" t="s">
        <v>728</v>
      </c>
      <c r="B535" s="61">
        <v>11.16</v>
      </c>
      <c r="C535" s="8">
        <f t="shared" si="8"/>
        <v>1.5720081135902635E-3</v>
      </c>
    </row>
    <row r="536" spans="1:3" x14ac:dyDescent="0.25">
      <c r="A536" s="60" t="s">
        <v>729</v>
      </c>
      <c r="B536" s="61">
        <v>11.16</v>
      </c>
      <c r="C536" s="8">
        <f t="shared" si="8"/>
        <v>1.5720081135902635E-3</v>
      </c>
    </row>
    <row r="537" spans="1:3" x14ac:dyDescent="0.25">
      <c r="A537" s="60" t="s">
        <v>730</v>
      </c>
      <c r="B537" s="61">
        <v>11.16</v>
      </c>
      <c r="C537" s="8">
        <f t="shared" si="8"/>
        <v>1.5720081135902635E-3</v>
      </c>
    </row>
    <row r="538" spans="1:3" x14ac:dyDescent="0.25">
      <c r="A538" s="60" t="s">
        <v>731</v>
      </c>
      <c r="B538" s="61">
        <v>11.16</v>
      </c>
      <c r="C538" s="8">
        <f t="shared" si="8"/>
        <v>1.5720081135902635E-3</v>
      </c>
    </row>
    <row r="539" spans="1:3" x14ac:dyDescent="0.25">
      <c r="A539" s="60" t="s">
        <v>732</v>
      </c>
      <c r="B539" s="61">
        <v>11.16</v>
      </c>
      <c r="C539" s="8">
        <f t="shared" ref="C539:C602" si="9">B539/$B$89</f>
        <v>1.5720081135902635E-3</v>
      </c>
    </row>
    <row r="540" spans="1:3" x14ac:dyDescent="0.25">
      <c r="A540" s="60" t="s">
        <v>733</v>
      </c>
      <c r="B540" s="61">
        <v>11.16</v>
      </c>
      <c r="C540" s="8">
        <f t="shared" si="9"/>
        <v>1.5720081135902635E-3</v>
      </c>
    </row>
    <row r="541" spans="1:3" x14ac:dyDescent="0.25">
      <c r="A541" s="60" t="s">
        <v>734</v>
      </c>
      <c r="B541" s="61">
        <v>11.16</v>
      </c>
      <c r="C541" s="8">
        <f t="shared" si="9"/>
        <v>1.5720081135902635E-3</v>
      </c>
    </row>
    <row r="542" spans="1:3" x14ac:dyDescent="0.25">
      <c r="A542" s="60" t="s">
        <v>735</v>
      </c>
      <c r="B542" s="61">
        <v>11.16</v>
      </c>
      <c r="C542" s="8">
        <f t="shared" si="9"/>
        <v>1.5720081135902635E-3</v>
      </c>
    </row>
    <row r="543" spans="1:3" x14ac:dyDescent="0.25">
      <c r="A543" s="60" t="s">
        <v>736</v>
      </c>
      <c r="B543" s="61">
        <v>11.16</v>
      </c>
      <c r="C543" s="8">
        <f t="shared" si="9"/>
        <v>1.5720081135902635E-3</v>
      </c>
    </row>
    <row r="544" spans="1:3" x14ac:dyDescent="0.25">
      <c r="A544" s="60" t="s">
        <v>737</v>
      </c>
      <c r="B544" s="61">
        <v>11.16</v>
      </c>
      <c r="C544" s="8">
        <f t="shared" si="9"/>
        <v>1.5720081135902635E-3</v>
      </c>
    </row>
    <row r="545" spans="1:3" x14ac:dyDescent="0.25">
      <c r="A545" s="60" t="s">
        <v>738</v>
      </c>
      <c r="B545" s="61">
        <v>11.34</v>
      </c>
      <c r="C545" s="8">
        <f t="shared" si="9"/>
        <v>1.5973630831643E-3</v>
      </c>
    </row>
    <row r="546" spans="1:3" x14ac:dyDescent="0.25">
      <c r="A546" s="60" t="s">
        <v>739</v>
      </c>
      <c r="B546" s="61">
        <v>11.34</v>
      </c>
      <c r="C546" s="8">
        <f t="shared" si="9"/>
        <v>1.5973630831643E-3</v>
      </c>
    </row>
    <row r="547" spans="1:3" x14ac:dyDescent="0.25">
      <c r="A547" s="60" t="s">
        <v>740</v>
      </c>
      <c r="B547" s="61">
        <v>11.34</v>
      </c>
      <c r="C547" s="8">
        <f t="shared" si="9"/>
        <v>1.5973630831643E-3</v>
      </c>
    </row>
    <row r="548" spans="1:3" x14ac:dyDescent="0.25">
      <c r="A548" s="60" t="s">
        <v>741</v>
      </c>
      <c r="B548" s="61">
        <v>11.34</v>
      </c>
      <c r="C548" s="8">
        <f t="shared" si="9"/>
        <v>1.5973630831643E-3</v>
      </c>
    </row>
    <row r="549" spans="1:3" x14ac:dyDescent="0.25">
      <c r="A549" s="60" t="s">
        <v>742</v>
      </c>
      <c r="B549" s="61">
        <v>11.34</v>
      </c>
      <c r="C549" s="8">
        <f t="shared" si="9"/>
        <v>1.5973630831643E-3</v>
      </c>
    </row>
    <row r="550" spans="1:3" x14ac:dyDescent="0.25">
      <c r="A550" s="60" t="s">
        <v>743</v>
      </c>
      <c r="B550" s="61">
        <v>11.34</v>
      </c>
      <c r="C550" s="8">
        <f t="shared" si="9"/>
        <v>1.5973630831643E-3</v>
      </c>
    </row>
    <row r="551" spans="1:3" x14ac:dyDescent="0.25">
      <c r="A551" s="60" t="s">
        <v>744</v>
      </c>
      <c r="B551" s="61">
        <v>11.34</v>
      </c>
      <c r="C551" s="8">
        <f t="shared" si="9"/>
        <v>1.5973630831643E-3</v>
      </c>
    </row>
    <row r="552" spans="1:3" x14ac:dyDescent="0.25">
      <c r="A552" s="60" t="s">
        <v>745</v>
      </c>
      <c r="B552" s="61">
        <v>11.34</v>
      </c>
      <c r="C552" s="8">
        <f t="shared" si="9"/>
        <v>1.5973630831643E-3</v>
      </c>
    </row>
    <row r="553" spans="1:3" x14ac:dyDescent="0.25">
      <c r="A553" s="60" t="s">
        <v>746</v>
      </c>
      <c r="B553" s="61">
        <v>11.34</v>
      </c>
      <c r="C553" s="8">
        <f t="shared" si="9"/>
        <v>1.5973630831643E-3</v>
      </c>
    </row>
    <row r="554" spans="1:3" x14ac:dyDescent="0.25">
      <c r="A554" s="60" t="s">
        <v>747</v>
      </c>
      <c r="B554" s="61">
        <v>11.34</v>
      </c>
      <c r="C554" s="8">
        <f t="shared" si="9"/>
        <v>1.5973630831643E-3</v>
      </c>
    </row>
    <row r="555" spans="1:3" x14ac:dyDescent="0.25">
      <c r="A555" s="60" t="s">
        <v>748</v>
      </c>
      <c r="B555" s="61">
        <v>11.34</v>
      </c>
      <c r="C555" s="8">
        <f t="shared" si="9"/>
        <v>1.5973630831643E-3</v>
      </c>
    </row>
    <row r="556" spans="1:3" x14ac:dyDescent="0.25">
      <c r="A556" s="60" t="s">
        <v>749</v>
      </c>
      <c r="B556" s="61">
        <v>11.34</v>
      </c>
      <c r="C556" s="8">
        <f t="shared" si="9"/>
        <v>1.5973630831643E-3</v>
      </c>
    </row>
    <row r="557" spans="1:3" x14ac:dyDescent="0.25">
      <c r="A557" s="60" t="s">
        <v>750</v>
      </c>
      <c r="B557" s="61">
        <v>11.34</v>
      </c>
      <c r="C557" s="8">
        <f t="shared" si="9"/>
        <v>1.5973630831643E-3</v>
      </c>
    </row>
    <row r="558" spans="1:3" x14ac:dyDescent="0.25">
      <c r="A558" s="60" t="s">
        <v>751</v>
      </c>
      <c r="B558" s="61">
        <v>11.34</v>
      </c>
      <c r="C558" s="8">
        <f t="shared" si="9"/>
        <v>1.5973630831643E-3</v>
      </c>
    </row>
    <row r="559" spans="1:3" x14ac:dyDescent="0.25">
      <c r="A559" s="60" t="s">
        <v>752</v>
      </c>
      <c r="B559" s="61">
        <v>11.34</v>
      </c>
      <c r="C559" s="8">
        <f t="shared" si="9"/>
        <v>1.5973630831643E-3</v>
      </c>
    </row>
    <row r="560" spans="1:3" x14ac:dyDescent="0.25">
      <c r="A560" s="60" t="s">
        <v>753</v>
      </c>
      <c r="B560" s="61">
        <v>11.34</v>
      </c>
      <c r="C560" s="8">
        <f t="shared" si="9"/>
        <v>1.5973630831643E-3</v>
      </c>
    </row>
    <row r="561" spans="1:3" x14ac:dyDescent="0.25">
      <c r="A561" s="60" t="s">
        <v>754</v>
      </c>
      <c r="B561" s="61">
        <v>11.34</v>
      </c>
      <c r="C561" s="8">
        <f t="shared" si="9"/>
        <v>1.5973630831643E-3</v>
      </c>
    </row>
    <row r="562" spans="1:3" x14ac:dyDescent="0.25">
      <c r="A562" s="60" t="s">
        <v>755</v>
      </c>
      <c r="B562" s="61">
        <v>11.34</v>
      </c>
      <c r="C562" s="8">
        <f t="shared" si="9"/>
        <v>1.5973630831643E-3</v>
      </c>
    </row>
    <row r="563" spans="1:3" x14ac:dyDescent="0.25">
      <c r="A563" s="60" t="s">
        <v>756</v>
      </c>
      <c r="B563" s="61">
        <v>11.34</v>
      </c>
      <c r="C563" s="8">
        <f t="shared" si="9"/>
        <v>1.5973630831643E-3</v>
      </c>
    </row>
    <row r="564" spans="1:3" x14ac:dyDescent="0.25">
      <c r="A564" s="60" t="s">
        <v>757</v>
      </c>
      <c r="B564" s="61">
        <v>11.34</v>
      </c>
      <c r="C564" s="8">
        <f t="shared" si="9"/>
        <v>1.5973630831643E-3</v>
      </c>
    </row>
    <row r="565" spans="1:3" x14ac:dyDescent="0.25">
      <c r="A565" s="60" t="s">
        <v>758</v>
      </c>
      <c r="B565" s="61">
        <v>11.34</v>
      </c>
      <c r="C565" s="8">
        <f t="shared" si="9"/>
        <v>1.5973630831643E-3</v>
      </c>
    </row>
    <row r="566" spans="1:3" x14ac:dyDescent="0.25">
      <c r="A566" s="60" t="s">
        <v>759</v>
      </c>
      <c r="B566" s="61">
        <v>11.34</v>
      </c>
      <c r="C566" s="8">
        <f t="shared" si="9"/>
        <v>1.5973630831643E-3</v>
      </c>
    </row>
    <row r="567" spans="1:3" x14ac:dyDescent="0.25">
      <c r="A567" s="60" t="s">
        <v>760</v>
      </c>
      <c r="B567" s="61">
        <v>11.34</v>
      </c>
      <c r="C567" s="8">
        <f t="shared" si="9"/>
        <v>1.5973630831643E-3</v>
      </c>
    </row>
    <row r="568" spans="1:3" x14ac:dyDescent="0.25">
      <c r="A568" s="60" t="s">
        <v>761</v>
      </c>
      <c r="B568" s="61">
        <v>11.34</v>
      </c>
      <c r="C568" s="8">
        <f t="shared" si="9"/>
        <v>1.5973630831643E-3</v>
      </c>
    </row>
    <row r="569" spans="1:3" x14ac:dyDescent="0.25">
      <c r="A569" s="60" t="s">
        <v>762</v>
      </c>
      <c r="B569" s="61">
        <v>11.34</v>
      </c>
      <c r="C569" s="8">
        <f t="shared" si="9"/>
        <v>1.5973630831643E-3</v>
      </c>
    </row>
    <row r="570" spans="1:3" x14ac:dyDescent="0.25">
      <c r="A570" s="60" t="s">
        <v>763</v>
      </c>
      <c r="B570" s="61">
        <v>11.34</v>
      </c>
      <c r="C570" s="8">
        <f t="shared" si="9"/>
        <v>1.5973630831643E-3</v>
      </c>
    </row>
    <row r="571" spans="1:3" x14ac:dyDescent="0.25">
      <c r="A571" s="60" t="s">
        <v>764</v>
      </c>
      <c r="B571" s="61">
        <v>11.34</v>
      </c>
      <c r="C571" s="8">
        <f t="shared" si="9"/>
        <v>1.5973630831643E-3</v>
      </c>
    </row>
    <row r="572" spans="1:3" x14ac:dyDescent="0.25">
      <c r="A572" s="60" t="s">
        <v>765</v>
      </c>
      <c r="B572" s="61">
        <v>11.34</v>
      </c>
      <c r="C572" s="8">
        <f t="shared" si="9"/>
        <v>1.5973630831643E-3</v>
      </c>
    </row>
    <row r="573" spans="1:3" x14ac:dyDescent="0.25">
      <c r="A573" s="60" t="s">
        <v>766</v>
      </c>
      <c r="B573" s="61">
        <v>11.34</v>
      </c>
      <c r="C573" s="8">
        <f t="shared" si="9"/>
        <v>1.5973630831643E-3</v>
      </c>
    </row>
    <row r="574" spans="1:3" x14ac:dyDescent="0.25">
      <c r="A574" s="60" t="s">
        <v>767</v>
      </c>
      <c r="B574" s="61">
        <v>11.34</v>
      </c>
      <c r="C574" s="8">
        <f t="shared" si="9"/>
        <v>1.5973630831643E-3</v>
      </c>
    </row>
    <row r="575" spans="1:3" x14ac:dyDescent="0.25">
      <c r="A575" s="60" t="s">
        <v>768</v>
      </c>
      <c r="B575" s="61">
        <v>11.16</v>
      </c>
      <c r="C575" s="8">
        <f t="shared" si="9"/>
        <v>1.5720081135902635E-3</v>
      </c>
    </row>
    <row r="576" spans="1:3" x14ac:dyDescent="0.25">
      <c r="A576" s="60" t="s">
        <v>769</v>
      </c>
      <c r="B576" s="61">
        <v>11.16</v>
      </c>
      <c r="C576" s="8">
        <f t="shared" si="9"/>
        <v>1.5720081135902635E-3</v>
      </c>
    </row>
    <row r="577" spans="1:3" x14ac:dyDescent="0.25">
      <c r="A577" s="60" t="s">
        <v>770</v>
      </c>
      <c r="B577" s="61">
        <v>11.16</v>
      </c>
      <c r="C577" s="8">
        <f t="shared" si="9"/>
        <v>1.5720081135902635E-3</v>
      </c>
    </row>
    <row r="578" spans="1:3" x14ac:dyDescent="0.25">
      <c r="A578" s="60" t="s">
        <v>771</v>
      </c>
      <c r="B578" s="61">
        <v>11.16</v>
      </c>
      <c r="C578" s="8">
        <f t="shared" si="9"/>
        <v>1.5720081135902635E-3</v>
      </c>
    </row>
    <row r="579" spans="1:3" x14ac:dyDescent="0.25">
      <c r="A579" s="60" t="s">
        <v>772</v>
      </c>
      <c r="B579" s="61">
        <v>11.16</v>
      </c>
      <c r="C579" s="8">
        <f t="shared" si="9"/>
        <v>1.5720081135902635E-3</v>
      </c>
    </row>
    <row r="580" spans="1:3" x14ac:dyDescent="0.25">
      <c r="A580" s="60" t="s">
        <v>773</v>
      </c>
      <c r="B580" s="61">
        <v>11.16</v>
      </c>
      <c r="C580" s="8">
        <f t="shared" si="9"/>
        <v>1.5720081135902635E-3</v>
      </c>
    </row>
    <row r="581" spans="1:3" x14ac:dyDescent="0.25">
      <c r="A581" s="60" t="s">
        <v>774</v>
      </c>
      <c r="B581" s="61">
        <v>11.16</v>
      </c>
      <c r="C581" s="8">
        <f t="shared" si="9"/>
        <v>1.5720081135902635E-3</v>
      </c>
    </row>
    <row r="582" spans="1:3" x14ac:dyDescent="0.25">
      <c r="A582" s="60" t="s">
        <v>775</v>
      </c>
      <c r="B582" s="61">
        <v>11.16</v>
      </c>
      <c r="C582" s="8">
        <f t="shared" si="9"/>
        <v>1.5720081135902635E-3</v>
      </c>
    </row>
    <row r="583" spans="1:3" x14ac:dyDescent="0.25">
      <c r="A583" s="60" t="s">
        <v>776</v>
      </c>
      <c r="B583" s="61">
        <v>11.16</v>
      </c>
      <c r="C583" s="8">
        <f t="shared" si="9"/>
        <v>1.5720081135902635E-3</v>
      </c>
    </row>
    <row r="584" spans="1:3" x14ac:dyDescent="0.25">
      <c r="A584" s="60" t="s">
        <v>777</v>
      </c>
      <c r="B584" s="61">
        <v>11.16</v>
      </c>
      <c r="C584" s="8">
        <f t="shared" si="9"/>
        <v>1.5720081135902635E-3</v>
      </c>
    </row>
    <row r="585" spans="1:3" x14ac:dyDescent="0.25">
      <c r="A585" s="60" t="s">
        <v>778</v>
      </c>
      <c r="B585" s="61">
        <v>11.34</v>
      </c>
      <c r="C585" s="8">
        <f t="shared" si="9"/>
        <v>1.5973630831643E-3</v>
      </c>
    </row>
    <row r="586" spans="1:3" x14ac:dyDescent="0.25">
      <c r="A586" s="60" t="s">
        <v>779</v>
      </c>
      <c r="B586" s="61">
        <v>11.34</v>
      </c>
      <c r="C586" s="8">
        <f t="shared" si="9"/>
        <v>1.5973630831643E-3</v>
      </c>
    </row>
    <row r="587" spans="1:3" x14ac:dyDescent="0.25">
      <c r="A587" s="60" t="s">
        <v>780</v>
      </c>
      <c r="B587" s="61">
        <v>11.34</v>
      </c>
      <c r="C587" s="8">
        <f t="shared" si="9"/>
        <v>1.5973630831643E-3</v>
      </c>
    </row>
    <row r="588" spans="1:3" x14ac:dyDescent="0.25">
      <c r="A588" s="60" t="s">
        <v>781</v>
      </c>
      <c r="B588" s="61">
        <v>11.34</v>
      </c>
      <c r="C588" s="8">
        <f t="shared" si="9"/>
        <v>1.5973630831643E-3</v>
      </c>
    </row>
    <row r="589" spans="1:3" x14ac:dyDescent="0.25">
      <c r="A589" s="60" t="s">
        <v>782</v>
      </c>
      <c r="B589" s="61">
        <v>11.34</v>
      </c>
      <c r="C589" s="8">
        <f t="shared" si="9"/>
        <v>1.5973630831643E-3</v>
      </c>
    </row>
    <row r="590" spans="1:3" x14ac:dyDescent="0.25">
      <c r="A590" s="60" t="s">
        <v>783</v>
      </c>
      <c r="B590" s="61">
        <v>11.34</v>
      </c>
      <c r="C590" s="8">
        <f t="shared" si="9"/>
        <v>1.5973630831643E-3</v>
      </c>
    </row>
    <row r="591" spans="1:3" x14ac:dyDescent="0.25">
      <c r="A591" s="60" t="s">
        <v>784</v>
      </c>
      <c r="B591" s="61">
        <v>11.34</v>
      </c>
      <c r="C591" s="8">
        <f t="shared" si="9"/>
        <v>1.5973630831643E-3</v>
      </c>
    </row>
    <row r="592" spans="1:3" x14ac:dyDescent="0.25">
      <c r="A592" s="60" t="s">
        <v>785</v>
      </c>
      <c r="B592" s="61">
        <v>11.34</v>
      </c>
      <c r="C592" s="8">
        <f t="shared" si="9"/>
        <v>1.5973630831643E-3</v>
      </c>
    </row>
    <row r="593" spans="1:3" x14ac:dyDescent="0.25">
      <c r="A593" s="60" t="s">
        <v>786</v>
      </c>
      <c r="B593" s="61">
        <v>11.34</v>
      </c>
      <c r="C593" s="8">
        <f t="shared" si="9"/>
        <v>1.5973630831643E-3</v>
      </c>
    </row>
    <row r="594" spans="1:3" x14ac:dyDescent="0.25">
      <c r="A594" s="60" t="s">
        <v>787</v>
      </c>
      <c r="B594" s="61">
        <v>11.34</v>
      </c>
      <c r="C594" s="8">
        <f t="shared" si="9"/>
        <v>1.5973630831643E-3</v>
      </c>
    </row>
    <row r="595" spans="1:3" x14ac:dyDescent="0.25">
      <c r="A595" s="60" t="s">
        <v>788</v>
      </c>
      <c r="B595" s="61">
        <v>11.16</v>
      </c>
      <c r="C595" s="8">
        <f t="shared" si="9"/>
        <v>1.5720081135902635E-3</v>
      </c>
    </row>
    <row r="596" spans="1:3" x14ac:dyDescent="0.25">
      <c r="A596" s="60" t="s">
        <v>789</v>
      </c>
      <c r="B596" s="61">
        <v>11.16</v>
      </c>
      <c r="C596" s="8">
        <f t="shared" si="9"/>
        <v>1.5720081135902635E-3</v>
      </c>
    </row>
    <row r="597" spans="1:3" x14ac:dyDescent="0.25">
      <c r="A597" s="60" t="s">
        <v>790</v>
      </c>
      <c r="B597" s="61">
        <v>11.16</v>
      </c>
      <c r="C597" s="8">
        <f t="shared" si="9"/>
        <v>1.5720081135902635E-3</v>
      </c>
    </row>
    <row r="598" spans="1:3" x14ac:dyDescent="0.25">
      <c r="A598" s="60" t="s">
        <v>791</v>
      </c>
      <c r="B598" s="61">
        <v>11.16</v>
      </c>
      <c r="C598" s="8">
        <f t="shared" si="9"/>
        <v>1.5720081135902635E-3</v>
      </c>
    </row>
    <row r="599" spans="1:3" x14ac:dyDescent="0.25">
      <c r="A599" s="60" t="s">
        <v>792</v>
      </c>
      <c r="B599" s="61">
        <v>11.16</v>
      </c>
      <c r="C599" s="8">
        <f t="shared" si="9"/>
        <v>1.5720081135902635E-3</v>
      </c>
    </row>
    <row r="600" spans="1:3" x14ac:dyDescent="0.25">
      <c r="A600" s="60" t="s">
        <v>793</v>
      </c>
      <c r="B600" s="61">
        <v>11.16</v>
      </c>
      <c r="C600" s="8">
        <f t="shared" si="9"/>
        <v>1.5720081135902635E-3</v>
      </c>
    </row>
    <row r="601" spans="1:3" x14ac:dyDescent="0.25">
      <c r="A601" s="60" t="s">
        <v>794</v>
      </c>
      <c r="B601" s="61">
        <v>11.16</v>
      </c>
      <c r="C601" s="8">
        <f t="shared" si="9"/>
        <v>1.5720081135902635E-3</v>
      </c>
    </row>
    <row r="602" spans="1:3" x14ac:dyDescent="0.25">
      <c r="A602" s="60" t="s">
        <v>795</v>
      </c>
      <c r="B602" s="61">
        <v>11.16</v>
      </c>
      <c r="C602" s="8">
        <f t="shared" si="9"/>
        <v>1.5720081135902635E-3</v>
      </c>
    </row>
    <row r="603" spans="1:3" x14ac:dyDescent="0.25">
      <c r="A603" s="60" t="s">
        <v>796</v>
      </c>
      <c r="B603" s="61">
        <v>11.16</v>
      </c>
      <c r="C603" s="8">
        <f t="shared" ref="C603:C666" si="10">B603/$B$89</f>
        <v>1.5720081135902635E-3</v>
      </c>
    </row>
    <row r="604" spans="1:3" x14ac:dyDescent="0.25">
      <c r="A604" s="60" t="s">
        <v>797</v>
      </c>
      <c r="B604" s="61">
        <v>11.16</v>
      </c>
      <c r="C604" s="8">
        <f t="shared" si="10"/>
        <v>1.5720081135902635E-3</v>
      </c>
    </row>
    <row r="605" spans="1:3" x14ac:dyDescent="0.25">
      <c r="A605" s="60" t="s">
        <v>798</v>
      </c>
      <c r="B605" s="61">
        <v>11.16</v>
      </c>
      <c r="C605" s="8">
        <f t="shared" si="10"/>
        <v>1.5720081135902635E-3</v>
      </c>
    </row>
    <row r="606" spans="1:3" x14ac:dyDescent="0.25">
      <c r="A606" s="60" t="s">
        <v>799</v>
      </c>
      <c r="B606" s="61">
        <v>11.16</v>
      </c>
      <c r="C606" s="8">
        <f t="shared" si="10"/>
        <v>1.5720081135902635E-3</v>
      </c>
    </row>
    <row r="607" spans="1:3" x14ac:dyDescent="0.25">
      <c r="A607" s="60" t="s">
        <v>800</v>
      </c>
      <c r="B607" s="61">
        <v>11.16</v>
      </c>
      <c r="C607" s="8">
        <f t="shared" si="10"/>
        <v>1.5720081135902635E-3</v>
      </c>
    </row>
    <row r="608" spans="1:3" x14ac:dyDescent="0.25">
      <c r="A608" s="60" t="s">
        <v>801</v>
      </c>
      <c r="B608" s="61">
        <v>11.16</v>
      </c>
      <c r="C608" s="8">
        <f t="shared" si="10"/>
        <v>1.5720081135902635E-3</v>
      </c>
    </row>
    <row r="609" spans="1:3" x14ac:dyDescent="0.25">
      <c r="A609" s="60" t="s">
        <v>802</v>
      </c>
      <c r="B609" s="61">
        <v>11.16</v>
      </c>
      <c r="C609" s="8">
        <f t="shared" si="10"/>
        <v>1.5720081135902635E-3</v>
      </c>
    </row>
    <row r="610" spans="1:3" x14ac:dyDescent="0.25">
      <c r="A610" s="60" t="s">
        <v>803</v>
      </c>
      <c r="B610" s="61">
        <v>11.16</v>
      </c>
      <c r="C610" s="8">
        <f t="shared" si="10"/>
        <v>1.5720081135902635E-3</v>
      </c>
    </row>
    <row r="611" spans="1:3" x14ac:dyDescent="0.25">
      <c r="A611" s="60" t="s">
        <v>804</v>
      </c>
      <c r="B611" s="61">
        <v>11.16</v>
      </c>
      <c r="C611" s="8">
        <f t="shared" si="10"/>
        <v>1.5720081135902635E-3</v>
      </c>
    </row>
    <row r="612" spans="1:3" x14ac:dyDescent="0.25">
      <c r="A612" s="60" t="s">
        <v>805</v>
      </c>
      <c r="B612" s="61">
        <v>11.16</v>
      </c>
      <c r="C612" s="8">
        <f t="shared" si="10"/>
        <v>1.5720081135902635E-3</v>
      </c>
    </row>
    <row r="613" spans="1:3" x14ac:dyDescent="0.25">
      <c r="A613" s="60" t="s">
        <v>806</v>
      </c>
      <c r="B613" s="61">
        <v>11.16</v>
      </c>
      <c r="C613" s="8">
        <f t="shared" si="10"/>
        <v>1.5720081135902635E-3</v>
      </c>
    </row>
    <row r="614" spans="1:3" x14ac:dyDescent="0.25">
      <c r="A614" s="60" t="s">
        <v>807</v>
      </c>
      <c r="B614" s="61">
        <v>11.16</v>
      </c>
      <c r="C614" s="8">
        <f t="shared" si="10"/>
        <v>1.5720081135902635E-3</v>
      </c>
    </row>
    <row r="615" spans="1:3" x14ac:dyDescent="0.25">
      <c r="A615" s="60" t="s">
        <v>808</v>
      </c>
      <c r="B615" s="61">
        <v>11.16</v>
      </c>
      <c r="C615" s="8">
        <f t="shared" si="10"/>
        <v>1.5720081135902635E-3</v>
      </c>
    </row>
    <row r="616" spans="1:3" x14ac:dyDescent="0.25">
      <c r="A616" s="60" t="s">
        <v>809</v>
      </c>
      <c r="B616" s="61">
        <v>11.16</v>
      </c>
      <c r="C616" s="8">
        <f t="shared" si="10"/>
        <v>1.5720081135902635E-3</v>
      </c>
    </row>
    <row r="617" spans="1:3" x14ac:dyDescent="0.25">
      <c r="A617" s="60" t="s">
        <v>810</v>
      </c>
      <c r="B617" s="61">
        <v>11.16</v>
      </c>
      <c r="C617" s="8">
        <f t="shared" si="10"/>
        <v>1.5720081135902635E-3</v>
      </c>
    </row>
    <row r="618" spans="1:3" x14ac:dyDescent="0.25">
      <c r="A618" s="60" t="s">
        <v>811</v>
      </c>
      <c r="B618" s="61">
        <v>11.16</v>
      </c>
      <c r="C618" s="8">
        <f t="shared" si="10"/>
        <v>1.5720081135902635E-3</v>
      </c>
    </row>
    <row r="619" spans="1:3" x14ac:dyDescent="0.25">
      <c r="A619" s="60" t="s">
        <v>812</v>
      </c>
      <c r="B619" s="61">
        <v>11.16</v>
      </c>
      <c r="C619" s="8">
        <f t="shared" si="10"/>
        <v>1.5720081135902635E-3</v>
      </c>
    </row>
    <row r="620" spans="1:3" x14ac:dyDescent="0.25">
      <c r="A620" s="60" t="s">
        <v>813</v>
      </c>
      <c r="B620" s="61">
        <v>11.16</v>
      </c>
      <c r="C620" s="8">
        <f t="shared" si="10"/>
        <v>1.5720081135902635E-3</v>
      </c>
    </row>
    <row r="621" spans="1:3" x14ac:dyDescent="0.25">
      <c r="A621" s="60" t="s">
        <v>814</v>
      </c>
      <c r="B621" s="61">
        <v>11.16</v>
      </c>
      <c r="C621" s="8">
        <f t="shared" si="10"/>
        <v>1.5720081135902635E-3</v>
      </c>
    </row>
    <row r="622" spans="1:3" x14ac:dyDescent="0.25">
      <c r="A622" s="60" t="s">
        <v>815</v>
      </c>
      <c r="B622" s="61">
        <v>11.16</v>
      </c>
      <c r="C622" s="8">
        <f t="shared" si="10"/>
        <v>1.5720081135902635E-3</v>
      </c>
    </row>
    <row r="623" spans="1:3" x14ac:dyDescent="0.25">
      <c r="A623" s="60" t="s">
        <v>816</v>
      </c>
      <c r="B623" s="61">
        <v>11.16</v>
      </c>
      <c r="C623" s="8">
        <f t="shared" si="10"/>
        <v>1.5720081135902635E-3</v>
      </c>
    </row>
    <row r="624" spans="1:3" x14ac:dyDescent="0.25">
      <c r="A624" s="60" t="s">
        <v>817</v>
      </c>
      <c r="B624" s="61">
        <v>11.16</v>
      </c>
      <c r="C624" s="8">
        <f t="shared" si="10"/>
        <v>1.5720081135902635E-3</v>
      </c>
    </row>
    <row r="625" spans="1:3" x14ac:dyDescent="0.25">
      <c r="A625" s="60" t="s">
        <v>818</v>
      </c>
      <c r="B625" s="61">
        <v>11.16</v>
      </c>
      <c r="C625" s="8">
        <f t="shared" si="10"/>
        <v>1.5720081135902635E-3</v>
      </c>
    </row>
    <row r="626" spans="1:3" x14ac:dyDescent="0.25">
      <c r="A626" s="60" t="s">
        <v>819</v>
      </c>
      <c r="B626" s="61">
        <v>11.16</v>
      </c>
      <c r="C626" s="8">
        <f t="shared" si="10"/>
        <v>1.5720081135902635E-3</v>
      </c>
    </row>
    <row r="627" spans="1:3" x14ac:dyDescent="0.25">
      <c r="A627" s="60" t="s">
        <v>820</v>
      </c>
      <c r="B627" s="61">
        <v>11.16</v>
      </c>
      <c r="C627" s="8">
        <f t="shared" si="10"/>
        <v>1.5720081135902635E-3</v>
      </c>
    </row>
    <row r="628" spans="1:3" x14ac:dyDescent="0.25">
      <c r="A628" s="60" t="s">
        <v>821</v>
      </c>
      <c r="B628" s="61">
        <v>11.16</v>
      </c>
      <c r="C628" s="8">
        <f t="shared" si="10"/>
        <v>1.5720081135902635E-3</v>
      </c>
    </row>
    <row r="629" spans="1:3" x14ac:dyDescent="0.25">
      <c r="A629" s="60" t="s">
        <v>822</v>
      </c>
      <c r="B629" s="61">
        <v>11.16</v>
      </c>
      <c r="C629" s="8">
        <f t="shared" si="10"/>
        <v>1.5720081135902635E-3</v>
      </c>
    </row>
    <row r="630" spans="1:3" x14ac:dyDescent="0.25">
      <c r="A630" s="60" t="s">
        <v>823</v>
      </c>
      <c r="B630" s="61">
        <v>11.16</v>
      </c>
      <c r="C630" s="8">
        <f t="shared" si="10"/>
        <v>1.5720081135902635E-3</v>
      </c>
    </row>
    <row r="631" spans="1:3" x14ac:dyDescent="0.25">
      <c r="A631" s="60" t="s">
        <v>824</v>
      </c>
      <c r="B631" s="61">
        <v>11.16</v>
      </c>
      <c r="C631" s="8">
        <f t="shared" si="10"/>
        <v>1.5720081135902635E-3</v>
      </c>
    </row>
    <row r="632" spans="1:3" x14ac:dyDescent="0.25">
      <c r="A632" s="60" t="s">
        <v>825</v>
      </c>
      <c r="B632" s="61">
        <v>11.16</v>
      </c>
      <c r="C632" s="8">
        <f t="shared" si="10"/>
        <v>1.5720081135902635E-3</v>
      </c>
    </row>
    <row r="633" spans="1:3" x14ac:dyDescent="0.25">
      <c r="A633" s="60" t="s">
        <v>826</v>
      </c>
      <c r="B633" s="61">
        <v>11.16</v>
      </c>
      <c r="C633" s="8">
        <f t="shared" si="10"/>
        <v>1.5720081135902635E-3</v>
      </c>
    </row>
    <row r="634" spans="1:3" x14ac:dyDescent="0.25">
      <c r="A634" s="60" t="s">
        <v>827</v>
      </c>
      <c r="B634" s="61">
        <v>11.16</v>
      </c>
      <c r="C634" s="8">
        <f t="shared" si="10"/>
        <v>1.5720081135902635E-3</v>
      </c>
    </row>
    <row r="635" spans="1:3" x14ac:dyDescent="0.25">
      <c r="A635" s="60" t="s">
        <v>828</v>
      </c>
      <c r="B635" s="61">
        <v>11.16</v>
      </c>
      <c r="C635" s="8">
        <f t="shared" si="10"/>
        <v>1.5720081135902635E-3</v>
      </c>
    </row>
    <row r="636" spans="1:3" x14ac:dyDescent="0.25">
      <c r="A636" s="60" t="s">
        <v>829</v>
      </c>
      <c r="B636" s="61">
        <v>11.16</v>
      </c>
      <c r="C636" s="8">
        <f t="shared" si="10"/>
        <v>1.5720081135902635E-3</v>
      </c>
    </row>
    <row r="637" spans="1:3" x14ac:dyDescent="0.25">
      <c r="A637" s="60" t="s">
        <v>830</v>
      </c>
      <c r="B637" s="61">
        <v>11.16</v>
      </c>
      <c r="C637" s="8">
        <f t="shared" si="10"/>
        <v>1.5720081135902635E-3</v>
      </c>
    </row>
    <row r="638" spans="1:3" x14ac:dyDescent="0.25">
      <c r="A638" s="60" t="s">
        <v>831</v>
      </c>
      <c r="B638" s="61">
        <v>11.16</v>
      </c>
      <c r="C638" s="8">
        <f t="shared" si="10"/>
        <v>1.5720081135902635E-3</v>
      </c>
    </row>
    <row r="639" spans="1:3" x14ac:dyDescent="0.25">
      <c r="A639" s="60" t="s">
        <v>832</v>
      </c>
      <c r="B639" s="61">
        <v>11.16</v>
      </c>
      <c r="C639" s="8">
        <f t="shared" si="10"/>
        <v>1.5720081135902635E-3</v>
      </c>
    </row>
    <row r="640" spans="1:3" x14ac:dyDescent="0.25">
      <c r="A640" s="60" t="s">
        <v>833</v>
      </c>
      <c r="B640" s="61">
        <v>11.16</v>
      </c>
      <c r="C640" s="8">
        <f t="shared" si="10"/>
        <v>1.5720081135902635E-3</v>
      </c>
    </row>
    <row r="641" spans="1:3" x14ac:dyDescent="0.25">
      <c r="A641" s="60" t="s">
        <v>834</v>
      </c>
      <c r="B641" s="61">
        <v>11.16</v>
      </c>
      <c r="C641" s="8">
        <f t="shared" si="10"/>
        <v>1.5720081135902635E-3</v>
      </c>
    </row>
    <row r="642" spans="1:3" x14ac:dyDescent="0.25">
      <c r="A642" s="60" t="s">
        <v>835</v>
      </c>
      <c r="B642" s="61">
        <v>11.16</v>
      </c>
      <c r="C642" s="8">
        <f t="shared" si="10"/>
        <v>1.5720081135902635E-3</v>
      </c>
    </row>
    <row r="643" spans="1:3" x14ac:dyDescent="0.25">
      <c r="A643" s="60" t="s">
        <v>836</v>
      </c>
      <c r="B643" s="61">
        <v>11.16</v>
      </c>
      <c r="C643" s="8">
        <f t="shared" si="10"/>
        <v>1.5720081135902635E-3</v>
      </c>
    </row>
    <row r="644" spans="1:3" x14ac:dyDescent="0.25">
      <c r="A644" s="60" t="s">
        <v>837</v>
      </c>
      <c r="B644" s="61">
        <v>11.16</v>
      </c>
      <c r="C644" s="8">
        <f t="shared" si="10"/>
        <v>1.5720081135902635E-3</v>
      </c>
    </row>
    <row r="645" spans="1:3" x14ac:dyDescent="0.25">
      <c r="A645" s="60" t="s">
        <v>838</v>
      </c>
      <c r="B645" s="61">
        <v>11.34</v>
      </c>
      <c r="C645" s="8">
        <f t="shared" si="10"/>
        <v>1.5973630831643E-3</v>
      </c>
    </row>
    <row r="646" spans="1:3" x14ac:dyDescent="0.25">
      <c r="A646" s="60" t="s">
        <v>839</v>
      </c>
      <c r="B646" s="61">
        <v>11.34</v>
      </c>
      <c r="C646" s="8">
        <f t="shared" si="10"/>
        <v>1.5973630831643E-3</v>
      </c>
    </row>
    <row r="647" spans="1:3" x14ac:dyDescent="0.25">
      <c r="A647" s="60" t="s">
        <v>840</v>
      </c>
      <c r="B647" s="61">
        <v>11.34</v>
      </c>
      <c r="C647" s="8">
        <f t="shared" si="10"/>
        <v>1.5973630831643E-3</v>
      </c>
    </row>
    <row r="648" spans="1:3" x14ac:dyDescent="0.25">
      <c r="A648" s="60" t="s">
        <v>841</v>
      </c>
      <c r="B648" s="61">
        <v>11.34</v>
      </c>
      <c r="C648" s="8">
        <f t="shared" si="10"/>
        <v>1.5973630831643E-3</v>
      </c>
    </row>
    <row r="649" spans="1:3" x14ac:dyDescent="0.25">
      <c r="A649" s="60" t="s">
        <v>842</v>
      </c>
      <c r="B649" s="61">
        <v>11.34</v>
      </c>
      <c r="C649" s="8">
        <f t="shared" si="10"/>
        <v>1.5973630831643E-3</v>
      </c>
    </row>
    <row r="650" spans="1:3" x14ac:dyDescent="0.25">
      <c r="A650" s="60" t="s">
        <v>843</v>
      </c>
      <c r="B650" s="61">
        <v>11.34</v>
      </c>
      <c r="C650" s="8">
        <f t="shared" si="10"/>
        <v>1.5973630831643E-3</v>
      </c>
    </row>
    <row r="651" spans="1:3" x14ac:dyDescent="0.25">
      <c r="A651" s="60" t="s">
        <v>844</v>
      </c>
      <c r="B651" s="61">
        <v>11.34</v>
      </c>
      <c r="C651" s="8">
        <f t="shared" si="10"/>
        <v>1.5973630831643E-3</v>
      </c>
    </row>
    <row r="652" spans="1:3" x14ac:dyDescent="0.25">
      <c r="A652" s="60" t="s">
        <v>845</v>
      </c>
      <c r="B652" s="61">
        <v>11.34</v>
      </c>
      <c r="C652" s="8">
        <f t="shared" si="10"/>
        <v>1.5973630831643E-3</v>
      </c>
    </row>
    <row r="653" spans="1:3" x14ac:dyDescent="0.25">
      <c r="A653" s="60" t="s">
        <v>846</v>
      </c>
      <c r="B653" s="61">
        <v>11.34</v>
      </c>
      <c r="C653" s="8">
        <f t="shared" si="10"/>
        <v>1.5973630831643E-3</v>
      </c>
    </row>
    <row r="654" spans="1:3" x14ac:dyDescent="0.25">
      <c r="A654" s="60" t="s">
        <v>847</v>
      </c>
      <c r="B654" s="61">
        <v>11.34</v>
      </c>
      <c r="C654" s="8">
        <f t="shared" si="10"/>
        <v>1.5973630831643E-3</v>
      </c>
    </row>
    <row r="655" spans="1:3" x14ac:dyDescent="0.25">
      <c r="A655" s="60" t="s">
        <v>848</v>
      </c>
      <c r="B655" s="61">
        <v>11.52</v>
      </c>
      <c r="C655" s="8">
        <f t="shared" si="10"/>
        <v>1.6227180527383365E-3</v>
      </c>
    </row>
    <row r="656" spans="1:3" x14ac:dyDescent="0.25">
      <c r="A656" s="60" t="s">
        <v>849</v>
      </c>
      <c r="B656" s="61">
        <v>11.52</v>
      </c>
      <c r="C656" s="8">
        <f t="shared" si="10"/>
        <v>1.6227180527383365E-3</v>
      </c>
    </row>
    <row r="657" spans="1:3" x14ac:dyDescent="0.25">
      <c r="A657" s="60" t="s">
        <v>850</v>
      </c>
      <c r="B657" s="61">
        <v>11.52</v>
      </c>
      <c r="C657" s="8">
        <f t="shared" si="10"/>
        <v>1.6227180527383365E-3</v>
      </c>
    </row>
    <row r="658" spans="1:3" x14ac:dyDescent="0.25">
      <c r="A658" s="60" t="s">
        <v>851</v>
      </c>
      <c r="B658" s="61">
        <v>11.52</v>
      </c>
      <c r="C658" s="8">
        <f t="shared" si="10"/>
        <v>1.6227180527383365E-3</v>
      </c>
    </row>
    <row r="659" spans="1:3" x14ac:dyDescent="0.25">
      <c r="A659" s="60" t="s">
        <v>852</v>
      </c>
      <c r="B659" s="61">
        <v>11.52</v>
      </c>
      <c r="C659" s="8">
        <f t="shared" si="10"/>
        <v>1.6227180527383365E-3</v>
      </c>
    </row>
    <row r="660" spans="1:3" x14ac:dyDescent="0.25">
      <c r="A660" s="60" t="s">
        <v>853</v>
      </c>
      <c r="B660" s="61">
        <v>11.52</v>
      </c>
      <c r="C660" s="8">
        <f t="shared" si="10"/>
        <v>1.6227180527383365E-3</v>
      </c>
    </row>
    <row r="661" spans="1:3" x14ac:dyDescent="0.25">
      <c r="A661" s="60" t="s">
        <v>854</v>
      </c>
      <c r="B661" s="61">
        <v>11.52</v>
      </c>
      <c r="C661" s="8">
        <f t="shared" si="10"/>
        <v>1.6227180527383365E-3</v>
      </c>
    </row>
    <row r="662" spans="1:3" x14ac:dyDescent="0.25">
      <c r="A662" s="60" t="s">
        <v>855</v>
      </c>
      <c r="B662" s="61">
        <v>11.52</v>
      </c>
      <c r="C662" s="8">
        <f t="shared" si="10"/>
        <v>1.6227180527383365E-3</v>
      </c>
    </row>
    <row r="663" spans="1:3" x14ac:dyDescent="0.25">
      <c r="A663" s="60" t="s">
        <v>856</v>
      </c>
      <c r="B663" s="61">
        <v>11.52</v>
      </c>
      <c r="C663" s="8">
        <f t="shared" si="10"/>
        <v>1.6227180527383365E-3</v>
      </c>
    </row>
    <row r="664" spans="1:3" x14ac:dyDescent="0.25">
      <c r="A664" s="60" t="s">
        <v>857</v>
      </c>
      <c r="B664" s="61">
        <v>11.52</v>
      </c>
      <c r="C664" s="8">
        <f t="shared" si="10"/>
        <v>1.6227180527383365E-3</v>
      </c>
    </row>
    <row r="665" spans="1:3" x14ac:dyDescent="0.25">
      <c r="A665" s="60" t="s">
        <v>858</v>
      </c>
      <c r="B665" s="61">
        <v>11.34</v>
      </c>
      <c r="C665" s="8">
        <f t="shared" si="10"/>
        <v>1.5973630831643E-3</v>
      </c>
    </row>
    <row r="666" spans="1:3" x14ac:dyDescent="0.25">
      <c r="A666" s="60" t="s">
        <v>859</v>
      </c>
      <c r="B666" s="61">
        <v>11.34</v>
      </c>
      <c r="C666" s="8">
        <f t="shared" si="10"/>
        <v>1.5973630831643E-3</v>
      </c>
    </row>
    <row r="667" spans="1:3" x14ac:dyDescent="0.25">
      <c r="A667" s="60" t="s">
        <v>860</v>
      </c>
      <c r="B667" s="61">
        <v>11.34</v>
      </c>
      <c r="C667" s="8">
        <f t="shared" ref="C667:C724" si="11">B667/$B$89</f>
        <v>1.5973630831643E-3</v>
      </c>
    </row>
    <row r="668" spans="1:3" x14ac:dyDescent="0.25">
      <c r="A668" s="60" t="s">
        <v>861</v>
      </c>
      <c r="B668" s="61">
        <v>11.34</v>
      </c>
      <c r="C668" s="8">
        <f t="shared" si="11"/>
        <v>1.5973630831643E-3</v>
      </c>
    </row>
    <row r="669" spans="1:3" x14ac:dyDescent="0.25">
      <c r="A669" s="60" t="s">
        <v>862</v>
      </c>
      <c r="B669" s="61">
        <v>11.34</v>
      </c>
      <c r="C669" s="8">
        <f t="shared" si="11"/>
        <v>1.5973630831643E-3</v>
      </c>
    </row>
    <row r="670" spans="1:3" x14ac:dyDescent="0.25">
      <c r="A670" s="60" t="s">
        <v>863</v>
      </c>
      <c r="B670" s="61">
        <v>11.34</v>
      </c>
      <c r="C670" s="8">
        <f t="shared" si="11"/>
        <v>1.5973630831643E-3</v>
      </c>
    </row>
    <row r="671" spans="1:3" x14ac:dyDescent="0.25">
      <c r="A671" s="60" t="s">
        <v>864</v>
      </c>
      <c r="B671" s="61">
        <v>11.34</v>
      </c>
      <c r="C671" s="8">
        <f t="shared" si="11"/>
        <v>1.5973630831643E-3</v>
      </c>
    </row>
    <row r="672" spans="1:3" x14ac:dyDescent="0.25">
      <c r="A672" s="60" t="s">
        <v>865</v>
      </c>
      <c r="B672" s="61">
        <v>11.34</v>
      </c>
      <c r="C672" s="8">
        <f t="shared" si="11"/>
        <v>1.5973630831643E-3</v>
      </c>
    </row>
    <row r="673" spans="1:3" x14ac:dyDescent="0.25">
      <c r="A673" s="60" t="s">
        <v>866</v>
      </c>
      <c r="B673" s="61">
        <v>11.34</v>
      </c>
      <c r="C673" s="8">
        <f t="shared" si="11"/>
        <v>1.5973630831643E-3</v>
      </c>
    </row>
    <row r="674" spans="1:3" x14ac:dyDescent="0.25">
      <c r="A674" s="60" t="s">
        <v>867</v>
      </c>
      <c r="B674" s="61">
        <v>11.34</v>
      </c>
      <c r="C674" s="8">
        <f t="shared" si="11"/>
        <v>1.5973630831643E-3</v>
      </c>
    </row>
    <row r="675" spans="1:3" x14ac:dyDescent="0.25">
      <c r="A675" s="60" t="s">
        <v>868</v>
      </c>
      <c r="B675" s="61">
        <v>11.52</v>
      </c>
      <c r="C675" s="8">
        <f t="shared" si="11"/>
        <v>1.6227180527383365E-3</v>
      </c>
    </row>
    <row r="676" spans="1:3" x14ac:dyDescent="0.25">
      <c r="A676" s="60" t="s">
        <v>869</v>
      </c>
      <c r="B676" s="61">
        <v>11.52</v>
      </c>
      <c r="C676" s="8">
        <f t="shared" si="11"/>
        <v>1.6227180527383365E-3</v>
      </c>
    </row>
    <row r="677" spans="1:3" x14ac:dyDescent="0.25">
      <c r="A677" s="60" t="s">
        <v>870</v>
      </c>
      <c r="B677" s="61">
        <v>11.52</v>
      </c>
      <c r="C677" s="8">
        <f t="shared" si="11"/>
        <v>1.6227180527383365E-3</v>
      </c>
    </row>
    <row r="678" spans="1:3" x14ac:dyDescent="0.25">
      <c r="A678" s="60" t="s">
        <v>871</v>
      </c>
      <c r="B678" s="61">
        <v>11.52</v>
      </c>
      <c r="C678" s="8">
        <f t="shared" si="11"/>
        <v>1.6227180527383365E-3</v>
      </c>
    </row>
    <row r="679" spans="1:3" x14ac:dyDescent="0.25">
      <c r="A679" s="60" t="s">
        <v>872</v>
      </c>
      <c r="B679" s="61">
        <v>11.52</v>
      </c>
      <c r="C679" s="8">
        <f t="shared" si="11"/>
        <v>1.6227180527383365E-3</v>
      </c>
    </row>
    <row r="680" spans="1:3" x14ac:dyDescent="0.25">
      <c r="A680" s="60" t="s">
        <v>873</v>
      </c>
      <c r="B680" s="61">
        <v>11.52</v>
      </c>
      <c r="C680" s="8">
        <f t="shared" si="11"/>
        <v>1.6227180527383365E-3</v>
      </c>
    </row>
    <row r="681" spans="1:3" x14ac:dyDescent="0.25">
      <c r="A681" s="60" t="s">
        <v>874</v>
      </c>
      <c r="B681" s="61">
        <v>11.52</v>
      </c>
      <c r="C681" s="8">
        <f t="shared" si="11"/>
        <v>1.6227180527383365E-3</v>
      </c>
    </row>
    <row r="682" spans="1:3" x14ac:dyDescent="0.25">
      <c r="A682" s="60" t="s">
        <v>875</v>
      </c>
      <c r="B682" s="61">
        <v>11.52</v>
      </c>
      <c r="C682" s="8">
        <f t="shared" si="11"/>
        <v>1.6227180527383365E-3</v>
      </c>
    </row>
    <row r="683" spans="1:3" x14ac:dyDescent="0.25">
      <c r="A683" s="60" t="s">
        <v>876</v>
      </c>
      <c r="B683" s="61">
        <v>11.52</v>
      </c>
      <c r="C683" s="8">
        <f t="shared" si="11"/>
        <v>1.6227180527383365E-3</v>
      </c>
    </row>
    <row r="684" spans="1:3" x14ac:dyDescent="0.25">
      <c r="A684" s="60" t="s">
        <v>877</v>
      </c>
      <c r="B684" s="61">
        <v>11.52</v>
      </c>
      <c r="C684" s="8">
        <f t="shared" si="11"/>
        <v>1.6227180527383365E-3</v>
      </c>
    </row>
    <row r="685" spans="1:3" x14ac:dyDescent="0.25">
      <c r="A685" s="60" t="s">
        <v>878</v>
      </c>
      <c r="B685" s="61">
        <v>11.34</v>
      </c>
      <c r="C685" s="8">
        <f t="shared" si="11"/>
        <v>1.5973630831643E-3</v>
      </c>
    </row>
    <row r="686" spans="1:3" x14ac:dyDescent="0.25">
      <c r="A686" s="60" t="s">
        <v>879</v>
      </c>
      <c r="B686" s="61">
        <v>11.34</v>
      </c>
      <c r="C686" s="8">
        <f t="shared" si="11"/>
        <v>1.5973630831643E-3</v>
      </c>
    </row>
    <row r="687" spans="1:3" x14ac:dyDescent="0.25">
      <c r="A687" s="60" t="s">
        <v>880</v>
      </c>
      <c r="B687" s="61">
        <v>11.34</v>
      </c>
      <c r="C687" s="8">
        <f t="shared" si="11"/>
        <v>1.5973630831643E-3</v>
      </c>
    </row>
    <row r="688" spans="1:3" x14ac:dyDescent="0.25">
      <c r="A688" s="60" t="s">
        <v>881</v>
      </c>
      <c r="B688" s="61">
        <v>11.34</v>
      </c>
      <c r="C688" s="8">
        <f t="shared" si="11"/>
        <v>1.5973630831643E-3</v>
      </c>
    </row>
    <row r="689" spans="1:3" x14ac:dyDescent="0.25">
      <c r="A689" s="60" t="s">
        <v>882</v>
      </c>
      <c r="B689" s="61">
        <v>11.34</v>
      </c>
      <c r="C689" s="8">
        <f t="shared" si="11"/>
        <v>1.5973630831643E-3</v>
      </c>
    </row>
    <row r="690" spans="1:3" x14ac:dyDescent="0.25">
      <c r="A690" s="60" t="s">
        <v>883</v>
      </c>
      <c r="B690" s="61">
        <v>11.34</v>
      </c>
      <c r="C690" s="8">
        <f t="shared" si="11"/>
        <v>1.5973630831643E-3</v>
      </c>
    </row>
    <row r="691" spans="1:3" x14ac:dyDescent="0.25">
      <c r="A691" s="60" t="s">
        <v>884</v>
      </c>
      <c r="B691" s="61">
        <v>11.34</v>
      </c>
      <c r="C691" s="8">
        <f t="shared" si="11"/>
        <v>1.5973630831643E-3</v>
      </c>
    </row>
    <row r="692" spans="1:3" x14ac:dyDescent="0.25">
      <c r="A692" s="60" t="s">
        <v>885</v>
      </c>
      <c r="B692" s="61">
        <v>11.34</v>
      </c>
      <c r="C692" s="8">
        <f t="shared" si="11"/>
        <v>1.5973630831643E-3</v>
      </c>
    </row>
    <row r="693" spans="1:3" x14ac:dyDescent="0.25">
      <c r="A693" s="60" t="s">
        <v>886</v>
      </c>
      <c r="B693" s="61">
        <v>11.34</v>
      </c>
      <c r="C693" s="8">
        <f t="shared" si="11"/>
        <v>1.5973630831643E-3</v>
      </c>
    </row>
    <row r="694" spans="1:3" x14ac:dyDescent="0.25">
      <c r="A694" s="60" t="s">
        <v>887</v>
      </c>
      <c r="B694" s="61">
        <v>11.34</v>
      </c>
      <c r="C694" s="8">
        <f t="shared" si="11"/>
        <v>1.5973630831643E-3</v>
      </c>
    </row>
    <row r="695" spans="1:3" x14ac:dyDescent="0.25">
      <c r="A695" s="60" t="s">
        <v>888</v>
      </c>
      <c r="B695" s="61">
        <v>11.34</v>
      </c>
      <c r="C695" s="8">
        <f t="shared" si="11"/>
        <v>1.5973630831643E-3</v>
      </c>
    </row>
    <row r="696" spans="1:3" x14ac:dyDescent="0.25">
      <c r="A696" s="60" t="s">
        <v>889</v>
      </c>
      <c r="B696" s="61">
        <v>11.34</v>
      </c>
      <c r="C696" s="8">
        <f t="shared" si="11"/>
        <v>1.5973630831643E-3</v>
      </c>
    </row>
    <row r="697" spans="1:3" x14ac:dyDescent="0.25">
      <c r="A697" s="60" t="s">
        <v>890</v>
      </c>
      <c r="B697" s="61">
        <v>11.34</v>
      </c>
      <c r="C697" s="8">
        <f t="shared" si="11"/>
        <v>1.5973630831643E-3</v>
      </c>
    </row>
    <row r="698" spans="1:3" x14ac:dyDescent="0.25">
      <c r="A698" s="60" t="s">
        <v>891</v>
      </c>
      <c r="B698" s="61">
        <v>11.16</v>
      </c>
      <c r="C698" s="8">
        <f t="shared" si="11"/>
        <v>1.5720081135902635E-3</v>
      </c>
    </row>
    <row r="699" spans="1:3" x14ac:dyDescent="0.25">
      <c r="A699" s="60" t="s">
        <v>892</v>
      </c>
      <c r="B699" s="61">
        <v>11.16</v>
      </c>
      <c r="C699" s="8">
        <f t="shared" si="11"/>
        <v>1.5720081135902635E-3</v>
      </c>
    </row>
    <row r="700" spans="1:3" x14ac:dyDescent="0.25">
      <c r="A700" s="60" t="s">
        <v>893</v>
      </c>
      <c r="B700" s="61">
        <v>11.16</v>
      </c>
      <c r="C700" s="8">
        <f t="shared" si="11"/>
        <v>1.5720081135902635E-3</v>
      </c>
    </row>
    <row r="701" spans="1:3" x14ac:dyDescent="0.25">
      <c r="A701" s="60" t="s">
        <v>894</v>
      </c>
      <c r="B701" s="61">
        <v>11.16</v>
      </c>
      <c r="C701" s="8">
        <f t="shared" si="11"/>
        <v>1.5720081135902635E-3</v>
      </c>
    </row>
    <row r="702" spans="1:3" x14ac:dyDescent="0.25">
      <c r="A702" s="60" t="s">
        <v>895</v>
      </c>
      <c r="B702" s="61">
        <v>11.16</v>
      </c>
      <c r="C702" s="8">
        <f t="shared" si="11"/>
        <v>1.5720081135902635E-3</v>
      </c>
    </row>
    <row r="703" spans="1:3" x14ac:dyDescent="0.25">
      <c r="A703" s="60" t="s">
        <v>896</v>
      </c>
      <c r="B703" s="61">
        <v>11.16</v>
      </c>
      <c r="C703" s="8">
        <f t="shared" si="11"/>
        <v>1.5720081135902635E-3</v>
      </c>
    </row>
    <row r="704" spans="1:3" x14ac:dyDescent="0.25">
      <c r="A704" s="60" t="s">
        <v>897</v>
      </c>
      <c r="B704" s="61">
        <v>11.16</v>
      </c>
      <c r="C704" s="8">
        <f t="shared" si="11"/>
        <v>1.5720081135902635E-3</v>
      </c>
    </row>
    <row r="705" spans="1:3" x14ac:dyDescent="0.25">
      <c r="A705" s="60" t="s">
        <v>898</v>
      </c>
      <c r="B705" s="61">
        <v>11.52</v>
      </c>
      <c r="C705" s="8">
        <f t="shared" si="11"/>
        <v>1.6227180527383365E-3</v>
      </c>
    </row>
    <row r="706" spans="1:3" x14ac:dyDescent="0.25">
      <c r="A706" s="60" t="s">
        <v>899</v>
      </c>
      <c r="B706" s="61">
        <v>11.52</v>
      </c>
      <c r="C706" s="8">
        <f t="shared" si="11"/>
        <v>1.6227180527383365E-3</v>
      </c>
    </row>
    <row r="707" spans="1:3" x14ac:dyDescent="0.25">
      <c r="A707" s="60" t="s">
        <v>900</v>
      </c>
      <c r="B707" s="61">
        <v>11.52</v>
      </c>
      <c r="C707" s="8">
        <f t="shared" si="11"/>
        <v>1.6227180527383365E-3</v>
      </c>
    </row>
    <row r="708" spans="1:3" x14ac:dyDescent="0.25">
      <c r="A708" s="60" t="s">
        <v>901</v>
      </c>
      <c r="B708" s="61">
        <v>11.52</v>
      </c>
      <c r="C708" s="8">
        <f t="shared" si="11"/>
        <v>1.6227180527383365E-3</v>
      </c>
    </row>
    <row r="709" spans="1:3" x14ac:dyDescent="0.25">
      <c r="A709" s="60" t="s">
        <v>902</v>
      </c>
      <c r="B709" s="61">
        <v>11.52</v>
      </c>
      <c r="C709" s="8">
        <f t="shared" si="11"/>
        <v>1.6227180527383365E-3</v>
      </c>
    </row>
    <row r="710" spans="1:3" x14ac:dyDescent="0.25">
      <c r="A710" s="60" t="s">
        <v>903</v>
      </c>
      <c r="B710" s="61">
        <v>11.52</v>
      </c>
      <c r="C710" s="8">
        <f t="shared" si="11"/>
        <v>1.6227180527383365E-3</v>
      </c>
    </row>
    <row r="711" spans="1:3" x14ac:dyDescent="0.25">
      <c r="A711" s="60" t="s">
        <v>904</v>
      </c>
      <c r="B711" s="61">
        <v>11.52</v>
      </c>
      <c r="C711" s="8">
        <f t="shared" si="11"/>
        <v>1.6227180527383365E-3</v>
      </c>
    </row>
    <row r="712" spans="1:3" x14ac:dyDescent="0.25">
      <c r="A712" s="60" t="s">
        <v>905</v>
      </c>
      <c r="B712" s="61">
        <v>11.52</v>
      </c>
      <c r="C712" s="8">
        <f t="shared" si="11"/>
        <v>1.6227180527383365E-3</v>
      </c>
    </row>
    <row r="713" spans="1:3" x14ac:dyDescent="0.25">
      <c r="A713" s="60" t="s">
        <v>906</v>
      </c>
      <c r="B713" s="61">
        <v>11.52</v>
      </c>
      <c r="C713" s="8">
        <f t="shared" si="11"/>
        <v>1.6227180527383365E-3</v>
      </c>
    </row>
    <row r="714" spans="1:3" x14ac:dyDescent="0.25">
      <c r="A714" s="60" t="s">
        <v>907</v>
      </c>
      <c r="B714" s="61">
        <v>11.52</v>
      </c>
      <c r="C714" s="8">
        <f t="shared" si="11"/>
        <v>1.6227180527383365E-3</v>
      </c>
    </row>
    <row r="715" spans="1:3" x14ac:dyDescent="0.25">
      <c r="A715" s="60" t="s">
        <v>908</v>
      </c>
      <c r="B715" s="61">
        <v>11.16</v>
      </c>
      <c r="C715" s="8">
        <f t="shared" si="11"/>
        <v>1.5720081135902635E-3</v>
      </c>
    </row>
    <row r="716" spans="1:3" x14ac:dyDescent="0.25">
      <c r="A716" s="60" t="s">
        <v>909</v>
      </c>
      <c r="B716" s="61">
        <v>11.16</v>
      </c>
      <c r="C716" s="8">
        <f t="shared" si="11"/>
        <v>1.5720081135902635E-3</v>
      </c>
    </row>
    <row r="717" spans="1:3" x14ac:dyDescent="0.25">
      <c r="A717" s="60" t="s">
        <v>910</v>
      </c>
      <c r="B717" s="61">
        <v>11.16</v>
      </c>
      <c r="C717" s="8">
        <f t="shared" si="11"/>
        <v>1.5720081135902635E-3</v>
      </c>
    </row>
    <row r="718" spans="1:3" x14ac:dyDescent="0.25">
      <c r="A718" s="60" t="s">
        <v>911</v>
      </c>
      <c r="B718" s="61">
        <v>11.16</v>
      </c>
      <c r="C718" s="8">
        <f t="shared" si="11"/>
        <v>1.5720081135902635E-3</v>
      </c>
    </row>
    <row r="719" spans="1:3" x14ac:dyDescent="0.25">
      <c r="A719" s="60" t="s">
        <v>912</v>
      </c>
      <c r="B719" s="61">
        <v>11.16</v>
      </c>
      <c r="C719" s="8">
        <f t="shared" si="11"/>
        <v>1.5720081135902635E-3</v>
      </c>
    </row>
    <row r="720" spans="1:3" x14ac:dyDescent="0.25">
      <c r="A720" s="60" t="s">
        <v>913</v>
      </c>
      <c r="B720" s="61">
        <v>11.16</v>
      </c>
      <c r="C720" s="8">
        <f t="shared" si="11"/>
        <v>1.5720081135902635E-3</v>
      </c>
    </row>
    <row r="721" spans="1:3" x14ac:dyDescent="0.25">
      <c r="A721" s="60" t="s">
        <v>914</v>
      </c>
      <c r="B721" s="61">
        <v>11.16</v>
      </c>
      <c r="C721" s="8">
        <f t="shared" si="11"/>
        <v>1.5720081135902635E-3</v>
      </c>
    </row>
    <row r="722" spans="1:3" x14ac:dyDescent="0.25">
      <c r="A722" s="60" t="s">
        <v>915</v>
      </c>
      <c r="B722" s="61">
        <v>11.16</v>
      </c>
      <c r="C722" s="8">
        <f t="shared" si="11"/>
        <v>1.5720081135902635E-3</v>
      </c>
    </row>
    <row r="723" spans="1:3" x14ac:dyDescent="0.25">
      <c r="A723" s="60" t="s">
        <v>916</v>
      </c>
      <c r="B723" s="61">
        <v>11.16</v>
      </c>
      <c r="C723" s="8">
        <f t="shared" si="11"/>
        <v>1.5720081135902635E-3</v>
      </c>
    </row>
    <row r="724" spans="1:3" x14ac:dyDescent="0.25">
      <c r="A724" s="60" t="s">
        <v>917</v>
      </c>
      <c r="B724" s="61">
        <v>11.16</v>
      </c>
      <c r="C724" s="8">
        <f t="shared" si="11"/>
        <v>1.5720081135902635E-3</v>
      </c>
    </row>
  </sheetData>
  <phoneticPr fontId="1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7726-1B79-426D-BD95-BF431FD0610D}">
  <sheetPr codeName="Sheet11"/>
  <dimension ref="A1:AP53"/>
  <sheetViews>
    <sheetView zoomScale="85" zoomScaleNormal="85" workbookViewId="0">
      <pane xSplit="8" ySplit="1" topLeftCell="I35" activePane="bottomRight" state="frozen"/>
      <selection activeCell="G149" sqref="G149"/>
      <selection pane="topRight" activeCell="G149" sqref="G149"/>
      <selection pane="bottomLeft" activeCell="G149" sqref="G149"/>
      <selection pane="bottomRight" activeCell="D50" sqref="D50"/>
    </sheetView>
  </sheetViews>
  <sheetFormatPr defaultRowHeight="15" x14ac:dyDescent="0.25"/>
  <cols>
    <col min="1" max="2" width="9" style="2" customWidth="1"/>
    <col min="3" max="3" width="9.85546875" customWidth="1"/>
    <col min="4" max="8" width="9" customWidth="1"/>
    <col min="9" max="10" width="10.140625" customWidth="1"/>
    <col min="11" max="11" width="9.5703125" bestFit="1" customWidth="1"/>
    <col min="12" max="19" width="9.5703125" customWidth="1"/>
    <col min="20" max="20" width="18.85546875" bestFit="1" customWidth="1"/>
    <col min="21" max="21" width="11.140625" customWidth="1"/>
    <col min="22" max="22" width="15.42578125" customWidth="1"/>
    <col min="23" max="23" width="15.85546875" customWidth="1"/>
    <col min="24" max="24" width="43.140625" customWidth="1"/>
    <col min="25" max="25" width="19.85546875" customWidth="1"/>
    <col min="26" max="26" width="44.28515625" customWidth="1"/>
    <col min="27" max="27" width="11" bestFit="1" customWidth="1"/>
    <col min="28" max="28" width="10" bestFit="1" customWidth="1"/>
    <col min="29" max="29" width="11" customWidth="1"/>
    <col min="30" max="30" width="13.140625" style="2" bestFit="1" customWidth="1"/>
    <col min="31" max="31" width="10.28515625" style="2" customWidth="1"/>
    <col min="32" max="32" width="12.85546875" style="2" bestFit="1" customWidth="1"/>
    <col min="33" max="33" width="10.140625" style="2" customWidth="1"/>
    <col min="34" max="34" width="16.7109375" style="2" bestFit="1" customWidth="1"/>
    <col min="35" max="35" width="62.5703125" style="2" bestFit="1" customWidth="1"/>
    <col min="36" max="36" width="9.85546875" style="2" customWidth="1"/>
    <col min="37" max="37" width="14.7109375" style="2" bestFit="1" customWidth="1"/>
    <col min="38" max="38" width="13.28515625" style="2" customWidth="1"/>
    <col min="39" max="39" width="10" customWidth="1"/>
  </cols>
  <sheetData>
    <row r="1" spans="1:42" ht="60" x14ac:dyDescent="0.25">
      <c r="A1" s="226" t="s">
        <v>7</v>
      </c>
      <c r="B1" s="227" t="s">
        <v>33</v>
      </c>
      <c r="C1" s="227" t="s">
        <v>109</v>
      </c>
      <c r="D1" s="227" t="s">
        <v>110</v>
      </c>
      <c r="E1" s="227" t="s">
        <v>1136</v>
      </c>
      <c r="F1" s="227" t="s">
        <v>85</v>
      </c>
      <c r="G1" s="227" t="s">
        <v>86</v>
      </c>
      <c r="H1" s="227" t="s">
        <v>62</v>
      </c>
      <c r="I1" s="227" t="s">
        <v>149</v>
      </c>
      <c r="J1" s="227" t="s">
        <v>150</v>
      </c>
      <c r="K1" s="227" t="s">
        <v>1002</v>
      </c>
      <c r="L1" s="227" t="s">
        <v>1145</v>
      </c>
      <c r="M1" s="227" t="s">
        <v>1146</v>
      </c>
      <c r="N1" s="227" t="s">
        <v>1147</v>
      </c>
      <c r="O1" s="227" t="s">
        <v>1148</v>
      </c>
      <c r="P1" s="227" t="s">
        <v>1149</v>
      </c>
      <c r="Q1" s="227" t="s">
        <v>1150</v>
      </c>
      <c r="R1" s="227" t="s">
        <v>1151</v>
      </c>
      <c r="S1" s="227" t="s">
        <v>1152</v>
      </c>
      <c r="T1" s="227" t="s">
        <v>1137</v>
      </c>
      <c r="U1" s="227" t="s">
        <v>1138</v>
      </c>
      <c r="V1" s="227" t="s">
        <v>178</v>
      </c>
      <c r="W1" s="227" t="s">
        <v>1139</v>
      </c>
      <c r="X1" s="227" t="s">
        <v>1140</v>
      </c>
      <c r="Y1" s="227" t="s">
        <v>1003</v>
      </c>
      <c r="Z1" s="227" t="s">
        <v>1004</v>
      </c>
      <c r="AA1" s="227" t="s">
        <v>1005</v>
      </c>
      <c r="AB1" s="227" t="s">
        <v>1141</v>
      </c>
      <c r="AC1" s="227" t="s">
        <v>1006</v>
      </c>
      <c r="AD1" s="227" t="s">
        <v>1142</v>
      </c>
      <c r="AE1" s="227" t="s">
        <v>1143</v>
      </c>
      <c r="AF1" s="227" t="s">
        <v>1007</v>
      </c>
      <c r="AG1" s="227" t="s">
        <v>1008</v>
      </c>
      <c r="AH1" s="227" t="s">
        <v>1009</v>
      </c>
      <c r="AI1" s="227" t="s">
        <v>1010</v>
      </c>
      <c r="AJ1" s="227" t="s">
        <v>180</v>
      </c>
      <c r="AK1" s="227" t="s">
        <v>1011</v>
      </c>
      <c r="AL1" s="227" t="s">
        <v>1012</v>
      </c>
      <c r="AM1" s="227" t="s">
        <v>1144</v>
      </c>
      <c r="AN1" s="227" t="s">
        <v>1061</v>
      </c>
      <c r="AO1" s="227" t="s">
        <v>1060</v>
      </c>
      <c r="AP1" s="228" t="s">
        <v>1153</v>
      </c>
    </row>
    <row r="2" spans="1:42" x14ac:dyDescent="0.25">
      <c r="A2" s="125">
        <v>1</v>
      </c>
      <c r="B2" s="229">
        <v>45745</v>
      </c>
      <c r="C2" s="230">
        <f>YEAR(Plant_BD[[#This Row],[Date]])+IF(MONTH(Plant_BD[[#This Row],[Date]])&gt;=4,1,0)</f>
        <v>2025</v>
      </c>
      <c r="D2" s="230">
        <f>YEAR(Plant_BD[[#This Row],[Date]])</f>
        <v>2025</v>
      </c>
      <c r="E2" s="59" t="s">
        <v>4</v>
      </c>
      <c r="F2" s="59" t="s">
        <v>4</v>
      </c>
      <c r="G2" s="231">
        <f>Plant_BD[[#This Row],[Date]]-DAY(Plant_BD[[#This Row],[Date]])+1</f>
        <v>45717</v>
      </c>
      <c r="H2" s="3">
        <f>DAY(EOMONTH(Plant_BD[[#This Row],[Month Year]],0))</f>
        <v>31</v>
      </c>
      <c r="I2" s="232">
        <f>IFERROR(_xlfn.XLOOKUP(Plant_BD[[#This Row],[Date]],'Raw Data'!$G:$G,'Raw Data'!$I:$I),"")</f>
        <v>0.25555555555555554</v>
      </c>
      <c r="J2" s="232">
        <f>IFERROR(_xlfn.XLOOKUP(Plant_BD[[#This Row],[Date]],'Raw Data'!$G:$G,'Raw Data'!$J:$J),"")</f>
        <v>0.76944444444444449</v>
      </c>
      <c r="K2" s="233">
        <f>IFERROR((Plant_BD[[#This Row],[Sunset Time (POA&lt;20 W/m2)]]-Plant_BD[[#This Row],[Sunrise Time (POA&gt;20 W/m2)]])*24,"")</f>
        <v>12.333333333333336</v>
      </c>
      <c r="L2" s="233"/>
      <c r="M2" s="233"/>
      <c r="N2" s="233"/>
      <c r="O2" s="233"/>
      <c r="P2" s="233"/>
      <c r="Q2" s="233"/>
      <c r="R2" s="233"/>
      <c r="S2" s="233"/>
      <c r="T2" s="234" t="s">
        <v>155</v>
      </c>
      <c r="U2" s="10">
        <f>_xlfn.XLOOKUP(Plant_BD[[#This Row],[Affected Equipment]],'Basic Data'!$A:$A,'Basic Data'!$B:$B)</f>
        <v>669.59999999999991</v>
      </c>
      <c r="V2" s="235">
        <f>_xlfn.XLOOKUP(Plant_BD[[#This Row],[Affected Equipment]],'Basic Data'!$A:$A,'Basic Data'!$C:$C)</f>
        <v>9.4320486815415799E-2</v>
      </c>
      <c r="W2" s="236" t="s">
        <v>1023</v>
      </c>
      <c r="X2" s="236" t="s">
        <v>1023</v>
      </c>
      <c r="Y2" s="236" t="s">
        <v>1023</v>
      </c>
      <c r="Z2" s="236" t="s">
        <v>1023</v>
      </c>
      <c r="AA2" s="237">
        <v>0.25486111111111109</v>
      </c>
      <c r="AB2" s="237"/>
      <c r="AC2" s="237"/>
      <c r="AD2" s="237">
        <v>0.76875000000000004</v>
      </c>
      <c r="AE2" s="238"/>
      <c r="AF2" s="238"/>
      <c r="AG2" s="11">
        <f>(Plant_BD[[#This Row],[Work Completion time on fault]]-Plant_BD[[#This Row],[Fault Time]])*24</f>
        <v>12.333333333333336</v>
      </c>
      <c r="AH2" s="11">
        <f>IFERROR((Plant_BD[[#This Row],[Work Completion time on fault]]-Plant_BD[[#This Row],[Fault Time]])*24,"")</f>
        <v>12.333333333333336</v>
      </c>
      <c r="AI2" s="212" t="s">
        <v>1024</v>
      </c>
      <c r="AJ2" s="6" t="s">
        <v>182</v>
      </c>
      <c r="AK2" s="239">
        <f>IFERROR(Plant_BD[[#This Row],[Breakdown Time]]*Plant_BD[[#This Row],[Plant Equivalent Weightage]],"")</f>
        <v>1.1632860040567952</v>
      </c>
      <c r="AL2" s="6">
        <v>5.5</v>
      </c>
      <c r="AM2" s="238">
        <f>IFERROR((_xlfn.XLOOKUP(Plant_BD[[#This Row],[Month Year]],'Modelling New'!$D:$D,'Modelling New'!$O:$O)*Plant_BD[[#This Row],[Lost PoA(kWh/m2)]]*Plant_BD[[#This Row],[DC Capacity Affected (kW)]]),"")</f>
        <v>2627.8682798861923</v>
      </c>
      <c r="AN2" s="6"/>
      <c r="AO2" s="6"/>
      <c r="AP2" s="240"/>
    </row>
    <row r="3" spans="1:42" x14ac:dyDescent="0.25">
      <c r="A3" s="125">
        <f>A2+1</f>
        <v>2</v>
      </c>
      <c r="B3" s="229">
        <v>45746</v>
      </c>
      <c r="C3" s="230">
        <f>YEAR(Plant_BD[[#This Row],[Date]])+IF(MONTH(Plant_BD[[#This Row],[Date]])&gt;=4,1,0)</f>
        <v>2025</v>
      </c>
      <c r="D3" s="230">
        <f>YEAR(Plant_BD[[#This Row],[Date]])</f>
        <v>2025</v>
      </c>
      <c r="E3" s="59" t="s">
        <v>4</v>
      </c>
      <c r="F3" s="59" t="s">
        <v>4</v>
      </c>
      <c r="G3" s="231">
        <f>Plant_BD[[#This Row],[Date]]-DAY(Plant_BD[[#This Row],[Date]])+1</f>
        <v>45717</v>
      </c>
      <c r="H3" s="3">
        <f>DAY(EOMONTH(Plant_BD[[#This Row],[Month Year]],0))</f>
        <v>31</v>
      </c>
      <c r="I3" s="232">
        <f>IFERROR(_xlfn.XLOOKUP(Plant_BD[[#This Row],[Date]],'Raw Data'!$G:$G,'Raw Data'!$I:$I),"")</f>
        <v>0.27847222222222223</v>
      </c>
      <c r="J3" s="232">
        <f>IFERROR(_xlfn.XLOOKUP(Plant_BD[[#This Row],[Date]],'Raw Data'!$G:$G,'Raw Data'!$J:$J),"")</f>
        <v>0.75624999999999998</v>
      </c>
      <c r="K3" s="233">
        <f>IFERROR((Plant_BD[[#This Row],[Sunset Time (POA&lt;20 W/m2)]]-Plant_BD[[#This Row],[Sunrise Time (POA&gt;20 W/m2)]])*24,"")</f>
        <v>11.466666666666665</v>
      </c>
      <c r="L3" s="233"/>
      <c r="M3" s="233"/>
      <c r="N3" s="233"/>
      <c r="O3" s="233"/>
      <c r="P3" s="233"/>
      <c r="Q3" s="233"/>
      <c r="R3" s="233"/>
      <c r="S3" s="233"/>
      <c r="T3" s="234" t="s">
        <v>155</v>
      </c>
      <c r="U3" s="10">
        <f>_xlfn.XLOOKUP(Plant_BD[[#This Row],[Affected Equipment]],'Basic Data'!$A:$A,'Basic Data'!$B:$B)</f>
        <v>669.59999999999991</v>
      </c>
      <c r="V3" s="235">
        <f>_xlfn.XLOOKUP(Plant_BD[[#This Row],[Affected Equipment]],'Basic Data'!$A:$A,'Basic Data'!$C:$C)</f>
        <v>9.4320486815415799E-2</v>
      </c>
      <c r="W3" s="236" t="s">
        <v>1023</v>
      </c>
      <c r="X3" s="236" t="s">
        <v>1023</v>
      </c>
      <c r="Y3" s="236" t="s">
        <v>1023</v>
      </c>
      <c r="Z3" s="236" t="s">
        <v>1023</v>
      </c>
      <c r="AA3" s="237">
        <v>0.25277777777777777</v>
      </c>
      <c r="AB3" s="237"/>
      <c r="AC3" s="237"/>
      <c r="AD3" s="237">
        <v>0.76944444444444449</v>
      </c>
      <c r="AE3" s="238"/>
      <c r="AF3" s="238"/>
      <c r="AG3" s="11">
        <f>(Plant_BD[[#This Row],[Work Completion time on fault]]-Plant_BD[[#This Row],[Fault Time]])*24</f>
        <v>12.400000000000002</v>
      </c>
      <c r="AH3" s="11">
        <f>IFERROR((Plant_BD[[#This Row],[Work Completion time on fault]]-Plant_BD[[#This Row],[Fault Time]])*24,"")</f>
        <v>12.400000000000002</v>
      </c>
      <c r="AI3" s="212" t="s">
        <v>1024</v>
      </c>
      <c r="AJ3" s="6" t="s">
        <v>182</v>
      </c>
      <c r="AK3" s="239">
        <f>IFERROR(Plant_BD[[#This Row],[Breakdown Time]]*Plant_BD[[#This Row],[Plant Equivalent Weightage]],"")</f>
        <v>1.1695740365111562</v>
      </c>
      <c r="AL3" s="6">
        <v>5.5</v>
      </c>
      <c r="AM3" s="238">
        <f>IFERROR((_xlfn.XLOOKUP(Plant_BD[[#This Row],[Month Year]],'Modelling New'!$D:$D,'Modelling New'!$O:$O)*Plant_BD[[#This Row],[Lost PoA(kWh/m2)]]*Plant_BD[[#This Row],[DC Capacity Affected (kW)]]),"")</f>
        <v>2627.8682798861923</v>
      </c>
      <c r="AN3" s="6"/>
      <c r="AO3" s="6"/>
      <c r="AP3" s="240"/>
    </row>
    <row r="4" spans="1:42" x14ac:dyDescent="0.25">
      <c r="A4" s="125">
        <f t="shared" ref="A4:A50" si="0">A3+1</f>
        <v>3</v>
      </c>
      <c r="B4" s="229">
        <v>45747</v>
      </c>
      <c r="C4" s="230">
        <f>YEAR(Plant_BD[[#This Row],[Date]])+IF(MONTH(Plant_BD[[#This Row],[Date]])&gt;=4,1,0)</f>
        <v>2025</v>
      </c>
      <c r="D4" s="230">
        <f>YEAR(Plant_BD[[#This Row],[Date]])</f>
        <v>2025</v>
      </c>
      <c r="E4" s="59" t="s">
        <v>4</v>
      </c>
      <c r="F4" s="59" t="s">
        <v>4</v>
      </c>
      <c r="G4" s="231">
        <f>Plant_BD[[#This Row],[Date]]-DAY(Plant_BD[[#This Row],[Date]])+1</f>
        <v>45717</v>
      </c>
      <c r="H4" s="3">
        <f>DAY(EOMONTH(Plant_BD[[#This Row],[Month Year]],0))</f>
        <v>31</v>
      </c>
      <c r="I4" s="232">
        <f>IFERROR(_xlfn.XLOOKUP(Plant_BD[[#This Row],[Date]],'Raw Data'!$G:$G,'Raw Data'!$I:$I),"")</f>
        <v>0.24930555555555556</v>
      </c>
      <c r="J4" s="232">
        <f>IFERROR(_xlfn.XLOOKUP(Plant_BD[[#This Row],[Date]],'Raw Data'!$G:$G,'Raw Data'!$J:$J),"")</f>
        <v>0.77152777777777781</v>
      </c>
      <c r="K4" s="233">
        <f>IFERROR((Plant_BD[[#This Row],[Sunset Time (POA&lt;20 W/m2)]]-Plant_BD[[#This Row],[Sunrise Time (POA&gt;20 W/m2)]])*24,"")</f>
        <v>12.533333333333335</v>
      </c>
      <c r="L4" s="233"/>
      <c r="M4" s="233"/>
      <c r="N4" s="233"/>
      <c r="O4" s="233"/>
      <c r="P4" s="233"/>
      <c r="Q4" s="233"/>
      <c r="R4" s="233"/>
      <c r="S4" s="233"/>
      <c r="T4" s="234" t="s">
        <v>155</v>
      </c>
      <c r="U4" s="10">
        <f>_xlfn.XLOOKUP(Plant_BD[[#This Row],[Affected Equipment]],'Basic Data'!$A:$A,'Basic Data'!$B:$B)</f>
        <v>669.59999999999991</v>
      </c>
      <c r="V4" s="235">
        <f>_xlfn.XLOOKUP(Plant_BD[[#This Row],[Affected Equipment]],'Basic Data'!$A:$A,'Basic Data'!$C:$C)</f>
        <v>9.4320486815415799E-2</v>
      </c>
      <c r="W4" s="236" t="s">
        <v>1023</v>
      </c>
      <c r="X4" s="236" t="s">
        <v>1023</v>
      </c>
      <c r="Y4" s="236" t="s">
        <v>1023</v>
      </c>
      <c r="Z4" s="236" t="s">
        <v>1023</v>
      </c>
      <c r="AA4" s="237">
        <v>0.24930555555555556</v>
      </c>
      <c r="AB4" s="237"/>
      <c r="AC4" s="237"/>
      <c r="AD4" s="237">
        <v>0.77152777777777781</v>
      </c>
      <c r="AE4" s="238"/>
      <c r="AF4" s="238"/>
      <c r="AG4" s="11">
        <f>(Plant_BD[[#This Row],[Work Completion time on fault]]-Plant_BD[[#This Row],[Fault Time]])*24</f>
        <v>12.533333333333335</v>
      </c>
      <c r="AH4" s="11">
        <f>IFERROR((Plant_BD[[#This Row],[Work Completion time on fault]]-Plant_BD[[#This Row],[Fault Time]])*24,"")</f>
        <v>12.533333333333335</v>
      </c>
      <c r="AI4" s="212" t="s">
        <v>1024</v>
      </c>
      <c r="AJ4" s="6" t="s">
        <v>182</v>
      </c>
      <c r="AK4" s="239">
        <f>IFERROR(Plant_BD[[#This Row],[Breakdown Time]]*Plant_BD[[#This Row],[Plant Equivalent Weightage]],"")</f>
        <v>1.1821501014198781</v>
      </c>
      <c r="AL4" s="6">
        <v>5.28</v>
      </c>
      <c r="AM4" s="238">
        <f>IFERROR((_xlfn.XLOOKUP(Plant_BD[[#This Row],[Month Year]],'Modelling New'!$D:$D,'Modelling New'!$O:$O)*Plant_BD[[#This Row],[Lost PoA(kWh/m2)]]*Plant_BD[[#This Row],[DC Capacity Affected (kW)]]),"")</f>
        <v>2522.753548690745</v>
      </c>
      <c r="AN4" s="6"/>
      <c r="AO4" s="6"/>
      <c r="AP4" s="240"/>
    </row>
    <row r="5" spans="1:42" x14ac:dyDescent="0.25">
      <c r="A5" s="125">
        <f t="shared" si="0"/>
        <v>4</v>
      </c>
      <c r="B5" s="229">
        <v>45748</v>
      </c>
      <c r="C5" s="230">
        <f>YEAR(Plant_BD[[#This Row],[Date]])+IF(MONTH(Plant_BD[[#This Row],[Date]])&gt;=4,1,0)</f>
        <v>2026</v>
      </c>
      <c r="D5" s="230">
        <f>YEAR(Plant_BD[[#This Row],[Date]])</f>
        <v>2025</v>
      </c>
      <c r="E5" s="59" t="s">
        <v>4</v>
      </c>
      <c r="F5" s="59" t="s">
        <v>4</v>
      </c>
      <c r="G5" s="231">
        <f>Plant_BD[[#This Row],[Date]]-DAY(Plant_BD[[#This Row],[Date]])+1</f>
        <v>45748</v>
      </c>
      <c r="H5" s="3">
        <f>DAY(EOMONTH(Plant_BD[[#This Row],[Month Year]],0))</f>
        <v>30</v>
      </c>
      <c r="I5" s="232">
        <f>IFERROR(_xlfn.XLOOKUP(Plant_BD[[#This Row],[Date]],'Raw Data'!$G:$G,'Raw Data'!$I:$I),"")</f>
        <v>0.24791666666666667</v>
      </c>
      <c r="J5" s="232">
        <f>IFERROR(_xlfn.XLOOKUP(Plant_BD[[#This Row],[Date]],'Raw Data'!$G:$G,'Raw Data'!$J:$J),"")</f>
        <v>0.77083333333333337</v>
      </c>
      <c r="K5" s="233">
        <f>IFERROR((Plant_BD[[#This Row],[Sunset Time (POA&lt;20 W/m2)]]-Plant_BD[[#This Row],[Sunrise Time (POA&gt;20 W/m2)]])*24,"")</f>
        <v>12.55</v>
      </c>
      <c r="L5" s="233"/>
      <c r="M5" s="233"/>
      <c r="N5" s="233"/>
      <c r="O5" s="233"/>
      <c r="P5" s="233"/>
      <c r="Q5" s="233"/>
      <c r="R5" s="233"/>
      <c r="S5" s="233"/>
      <c r="T5" s="234" t="s">
        <v>155</v>
      </c>
      <c r="U5" s="10">
        <f>_xlfn.XLOOKUP(Plant_BD[[#This Row],[Affected Equipment]],'Basic Data'!$A:$A,'Basic Data'!$B:$B)</f>
        <v>669.59999999999991</v>
      </c>
      <c r="V5" s="235">
        <f>_xlfn.XLOOKUP(Plant_BD[[#This Row],[Affected Equipment]],'Basic Data'!$A:$A,'Basic Data'!$C:$C)</f>
        <v>9.4320486815415799E-2</v>
      </c>
      <c r="W5" s="236" t="s">
        <v>1023</v>
      </c>
      <c r="X5" s="236" t="s">
        <v>1023</v>
      </c>
      <c r="Y5" s="236" t="s">
        <v>1023</v>
      </c>
      <c r="Z5" s="236" t="s">
        <v>1023</v>
      </c>
      <c r="AA5" s="237">
        <v>0.24791666666666667</v>
      </c>
      <c r="AB5" s="237"/>
      <c r="AC5" s="237"/>
      <c r="AD5" s="237">
        <v>0.77083333333333337</v>
      </c>
      <c r="AE5" s="238"/>
      <c r="AF5" s="238"/>
      <c r="AG5" s="11">
        <f>(Plant_BD[[#This Row],[Work Completion time on fault]]-Plant_BD[[#This Row],[Fault Time]])*24</f>
        <v>12.55</v>
      </c>
      <c r="AH5" s="11">
        <f>IFERROR((Plant_BD[[#This Row],[Work Completion time on fault]]-Plant_BD[[#This Row],[Fault Time]])*24,"")</f>
        <v>12.55</v>
      </c>
      <c r="AI5" s="212" t="s">
        <v>1024</v>
      </c>
      <c r="AJ5" s="6" t="s">
        <v>182</v>
      </c>
      <c r="AK5" s="239">
        <f>IFERROR(Plant_BD[[#This Row],[Breakdown Time]]*Plant_BD[[#This Row],[Plant Equivalent Weightage]],"")</f>
        <v>1.1837221095334685</v>
      </c>
      <c r="AL5" s="6">
        <v>5.23</v>
      </c>
      <c r="AM5" s="238">
        <f>IFERROR((_xlfn.XLOOKUP(Plant_BD[[#This Row],[Month Year]],'Modelling New'!$D:$D,'Modelling New'!$O:$O)*Plant_BD[[#This Row],[Lost PoA(kWh/m2)]]*Plant_BD[[#This Row],[DC Capacity Affected (kW)]]),"")</f>
        <v>2371.0016926908443</v>
      </c>
      <c r="AN5" s="6"/>
      <c r="AO5" s="6"/>
      <c r="AP5" s="240"/>
    </row>
    <row r="6" spans="1:42" x14ac:dyDescent="0.25">
      <c r="A6" s="125">
        <f t="shared" si="0"/>
        <v>5</v>
      </c>
      <c r="B6" s="229">
        <v>45749</v>
      </c>
      <c r="C6" s="230">
        <f>YEAR(Plant_BD[[#This Row],[Date]])+IF(MONTH(Plant_BD[[#This Row],[Date]])&gt;=4,1,0)</f>
        <v>2026</v>
      </c>
      <c r="D6" s="230">
        <f>YEAR(Plant_BD[[#This Row],[Date]])</f>
        <v>2025</v>
      </c>
      <c r="E6" s="59" t="s">
        <v>4</v>
      </c>
      <c r="F6" s="59" t="s">
        <v>4</v>
      </c>
      <c r="G6" s="231">
        <f>Plant_BD[[#This Row],[Date]]-DAY(Plant_BD[[#This Row],[Date]])+1</f>
        <v>45748</v>
      </c>
      <c r="H6" s="3">
        <f>DAY(EOMONTH(Plant_BD[[#This Row],[Month Year]],0))</f>
        <v>30</v>
      </c>
      <c r="I6" s="232">
        <f>IFERROR(_xlfn.XLOOKUP(Plant_BD[[#This Row],[Date]],'Raw Data'!$G:$G,'Raw Data'!$I:$I),"")</f>
        <v>0.24236111111111111</v>
      </c>
      <c r="J6" s="232">
        <f>IFERROR(_xlfn.XLOOKUP(Plant_BD[[#This Row],[Date]],'Raw Data'!$G:$G,'Raw Data'!$J:$J),"")</f>
        <v>0.77569444444444446</v>
      </c>
      <c r="K6" s="233">
        <f>IFERROR((Plant_BD[[#This Row],[Sunset Time (POA&lt;20 W/m2)]]-Plant_BD[[#This Row],[Sunrise Time (POA&gt;20 W/m2)]])*24,"")</f>
        <v>12.8</v>
      </c>
      <c r="L6" s="233"/>
      <c r="M6" s="233"/>
      <c r="N6" s="233"/>
      <c r="O6" s="233"/>
      <c r="P6" s="233"/>
      <c r="Q6" s="233"/>
      <c r="R6" s="233"/>
      <c r="S6" s="233"/>
      <c r="T6" s="234" t="s">
        <v>155</v>
      </c>
      <c r="U6" s="10">
        <f>_xlfn.XLOOKUP(Plant_BD[[#This Row],[Affected Equipment]],'Basic Data'!$A:$A,'Basic Data'!$B:$B)</f>
        <v>669.59999999999991</v>
      </c>
      <c r="V6" s="235">
        <f>_xlfn.XLOOKUP(Plant_BD[[#This Row],[Affected Equipment]],'Basic Data'!$A:$A,'Basic Data'!$C:$C)</f>
        <v>9.4320486815415799E-2</v>
      </c>
      <c r="W6" s="236" t="s">
        <v>1023</v>
      </c>
      <c r="X6" s="236" t="s">
        <v>1023</v>
      </c>
      <c r="Y6" s="236" t="s">
        <v>1023</v>
      </c>
      <c r="Z6" s="236" t="s">
        <v>1023</v>
      </c>
      <c r="AA6" s="237">
        <v>0.24236111111111111</v>
      </c>
      <c r="AB6" s="237"/>
      <c r="AC6" s="237"/>
      <c r="AD6" s="237">
        <v>0.77569444444444446</v>
      </c>
      <c r="AE6" s="238"/>
      <c r="AF6" s="238"/>
      <c r="AG6" s="11">
        <f>(Plant_BD[[#This Row],[Work Completion time on fault]]-Plant_BD[[#This Row],[Fault Time]])*24</f>
        <v>12.8</v>
      </c>
      <c r="AH6" s="11">
        <f>IFERROR((Plant_BD[[#This Row],[Work Completion time on fault]]-Plant_BD[[#This Row],[Fault Time]])*24,"")</f>
        <v>12.8</v>
      </c>
      <c r="AI6" s="212" t="s">
        <v>1024</v>
      </c>
      <c r="AJ6" s="6" t="s">
        <v>182</v>
      </c>
      <c r="AK6" s="239">
        <f>IFERROR(Plant_BD[[#This Row],[Breakdown Time]]*Plant_BD[[#This Row],[Plant Equivalent Weightage]],"")</f>
        <v>1.2073022312373223</v>
      </c>
      <c r="AL6" s="6">
        <v>5.53</v>
      </c>
      <c r="AM6" s="238">
        <f>IFERROR((_xlfn.XLOOKUP(Plant_BD[[#This Row],[Month Year]],'Modelling New'!$D:$D,'Modelling New'!$O:$O)*Plant_BD[[#This Row],[Lost PoA(kWh/m2)]]*Plant_BD[[#This Row],[DC Capacity Affected (kW)]]),"")</f>
        <v>2507.0056138776995</v>
      </c>
      <c r="AN6" s="6"/>
      <c r="AO6" s="6"/>
      <c r="AP6" s="240"/>
    </row>
    <row r="7" spans="1:42" x14ac:dyDescent="0.25">
      <c r="A7" s="125">
        <f t="shared" si="0"/>
        <v>6</v>
      </c>
      <c r="B7" s="229">
        <v>45750</v>
      </c>
      <c r="C7" s="230">
        <f>YEAR(Plant_BD[[#This Row],[Date]])+IF(MONTH(Plant_BD[[#This Row],[Date]])&gt;=4,1,0)</f>
        <v>2026</v>
      </c>
      <c r="D7" s="230">
        <f>YEAR(Plant_BD[[#This Row],[Date]])</f>
        <v>2025</v>
      </c>
      <c r="E7" s="59" t="s">
        <v>4</v>
      </c>
      <c r="F7" s="59" t="s">
        <v>4</v>
      </c>
      <c r="G7" s="231">
        <f>Plant_BD[[#This Row],[Date]]-DAY(Plant_BD[[#This Row],[Date]])+1</f>
        <v>45748</v>
      </c>
      <c r="H7" s="3">
        <f>DAY(EOMONTH(Plant_BD[[#This Row],[Month Year]],0))</f>
        <v>30</v>
      </c>
      <c r="I7" s="232">
        <f>IFERROR(_xlfn.XLOOKUP(Plant_BD[[#This Row],[Date]],'Raw Data'!$G:$G,'Raw Data'!$I:$I),"")</f>
        <v>0.24722222222222223</v>
      </c>
      <c r="J7" s="232">
        <f>IFERROR(_xlfn.XLOOKUP(Plant_BD[[#This Row],[Date]],'Raw Data'!$G:$G,'Raw Data'!$J:$J),"")</f>
        <v>0.77152777777777781</v>
      </c>
      <c r="K7" s="233">
        <f>IFERROR((Plant_BD[[#This Row],[Sunset Time (POA&lt;20 W/m2)]]-Plant_BD[[#This Row],[Sunrise Time (POA&gt;20 W/m2)]])*24,"")</f>
        <v>12.583333333333334</v>
      </c>
      <c r="L7" s="233"/>
      <c r="M7" s="233"/>
      <c r="N7" s="233"/>
      <c r="O7" s="233"/>
      <c r="P7" s="233"/>
      <c r="Q7" s="233"/>
      <c r="R7" s="233"/>
      <c r="S7" s="233"/>
      <c r="T7" s="234" t="s">
        <v>155</v>
      </c>
      <c r="U7" s="10">
        <f>_xlfn.XLOOKUP(Plant_BD[[#This Row],[Affected Equipment]],'Basic Data'!$A:$A,'Basic Data'!$B:$B)</f>
        <v>669.59999999999991</v>
      </c>
      <c r="V7" s="235">
        <f>_xlfn.XLOOKUP(Plant_BD[[#This Row],[Affected Equipment]],'Basic Data'!$A:$A,'Basic Data'!$C:$C)</f>
        <v>9.4320486815415799E-2</v>
      </c>
      <c r="W7" s="236" t="s">
        <v>1023</v>
      </c>
      <c r="X7" s="236" t="s">
        <v>1023</v>
      </c>
      <c r="Y7" s="236" t="s">
        <v>1023</v>
      </c>
      <c r="Z7" s="236" t="s">
        <v>1023</v>
      </c>
      <c r="AA7" s="237">
        <v>0.24722222222222223</v>
      </c>
      <c r="AB7" s="237"/>
      <c r="AC7" s="237"/>
      <c r="AD7" s="237">
        <v>0.77152777777777781</v>
      </c>
      <c r="AE7" s="238"/>
      <c r="AF7" s="238"/>
      <c r="AG7" s="11">
        <f>(Plant_BD[[#This Row],[Work Completion time on fault]]-Plant_BD[[#This Row],[Fault Time]])*24</f>
        <v>12.583333333333334</v>
      </c>
      <c r="AH7" s="11">
        <f>IFERROR((Plant_BD[[#This Row],[Work Completion time on fault]]-Plant_BD[[#This Row],[Fault Time]])*24,"")</f>
        <v>12.583333333333334</v>
      </c>
      <c r="AI7" s="212" t="s">
        <v>1024</v>
      </c>
      <c r="AJ7" s="6" t="s">
        <v>182</v>
      </c>
      <c r="AK7" s="239">
        <f>IFERROR(Plant_BD[[#This Row],[Breakdown Time]]*Plant_BD[[#This Row],[Plant Equivalent Weightage]],"")</f>
        <v>1.1868661257606488</v>
      </c>
      <c r="AL7" s="6">
        <v>3.27</v>
      </c>
      <c r="AM7" s="238">
        <f>IFERROR((_xlfn.XLOOKUP(Plant_BD[[#This Row],[Month Year]],'Modelling New'!$D:$D,'Modelling New'!$O:$O)*Plant_BD[[#This Row],[Lost PoA(kWh/m2)]]*Plant_BD[[#This Row],[DC Capacity Affected (kW)]]),"")</f>
        <v>1482.4427409367229</v>
      </c>
      <c r="AN7" s="6"/>
      <c r="AO7" s="6"/>
      <c r="AP7" s="240"/>
    </row>
    <row r="8" spans="1:42" x14ac:dyDescent="0.25">
      <c r="A8" s="125">
        <f t="shared" si="0"/>
        <v>7</v>
      </c>
      <c r="B8" s="229">
        <v>45751</v>
      </c>
      <c r="C8" s="230">
        <f>YEAR(Plant_BD[[#This Row],[Date]])+IF(MONTH(Plant_BD[[#This Row],[Date]])&gt;=4,1,0)</f>
        <v>2026</v>
      </c>
      <c r="D8" s="230">
        <f>YEAR(Plant_BD[[#This Row],[Date]])</f>
        <v>2025</v>
      </c>
      <c r="E8" s="59" t="s">
        <v>4</v>
      </c>
      <c r="F8" s="59" t="s">
        <v>4</v>
      </c>
      <c r="G8" s="231">
        <f>Plant_BD[[#This Row],[Date]]-DAY(Plant_BD[[#This Row],[Date]])+1</f>
        <v>45748</v>
      </c>
      <c r="H8" s="3">
        <f>DAY(EOMONTH(Plant_BD[[#This Row],[Month Year]],0))</f>
        <v>30</v>
      </c>
      <c r="I8" s="232">
        <f>IFERROR(_xlfn.XLOOKUP(Plant_BD[[#This Row],[Date]],'Raw Data'!$G:$G,'Raw Data'!$I:$I),"")</f>
        <v>0.24930555555555556</v>
      </c>
      <c r="J8" s="232">
        <f>IFERROR(_xlfn.XLOOKUP(Plant_BD[[#This Row],[Date]],'Raw Data'!$G:$G,'Raw Data'!$J:$J),"")</f>
        <v>0.77361111111111114</v>
      </c>
      <c r="K8" s="233">
        <f>IFERROR((Plant_BD[[#This Row],[Sunset Time (POA&lt;20 W/m2)]]-Plant_BD[[#This Row],[Sunrise Time (POA&gt;20 W/m2)]])*24,"")</f>
        <v>12.583333333333334</v>
      </c>
      <c r="L8" s="233"/>
      <c r="M8" s="233"/>
      <c r="N8" s="233"/>
      <c r="O8" s="233"/>
      <c r="P8" s="233"/>
      <c r="Q8" s="233"/>
      <c r="R8" s="233"/>
      <c r="S8" s="233"/>
      <c r="T8" s="234" t="s">
        <v>155</v>
      </c>
      <c r="U8" s="10">
        <f>_xlfn.XLOOKUP(Plant_BD[[#This Row],[Affected Equipment]],'Basic Data'!$A:$A,'Basic Data'!$B:$B)</f>
        <v>669.59999999999991</v>
      </c>
      <c r="V8" s="235">
        <f>_xlfn.XLOOKUP(Plant_BD[[#This Row],[Affected Equipment]],'Basic Data'!$A:$A,'Basic Data'!$C:$C)</f>
        <v>9.4320486815415799E-2</v>
      </c>
      <c r="W8" s="236" t="s">
        <v>1023</v>
      </c>
      <c r="X8" s="236" t="s">
        <v>1023</v>
      </c>
      <c r="Y8" s="236" t="s">
        <v>1023</v>
      </c>
      <c r="Z8" s="236" t="s">
        <v>1023</v>
      </c>
      <c r="AA8" s="237">
        <v>0.24722222222222223</v>
      </c>
      <c r="AB8" s="237"/>
      <c r="AC8" s="237"/>
      <c r="AD8" s="237">
        <v>0.77152777777777781</v>
      </c>
      <c r="AE8" s="238"/>
      <c r="AF8" s="238"/>
      <c r="AG8" s="11">
        <f>(Plant_BD[[#This Row],[Work Completion time on fault]]-Plant_BD[[#This Row],[Fault Time]])*24</f>
        <v>12.583333333333334</v>
      </c>
      <c r="AH8" s="11">
        <f>IFERROR((Plant_BD[[#This Row],[Work Completion time on fault]]-Plant_BD[[#This Row],[Fault Time]])*24,"")</f>
        <v>12.583333333333334</v>
      </c>
      <c r="AI8" s="212" t="s">
        <v>1024</v>
      </c>
      <c r="AJ8" s="6" t="s">
        <v>182</v>
      </c>
      <c r="AK8" s="239">
        <f>IFERROR(Plant_BD[[#This Row],[Breakdown Time]]*Plant_BD[[#This Row],[Plant Equivalent Weightage]],"")</f>
        <v>1.1868661257606488</v>
      </c>
      <c r="AL8" s="6">
        <v>6.44</v>
      </c>
      <c r="AM8" s="238">
        <f>IFERROR((_xlfn.XLOOKUP(Plant_BD[[#This Row],[Month Year]],'Modelling New'!$D:$D,'Modelling New'!$O:$O)*Plant_BD[[#This Row],[Lost PoA(kWh/m2)]]*Plant_BD[[#This Row],[DC Capacity Affected (kW)]]),"")</f>
        <v>2919.5508414778278</v>
      </c>
      <c r="AN8" s="6"/>
      <c r="AO8" s="6"/>
      <c r="AP8" s="240"/>
    </row>
    <row r="9" spans="1:42" x14ac:dyDescent="0.25">
      <c r="A9" s="125">
        <f t="shared" si="0"/>
        <v>8</v>
      </c>
      <c r="B9" s="229">
        <v>45751</v>
      </c>
      <c r="C9" s="230">
        <f>YEAR(Plant_BD[[#This Row],[Date]])+IF(MONTH(Plant_BD[[#This Row],[Date]])&gt;=4,1,0)</f>
        <v>2026</v>
      </c>
      <c r="D9" s="230">
        <f>YEAR(Plant_BD[[#This Row],[Date]])</f>
        <v>2025</v>
      </c>
      <c r="E9" s="59" t="s">
        <v>4</v>
      </c>
      <c r="F9" s="59" t="s">
        <v>4</v>
      </c>
      <c r="G9" s="231">
        <f>Plant_BD[[#This Row],[Date]]-DAY(Plant_BD[[#This Row],[Date]])+1</f>
        <v>45748</v>
      </c>
      <c r="H9" s="3">
        <f>DAY(EOMONTH(Plant_BD[[#This Row],[Month Year]],0))</f>
        <v>30</v>
      </c>
      <c r="I9" s="232">
        <f>IFERROR(_xlfn.XLOOKUP(Plant_BD[[#This Row],[Date]],'Raw Data'!$G:$G,'Raw Data'!$I:$I),"")</f>
        <v>0.24930555555555556</v>
      </c>
      <c r="J9" s="232">
        <f>IFERROR(_xlfn.XLOOKUP(Plant_BD[[#This Row],[Date]],'Raw Data'!$G:$G,'Raw Data'!$J:$J),"")</f>
        <v>0.77361111111111114</v>
      </c>
      <c r="K9" s="233">
        <f>IFERROR((Plant_BD[[#This Row],[Sunset Time (POA&lt;20 W/m2)]]-Plant_BD[[#This Row],[Sunrise Time (POA&gt;20 W/m2)]])*24,"")</f>
        <v>12.583333333333334</v>
      </c>
      <c r="L9" s="233"/>
      <c r="M9" s="233"/>
      <c r="N9" s="233"/>
      <c r="O9" s="233"/>
      <c r="P9" s="233"/>
      <c r="Q9" s="233"/>
      <c r="R9" s="233"/>
      <c r="S9" s="233"/>
      <c r="T9" s="234" t="s">
        <v>102</v>
      </c>
      <c r="U9" s="10">
        <f>_xlfn.XLOOKUP(Plant_BD[[#This Row],[Affected Equipment]],'Basic Data'!$A:$A,'Basic Data'!$B:$B)</f>
        <v>2369.3399999999997</v>
      </c>
      <c r="V9" s="235">
        <f>_xlfn.XLOOKUP(Plant_BD[[#This Row],[Affected Equipment]],'Basic Data'!$A:$A,'Basic Data'!$C:$C)</f>
        <v>0.33374746450304255</v>
      </c>
      <c r="W9" s="236" t="s">
        <v>1019</v>
      </c>
      <c r="X9" s="236" t="s">
        <v>1019</v>
      </c>
      <c r="Y9" s="236" t="s">
        <v>1019</v>
      </c>
      <c r="Z9" s="236" t="s">
        <v>1019</v>
      </c>
      <c r="AA9" s="237">
        <v>0.36805555555555558</v>
      </c>
      <c r="AB9" s="237"/>
      <c r="AC9" s="237"/>
      <c r="AD9" s="237">
        <v>0.3923611111111111</v>
      </c>
      <c r="AE9" s="238"/>
      <c r="AF9" s="238"/>
      <c r="AG9" s="11">
        <f>(Plant_BD[[#This Row],[Work Completion time on fault]]-Plant_BD[[#This Row],[Fault Time]])*24</f>
        <v>0.58333333333333259</v>
      </c>
      <c r="AH9" s="11">
        <f>IFERROR((Plant_BD[[#This Row],[Work Completion time on fault]]-Plant_BD[[#This Row],[Fault Time]])*24,"")</f>
        <v>0.58333333333333259</v>
      </c>
      <c r="AI9" s="212" t="s">
        <v>1013</v>
      </c>
      <c r="AJ9" s="6" t="s">
        <v>184</v>
      </c>
      <c r="AK9" s="239">
        <f>IFERROR(Plant_BD[[#This Row],[Breakdown Time]]*Plant_BD[[#This Row],[Plant Equivalent Weightage]],"")</f>
        <v>0.1946860209601079</v>
      </c>
      <c r="AL9" s="6">
        <v>0.37</v>
      </c>
      <c r="AM9" s="238">
        <f>IFERROR((_xlfn.XLOOKUP(Plant_BD[[#This Row],[Month Year]],'Modelling New'!$D:$D,'Modelling New'!$O:$O)*Plant_BD[[#This Row],[Lost PoA(kWh/m2)]]*Plant_BD[[#This Row],[DC Capacity Affected (kW)]]),"")</f>
        <v>593.53159264834517</v>
      </c>
      <c r="AN9" s="6"/>
      <c r="AO9" s="6"/>
      <c r="AP9" s="240"/>
    </row>
    <row r="10" spans="1:42" x14ac:dyDescent="0.25">
      <c r="A10" s="125">
        <f t="shared" si="0"/>
        <v>9</v>
      </c>
      <c r="B10" s="229">
        <v>45751</v>
      </c>
      <c r="C10" s="230">
        <f>YEAR(Plant_BD[[#This Row],[Date]])+IF(MONTH(Plant_BD[[#This Row],[Date]])&gt;=4,1,0)</f>
        <v>2026</v>
      </c>
      <c r="D10" s="230">
        <f>YEAR(Plant_BD[[#This Row],[Date]])</f>
        <v>2025</v>
      </c>
      <c r="E10" s="59" t="s">
        <v>4</v>
      </c>
      <c r="F10" s="59" t="s">
        <v>4</v>
      </c>
      <c r="G10" s="231">
        <f>Plant_BD[[#This Row],[Date]]-DAY(Plant_BD[[#This Row],[Date]])+1</f>
        <v>45748</v>
      </c>
      <c r="H10" s="3">
        <f>DAY(EOMONTH(Plant_BD[[#This Row],[Month Year]],0))</f>
        <v>30</v>
      </c>
      <c r="I10" s="232">
        <f>IFERROR(_xlfn.XLOOKUP(Plant_BD[[#This Row],[Date]],'Raw Data'!$G:$G,'Raw Data'!$I:$I),"")</f>
        <v>0.24930555555555556</v>
      </c>
      <c r="J10" s="232">
        <f>IFERROR(_xlfn.XLOOKUP(Plant_BD[[#This Row],[Date]],'Raw Data'!$G:$G,'Raw Data'!$J:$J),"")</f>
        <v>0.77361111111111114</v>
      </c>
      <c r="K10" s="233">
        <f>IFERROR((Plant_BD[[#This Row],[Sunset Time (POA&lt;20 W/m2)]]-Plant_BD[[#This Row],[Sunrise Time (POA&gt;20 W/m2)]])*24,"")</f>
        <v>12.583333333333334</v>
      </c>
      <c r="L10" s="233"/>
      <c r="M10" s="233"/>
      <c r="N10" s="233"/>
      <c r="O10" s="233"/>
      <c r="P10" s="233"/>
      <c r="Q10" s="233"/>
      <c r="R10" s="233"/>
      <c r="S10" s="233"/>
      <c r="T10" s="234" t="s">
        <v>255</v>
      </c>
      <c r="U10" s="10">
        <f>_xlfn.XLOOKUP(Plant_BD[[#This Row],[Affected Equipment]],'Basic Data'!$A:$A,'Basic Data'!$B:$B)</f>
        <v>113.40000000000002</v>
      </c>
      <c r="V10" s="235">
        <f>_xlfn.XLOOKUP(Plant_BD[[#This Row],[Affected Equipment]],'Basic Data'!$A:$A,'Basic Data'!$C:$C)</f>
        <v>1.5973630831643004E-2</v>
      </c>
      <c r="W10" s="236" t="s">
        <v>1019</v>
      </c>
      <c r="X10" s="236" t="s">
        <v>1019</v>
      </c>
      <c r="Y10" s="236" t="s">
        <v>1019</v>
      </c>
      <c r="Z10" s="236" t="s">
        <v>1019</v>
      </c>
      <c r="AA10" s="237">
        <v>0.3923611111111111</v>
      </c>
      <c r="AB10" s="237"/>
      <c r="AC10" s="237"/>
      <c r="AD10" s="237">
        <v>0.40972222222222221</v>
      </c>
      <c r="AE10" s="238"/>
      <c r="AF10" s="238"/>
      <c r="AG10" s="11">
        <f>(Plant_BD[[#This Row],[Work Completion time on fault]]-Plant_BD[[#This Row],[Fault Time]])*24</f>
        <v>0.41666666666666652</v>
      </c>
      <c r="AH10" s="11">
        <f>IFERROR((Plant_BD[[#This Row],[Work Completion time on fault]]-Plant_BD[[#This Row],[Fault Time]])*24,"")</f>
        <v>0.41666666666666652</v>
      </c>
      <c r="AI10" s="212" t="s">
        <v>1020</v>
      </c>
      <c r="AJ10" s="6" t="s">
        <v>184</v>
      </c>
      <c r="AK10" s="239">
        <f>IFERROR(Plant_BD[[#This Row],[Breakdown Time]]*Plant_BD[[#This Row],[Plant Equivalent Weightage]],"")</f>
        <v>6.6556795131845828E-3</v>
      </c>
      <c r="AL10" s="6">
        <v>0.03</v>
      </c>
      <c r="AM10" s="238">
        <f>IFERROR((_xlfn.XLOOKUP(Plant_BD[[#This Row],[Month Year]],'Modelling New'!$D:$D,'Modelling New'!$O:$O)*Plant_BD[[#This Row],[Lost PoA(kWh/m2)]]*Plant_BD[[#This Row],[DC Capacity Affected (kW)]]),"")</f>
        <v>2.3032922136483567</v>
      </c>
      <c r="AN10" s="6"/>
      <c r="AO10" s="6"/>
      <c r="AP10" s="240"/>
    </row>
    <row r="11" spans="1:42" x14ac:dyDescent="0.25">
      <c r="A11" s="125">
        <f t="shared" si="0"/>
        <v>10</v>
      </c>
      <c r="B11" s="229">
        <v>45751</v>
      </c>
      <c r="C11" s="230">
        <f>YEAR(Plant_BD[[#This Row],[Date]])+IF(MONTH(Plant_BD[[#This Row],[Date]])&gt;=4,1,0)</f>
        <v>2026</v>
      </c>
      <c r="D11" s="230">
        <f>YEAR(Plant_BD[[#This Row],[Date]])</f>
        <v>2025</v>
      </c>
      <c r="E11" s="59" t="s">
        <v>4</v>
      </c>
      <c r="F11" s="59" t="s">
        <v>4</v>
      </c>
      <c r="G11" s="231">
        <f>Plant_BD[[#This Row],[Date]]-DAY(Plant_BD[[#This Row],[Date]])+1</f>
        <v>45748</v>
      </c>
      <c r="H11" s="3">
        <f>DAY(EOMONTH(Plant_BD[[#This Row],[Month Year]],0))</f>
        <v>30</v>
      </c>
      <c r="I11" s="232">
        <f>IFERROR(_xlfn.XLOOKUP(Plant_BD[[#This Row],[Date]],'Raw Data'!$G:$G,'Raw Data'!$I:$I),"")</f>
        <v>0.24930555555555556</v>
      </c>
      <c r="J11" s="232">
        <f>IFERROR(_xlfn.XLOOKUP(Plant_BD[[#This Row],[Date]],'Raw Data'!$G:$G,'Raw Data'!$J:$J),"")</f>
        <v>0.77361111111111114</v>
      </c>
      <c r="K11" s="233">
        <f>IFERROR((Plant_BD[[#This Row],[Sunset Time (POA&lt;20 W/m2)]]-Plant_BD[[#This Row],[Sunrise Time (POA&gt;20 W/m2)]])*24,"")</f>
        <v>12.583333333333334</v>
      </c>
      <c r="L11" s="233"/>
      <c r="M11" s="233"/>
      <c r="N11" s="233"/>
      <c r="O11" s="233"/>
      <c r="P11" s="233"/>
      <c r="Q11" s="233"/>
      <c r="R11" s="233"/>
      <c r="S11" s="233"/>
      <c r="T11" s="234" t="s">
        <v>259</v>
      </c>
      <c r="U11" s="10">
        <f>_xlfn.XLOOKUP(Plant_BD[[#This Row],[Affected Equipment]],'Basic Data'!$A:$A,'Basic Data'!$B:$B)</f>
        <v>113.40000000000002</v>
      </c>
      <c r="V11" s="235">
        <f>_xlfn.XLOOKUP(Plant_BD[[#This Row],[Affected Equipment]],'Basic Data'!$A:$A,'Basic Data'!$C:$C)</f>
        <v>1.5973630831643004E-2</v>
      </c>
      <c r="W11" s="236" t="s">
        <v>1019</v>
      </c>
      <c r="X11" s="236" t="s">
        <v>1019</v>
      </c>
      <c r="Y11" s="236" t="s">
        <v>1019</v>
      </c>
      <c r="Z11" s="236" t="s">
        <v>1019</v>
      </c>
      <c r="AA11" s="237">
        <v>0.3923611111111111</v>
      </c>
      <c r="AB11" s="237"/>
      <c r="AC11" s="237"/>
      <c r="AD11" s="237">
        <v>0.40972222222222221</v>
      </c>
      <c r="AE11" s="238"/>
      <c r="AF11" s="238"/>
      <c r="AG11" s="11">
        <f>(Plant_BD[[#This Row],[Work Completion time on fault]]-Plant_BD[[#This Row],[Fault Time]])*24</f>
        <v>0.41666666666666652</v>
      </c>
      <c r="AH11" s="11">
        <f>IFERROR((Plant_BD[[#This Row],[Work Completion time on fault]]-Plant_BD[[#This Row],[Fault Time]])*24,"")</f>
        <v>0.41666666666666652</v>
      </c>
      <c r="AI11" s="212" t="s">
        <v>1020</v>
      </c>
      <c r="AJ11" s="6" t="s">
        <v>184</v>
      </c>
      <c r="AK11" s="239">
        <f>IFERROR(Plant_BD[[#This Row],[Breakdown Time]]*Plant_BD[[#This Row],[Plant Equivalent Weightage]],"")</f>
        <v>6.6556795131845828E-3</v>
      </c>
      <c r="AL11" s="6">
        <v>0.03</v>
      </c>
      <c r="AM11" s="238">
        <f>IFERROR((_xlfn.XLOOKUP(Plant_BD[[#This Row],[Month Year]],'Modelling New'!$D:$D,'Modelling New'!$O:$O)*Plant_BD[[#This Row],[Lost PoA(kWh/m2)]]*Plant_BD[[#This Row],[DC Capacity Affected (kW)]]),"")</f>
        <v>2.3032922136483567</v>
      </c>
      <c r="AN11" s="6"/>
      <c r="AO11" s="6"/>
      <c r="AP11" s="240"/>
    </row>
    <row r="12" spans="1:42" x14ac:dyDescent="0.25">
      <c r="A12" s="125">
        <f t="shared" si="0"/>
        <v>11</v>
      </c>
      <c r="B12" s="229">
        <v>45751</v>
      </c>
      <c r="C12" s="230">
        <f>YEAR(Plant_BD[[#This Row],[Date]])+IF(MONTH(Plant_BD[[#This Row],[Date]])&gt;=4,1,0)</f>
        <v>2026</v>
      </c>
      <c r="D12" s="230">
        <f>YEAR(Plant_BD[[#This Row],[Date]])</f>
        <v>2025</v>
      </c>
      <c r="E12" s="59" t="s">
        <v>4</v>
      </c>
      <c r="F12" s="59" t="s">
        <v>4</v>
      </c>
      <c r="G12" s="231">
        <f>Plant_BD[[#This Row],[Date]]-DAY(Plant_BD[[#This Row],[Date]])+1</f>
        <v>45748</v>
      </c>
      <c r="H12" s="3">
        <f>DAY(EOMONTH(Plant_BD[[#This Row],[Month Year]],0))</f>
        <v>30</v>
      </c>
      <c r="I12" s="232">
        <f>IFERROR(_xlfn.XLOOKUP(Plant_BD[[#This Row],[Date]],'Raw Data'!$G:$G,'Raw Data'!$I:$I),"")</f>
        <v>0.24930555555555556</v>
      </c>
      <c r="J12" s="232">
        <f>IFERROR(_xlfn.XLOOKUP(Plant_BD[[#This Row],[Date]],'Raw Data'!$G:$G,'Raw Data'!$J:$J),"")</f>
        <v>0.77361111111111114</v>
      </c>
      <c r="K12" s="233">
        <f>IFERROR((Plant_BD[[#This Row],[Sunset Time (POA&lt;20 W/m2)]]-Plant_BD[[#This Row],[Sunrise Time (POA&gt;20 W/m2)]])*24,"")</f>
        <v>12.583333333333334</v>
      </c>
      <c r="L12" s="233"/>
      <c r="M12" s="233"/>
      <c r="N12" s="233"/>
      <c r="O12" s="233"/>
      <c r="P12" s="233"/>
      <c r="Q12" s="233"/>
      <c r="R12" s="233"/>
      <c r="S12" s="233"/>
      <c r="T12" s="234" t="s">
        <v>260</v>
      </c>
      <c r="U12" s="10">
        <f>_xlfn.XLOOKUP(Plant_BD[[#This Row],[Affected Equipment]],'Basic Data'!$A:$A,'Basic Data'!$B:$B)</f>
        <v>111.59999999999998</v>
      </c>
      <c r="V12" s="235">
        <f>_xlfn.XLOOKUP(Plant_BD[[#This Row],[Affected Equipment]],'Basic Data'!$A:$A,'Basic Data'!$C:$C)</f>
        <v>1.5720081135902633E-2</v>
      </c>
      <c r="W12" s="236" t="s">
        <v>1019</v>
      </c>
      <c r="X12" s="236" t="s">
        <v>1019</v>
      </c>
      <c r="Y12" s="236" t="s">
        <v>1019</v>
      </c>
      <c r="Z12" s="236" t="s">
        <v>1019</v>
      </c>
      <c r="AA12" s="237">
        <v>0.3923611111111111</v>
      </c>
      <c r="AB12" s="237"/>
      <c r="AC12" s="237"/>
      <c r="AD12" s="237">
        <v>0.42708333333333331</v>
      </c>
      <c r="AE12" s="238"/>
      <c r="AF12" s="238"/>
      <c r="AG12" s="11">
        <f>(Plant_BD[[#This Row],[Work Completion time on fault]]-Plant_BD[[#This Row],[Fault Time]])*24</f>
        <v>0.83333333333333304</v>
      </c>
      <c r="AH12" s="11">
        <f>IFERROR((Plant_BD[[#This Row],[Work Completion time on fault]]-Plant_BD[[#This Row],[Fault Time]])*24,"")</f>
        <v>0.83333333333333304</v>
      </c>
      <c r="AI12" s="212" t="s">
        <v>1020</v>
      </c>
      <c r="AJ12" s="6" t="s">
        <v>184</v>
      </c>
      <c r="AK12" s="239">
        <f>IFERROR(Plant_BD[[#This Row],[Breakdown Time]]*Plant_BD[[#This Row],[Plant Equivalent Weightage]],"")</f>
        <v>1.310006761325219E-2</v>
      </c>
      <c r="AL12" s="6">
        <v>0.63</v>
      </c>
      <c r="AM12" s="238">
        <f>IFERROR((_xlfn.XLOOKUP(Plant_BD[[#This Row],[Month Year]],'Modelling New'!$D:$D,'Modelling New'!$O:$O)*Plant_BD[[#This Row],[Lost PoA(kWh/m2)]]*Plant_BD[[#This Row],[DC Capacity Affected (kW)]]),"")</f>
        <v>47.601372415399361</v>
      </c>
      <c r="AN12" s="6"/>
      <c r="AO12" s="6"/>
      <c r="AP12" s="240"/>
    </row>
    <row r="13" spans="1:42" x14ac:dyDescent="0.25">
      <c r="A13" s="125">
        <f t="shared" si="0"/>
        <v>12</v>
      </c>
      <c r="B13" s="229">
        <v>45751</v>
      </c>
      <c r="C13" s="230">
        <f>YEAR(Plant_BD[[#This Row],[Date]])+IF(MONTH(Plant_BD[[#This Row],[Date]])&gt;=4,1,0)</f>
        <v>2026</v>
      </c>
      <c r="D13" s="230">
        <f>YEAR(Plant_BD[[#This Row],[Date]])</f>
        <v>2025</v>
      </c>
      <c r="E13" s="59" t="s">
        <v>4</v>
      </c>
      <c r="F13" s="59" t="s">
        <v>4</v>
      </c>
      <c r="G13" s="231">
        <f>Plant_BD[[#This Row],[Date]]-DAY(Plant_BD[[#This Row],[Date]])+1</f>
        <v>45748</v>
      </c>
      <c r="H13" s="3">
        <f>DAY(EOMONTH(Plant_BD[[#This Row],[Month Year]],0))</f>
        <v>30</v>
      </c>
      <c r="I13" s="232">
        <f>IFERROR(_xlfn.XLOOKUP(Plant_BD[[#This Row],[Date]],'Raw Data'!$G:$G,'Raw Data'!$I:$I),"")</f>
        <v>0.24930555555555556</v>
      </c>
      <c r="J13" s="232">
        <f>IFERROR(_xlfn.XLOOKUP(Plant_BD[[#This Row],[Date]],'Raw Data'!$G:$G,'Raw Data'!$J:$J),"")</f>
        <v>0.77361111111111114</v>
      </c>
      <c r="K13" s="233">
        <f>IFERROR((Plant_BD[[#This Row],[Sunset Time (POA&lt;20 W/m2)]]-Plant_BD[[#This Row],[Sunrise Time (POA&gt;20 W/m2)]])*24,"")</f>
        <v>12.583333333333334</v>
      </c>
      <c r="L13" s="233"/>
      <c r="M13" s="233"/>
      <c r="N13" s="233"/>
      <c r="O13" s="233"/>
      <c r="P13" s="233"/>
      <c r="Q13" s="233"/>
      <c r="R13" s="233"/>
      <c r="S13" s="233"/>
      <c r="T13" s="234" t="s">
        <v>252</v>
      </c>
      <c r="U13" s="10">
        <f>_xlfn.XLOOKUP(Plant_BD[[#This Row],[Affected Equipment]],'Basic Data'!$A:$A,'Basic Data'!$B:$B)</f>
        <v>113.40000000000002</v>
      </c>
      <c r="V13" s="235">
        <f>_xlfn.XLOOKUP(Plant_BD[[#This Row],[Affected Equipment]],'Basic Data'!$A:$A,'Basic Data'!$C:$C)</f>
        <v>1.5973630831643004E-2</v>
      </c>
      <c r="W13" s="236" t="s">
        <v>1019</v>
      </c>
      <c r="X13" s="236" t="s">
        <v>1019</v>
      </c>
      <c r="Y13" s="236" t="s">
        <v>1019</v>
      </c>
      <c r="Z13" s="236" t="s">
        <v>1019</v>
      </c>
      <c r="AA13" s="237">
        <v>0.3923611111111111</v>
      </c>
      <c r="AB13" s="237"/>
      <c r="AC13" s="237"/>
      <c r="AD13" s="237">
        <v>0.43402777777777779</v>
      </c>
      <c r="AE13" s="238"/>
      <c r="AF13" s="238"/>
      <c r="AG13" s="11">
        <f>(Plant_BD[[#This Row],[Work Completion time on fault]]-Plant_BD[[#This Row],[Fault Time]])*24</f>
        <v>1.0000000000000004</v>
      </c>
      <c r="AH13" s="11">
        <f>IFERROR((Plant_BD[[#This Row],[Work Completion time on fault]]-Plant_BD[[#This Row],[Fault Time]])*24,"")</f>
        <v>1.0000000000000004</v>
      </c>
      <c r="AI13" s="212" t="s">
        <v>1020</v>
      </c>
      <c r="AJ13" s="6" t="s">
        <v>184</v>
      </c>
      <c r="AK13" s="239">
        <f>IFERROR(Plant_BD[[#This Row],[Breakdown Time]]*Plant_BD[[#This Row],[Plant Equivalent Weightage]],"")</f>
        <v>1.597363083164301E-2</v>
      </c>
      <c r="AL13" s="6">
        <v>0.78</v>
      </c>
      <c r="AM13" s="238">
        <f>IFERROR((_xlfn.XLOOKUP(Plant_BD[[#This Row],[Month Year]],'Modelling New'!$D:$D,'Modelling New'!$O:$O)*Plant_BD[[#This Row],[Lost PoA(kWh/m2)]]*Plant_BD[[#This Row],[DC Capacity Affected (kW)]]),"")</f>
        <v>59.885597554857284</v>
      </c>
      <c r="AN13" s="6"/>
      <c r="AO13" s="6"/>
      <c r="AP13" s="240"/>
    </row>
    <row r="14" spans="1:42" x14ac:dyDescent="0.25">
      <c r="A14" s="125">
        <f t="shared" si="0"/>
        <v>13</v>
      </c>
      <c r="B14" s="229">
        <v>45751</v>
      </c>
      <c r="C14" s="230">
        <f>YEAR(Plant_BD[[#This Row],[Date]])+IF(MONTH(Plant_BD[[#This Row],[Date]])&gt;=4,1,0)</f>
        <v>2026</v>
      </c>
      <c r="D14" s="230">
        <f>YEAR(Plant_BD[[#This Row],[Date]])</f>
        <v>2025</v>
      </c>
      <c r="E14" s="59" t="s">
        <v>4</v>
      </c>
      <c r="F14" s="59" t="s">
        <v>4</v>
      </c>
      <c r="G14" s="231">
        <f>Plant_BD[[#This Row],[Date]]-DAY(Plant_BD[[#This Row],[Date]])+1</f>
        <v>45748</v>
      </c>
      <c r="H14" s="3">
        <f>DAY(EOMONTH(Plant_BD[[#This Row],[Month Year]],0))</f>
        <v>30</v>
      </c>
      <c r="I14" s="232">
        <f>IFERROR(_xlfn.XLOOKUP(Plant_BD[[#This Row],[Date]],'Raw Data'!$G:$G,'Raw Data'!$I:$I),"")</f>
        <v>0.24930555555555556</v>
      </c>
      <c r="J14" s="232">
        <f>IFERROR(_xlfn.XLOOKUP(Plant_BD[[#This Row],[Date]],'Raw Data'!$G:$G,'Raw Data'!$J:$J),"")</f>
        <v>0.77361111111111114</v>
      </c>
      <c r="K14" s="233">
        <f>IFERROR((Plant_BD[[#This Row],[Sunset Time (POA&lt;20 W/m2)]]-Plant_BD[[#This Row],[Sunrise Time (POA&gt;20 W/m2)]])*24,"")</f>
        <v>12.583333333333334</v>
      </c>
      <c r="L14" s="233"/>
      <c r="M14" s="233"/>
      <c r="N14" s="233"/>
      <c r="O14" s="233"/>
      <c r="P14" s="233"/>
      <c r="Q14" s="233"/>
      <c r="R14" s="233"/>
      <c r="S14" s="233"/>
      <c r="T14" s="234" t="s">
        <v>738</v>
      </c>
      <c r="U14" s="10">
        <f>_xlfn.XLOOKUP(Plant_BD[[#This Row],[Affected Equipment]],'Basic Data'!$A:$A,'Basic Data'!$B:$B)</f>
        <v>11.34</v>
      </c>
      <c r="V14" s="235">
        <f>_xlfn.XLOOKUP(Plant_BD[[#This Row],[Affected Equipment]],'Basic Data'!$A:$A,'Basic Data'!$C:$C)</f>
        <v>1.5973630831643E-3</v>
      </c>
      <c r="W14" s="236" t="s">
        <v>1019</v>
      </c>
      <c r="X14" s="236" t="s">
        <v>1019</v>
      </c>
      <c r="Y14" s="236" t="s">
        <v>1019</v>
      </c>
      <c r="Z14" s="236" t="s">
        <v>1019</v>
      </c>
      <c r="AA14" s="237">
        <v>0.40972222222222221</v>
      </c>
      <c r="AB14" s="237"/>
      <c r="AC14" s="237"/>
      <c r="AD14" s="237">
        <v>0.66319444444444442</v>
      </c>
      <c r="AE14" s="238"/>
      <c r="AF14" s="238"/>
      <c r="AG14" s="11">
        <f>(Plant_BD[[#This Row],[Work Completion time on fault]]-Plant_BD[[#This Row],[Fault Time]])*24</f>
        <v>6.083333333333333</v>
      </c>
      <c r="AH14" s="11">
        <f>IFERROR((Plant_BD[[#This Row],[Work Completion time on fault]]-Plant_BD[[#This Row],[Fault Time]])*24,"")</f>
        <v>6.083333333333333</v>
      </c>
      <c r="AI14" s="212" t="s">
        <v>1025</v>
      </c>
      <c r="AJ14" s="6" t="s">
        <v>184</v>
      </c>
      <c r="AK14" s="239">
        <f>IFERROR(Plant_BD[[#This Row],[Breakdown Time]]*Plant_BD[[#This Row],[Plant Equivalent Weightage]],"")</f>
        <v>9.7172920892494904E-3</v>
      </c>
      <c r="AL14" s="6">
        <v>4.83</v>
      </c>
      <c r="AM14" s="238">
        <f>IFERROR((_xlfn.XLOOKUP(Plant_BD[[#This Row],[Month Year]],'Modelling New'!$D:$D,'Modelling New'!$O:$O)*Plant_BD[[#This Row],[Lost PoA(kWh/m2)]]*Plant_BD[[#This Row],[DC Capacity Affected (kW)]]),"")</f>
        <v>37.083004639738533</v>
      </c>
      <c r="AN14" s="6"/>
      <c r="AO14" s="6"/>
      <c r="AP14" s="240"/>
    </row>
    <row r="15" spans="1:42" x14ac:dyDescent="0.25">
      <c r="A15" s="125">
        <f t="shared" si="0"/>
        <v>14</v>
      </c>
      <c r="B15" s="229">
        <v>45751</v>
      </c>
      <c r="C15" s="230">
        <f>YEAR(Plant_BD[[#This Row],[Date]])+IF(MONTH(Plant_BD[[#This Row],[Date]])&gt;=4,1,0)</f>
        <v>2026</v>
      </c>
      <c r="D15" s="230">
        <f>YEAR(Plant_BD[[#This Row],[Date]])</f>
        <v>2025</v>
      </c>
      <c r="E15" s="59" t="s">
        <v>4</v>
      </c>
      <c r="F15" s="59" t="s">
        <v>4</v>
      </c>
      <c r="G15" s="231">
        <f>Plant_BD[[#This Row],[Date]]-DAY(Plant_BD[[#This Row],[Date]])+1</f>
        <v>45748</v>
      </c>
      <c r="H15" s="3">
        <f>DAY(EOMONTH(Plant_BD[[#This Row],[Month Year]],0))</f>
        <v>30</v>
      </c>
      <c r="I15" s="232">
        <f>IFERROR(_xlfn.XLOOKUP(Plant_BD[[#This Row],[Date]],'Raw Data'!$G:$G,'Raw Data'!$I:$I),"")</f>
        <v>0.24930555555555556</v>
      </c>
      <c r="J15" s="232">
        <f>IFERROR(_xlfn.XLOOKUP(Plant_BD[[#This Row],[Date]],'Raw Data'!$G:$G,'Raw Data'!$J:$J),"")</f>
        <v>0.77361111111111114</v>
      </c>
      <c r="K15" s="233">
        <f>IFERROR((Plant_BD[[#This Row],[Sunset Time (POA&lt;20 W/m2)]]-Plant_BD[[#This Row],[Sunrise Time (POA&gt;20 W/m2)]])*24,"")</f>
        <v>12.583333333333334</v>
      </c>
      <c r="L15" s="233"/>
      <c r="M15" s="233"/>
      <c r="N15" s="233"/>
      <c r="O15" s="233"/>
      <c r="P15" s="233"/>
      <c r="Q15" s="233"/>
      <c r="R15" s="233"/>
      <c r="S15" s="233"/>
      <c r="T15" s="234" t="s">
        <v>789</v>
      </c>
      <c r="U15" s="10">
        <f>_xlfn.XLOOKUP(Plant_BD[[#This Row],[Affected Equipment]],'Basic Data'!$A:$A,'Basic Data'!$B:$B)</f>
        <v>11.16</v>
      </c>
      <c r="V15" s="235">
        <f>_xlfn.XLOOKUP(Plant_BD[[#This Row],[Affected Equipment]],'Basic Data'!$A:$A,'Basic Data'!$C:$C)</f>
        <v>1.5720081135902635E-3</v>
      </c>
      <c r="W15" s="236" t="s">
        <v>1019</v>
      </c>
      <c r="X15" s="236" t="s">
        <v>1019</v>
      </c>
      <c r="Y15" s="236" t="s">
        <v>1019</v>
      </c>
      <c r="Z15" s="236" t="s">
        <v>1019</v>
      </c>
      <c r="AA15" s="237">
        <v>0.42708333333333331</v>
      </c>
      <c r="AB15" s="237"/>
      <c r="AC15" s="237"/>
      <c r="AD15" s="237">
        <v>0.66319444444444442</v>
      </c>
      <c r="AE15" s="238"/>
      <c r="AF15" s="238"/>
      <c r="AG15" s="11">
        <f>(Plant_BD[[#This Row],[Work Completion time on fault]]-Plant_BD[[#This Row],[Fault Time]])*24</f>
        <v>5.6666666666666661</v>
      </c>
      <c r="AH15" s="11">
        <f>IFERROR((Plant_BD[[#This Row],[Work Completion time on fault]]-Plant_BD[[#This Row],[Fault Time]])*24,"")</f>
        <v>5.6666666666666661</v>
      </c>
      <c r="AI15" s="212" t="s">
        <v>1025</v>
      </c>
      <c r="AJ15" s="6" t="s">
        <v>184</v>
      </c>
      <c r="AK15" s="239">
        <f>IFERROR(Plant_BD[[#This Row],[Breakdown Time]]*Plant_BD[[#This Row],[Plant Equivalent Weightage]],"")</f>
        <v>8.9080459770114924E-3</v>
      </c>
      <c r="AL15" s="6">
        <v>4.51</v>
      </c>
      <c r="AM15" s="238">
        <f>IFERROR((_xlfn.XLOOKUP(Plant_BD[[#This Row],[Month Year]],'Modelling New'!$D:$D,'Modelling New'!$O:$O)*Plant_BD[[#This Row],[Lost PoA(kWh/m2)]]*Plant_BD[[#This Row],[DC Capacity Affected (kW)]]),"")</f>
        <v>34.07653803070653</v>
      </c>
      <c r="AN15" s="6"/>
      <c r="AO15" s="6"/>
      <c r="AP15" s="240"/>
    </row>
    <row r="16" spans="1:42" x14ac:dyDescent="0.25">
      <c r="A16" s="125">
        <f t="shared" si="0"/>
        <v>15</v>
      </c>
      <c r="B16" s="229">
        <v>45751</v>
      </c>
      <c r="C16" s="230">
        <f>YEAR(Plant_BD[[#This Row],[Date]])+IF(MONTH(Plant_BD[[#This Row],[Date]])&gt;=4,1,0)</f>
        <v>2026</v>
      </c>
      <c r="D16" s="230">
        <f>YEAR(Plant_BD[[#This Row],[Date]])</f>
        <v>2025</v>
      </c>
      <c r="E16" s="59" t="s">
        <v>4</v>
      </c>
      <c r="F16" s="59" t="s">
        <v>4</v>
      </c>
      <c r="G16" s="231">
        <f>Plant_BD[[#This Row],[Date]]-DAY(Plant_BD[[#This Row],[Date]])+1</f>
        <v>45748</v>
      </c>
      <c r="H16" s="3">
        <f>DAY(EOMONTH(Plant_BD[[#This Row],[Month Year]],0))</f>
        <v>30</v>
      </c>
      <c r="I16" s="232">
        <f>IFERROR(_xlfn.XLOOKUP(Plant_BD[[#This Row],[Date]],'Raw Data'!$G:$G,'Raw Data'!$I:$I),"")</f>
        <v>0.24930555555555556</v>
      </c>
      <c r="J16" s="232">
        <f>IFERROR(_xlfn.XLOOKUP(Plant_BD[[#This Row],[Date]],'Raw Data'!$G:$G,'Raw Data'!$J:$J),"")</f>
        <v>0.77361111111111114</v>
      </c>
      <c r="K16" s="233">
        <f>IFERROR((Plant_BD[[#This Row],[Sunset Time (POA&lt;20 W/m2)]]-Plant_BD[[#This Row],[Sunrise Time (POA&gt;20 W/m2)]])*24,"")</f>
        <v>12.583333333333334</v>
      </c>
      <c r="L16" s="233"/>
      <c r="M16" s="233"/>
      <c r="N16" s="233"/>
      <c r="O16" s="233"/>
      <c r="P16" s="233"/>
      <c r="Q16" s="233"/>
      <c r="R16" s="233"/>
      <c r="S16" s="233"/>
      <c r="T16" s="234" t="s">
        <v>101</v>
      </c>
      <c r="U16" s="10">
        <f>_xlfn.XLOOKUP(Plant_BD[[#This Row],[Affected Equipment]],'Basic Data'!$A:$A,'Basic Data'!$B:$B)</f>
        <v>2350.2600000000002</v>
      </c>
      <c r="V16" s="235">
        <f>_xlfn.XLOOKUP(Plant_BD[[#This Row],[Affected Equipment]],'Basic Data'!$A:$A,'Basic Data'!$C:$C)</f>
        <v>0.33105983772819475</v>
      </c>
      <c r="W16" s="236" t="s">
        <v>1026</v>
      </c>
      <c r="X16" s="236" t="s">
        <v>1026</v>
      </c>
      <c r="Y16" s="236" t="s">
        <v>1026</v>
      </c>
      <c r="Z16" s="236" t="s">
        <v>1026</v>
      </c>
      <c r="AA16" s="237">
        <v>0.55902777777777779</v>
      </c>
      <c r="AB16" s="237"/>
      <c r="AC16" s="237"/>
      <c r="AD16" s="237">
        <v>0.58680555555555558</v>
      </c>
      <c r="AE16" s="238"/>
      <c r="AF16" s="238"/>
      <c r="AG16" s="11">
        <f>(Plant_BD[[#This Row],[Work Completion time on fault]]-Plant_BD[[#This Row],[Fault Time]])*24</f>
        <v>0.66666666666666696</v>
      </c>
      <c r="AH16" s="11">
        <f>IFERROR((Plant_BD[[#This Row],[Work Completion time on fault]]-Plant_BD[[#This Row],[Fault Time]])*24,"")</f>
        <v>0.66666666666666696</v>
      </c>
      <c r="AI16" s="212" t="s">
        <v>1056</v>
      </c>
      <c r="AJ16" s="6" t="s">
        <v>184</v>
      </c>
      <c r="AK16" s="239">
        <f>IFERROR(Plant_BD[[#This Row],[Breakdown Time]]*Plant_BD[[#This Row],[Plant Equivalent Weightage]],"")</f>
        <v>0.22070655848546328</v>
      </c>
      <c r="AL16" s="6">
        <v>4.51</v>
      </c>
      <c r="AM16" s="238">
        <f>IFERROR((_xlfn.XLOOKUP(Plant_BD[[#This Row],[Month Year]],'Modelling New'!$D:$D,'Modelling New'!$O:$O)*Plant_BD[[#This Row],[Lost PoA(kWh/m2)]]*Plant_BD[[#This Row],[DC Capacity Affected (kW)]]),"")</f>
        <v>7176.4089849505681</v>
      </c>
      <c r="AN16" s="6"/>
      <c r="AO16" s="6"/>
      <c r="AP16" s="240"/>
    </row>
    <row r="17" spans="1:42" x14ac:dyDescent="0.25">
      <c r="A17" s="125">
        <f t="shared" si="0"/>
        <v>16</v>
      </c>
      <c r="B17" s="229">
        <v>45752</v>
      </c>
      <c r="C17" s="230">
        <f>YEAR(Plant_BD[[#This Row],[Date]])+IF(MONTH(Plant_BD[[#This Row],[Date]])&gt;=4,1,0)</f>
        <v>2026</v>
      </c>
      <c r="D17" s="230">
        <f>YEAR(Plant_BD[[#This Row],[Date]])</f>
        <v>2025</v>
      </c>
      <c r="E17" s="59" t="s">
        <v>4</v>
      </c>
      <c r="F17" s="59" t="s">
        <v>4</v>
      </c>
      <c r="G17" s="231">
        <f>Plant_BD[[#This Row],[Date]]-DAY(Plant_BD[[#This Row],[Date]])+1</f>
        <v>45748</v>
      </c>
      <c r="H17" s="3">
        <f>DAY(EOMONTH(Plant_BD[[#This Row],[Month Year]],0))</f>
        <v>30</v>
      </c>
      <c r="I17" s="232">
        <f>IFERROR(_xlfn.XLOOKUP(Plant_BD[[#This Row],[Date]],'Raw Data'!$G:$G,'Raw Data'!$I:$I),"")</f>
        <v>0.24930555555555556</v>
      </c>
      <c r="J17" s="232">
        <f>IFERROR(_xlfn.XLOOKUP(Plant_BD[[#This Row],[Date]],'Raw Data'!$G:$G,'Raw Data'!$J:$J),"")</f>
        <v>0.77361111111111114</v>
      </c>
      <c r="K17" s="233">
        <f>IFERROR((Plant_BD[[#This Row],[Sunset Time (POA&lt;20 W/m2)]]-Plant_BD[[#This Row],[Sunrise Time (POA&gt;20 W/m2)]])*24,"")</f>
        <v>12.583333333333334</v>
      </c>
      <c r="L17" s="233"/>
      <c r="M17" s="233"/>
      <c r="N17" s="233"/>
      <c r="O17" s="233"/>
      <c r="P17" s="233"/>
      <c r="Q17" s="233"/>
      <c r="R17" s="233"/>
      <c r="S17" s="233"/>
      <c r="T17" s="234" t="s">
        <v>155</v>
      </c>
      <c r="U17" s="10">
        <f>_xlfn.XLOOKUP(Plant_BD[[#This Row],[Affected Equipment]],'Basic Data'!$A:$A,'Basic Data'!$B:$B)</f>
        <v>669.59999999999991</v>
      </c>
      <c r="V17" s="235">
        <f>_xlfn.XLOOKUP(Plant_BD[[#This Row],[Affected Equipment]],'Basic Data'!$A:$A,'Basic Data'!$C:$C)</f>
        <v>9.4320486815415799E-2</v>
      </c>
      <c r="W17" s="236" t="s">
        <v>1023</v>
      </c>
      <c r="X17" s="236" t="s">
        <v>1023</v>
      </c>
      <c r="Y17" s="236" t="s">
        <v>1023</v>
      </c>
      <c r="Z17" s="236" t="s">
        <v>1023</v>
      </c>
      <c r="AA17" s="237">
        <v>0.24930555555555556</v>
      </c>
      <c r="AB17" s="237"/>
      <c r="AC17" s="237"/>
      <c r="AD17" s="237">
        <v>0.77361111111111114</v>
      </c>
      <c r="AE17" s="238"/>
      <c r="AF17" s="238"/>
      <c r="AG17" s="11">
        <f>(Plant_BD[[#This Row],[Work Completion time on fault]]-Plant_BD[[#This Row],[Fault Time]])*24</f>
        <v>12.583333333333334</v>
      </c>
      <c r="AH17" s="11">
        <f>IFERROR((Plant_BD[[#This Row],[Work Completion time on fault]]-Plant_BD[[#This Row],[Fault Time]])*24,"")</f>
        <v>12.583333333333334</v>
      </c>
      <c r="AI17" s="212" t="s">
        <v>1024</v>
      </c>
      <c r="AJ17" s="6" t="s">
        <v>182</v>
      </c>
      <c r="AK17" s="239">
        <f>IFERROR(Plant_BD[[#This Row],[Breakdown Time]]*Plant_BD[[#This Row],[Plant Equivalent Weightage]],"")</f>
        <v>1.1868661257606488</v>
      </c>
      <c r="AL17" s="6">
        <v>6.18</v>
      </c>
      <c r="AM17" s="238">
        <f>IFERROR((_xlfn.XLOOKUP(Plant_BD[[#This Row],[Month Year]],'Modelling New'!$D:$D,'Modelling New'!$O:$O)*Plant_BD[[#This Row],[Lost PoA(kWh/m2)]]*Plant_BD[[#This Row],[DC Capacity Affected (kW)]]),"")</f>
        <v>2801.6807764492196</v>
      </c>
      <c r="AN17" s="6"/>
      <c r="AO17" s="6"/>
      <c r="AP17" s="240"/>
    </row>
    <row r="18" spans="1:42" x14ac:dyDescent="0.25">
      <c r="A18" s="125">
        <f t="shared" si="0"/>
        <v>17</v>
      </c>
      <c r="B18" s="229">
        <v>45752</v>
      </c>
      <c r="C18" s="230">
        <f>YEAR(Plant_BD[[#This Row],[Date]])+IF(MONTH(Plant_BD[[#This Row],[Date]])&gt;=4,1,0)</f>
        <v>2026</v>
      </c>
      <c r="D18" s="230">
        <f>YEAR(Plant_BD[[#This Row],[Date]])</f>
        <v>2025</v>
      </c>
      <c r="E18" s="59" t="s">
        <v>4</v>
      </c>
      <c r="F18" s="59" t="s">
        <v>4</v>
      </c>
      <c r="G18" s="231">
        <f>Plant_BD[[#This Row],[Date]]-DAY(Plant_BD[[#This Row],[Date]])+1</f>
        <v>45748</v>
      </c>
      <c r="H18" s="3">
        <f>DAY(EOMONTH(Plant_BD[[#This Row],[Month Year]],0))</f>
        <v>30</v>
      </c>
      <c r="I18" s="232">
        <f>IFERROR(_xlfn.XLOOKUP(Plant_BD[[#This Row],[Date]],'Raw Data'!$G:$G,'Raw Data'!$I:$I),"")</f>
        <v>0.24930555555555556</v>
      </c>
      <c r="J18" s="232">
        <f>IFERROR(_xlfn.XLOOKUP(Plant_BD[[#This Row],[Date]],'Raw Data'!$G:$G,'Raw Data'!$J:$J),"")</f>
        <v>0.77361111111111114</v>
      </c>
      <c r="K18" s="233">
        <f>IFERROR((Plant_BD[[#This Row],[Sunset Time (POA&lt;20 W/m2)]]-Plant_BD[[#This Row],[Sunrise Time (POA&gt;20 W/m2)]])*24,"")</f>
        <v>12.583333333333334</v>
      </c>
      <c r="L18" s="233"/>
      <c r="M18" s="233"/>
      <c r="N18" s="233"/>
      <c r="O18" s="233"/>
      <c r="P18" s="233"/>
      <c r="Q18" s="233"/>
      <c r="R18" s="233"/>
      <c r="S18" s="233"/>
      <c r="T18" s="234" t="s">
        <v>904</v>
      </c>
      <c r="U18" s="10">
        <f>_xlfn.XLOOKUP(Plant_BD[[#This Row],[Affected Equipment]],'Basic Data'!$A:$A,'Basic Data'!$B:$B)</f>
        <v>11.52</v>
      </c>
      <c r="V18" s="235">
        <f>_xlfn.XLOOKUP(Plant_BD[[#This Row],[Affected Equipment]],'Basic Data'!$A:$A,'Basic Data'!$C:$C)</f>
        <v>1.6227180527383365E-3</v>
      </c>
      <c r="W18" s="236" t="s">
        <v>1018</v>
      </c>
      <c r="X18" s="236" t="s">
        <v>1018</v>
      </c>
      <c r="Y18" s="236" t="s">
        <v>1018</v>
      </c>
      <c r="Z18" s="236" t="s">
        <v>1018</v>
      </c>
      <c r="AA18" s="237">
        <v>0.24930555555555556</v>
      </c>
      <c r="AB18" s="237"/>
      <c r="AC18" s="237"/>
      <c r="AD18" s="237">
        <v>0.53263888888888888</v>
      </c>
      <c r="AE18" s="238"/>
      <c r="AF18" s="238"/>
      <c r="AG18" s="11">
        <f>(Plant_BD[[#This Row],[Work Completion time on fault]]-Plant_BD[[#This Row],[Fault Time]])*24</f>
        <v>6.8</v>
      </c>
      <c r="AH18" s="11">
        <f>IFERROR((Plant_BD[[#This Row],[Work Completion time on fault]]-Plant_BD[[#This Row],[Fault Time]])*24,"")</f>
        <v>6.8</v>
      </c>
      <c r="AI18" s="212" t="s">
        <v>1021</v>
      </c>
      <c r="AJ18" s="6" t="s">
        <v>184</v>
      </c>
      <c r="AK18" s="239">
        <f>IFERROR(Plant_BD[[#This Row],[Breakdown Time]]*Plant_BD[[#This Row],[Plant Equivalent Weightage]],"")</f>
        <v>1.1034482758620687E-2</v>
      </c>
      <c r="AL18" s="6">
        <v>3.67</v>
      </c>
      <c r="AM18" s="238">
        <f>IFERROR((_xlfn.XLOOKUP(Plant_BD[[#This Row],[Month Year]],'Modelling New'!$D:$D,'Modelling New'!$O:$O)*Plant_BD[[#This Row],[Lost PoA(kWh/m2)]]*Plant_BD[[#This Row],[DC Capacity Affected (kW)]]),"")</f>
        <v>28.624194451943168</v>
      </c>
      <c r="AN18" s="6"/>
      <c r="AO18" s="6"/>
      <c r="AP18" s="240"/>
    </row>
    <row r="19" spans="1:42" x14ac:dyDescent="0.25">
      <c r="A19" s="125">
        <f t="shared" si="0"/>
        <v>18</v>
      </c>
      <c r="B19" s="229">
        <v>45753</v>
      </c>
      <c r="C19" s="230">
        <f>YEAR(Plant_BD[[#This Row],[Date]])+IF(MONTH(Plant_BD[[#This Row],[Date]])&gt;=4,1,0)</f>
        <v>2026</v>
      </c>
      <c r="D19" s="230">
        <f>YEAR(Plant_BD[[#This Row],[Date]])</f>
        <v>2025</v>
      </c>
      <c r="E19" s="59" t="s">
        <v>4</v>
      </c>
      <c r="F19" s="59" t="s">
        <v>4</v>
      </c>
      <c r="G19" s="231">
        <f>Plant_BD[[#This Row],[Date]]-DAY(Plant_BD[[#This Row],[Date]])+1</f>
        <v>45748</v>
      </c>
      <c r="H19" s="3">
        <f>DAY(EOMONTH(Plant_BD[[#This Row],[Month Year]],0))</f>
        <v>30</v>
      </c>
      <c r="I19" s="232">
        <f>IFERROR(_xlfn.XLOOKUP(Plant_BD[[#This Row],[Date]],'Raw Data'!$G:$G,'Raw Data'!$I:$I),"")</f>
        <v>0.24930555555555556</v>
      </c>
      <c r="J19" s="232">
        <f>IFERROR(_xlfn.XLOOKUP(Plant_BD[[#This Row],[Date]],'Raw Data'!$G:$G,'Raw Data'!$J:$J),"")</f>
        <v>0.7729166666666667</v>
      </c>
      <c r="K19" s="233">
        <f>IFERROR((Plant_BD[[#This Row],[Sunset Time (POA&lt;20 W/m2)]]-Plant_BD[[#This Row],[Sunrise Time (POA&gt;20 W/m2)]])*24,"")</f>
        <v>12.566666666666666</v>
      </c>
      <c r="L19" s="233"/>
      <c r="M19" s="233"/>
      <c r="N19" s="233"/>
      <c r="O19" s="233"/>
      <c r="P19" s="233"/>
      <c r="Q19" s="233"/>
      <c r="R19" s="233"/>
      <c r="S19" s="233"/>
      <c r="T19" s="234" t="s">
        <v>155</v>
      </c>
      <c r="U19" s="10">
        <f>_xlfn.XLOOKUP(Plant_BD[[#This Row],[Affected Equipment]],'Basic Data'!$A:$A,'Basic Data'!$B:$B)</f>
        <v>669.59999999999991</v>
      </c>
      <c r="V19" s="235">
        <f>_xlfn.XLOOKUP(Plant_BD[[#This Row],[Affected Equipment]],'Basic Data'!$A:$A,'Basic Data'!$C:$C)</f>
        <v>9.4320486815415799E-2</v>
      </c>
      <c r="W19" s="236" t="s">
        <v>1023</v>
      </c>
      <c r="X19" s="236" t="s">
        <v>1023</v>
      </c>
      <c r="Y19" s="236" t="s">
        <v>1023</v>
      </c>
      <c r="Z19" s="236" t="s">
        <v>1023</v>
      </c>
      <c r="AA19" s="237">
        <v>0.24930555555555556</v>
      </c>
      <c r="AB19" s="237"/>
      <c r="AC19" s="237"/>
      <c r="AD19" s="237">
        <v>0.7729166666666667</v>
      </c>
      <c r="AE19" s="238"/>
      <c r="AF19" s="238"/>
      <c r="AG19" s="11">
        <f>(Plant_BD[[#This Row],[Work Completion time on fault]]-Plant_BD[[#This Row],[Fault Time]])*24</f>
        <v>12.566666666666666</v>
      </c>
      <c r="AH19" s="11">
        <f>IFERROR((Plant_BD[[#This Row],[Work Completion time on fault]]-Plant_BD[[#This Row],[Fault Time]])*24,"")</f>
        <v>12.566666666666666</v>
      </c>
      <c r="AI19" s="212" t="s">
        <v>1024</v>
      </c>
      <c r="AJ19" s="6" t="s">
        <v>182</v>
      </c>
      <c r="AK19" s="239">
        <f>IFERROR(Plant_BD[[#This Row],[Breakdown Time]]*Plant_BD[[#This Row],[Plant Equivalent Weightage]],"")</f>
        <v>1.1852941176470586</v>
      </c>
      <c r="AL19" s="6">
        <v>6.75</v>
      </c>
      <c r="AM19" s="238">
        <f>IFERROR((_xlfn.XLOOKUP(Plant_BD[[#This Row],[Month Year]],'Modelling New'!$D:$D,'Modelling New'!$O:$O)*Plant_BD[[#This Row],[Lost PoA(kWh/m2)]]*Plant_BD[[#This Row],[DC Capacity Affected (kW)]]),"")</f>
        <v>3060.0882267042448</v>
      </c>
      <c r="AN19" s="6"/>
      <c r="AO19" s="6"/>
      <c r="AP19" s="240"/>
    </row>
    <row r="20" spans="1:42" x14ac:dyDescent="0.25">
      <c r="A20" s="125">
        <f t="shared" si="0"/>
        <v>19</v>
      </c>
      <c r="B20" s="229">
        <v>45753</v>
      </c>
      <c r="C20" s="230">
        <f>YEAR(Plant_BD[[#This Row],[Date]])+IF(MONTH(Plant_BD[[#This Row],[Date]])&gt;=4,1,0)</f>
        <v>2026</v>
      </c>
      <c r="D20" s="230">
        <f>YEAR(Plant_BD[[#This Row],[Date]])</f>
        <v>2025</v>
      </c>
      <c r="E20" s="59" t="s">
        <v>4</v>
      </c>
      <c r="F20" s="59" t="s">
        <v>4</v>
      </c>
      <c r="G20" s="231">
        <f>Plant_BD[[#This Row],[Date]]-DAY(Plant_BD[[#This Row],[Date]])+1</f>
        <v>45748</v>
      </c>
      <c r="H20" s="3">
        <f>DAY(EOMONTH(Plant_BD[[#This Row],[Month Year]],0))</f>
        <v>30</v>
      </c>
      <c r="I20" s="232">
        <f>IFERROR(_xlfn.XLOOKUP(Plant_BD[[#This Row],[Date]],'Raw Data'!$G:$G,'Raw Data'!$I:$I),"")</f>
        <v>0.24930555555555556</v>
      </c>
      <c r="J20" s="232">
        <f>IFERROR(_xlfn.XLOOKUP(Plant_BD[[#This Row],[Date]],'Raw Data'!$G:$G,'Raw Data'!$J:$J),"")</f>
        <v>0.7729166666666667</v>
      </c>
      <c r="K20" s="233">
        <f>IFERROR((Plant_BD[[#This Row],[Sunset Time (POA&lt;20 W/m2)]]-Plant_BD[[#This Row],[Sunrise Time (POA&gt;20 W/m2)]])*24,"")</f>
        <v>12.566666666666666</v>
      </c>
      <c r="L20" s="233"/>
      <c r="M20" s="233"/>
      <c r="N20" s="233"/>
      <c r="O20" s="233"/>
      <c r="P20" s="233"/>
      <c r="Q20" s="233"/>
      <c r="R20" s="233"/>
      <c r="S20" s="233"/>
      <c r="T20" s="234" t="s">
        <v>101</v>
      </c>
      <c r="U20" s="10">
        <f>_xlfn.XLOOKUP(Plant_BD[[#This Row],[Affected Equipment]],'Basic Data'!$A:$A,'Basic Data'!$B:$B)</f>
        <v>2350.2600000000002</v>
      </c>
      <c r="V20" s="235">
        <f>_xlfn.XLOOKUP(Plant_BD[[#This Row],[Affected Equipment]],'Basic Data'!$A:$A,'Basic Data'!$C:$C)</f>
        <v>0.33105983772819475</v>
      </c>
      <c r="W20" s="236" t="s">
        <v>1026</v>
      </c>
      <c r="X20" s="236" t="s">
        <v>1026</v>
      </c>
      <c r="Y20" s="236" t="s">
        <v>1026</v>
      </c>
      <c r="Z20" s="236" t="s">
        <v>1026</v>
      </c>
      <c r="AA20" s="237">
        <v>0.58888888888888891</v>
      </c>
      <c r="AB20" s="237"/>
      <c r="AC20" s="237"/>
      <c r="AD20" s="237">
        <v>0.61805555555555558</v>
      </c>
      <c r="AE20" s="238"/>
      <c r="AF20" s="238"/>
      <c r="AG20" s="11">
        <f>(Plant_BD[[#This Row],[Work Completion time on fault]]-Plant_BD[[#This Row],[Fault Time]])*24</f>
        <v>0.70000000000000018</v>
      </c>
      <c r="AH20" s="11">
        <f>IFERROR((Plant_BD[[#This Row],[Work Completion time on fault]]-Plant_BD[[#This Row],[Fault Time]])*24,"")</f>
        <v>0.70000000000000018</v>
      </c>
      <c r="AI20" s="212" t="s">
        <v>1056</v>
      </c>
      <c r="AJ20" s="6" t="s">
        <v>184</v>
      </c>
      <c r="AK20" s="239">
        <f>IFERROR(Plant_BD[[#This Row],[Breakdown Time]]*Plant_BD[[#This Row],[Plant Equivalent Weightage]],"")</f>
        <v>0.23174188640973639</v>
      </c>
      <c r="AL20" s="6">
        <v>0.59</v>
      </c>
      <c r="AM20" s="238">
        <f>IFERROR((_xlfn.XLOOKUP(Plant_BD[[#This Row],[Month Year]],'Modelling New'!$D:$D,'Modelling New'!$O:$O)*Plant_BD[[#This Row],[Lost PoA(kWh/m2)]]*Plant_BD[[#This Row],[DC Capacity Affected (kW)]]),"")</f>
        <v>938.82068760994116</v>
      </c>
      <c r="AN20" s="6"/>
      <c r="AO20" s="6"/>
      <c r="AP20" s="240"/>
    </row>
    <row r="21" spans="1:42" x14ac:dyDescent="0.25">
      <c r="A21" s="125">
        <f t="shared" si="0"/>
        <v>20</v>
      </c>
      <c r="B21" s="229">
        <v>45754</v>
      </c>
      <c r="C21" s="230">
        <f>YEAR(Plant_BD[[#This Row],[Date]])+IF(MONTH(Plant_BD[[#This Row],[Date]])&gt;=4,1,0)</f>
        <v>2026</v>
      </c>
      <c r="D21" s="230">
        <f>YEAR(Plant_BD[[#This Row],[Date]])</f>
        <v>2025</v>
      </c>
      <c r="E21" s="59" t="s">
        <v>4</v>
      </c>
      <c r="F21" s="59" t="s">
        <v>4</v>
      </c>
      <c r="G21" s="231">
        <f>Plant_BD[[#This Row],[Date]]-DAY(Plant_BD[[#This Row],[Date]])+1</f>
        <v>45748</v>
      </c>
      <c r="H21" s="3">
        <f>DAY(EOMONTH(Plant_BD[[#This Row],[Month Year]],0))</f>
        <v>30</v>
      </c>
      <c r="I21" s="232">
        <f>IFERROR(_xlfn.XLOOKUP(Plant_BD[[#This Row],[Date]],'Raw Data'!$G:$G,'Raw Data'!$I:$I),"")</f>
        <v>0.24930555555555556</v>
      </c>
      <c r="J21" s="232">
        <f>IFERROR(_xlfn.XLOOKUP(Plant_BD[[#This Row],[Date]],'Raw Data'!$G:$G,'Raw Data'!$J:$J),"")</f>
        <v>0.77500000000000002</v>
      </c>
      <c r="K21" s="233">
        <f>IFERROR((Plant_BD[[#This Row],[Sunset Time (POA&lt;20 W/m2)]]-Plant_BD[[#This Row],[Sunrise Time (POA&gt;20 W/m2)]])*24,"")</f>
        <v>12.616666666666667</v>
      </c>
      <c r="L21" s="233"/>
      <c r="M21" s="233"/>
      <c r="N21" s="233"/>
      <c r="O21" s="233"/>
      <c r="P21" s="233"/>
      <c r="Q21" s="233"/>
      <c r="R21" s="233"/>
      <c r="S21" s="233"/>
      <c r="T21" s="234" t="s">
        <v>155</v>
      </c>
      <c r="U21" s="10">
        <f>_xlfn.XLOOKUP(Plant_BD[[#This Row],[Affected Equipment]],'Basic Data'!$A:$A,'Basic Data'!$B:$B)</f>
        <v>669.59999999999991</v>
      </c>
      <c r="V21" s="235">
        <f>_xlfn.XLOOKUP(Plant_BD[[#This Row],[Affected Equipment]],'Basic Data'!$A:$A,'Basic Data'!$C:$C)</f>
        <v>9.4320486815415799E-2</v>
      </c>
      <c r="W21" s="236" t="s">
        <v>1023</v>
      </c>
      <c r="X21" s="236" t="s">
        <v>1023</v>
      </c>
      <c r="Y21" s="236" t="s">
        <v>1023</v>
      </c>
      <c r="Z21" s="236" t="s">
        <v>1023</v>
      </c>
      <c r="AA21" s="237">
        <v>0.24930555555555556</v>
      </c>
      <c r="AB21" s="237"/>
      <c r="AC21" s="237"/>
      <c r="AD21" s="237">
        <v>0.77500000000000002</v>
      </c>
      <c r="AE21" s="238"/>
      <c r="AF21" s="238"/>
      <c r="AG21" s="11">
        <f>(Plant_BD[[#This Row],[Work Completion time on fault]]-Plant_BD[[#This Row],[Fault Time]])*24</f>
        <v>12.616666666666667</v>
      </c>
      <c r="AH21" s="11">
        <f>IFERROR((Plant_BD[[#This Row],[Work Completion time on fault]]-Plant_BD[[#This Row],[Fault Time]])*24,"")</f>
        <v>12.616666666666667</v>
      </c>
      <c r="AI21" s="212" t="s">
        <v>1024</v>
      </c>
      <c r="AJ21" s="6" t="s">
        <v>182</v>
      </c>
      <c r="AK21" s="239">
        <f>IFERROR(Plant_BD[[#This Row],[Breakdown Time]]*Plant_BD[[#This Row],[Plant Equivalent Weightage]],"")</f>
        <v>1.1900101419878293</v>
      </c>
      <c r="AL21" s="6">
        <v>6.57</v>
      </c>
      <c r="AM21" s="238">
        <f>IFERROR((_xlfn.XLOOKUP(Plant_BD[[#This Row],[Month Year]],'Modelling New'!$D:$D,'Modelling New'!$O:$O)*Plant_BD[[#This Row],[Lost PoA(kWh/m2)]]*Plant_BD[[#This Row],[DC Capacity Affected (kW)]]),"")</f>
        <v>2978.485873992131</v>
      </c>
      <c r="AN21" s="6"/>
      <c r="AO21" s="6"/>
      <c r="AP21" s="240"/>
    </row>
    <row r="22" spans="1:42" x14ac:dyDescent="0.25">
      <c r="A22" s="125">
        <f t="shared" si="0"/>
        <v>21</v>
      </c>
      <c r="B22" s="229">
        <v>45755</v>
      </c>
      <c r="C22" s="230">
        <f>YEAR(Plant_BD[[#This Row],[Date]])+IF(MONTH(Plant_BD[[#This Row],[Date]])&gt;=4,1,0)</f>
        <v>2026</v>
      </c>
      <c r="D22" s="230">
        <f>YEAR(Plant_BD[[#This Row],[Date]])</f>
        <v>2025</v>
      </c>
      <c r="E22" s="59" t="s">
        <v>4</v>
      </c>
      <c r="F22" s="59" t="s">
        <v>4</v>
      </c>
      <c r="G22" s="231">
        <f>Plant_BD[[#This Row],[Date]]-DAY(Plant_BD[[#This Row],[Date]])+1</f>
        <v>45748</v>
      </c>
      <c r="H22" s="3">
        <f>DAY(EOMONTH(Plant_BD[[#This Row],[Month Year]],0))</f>
        <v>30</v>
      </c>
      <c r="I22" s="232">
        <f>IFERROR(_xlfn.XLOOKUP(Plant_BD[[#This Row],[Date]],'Raw Data'!$G:$G,'Raw Data'!$I:$I),"")</f>
        <v>0.22777777777777777</v>
      </c>
      <c r="J22" s="232">
        <f>IFERROR(_xlfn.XLOOKUP(Plant_BD[[#This Row],[Date]],'Raw Data'!$G:$G,'Raw Data'!$J:$J),"")</f>
        <v>0.77500000000000002</v>
      </c>
      <c r="K22" s="233">
        <f>IFERROR((Plant_BD[[#This Row],[Sunset Time (POA&lt;20 W/m2)]]-Plant_BD[[#This Row],[Sunrise Time (POA&gt;20 W/m2)]])*24,"")</f>
        <v>13.133333333333335</v>
      </c>
      <c r="L22" s="233"/>
      <c r="M22" s="233"/>
      <c r="N22" s="233"/>
      <c r="O22" s="233"/>
      <c r="P22" s="233"/>
      <c r="Q22" s="233"/>
      <c r="R22" s="233"/>
      <c r="S22" s="233"/>
      <c r="T22" s="234" t="s">
        <v>155</v>
      </c>
      <c r="U22" s="10">
        <f>_xlfn.XLOOKUP(Plant_BD[[#This Row],[Affected Equipment]],'Basic Data'!$A:$A,'Basic Data'!$B:$B)</f>
        <v>669.59999999999991</v>
      </c>
      <c r="V22" s="235">
        <f>_xlfn.XLOOKUP(Plant_BD[[#This Row],[Affected Equipment]],'Basic Data'!$A:$A,'Basic Data'!$C:$C)</f>
        <v>9.4320486815415799E-2</v>
      </c>
      <c r="W22" s="236" t="s">
        <v>1023</v>
      </c>
      <c r="X22" s="236" t="s">
        <v>1023</v>
      </c>
      <c r="Y22" s="236" t="s">
        <v>1023</v>
      </c>
      <c r="Z22" s="236" t="s">
        <v>1023</v>
      </c>
      <c r="AA22" s="237">
        <v>0.22777777777777777</v>
      </c>
      <c r="AB22" s="237"/>
      <c r="AC22" s="237"/>
      <c r="AD22" s="237">
        <v>0.77500000000000002</v>
      </c>
      <c r="AE22" s="238"/>
      <c r="AF22" s="238"/>
      <c r="AG22" s="11">
        <f>(Plant_BD[[#This Row],[Work Completion time on fault]]-Plant_BD[[#This Row],[Fault Time]])*24</f>
        <v>13.133333333333335</v>
      </c>
      <c r="AH22" s="11">
        <f>IFERROR((Plant_BD[[#This Row],[Work Completion time on fault]]-Plant_BD[[#This Row],[Fault Time]])*24,"")</f>
        <v>13.133333333333335</v>
      </c>
      <c r="AI22" s="212" t="s">
        <v>1024</v>
      </c>
      <c r="AJ22" s="6" t="s">
        <v>182</v>
      </c>
      <c r="AK22" s="239">
        <f>IFERROR(Plant_BD[[#This Row],[Breakdown Time]]*Plant_BD[[#This Row],[Plant Equivalent Weightage]],"")</f>
        <v>1.2387423935091275</v>
      </c>
      <c r="AL22" s="6">
        <v>6.2</v>
      </c>
      <c r="AM22" s="238">
        <f>IFERROR((_xlfn.XLOOKUP(Plant_BD[[#This Row],[Month Year]],'Modelling New'!$D:$D,'Modelling New'!$O:$O)*Plant_BD[[#This Row],[Lost PoA(kWh/m2)]]*Plant_BD[[#This Row],[DC Capacity Affected (kW)]]),"")</f>
        <v>2810.7477045283426</v>
      </c>
      <c r="AN22" s="6"/>
      <c r="AO22" s="6"/>
      <c r="AP22" s="240"/>
    </row>
    <row r="23" spans="1:42" x14ac:dyDescent="0.25">
      <c r="A23" s="125">
        <f t="shared" si="0"/>
        <v>22</v>
      </c>
      <c r="B23" s="229">
        <v>45756</v>
      </c>
      <c r="C23" s="230">
        <f>YEAR(Plant_BD[[#This Row],[Date]])+IF(MONTH(Plant_BD[[#This Row],[Date]])&gt;=4,1,0)</f>
        <v>2026</v>
      </c>
      <c r="D23" s="230">
        <f>YEAR(Plant_BD[[#This Row],[Date]])</f>
        <v>2025</v>
      </c>
      <c r="E23" s="59" t="s">
        <v>4</v>
      </c>
      <c r="F23" s="59" t="s">
        <v>4</v>
      </c>
      <c r="G23" s="231">
        <f>Plant_BD[[#This Row],[Date]]-DAY(Plant_BD[[#This Row],[Date]])+1</f>
        <v>45748</v>
      </c>
      <c r="H23" s="3">
        <f>DAY(EOMONTH(Plant_BD[[#This Row],[Month Year]],0))</f>
        <v>30</v>
      </c>
      <c r="I23" s="232">
        <f>IFERROR(_xlfn.XLOOKUP(Plant_BD[[#This Row],[Date]],'Raw Data'!$G:$G,'Raw Data'!$I:$I),"")</f>
        <v>0.24791666666666667</v>
      </c>
      <c r="J23" s="232">
        <f>IFERROR(_xlfn.XLOOKUP(Plant_BD[[#This Row],[Date]],'Raw Data'!$G:$G,'Raw Data'!$J:$J),"")</f>
        <v>0.77777777777777779</v>
      </c>
      <c r="K23" s="233">
        <f>IFERROR((Plant_BD[[#This Row],[Sunset Time (POA&lt;20 W/m2)]]-Plant_BD[[#This Row],[Sunrise Time (POA&gt;20 W/m2)]])*24,"")</f>
        <v>12.716666666666667</v>
      </c>
      <c r="L23" s="233"/>
      <c r="M23" s="233"/>
      <c r="N23" s="233"/>
      <c r="O23" s="233"/>
      <c r="P23" s="233"/>
      <c r="Q23" s="233"/>
      <c r="R23" s="233"/>
      <c r="S23" s="233"/>
      <c r="T23" s="234" t="s">
        <v>155</v>
      </c>
      <c r="U23" s="10">
        <f>_xlfn.XLOOKUP(Plant_BD[[#This Row],[Affected Equipment]],'Basic Data'!$A:$A,'Basic Data'!$B:$B)</f>
        <v>669.59999999999991</v>
      </c>
      <c r="V23" s="235">
        <f>_xlfn.XLOOKUP(Plant_BD[[#This Row],[Affected Equipment]],'Basic Data'!$A:$A,'Basic Data'!$C:$C)</f>
        <v>9.4320486815415799E-2</v>
      </c>
      <c r="W23" s="236" t="s">
        <v>1023</v>
      </c>
      <c r="X23" s="236" t="s">
        <v>1023</v>
      </c>
      <c r="Y23" s="236" t="s">
        <v>1023</v>
      </c>
      <c r="Z23" s="236" t="s">
        <v>1023</v>
      </c>
      <c r="AA23" s="237">
        <v>0.24791666666666667</v>
      </c>
      <c r="AB23" s="237"/>
      <c r="AC23" s="237"/>
      <c r="AD23" s="237">
        <v>0.77777777777777779</v>
      </c>
      <c r="AE23" s="238"/>
      <c r="AF23" s="238"/>
      <c r="AG23" s="11">
        <f>(Plant_BD[[#This Row],[Work Completion time on fault]]-Plant_BD[[#This Row],[Fault Time]])*24</f>
        <v>12.716666666666667</v>
      </c>
      <c r="AH23" s="11">
        <f>IFERROR((Plant_BD[[#This Row],[Work Completion time on fault]]-Plant_BD[[#This Row],[Fault Time]])*24,"")</f>
        <v>12.716666666666667</v>
      </c>
      <c r="AI23" s="212" t="s">
        <v>1024</v>
      </c>
      <c r="AJ23" s="6" t="s">
        <v>182</v>
      </c>
      <c r="AK23" s="239">
        <f>IFERROR(Plant_BD[[#This Row],[Breakdown Time]]*Plant_BD[[#This Row],[Plant Equivalent Weightage]],"")</f>
        <v>1.1994421906693709</v>
      </c>
      <c r="AL23" s="6">
        <v>6.46</v>
      </c>
      <c r="AM23" s="238">
        <f>IFERROR((_xlfn.XLOOKUP(Plant_BD[[#This Row],[Month Year]],'Modelling New'!$D:$D,'Modelling New'!$O:$O)*Plant_BD[[#This Row],[Lost PoA(kWh/m2)]]*Plant_BD[[#This Row],[DC Capacity Affected (kW)]]),"")</f>
        <v>2928.6177695569509</v>
      </c>
      <c r="AN23" s="6"/>
      <c r="AO23" s="6"/>
      <c r="AP23" s="240"/>
    </row>
    <row r="24" spans="1:42" x14ac:dyDescent="0.25">
      <c r="A24" s="125">
        <f t="shared" si="0"/>
        <v>23</v>
      </c>
      <c r="B24" s="229">
        <v>45757</v>
      </c>
      <c r="C24" s="230">
        <f>YEAR(Plant_BD[[#This Row],[Date]])+IF(MONTH(Plant_BD[[#This Row],[Date]])&gt;=4,1,0)</f>
        <v>2026</v>
      </c>
      <c r="D24" s="230">
        <f>YEAR(Plant_BD[[#This Row],[Date]])</f>
        <v>2025</v>
      </c>
      <c r="E24" s="59" t="s">
        <v>4</v>
      </c>
      <c r="F24" s="59" t="s">
        <v>4</v>
      </c>
      <c r="G24" s="231">
        <f>Plant_BD[[#This Row],[Date]]-DAY(Plant_BD[[#This Row],[Date]])+1</f>
        <v>45748</v>
      </c>
      <c r="H24" s="3">
        <f>DAY(EOMONTH(Plant_BD[[#This Row],[Month Year]],0))</f>
        <v>30</v>
      </c>
      <c r="I24" s="232">
        <f>IFERROR(_xlfn.XLOOKUP(Plant_BD[[#This Row],[Date]],'Raw Data'!$G:$G,'Raw Data'!$I:$I),"")</f>
        <v>0.24166666666666667</v>
      </c>
      <c r="J24" s="232">
        <f>IFERROR(_xlfn.XLOOKUP(Plant_BD[[#This Row],[Date]],'Raw Data'!$G:$G,'Raw Data'!$J:$J),"")</f>
        <v>0.78680555555555554</v>
      </c>
      <c r="K24" s="233">
        <f>IFERROR((Plant_BD[[#This Row],[Sunset Time (POA&lt;20 W/m2)]]-Plant_BD[[#This Row],[Sunrise Time (POA&gt;20 W/m2)]])*24,"")</f>
        <v>13.083333333333332</v>
      </c>
      <c r="L24" s="233"/>
      <c r="M24" s="233"/>
      <c r="N24" s="233"/>
      <c r="O24" s="233"/>
      <c r="P24" s="233"/>
      <c r="Q24" s="233"/>
      <c r="R24" s="233"/>
      <c r="S24" s="233"/>
      <c r="T24" s="234" t="s">
        <v>155</v>
      </c>
      <c r="U24" s="10">
        <f>_xlfn.XLOOKUP(Plant_BD[[#This Row],[Affected Equipment]],'Basic Data'!$A:$A,'Basic Data'!$B:$B)</f>
        <v>669.59999999999991</v>
      </c>
      <c r="V24" s="235">
        <f>_xlfn.XLOOKUP(Plant_BD[[#This Row],[Affected Equipment]],'Basic Data'!$A:$A,'Basic Data'!$C:$C)</f>
        <v>9.4320486815415799E-2</v>
      </c>
      <c r="W24" s="236" t="s">
        <v>1023</v>
      </c>
      <c r="X24" s="236" t="s">
        <v>1023</v>
      </c>
      <c r="Y24" s="236" t="s">
        <v>1023</v>
      </c>
      <c r="Z24" s="236" t="s">
        <v>1023</v>
      </c>
      <c r="AA24" s="237">
        <v>0.24791666666666667</v>
      </c>
      <c r="AB24" s="237"/>
      <c r="AC24" s="237"/>
      <c r="AD24" s="237">
        <v>0.77777777777777779</v>
      </c>
      <c r="AE24" s="238"/>
      <c r="AF24" s="238"/>
      <c r="AG24" s="11">
        <f>(Plant_BD[[#This Row],[Work Completion time on fault]]-Plant_BD[[#This Row],[Fault Time]])*24</f>
        <v>12.716666666666667</v>
      </c>
      <c r="AH24" s="11">
        <f>IFERROR((Plant_BD[[#This Row],[Work Completion time on fault]]-Plant_BD[[#This Row],[Fault Time]])*24,"")</f>
        <v>12.716666666666667</v>
      </c>
      <c r="AI24" s="212" t="s">
        <v>1024</v>
      </c>
      <c r="AJ24" s="6" t="s">
        <v>182</v>
      </c>
      <c r="AK24" s="239">
        <f>IFERROR(Plant_BD[[#This Row],[Breakdown Time]]*Plant_BD[[#This Row],[Plant Equivalent Weightage]],"")</f>
        <v>1.1994421906693709</v>
      </c>
      <c r="AL24" s="6">
        <v>6.46</v>
      </c>
      <c r="AM24" s="238">
        <f>IFERROR((_xlfn.XLOOKUP(Plant_BD[[#This Row],[Month Year]],'Modelling New'!$D:$D,'Modelling New'!$O:$O)*Plant_BD[[#This Row],[Lost PoA(kWh/m2)]]*Plant_BD[[#This Row],[DC Capacity Affected (kW)]]),"")</f>
        <v>2928.6177695569509</v>
      </c>
      <c r="AN24" s="6"/>
      <c r="AO24" s="6"/>
      <c r="AP24" s="240"/>
    </row>
    <row r="25" spans="1:42" x14ac:dyDescent="0.25">
      <c r="A25" s="125">
        <f t="shared" si="0"/>
        <v>24</v>
      </c>
      <c r="B25" s="229">
        <v>45758</v>
      </c>
      <c r="C25" s="230">
        <f>YEAR(Plant_BD[[#This Row],[Date]])+IF(MONTH(Plant_BD[[#This Row],[Date]])&gt;=4,1,0)</f>
        <v>2026</v>
      </c>
      <c r="D25" s="230">
        <f>YEAR(Plant_BD[[#This Row],[Date]])</f>
        <v>2025</v>
      </c>
      <c r="E25" s="59" t="s">
        <v>4</v>
      </c>
      <c r="F25" s="59" t="s">
        <v>4</v>
      </c>
      <c r="G25" s="231">
        <f>Plant_BD[[#This Row],[Date]]-DAY(Plant_BD[[#This Row],[Date]])+1</f>
        <v>45748</v>
      </c>
      <c r="H25" s="3">
        <f>DAY(EOMONTH(Plant_BD[[#This Row],[Month Year]],0))</f>
        <v>30</v>
      </c>
      <c r="I25" s="232">
        <f>IFERROR(_xlfn.XLOOKUP(Plant_BD[[#This Row],[Date]],'Raw Data'!$G:$G,'Raw Data'!$I:$I),"")</f>
        <v>0.24652777777777779</v>
      </c>
      <c r="J25" s="232">
        <f>IFERROR(_xlfn.XLOOKUP(Plant_BD[[#This Row],[Date]],'Raw Data'!$G:$G,'Raw Data'!$J:$J),"")</f>
        <v>0.77152777777777781</v>
      </c>
      <c r="K25" s="233">
        <f>IFERROR((Plant_BD[[#This Row],[Sunset Time (POA&lt;20 W/m2)]]-Plant_BD[[#This Row],[Sunrise Time (POA&gt;20 W/m2)]])*24,"")</f>
        <v>12.600000000000001</v>
      </c>
      <c r="L25" s="233"/>
      <c r="M25" s="233"/>
      <c r="N25" s="233"/>
      <c r="O25" s="233"/>
      <c r="P25" s="233"/>
      <c r="Q25" s="233"/>
      <c r="R25" s="233"/>
      <c r="S25" s="233"/>
      <c r="T25" s="234" t="s">
        <v>101</v>
      </c>
      <c r="U25" s="10">
        <f>_xlfn.XLOOKUP(Plant_BD[[#This Row],[Affected Equipment]],'Basic Data'!$A:$A,'Basic Data'!$B:$B)</f>
        <v>2350.2600000000002</v>
      </c>
      <c r="V25" s="235">
        <f>_xlfn.XLOOKUP(Plant_BD[[#This Row],[Affected Equipment]],'Basic Data'!$A:$A,'Basic Data'!$C:$C)</f>
        <v>0.33105983772819475</v>
      </c>
      <c r="W25" s="236" t="s">
        <v>1057</v>
      </c>
      <c r="X25" s="236" t="s">
        <v>1057</v>
      </c>
      <c r="Y25" s="236" t="s">
        <v>1057</v>
      </c>
      <c r="Z25" s="236" t="s">
        <v>1057</v>
      </c>
      <c r="AA25" s="237">
        <v>0.24652777777777779</v>
      </c>
      <c r="AB25" s="237"/>
      <c r="AC25" s="237"/>
      <c r="AD25" s="237">
        <v>0.39583333333333331</v>
      </c>
      <c r="AE25" s="238"/>
      <c r="AF25" s="238"/>
      <c r="AG25" s="11">
        <f>(Plant_BD[[#This Row],[Work Completion time on fault]]-Plant_BD[[#This Row],[Fault Time]])*24</f>
        <v>3.5833333333333326</v>
      </c>
      <c r="AH25" s="11">
        <f>IFERROR((Plant_BD[[#This Row],[Work Completion time on fault]]-Plant_BD[[#This Row],[Fault Time]])*24,"")</f>
        <v>3.5833333333333326</v>
      </c>
      <c r="AI25" s="212" t="s">
        <v>1058</v>
      </c>
      <c r="AJ25" s="6" t="s">
        <v>184</v>
      </c>
      <c r="AK25" s="239">
        <f>IFERROR(Plant_BD[[#This Row],[Breakdown Time]]*Plant_BD[[#This Row],[Plant Equivalent Weightage]],"")</f>
        <v>1.1862977518593643</v>
      </c>
      <c r="AL25" s="6">
        <v>0.9</v>
      </c>
      <c r="AM25" s="238">
        <f>IFERROR((_xlfn.XLOOKUP(Plant_BD[[#This Row],[Month Year]],'Modelling New'!$D:$D,'Modelling New'!$O:$O)*Plant_BD[[#This Row],[Lost PoA(kWh/m2)]]*Plant_BD[[#This Row],[DC Capacity Affected (kW)]]),"")</f>
        <v>1432.0993539812664</v>
      </c>
      <c r="AN25" s="6"/>
      <c r="AO25" s="6"/>
      <c r="AP25" s="240"/>
    </row>
    <row r="26" spans="1:42" x14ac:dyDescent="0.25">
      <c r="A26" s="125">
        <f t="shared" si="0"/>
        <v>25</v>
      </c>
      <c r="B26" s="229">
        <v>45758</v>
      </c>
      <c r="C26" s="230">
        <f>YEAR(Plant_BD[[#This Row],[Date]])+IF(MONTH(Plant_BD[[#This Row],[Date]])&gt;=4,1,0)</f>
        <v>2026</v>
      </c>
      <c r="D26" s="230">
        <f>YEAR(Plant_BD[[#This Row],[Date]])</f>
        <v>2025</v>
      </c>
      <c r="E26" s="59" t="s">
        <v>4</v>
      </c>
      <c r="F26" s="59" t="s">
        <v>4</v>
      </c>
      <c r="G26" s="231">
        <f>Plant_BD[[#This Row],[Date]]-DAY(Plant_BD[[#This Row],[Date]])+1</f>
        <v>45748</v>
      </c>
      <c r="H26" s="3">
        <f>DAY(EOMONTH(Plant_BD[[#This Row],[Month Year]],0))</f>
        <v>30</v>
      </c>
      <c r="I26" s="232">
        <f>IFERROR(_xlfn.XLOOKUP(Plant_BD[[#This Row],[Date]],'Raw Data'!$G:$G,'Raw Data'!$I:$I),"")</f>
        <v>0.24652777777777779</v>
      </c>
      <c r="J26" s="232">
        <f>IFERROR(_xlfn.XLOOKUP(Plant_BD[[#This Row],[Date]],'Raw Data'!$G:$G,'Raw Data'!$J:$J),"")</f>
        <v>0.77152777777777781</v>
      </c>
      <c r="K26" s="233">
        <f>IFERROR((Plant_BD[[#This Row],[Sunset Time (POA&lt;20 W/m2)]]-Plant_BD[[#This Row],[Sunrise Time (POA&gt;20 W/m2)]])*24,"")</f>
        <v>12.600000000000001</v>
      </c>
      <c r="L26" s="233"/>
      <c r="M26" s="233"/>
      <c r="N26" s="233"/>
      <c r="O26" s="233"/>
      <c r="P26" s="233"/>
      <c r="Q26" s="233"/>
      <c r="R26" s="233"/>
      <c r="S26" s="233"/>
      <c r="T26" s="234" t="s">
        <v>155</v>
      </c>
      <c r="U26" s="10">
        <f>_xlfn.XLOOKUP(Plant_BD[[#This Row],[Affected Equipment]],'Basic Data'!$A:$A,'Basic Data'!$B:$B)</f>
        <v>669.59999999999991</v>
      </c>
      <c r="V26" s="235">
        <f>_xlfn.XLOOKUP(Plant_BD[[#This Row],[Affected Equipment]],'Basic Data'!$A:$A,'Basic Data'!$C:$C)</f>
        <v>9.4320486815415799E-2</v>
      </c>
      <c r="W26" s="236" t="s">
        <v>1059</v>
      </c>
      <c r="X26" s="236" t="s">
        <v>1059</v>
      </c>
      <c r="Y26" s="236" t="s">
        <v>1059</v>
      </c>
      <c r="Z26" s="236" t="s">
        <v>1059</v>
      </c>
      <c r="AA26" s="237">
        <v>0.39583333333333331</v>
      </c>
      <c r="AB26" s="237"/>
      <c r="AC26" s="237"/>
      <c r="AD26" s="237">
        <v>0.77152777777777781</v>
      </c>
      <c r="AE26" s="238"/>
      <c r="AF26" s="238"/>
      <c r="AG26" s="11">
        <f>(Plant_BD[[#This Row],[Work Completion time on fault]]-Plant_BD[[#This Row],[Fault Time]])*24</f>
        <v>9.0166666666666675</v>
      </c>
      <c r="AH26" s="11">
        <f>IFERROR((Plant_BD[[#This Row],[Work Completion time on fault]]-Plant_BD[[#This Row],[Fault Time]])*24,"")</f>
        <v>9.0166666666666675</v>
      </c>
      <c r="AI26" s="212" t="s">
        <v>1058</v>
      </c>
      <c r="AJ26" s="6" t="s">
        <v>184</v>
      </c>
      <c r="AK26" s="239">
        <f>IFERROR(Plant_BD[[#This Row],[Breakdown Time]]*Plant_BD[[#This Row],[Plant Equivalent Weightage]],"")</f>
        <v>0.85045638945233248</v>
      </c>
      <c r="AL26" s="6">
        <v>5.43</v>
      </c>
      <c r="AM26" s="238">
        <f>IFERROR((_xlfn.XLOOKUP(Plant_BD[[#This Row],[Month Year]],'Modelling New'!$D:$D,'Modelling New'!$O:$O)*Plant_BD[[#This Row],[Lost PoA(kWh/m2)]]*Plant_BD[[#This Row],[DC Capacity Affected (kW)]]),"")</f>
        <v>2461.6709734820811</v>
      </c>
      <c r="AN26" s="6"/>
      <c r="AO26" s="6"/>
      <c r="AP26" s="240"/>
    </row>
    <row r="27" spans="1:42" x14ac:dyDescent="0.25">
      <c r="A27" s="125">
        <f t="shared" si="0"/>
        <v>26</v>
      </c>
      <c r="B27" s="229">
        <v>45759</v>
      </c>
      <c r="C27" s="230">
        <f>YEAR(Plant_BD[[#This Row],[Date]])+IF(MONTH(Plant_BD[[#This Row],[Date]])&gt;=4,1,0)</f>
        <v>2026</v>
      </c>
      <c r="D27" s="230">
        <f>YEAR(Plant_BD[[#This Row],[Date]])</f>
        <v>2025</v>
      </c>
      <c r="E27" s="59" t="s">
        <v>4</v>
      </c>
      <c r="F27" s="59" t="s">
        <v>4</v>
      </c>
      <c r="G27" s="231">
        <f>Plant_BD[[#This Row],[Date]]-DAY(Plant_BD[[#This Row],[Date]])+1</f>
        <v>45748</v>
      </c>
      <c r="H27" s="3">
        <f>DAY(EOMONTH(Plant_BD[[#This Row],[Month Year]],0))</f>
        <v>30</v>
      </c>
      <c r="I27" s="232">
        <f>IFERROR(_xlfn.XLOOKUP(Plant_BD[[#This Row],[Date]],'Raw Data'!$G:$G,'Raw Data'!$I:$I),"")</f>
        <v>0.24444444444444444</v>
      </c>
      <c r="J27" s="232">
        <f>IFERROR(_xlfn.XLOOKUP(Plant_BD[[#This Row],[Date]],'Raw Data'!$G:$G,'Raw Data'!$J:$J),"")</f>
        <v>0.77013888888888893</v>
      </c>
      <c r="K27" s="233">
        <f>IFERROR((Plant_BD[[#This Row],[Sunset Time (POA&lt;20 W/m2)]]-Plant_BD[[#This Row],[Sunrise Time (POA&gt;20 W/m2)]])*24,"")</f>
        <v>12.616666666666667</v>
      </c>
      <c r="L27" s="233"/>
      <c r="M27" s="233"/>
      <c r="N27" s="233"/>
      <c r="O27" s="233"/>
      <c r="P27" s="233"/>
      <c r="Q27" s="233"/>
      <c r="R27" s="233"/>
      <c r="S27" s="233"/>
      <c r="T27" s="234" t="s">
        <v>101</v>
      </c>
      <c r="U27" s="10">
        <f>_xlfn.XLOOKUP(Plant_BD[[#This Row],[Affected Equipment]],'Basic Data'!$A:$A,'Basic Data'!$B:$B)</f>
        <v>2350.2600000000002</v>
      </c>
      <c r="V27" s="235">
        <f>_xlfn.XLOOKUP(Plant_BD[[#This Row],[Affected Equipment]],'Basic Data'!$A:$A,'Basic Data'!$C:$C)</f>
        <v>0.33105983772819475</v>
      </c>
      <c r="W27" s="236" t="s">
        <v>1022</v>
      </c>
      <c r="X27" s="236" t="s">
        <v>1022</v>
      </c>
      <c r="Y27" s="236" t="s">
        <v>1022</v>
      </c>
      <c r="Z27" s="236" t="s">
        <v>1022</v>
      </c>
      <c r="AA27" s="237">
        <v>0.24444444444444444</v>
      </c>
      <c r="AB27" s="237"/>
      <c r="AC27" s="237"/>
      <c r="AD27" s="237">
        <v>0.27777777777777779</v>
      </c>
      <c r="AE27" s="238"/>
      <c r="AF27" s="238"/>
      <c r="AG27" s="11">
        <f>(Plant_BD[[#This Row],[Work Completion time on fault]]-Plant_BD[[#This Row],[Fault Time]])*24</f>
        <v>0.80000000000000049</v>
      </c>
      <c r="AH27" s="11">
        <f>IFERROR((Plant_BD[[#This Row],[Work Completion time on fault]]-Plant_BD[[#This Row],[Fault Time]])*24,"")</f>
        <v>0.80000000000000049</v>
      </c>
      <c r="AI27" s="212" t="s">
        <v>1062</v>
      </c>
      <c r="AJ27" s="6" t="s">
        <v>184</v>
      </c>
      <c r="AK27" s="239">
        <f>IFERROR(Plant_BD[[#This Row],[Breakdown Time]]*Plant_BD[[#This Row],[Plant Equivalent Weightage]],"")</f>
        <v>0.26484787018255596</v>
      </c>
      <c r="AL27" s="6">
        <v>0.01</v>
      </c>
      <c r="AM27" s="238">
        <f>IFERROR((_xlfn.XLOOKUP(Plant_BD[[#This Row],[Month Year]],'Modelling New'!$D:$D,'Modelling New'!$O:$O)*Plant_BD[[#This Row],[Lost PoA(kWh/m2)]]*Plant_BD[[#This Row],[DC Capacity Affected (kW)]]),"")</f>
        <v>15.912215044236293</v>
      </c>
      <c r="AN27" s="6"/>
      <c r="AO27" s="6"/>
      <c r="AP27" s="240"/>
    </row>
    <row r="28" spans="1:42" x14ac:dyDescent="0.25">
      <c r="A28" s="125">
        <f t="shared" si="0"/>
        <v>27</v>
      </c>
      <c r="B28" s="229">
        <v>45788</v>
      </c>
      <c r="C28" s="230">
        <f>YEAR(Plant_BD[[#This Row],[Date]])+IF(MONTH(Plant_BD[[#This Row],[Date]])&gt;=4,1,0)</f>
        <v>2026</v>
      </c>
      <c r="D28" s="230">
        <f>YEAR(Plant_BD[[#This Row],[Date]])</f>
        <v>2025</v>
      </c>
      <c r="E28" s="59" t="s">
        <v>4</v>
      </c>
      <c r="F28" s="59" t="s">
        <v>4</v>
      </c>
      <c r="G28" s="231">
        <f>Plant_BD[[#This Row],[Date]]-DAY(Plant_BD[[#This Row],[Date]])+1</f>
        <v>45778</v>
      </c>
      <c r="H28" s="3">
        <f>DAY(EOMONTH(Plant_BD[[#This Row],[Month Year]],0))</f>
        <v>31</v>
      </c>
      <c r="I28" s="232">
        <f>IFERROR(_xlfn.XLOOKUP(Plant_BD[[#This Row],[Date]],'Raw Data'!$G:$G,'Raw Data'!$I:$I),"")</f>
        <v>0.22638888888888889</v>
      </c>
      <c r="J28" s="232">
        <f>IFERROR(_xlfn.XLOOKUP(Plant_BD[[#This Row],[Date]],'Raw Data'!$G:$G,'Raw Data'!$J:$J),"")</f>
        <v>0.76597222222222228</v>
      </c>
      <c r="K28" s="233">
        <f>IFERROR((Plant_BD[[#This Row],[Sunset Time (POA&lt;20 W/m2)]]-Plant_BD[[#This Row],[Sunrise Time (POA&gt;20 W/m2)]])*24,"")</f>
        <v>12.950000000000003</v>
      </c>
      <c r="L28" s="233"/>
      <c r="M28" s="233"/>
      <c r="N28" s="233"/>
      <c r="O28" s="233"/>
      <c r="P28" s="233"/>
      <c r="Q28" s="233"/>
      <c r="R28" s="233"/>
      <c r="S28" s="233"/>
      <c r="T28" s="234" t="s">
        <v>102</v>
      </c>
      <c r="U28" s="10">
        <f>_xlfn.XLOOKUP(Plant_BD[[#This Row],[Affected Equipment]],'Basic Data'!$A:$A,'Basic Data'!$B:$B)</f>
        <v>2369.3399999999997</v>
      </c>
      <c r="V28" s="235">
        <f>_xlfn.XLOOKUP(Plant_BD[[#This Row],[Affected Equipment]],'Basic Data'!$A:$A,'Basic Data'!$C:$C)</f>
        <v>0.33374746450304255</v>
      </c>
      <c r="W28" s="236" t="s">
        <v>1019</v>
      </c>
      <c r="X28" s="236" t="s">
        <v>1019</v>
      </c>
      <c r="Y28" s="236" t="s">
        <v>1019</v>
      </c>
      <c r="Z28" s="236" t="s">
        <v>1019</v>
      </c>
      <c r="AA28" s="237">
        <v>0.22638888888888889</v>
      </c>
      <c r="AB28" s="237"/>
      <c r="AC28" s="237"/>
      <c r="AD28" s="237">
        <v>0.2673611111111111</v>
      </c>
      <c r="AE28" s="238"/>
      <c r="AF28" s="238"/>
      <c r="AG28" s="11">
        <f>(Plant_BD[[#This Row],[Work Completion time on fault]]-Plant_BD[[#This Row],[Fault Time]])*24</f>
        <v>0.98333333333333317</v>
      </c>
      <c r="AH28" s="11">
        <f>IFERROR((Plant_BD[[#This Row],[Work Completion time on fault]]-Plant_BD[[#This Row],[Fault Time]])*24,"")</f>
        <v>0.98333333333333317</v>
      </c>
      <c r="AI28" s="212" t="s">
        <v>1013</v>
      </c>
      <c r="AJ28" s="6" t="s">
        <v>184</v>
      </c>
      <c r="AK28" s="239">
        <f>IFERROR(Plant_BD[[#This Row],[Breakdown Time]]*Plant_BD[[#This Row],[Plant Equivalent Weightage]],"")</f>
        <v>0.32818500676132512</v>
      </c>
      <c r="AL28" s="6">
        <v>0.01</v>
      </c>
      <c r="AM28" s="238">
        <f>IFERROR((_xlfn.XLOOKUP(Plant_BD[[#This Row],[Month Year]],'Modelling New'!$D:$D,'Modelling New'!$O:$O)*Plant_BD[[#This Row],[Lost PoA(kWh/m2)]]*Plant_BD[[#This Row],[DC Capacity Affected (kW)]]),"")</f>
        <v>16.43401623854891</v>
      </c>
      <c r="AN28" s="6"/>
      <c r="AO28" s="6"/>
      <c r="AP28" s="240"/>
    </row>
    <row r="29" spans="1:42" x14ac:dyDescent="0.25">
      <c r="A29" s="125">
        <f t="shared" si="0"/>
        <v>28</v>
      </c>
      <c r="B29" s="229">
        <v>45788</v>
      </c>
      <c r="C29" s="230">
        <f>YEAR(Plant_BD[[#This Row],[Date]])+IF(MONTH(Plant_BD[[#This Row],[Date]])&gt;=4,1,0)</f>
        <v>2026</v>
      </c>
      <c r="D29" s="230">
        <f>YEAR(Plant_BD[[#This Row],[Date]])</f>
        <v>2025</v>
      </c>
      <c r="E29" s="59" t="s">
        <v>4</v>
      </c>
      <c r="F29" s="59" t="s">
        <v>4</v>
      </c>
      <c r="G29" s="231">
        <f>Plant_BD[[#This Row],[Date]]-DAY(Plant_BD[[#This Row],[Date]])+1</f>
        <v>45778</v>
      </c>
      <c r="H29" s="3">
        <f>DAY(EOMONTH(Plant_BD[[#This Row],[Month Year]],0))</f>
        <v>31</v>
      </c>
      <c r="I29" s="232">
        <f>IFERROR(_xlfn.XLOOKUP(Plant_BD[[#This Row],[Date]],'Raw Data'!$G:$G,'Raw Data'!$I:$I),"")</f>
        <v>0.22638888888888889</v>
      </c>
      <c r="J29" s="232">
        <f>IFERROR(_xlfn.XLOOKUP(Plant_BD[[#This Row],[Date]],'Raw Data'!$G:$G,'Raw Data'!$J:$J),"")</f>
        <v>0.76597222222222228</v>
      </c>
      <c r="K29" s="233">
        <f>IFERROR((Plant_BD[[#This Row],[Sunset Time (POA&lt;20 W/m2)]]-Plant_BD[[#This Row],[Sunrise Time (POA&gt;20 W/m2)]])*24,"")</f>
        <v>12.950000000000003</v>
      </c>
      <c r="L29" s="233"/>
      <c r="M29" s="233"/>
      <c r="N29" s="233"/>
      <c r="O29" s="233"/>
      <c r="P29" s="233"/>
      <c r="Q29" s="233"/>
      <c r="R29" s="233"/>
      <c r="S29" s="233"/>
      <c r="T29" s="234" t="s">
        <v>259</v>
      </c>
      <c r="U29" s="10">
        <f>_xlfn.XLOOKUP(Plant_BD[[#This Row],[Affected Equipment]],'Basic Data'!$A:$A,'Basic Data'!$B:$B)</f>
        <v>113.40000000000002</v>
      </c>
      <c r="V29" s="235">
        <f>_xlfn.XLOOKUP(Plant_BD[[#This Row],[Affected Equipment]],'Basic Data'!$A:$A,'Basic Data'!$C:$C)</f>
        <v>1.5973630831643004E-2</v>
      </c>
      <c r="W29" s="236" t="s">
        <v>1019</v>
      </c>
      <c r="X29" s="236" t="s">
        <v>1019</v>
      </c>
      <c r="Y29" s="236" t="s">
        <v>1019</v>
      </c>
      <c r="Z29" s="236" t="s">
        <v>1019</v>
      </c>
      <c r="AA29" s="237">
        <v>0.2673611111111111</v>
      </c>
      <c r="AB29" s="237"/>
      <c r="AC29" s="237"/>
      <c r="AD29" s="237">
        <v>0.33194444444444443</v>
      </c>
      <c r="AE29" s="238"/>
      <c r="AF29" s="238"/>
      <c r="AG29" s="11">
        <f>(Plant_BD[[#This Row],[Work Completion time on fault]]-Plant_BD[[#This Row],[Fault Time]])*24</f>
        <v>1.5499999999999998</v>
      </c>
      <c r="AH29" s="11">
        <f>IFERROR((Plant_BD[[#This Row],[Work Completion time on fault]]-Plant_BD[[#This Row],[Fault Time]])*24,"")</f>
        <v>1.5499999999999998</v>
      </c>
      <c r="AI29" s="212" t="s">
        <v>1020</v>
      </c>
      <c r="AJ29" s="6" t="s">
        <v>184</v>
      </c>
      <c r="AK29" s="239">
        <f>IFERROR(Plant_BD[[#This Row],[Breakdown Time]]*Plant_BD[[#This Row],[Plant Equivalent Weightage]],"")</f>
        <v>2.4759127789046653E-2</v>
      </c>
      <c r="AL29" s="6">
        <v>0.25</v>
      </c>
      <c r="AM29" s="238">
        <f>IFERROR((_xlfn.XLOOKUP(Plant_BD[[#This Row],[Month Year]],'Modelling New'!$D:$D,'Modelling New'!$O:$O)*Plant_BD[[#This Row],[Lost PoA(kWh/m2)]]*Plant_BD[[#This Row],[DC Capacity Affected (kW)]]),"")</f>
        <v>19.663887849057616</v>
      </c>
      <c r="AN29" s="6"/>
      <c r="AO29" s="6"/>
      <c r="AP29" s="240"/>
    </row>
    <row r="30" spans="1:42" x14ac:dyDescent="0.25">
      <c r="A30" s="125">
        <f t="shared" si="0"/>
        <v>29</v>
      </c>
      <c r="B30" s="229">
        <v>45788</v>
      </c>
      <c r="C30" s="230">
        <f>YEAR(Plant_BD[[#This Row],[Date]])+IF(MONTH(Plant_BD[[#This Row],[Date]])&gt;=4,1,0)</f>
        <v>2026</v>
      </c>
      <c r="D30" s="230">
        <f>YEAR(Plant_BD[[#This Row],[Date]])</f>
        <v>2025</v>
      </c>
      <c r="E30" s="59" t="s">
        <v>4</v>
      </c>
      <c r="F30" s="59" t="s">
        <v>4</v>
      </c>
      <c r="G30" s="231">
        <f>Plant_BD[[#This Row],[Date]]-DAY(Plant_BD[[#This Row],[Date]])+1</f>
        <v>45778</v>
      </c>
      <c r="H30" s="3">
        <f>DAY(EOMONTH(Plant_BD[[#This Row],[Month Year]],0))</f>
        <v>31</v>
      </c>
      <c r="I30" s="232">
        <f>IFERROR(_xlfn.XLOOKUP(Plant_BD[[#This Row],[Date]],'Raw Data'!$G:$G,'Raw Data'!$I:$I),"")</f>
        <v>0.22638888888888889</v>
      </c>
      <c r="J30" s="232">
        <f>IFERROR(_xlfn.XLOOKUP(Plant_BD[[#This Row],[Date]],'Raw Data'!$G:$G,'Raw Data'!$J:$J),"")</f>
        <v>0.76597222222222228</v>
      </c>
      <c r="K30" s="233">
        <f>IFERROR((Plant_BD[[#This Row],[Sunset Time (POA&lt;20 W/m2)]]-Plant_BD[[#This Row],[Sunrise Time (POA&gt;20 W/m2)]])*24,"")</f>
        <v>12.950000000000003</v>
      </c>
      <c r="L30" s="233"/>
      <c r="M30" s="233"/>
      <c r="N30" s="233"/>
      <c r="O30" s="233"/>
      <c r="P30" s="233"/>
      <c r="Q30" s="233"/>
      <c r="R30" s="233"/>
      <c r="S30" s="233"/>
      <c r="T30" s="234" t="s">
        <v>271</v>
      </c>
      <c r="U30" s="10">
        <f>_xlfn.XLOOKUP(Plant_BD[[#This Row],[Affected Equipment]],'Basic Data'!$A:$A,'Basic Data'!$B:$B)</f>
        <v>115.19999999999997</v>
      </c>
      <c r="V30" s="235">
        <f>_xlfn.XLOOKUP(Plant_BD[[#This Row],[Affected Equipment]],'Basic Data'!$A:$A,'Basic Data'!$C:$C)</f>
        <v>1.6227180527383363E-2</v>
      </c>
      <c r="W30" s="236" t="s">
        <v>1019</v>
      </c>
      <c r="X30" s="236" t="s">
        <v>1019</v>
      </c>
      <c r="Y30" s="236" t="s">
        <v>1019</v>
      </c>
      <c r="Z30" s="236" t="s">
        <v>1019</v>
      </c>
      <c r="AA30" s="237">
        <v>0.2673611111111111</v>
      </c>
      <c r="AB30" s="237"/>
      <c r="AC30" s="237"/>
      <c r="AD30" s="237">
        <v>0.33194444444444443</v>
      </c>
      <c r="AE30" s="238"/>
      <c r="AF30" s="238"/>
      <c r="AG30" s="11">
        <f>(Plant_BD[[#This Row],[Work Completion time on fault]]-Plant_BD[[#This Row],[Fault Time]])*24</f>
        <v>1.5499999999999998</v>
      </c>
      <c r="AH30" s="11">
        <f>IFERROR((Plant_BD[[#This Row],[Work Completion time on fault]]-Plant_BD[[#This Row],[Fault Time]])*24,"")</f>
        <v>1.5499999999999998</v>
      </c>
      <c r="AI30" s="212" t="s">
        <v>1020</v>
      </c>
      <c r="AJ30" s="6" t="s">
        <v>184</v>
      </c>
      <c r="AK30" s="239">
        <f>IFERROR(Plant_BD[[#This Row],[Breakdown Time]]*Plant_BD[[#This Row],[Plant Equivalent Weightage]],"")</f>
        <v>2.5152129817444212E-2</v>
      </c>
      <c r="AL30" s="6">
        <v>0.25</v>
      </c>
      <c r="AM30" s="238">
        <f>IFERROR((_xlfn.XLOOKUP(Plant_BD[[#This Row],[Month Year]],'Modelling New'!$D:$D,'Modelling New'!$O:$O)*Plant_BD[[#This Row],[Lost PoA(kWh/m2)]]*Plant_BD[[#This Row],[DC Capacity Affected (kW)]]),"")</f>
        <v>19.976013053010902</v>
      </c>
      <c r="AN30" s="6"/>
      <c r="AO30" s="6"/>
      <c r="AP30" s="240"/>
    </row>
    <row r="31" spans="1:42" x14ac:dyDescent="0.25">
      <c r="A31" s="125">
        <f t="shared" si="0"/>
        <v>30</v>
      </c>
      <c r="B31" s="229">
        <v>45788</v>
      </c>
      <c r="C31" s="230">
        <f>YEAR(Plant_BD[[#This Row],[Date]])+IF(MONTH(Plant_BD[[#This Row],[Date]])&gt;=4,1,0)</f>
        <v>2026</v>
      </c>
      <c r="D31" s="230">
        <f>YEAR(Plant_BD[[#This Row],[Date]])</f>
        <v>2025</v>
      </c>
      <c r="E31" s="59" t="s">
        <v>4</v>
      </c>
      <c r="F31" s="59" t="s">
        <v>4</v>
      </c>
      <c r="G31" s="231">
        <f>Plant_BD[[#This Row],[Date]]-DAY(Plant_BD[[#This Row],[Date]])+1</f>
        <v>45778</v>
      </c>
      <c r="H31" s="3">
        <f>DAY(EOMONTH(Plant_BD[[#This Row],[Month Year]],0))</f>
        <v>31</v>
      </c>
      <c r="I31" s="232">
        <f>IFERROR(_xlfn.XLOOKUP(Plant_BD[[#This Row],[Date]],'Raw Data'!$G:$G,'Raw Data'!$I:$I),"")</f>
        <v>0.22638888888888889</v>
      </c>
      <c r="J31" s="232">
        <f>IFERROR(_xlfn.XLOOKUP(Plant_BD[[#This Row],[Date]],'Raw Data'!$G:$G,'Raw Data'!$J:$J),"")</f>
        <v>0.76597222222222228</v>
      </c>
      <c r="K31" s="233">
        <f>IFERROR((Plant_BD[[#This Row],[Sunset Time (POA&lt;20 W/m2)]]-Plant_BD[[#This Row],[Sunrise Time (POA&gt;20 W/m2)]])*24,"")</f>
        <v>12.950000000000003</v>
      </c>
      <c r="L31" s="233"/>
      <c r="M31" s="233"/>
      <c r="N31" s="233"/>
      <c r="O31" s="233"/>
      <c r="P31" s="233"/>
      <c r="Q31" s="233"/>
      <c r="R31" s="233"/>
      <c r="S31" s="233"/>
      <c r="T31" s="234" t="s">
        <v>785</v>
      </c>
      <c r="U31" s="10">
        <f>_xlfn.XLOOKUP(Plant_BD[[#This Row],[Affected Equipment]],'Basic Data'!$A:$A,'Basic Data'!$B:$B)</f>
        <v>11.34</v>
      </c>
      <c r="V31" s="235">
        <f>_xlfn.XLOOKUP(Plant_BD[[#This Row],[Affected Equipment]],'Basic Data'!$A:$A,'Basic Data'!$C:$C)</f>
        <v>1.5973630831643E-3</v>
      </c>
      <c r="W31" s="236" t="s">
        <v>1019</v>
      </c>
      <c r="X31" s="236" t="s">
        <v>1019</v>
      </c>
      <c r="Y31" s="236" t="s">
        <v>1019</v>
      </c>
      <c r="Z31" s="236" t="s">
        <v>1019</v>
      </c>
      <c r="AA31" s="237">
        <v>0.33194444444444443</v>
      </c>
      <c r="AB31" s="237"/>
      <c r="AC31" s="237"/>
      <c r="AD31" s="237">
        <v>0.76597222222222228</v>
      </c>
      <c r="AE31" s="238"/>
      <c r="AF31" s="238"/>
      <c r="AG31" s="11">
        <f>(Plant_BD[[#This Row],[Work Completion time on fault]]-Plant_BD[[#This Row],[Fault Time]])*24</f>
        <v>10.416666666666668</v>
      </c>
      <c r="AH31" s="11">
        <f>IFERROR((Plant_BD[[#This Row],[Work Completion time on fault]]-Plant_BD[[#This Row],[Fault Time]])*24,"")</f>
        <v>10.416666666666668</v>
      </c>
      <c r="AI31" s="212" t="s">
        <v>1025</v>
      </c>
      <c r="AJ31" s="6" t="s">
        <v>184</v>
      </c>
      <c r="AK31" s="239">
        <f>IFERROR(Plant_BD[[#This Row],[Breakdown Time]]*Plant_BD[[#This Row],[Plant Equivalent Weightage]],"")</f>
        <v>1.663919878296146E-2</v>
      </c>
      <c r="AL31" s="6">
        <v>5.25</v>
      </c>
      <c r="AM31" s="238">
        <f>IFERROR((_xlfn.XLOOKUP(Plant_BD[[#This Row],[Month Year]],'Modelling New'!$D:$D,'Modelling New'!$O:$O)*Plant_BD[[#This Row],[Lost PoA(kWh/m2)]]*Plant_BD[[#This Row],[DC Capacity Affected (kW)]]),"")</f>
        <v>41.294164483020985</v>
      </c>
      <c r="AN31" s="6"/>
      <c r="AO31" s="6"/>
      <c r="AP31" s="240"/>
    </row>
    <row r="32" spans="1:42" x14ac:dyDescent="0.25">
      <c r="A32" s="125">
        <f t="shared" si="0"/>
        <v>31</v>
      </c>
      <c r="B32" s="229">
        <v>45790</v>
      </c>
      <c r="C32" s="230">
        <f>YEAR(Plant_BD[[#This Row],[Date]])+IF(MONTH(Plant_BD[[#This Row],[Date]])&gt;=4,1,0)</f>
        <v>2026</v>
      </c>
      <c r="D32" s="230">
        <f>YEAR(Plant_BD[[#This Row],[Date]])</f>
        <v>2025</v>
      </c>
      <c r="E32" s="59" t="s">
        <v>4</v>
      </c>
      <c r="F32" s="59" t="s">
        <v>4</v>
      </c>
      <c r="G32" s="231">
        <f>Plant_BD[[#This Row],[Date]]-DAY(Plant_BD[[#This Row],[Date]])+1</f>
        <v>45778</v>
      </c>
      <c r="H32" s="3">
        <f>DAY(EOMONTH(Plant_BD[[#This Row],[Month Year]],0))</f>
        <v>31</v>
      </c>
      <c r="I32" s="232">
        <f>IFERROR(_xlfn.XLOOKUP(Plant_BD[[#This Row],[Date]],'Raw Data'!$G:$G,'Raw Data'!$I:$I),"")</f>
        <v>0.2361111111111111</v>
      </c>
      <c r="J32" s="232">
        <f>IFERROR(_xlfn.XLOOKUP(Plant_BD[[#This Row],[Date]],'Raw Data'!$G:$G,'Raw Data'!$J:$J),"")</f>
        <v>0.7680555555555556</v>
      </c>
      <c r="K32" s="233">
        <f>IFERROR((Plant_BD[[#This Row],[Sunset Time (POA&lt;20 W/m2)]]-Plant_BD[[#This Row],[Sunrise Time (POA&gt;20 W/m2)]])*24,"")</f>
        <v>12.766666666666669</v>
      </c>
      <c r="L32" s="233"/>
      <c r="M32" s="233"/>
      <c r="N32" s="233"/>
      <c r="O32" s="233"/>
      <c r="P32" s="233"/>
      <c r="Q32" s="233"/>
      <c r="R32" s="233"/>
      <c r="S32" s="233"/>
      <c r="T32" s="234" t="s">
        <v>102</v>
      </c>
      <c r="U32" s="10">
        <f>_xlfn.XLOOKUP(Plant_BD[[#This Row],[Affected Equipment]],'Basic Data'!$A:$A,'Basic Data'!$B:$B)</f>
        <v>2369.3399999999997</v>
      </c>
      <c r="V32" s="235">
        <f>_xlfn.XLOOKUP(Plant_BD[[#This Row],[Affected Equipment]],'Basic Data'!$A:$A,'Basic Data'!$C:$C)</f>
        <v>0.33374746450304255</v>
      </c>
      <c r="W32" s="236" t="s">
        <v>1019</v>
      </c>
      <c r="X32" s="236" t="s">
        <v>1019</v>
      </c>
      <c r="Y32" s="236" t="s">
        <v>1019</v>
      </c>
      <c r="Z32" s="236" t="s">
        <v>1019</v>
      </c>
      <c r="AA32" s="237">
        <v>0.2361111111111111</v>
      </c>
      <c r="AB32" s="237"/>
      <c r="AC32" s="237"/>
      <c r="AD32" s="237">
        <v>0.26874999999999999</v>
      </c>
      <c r="AE32" s="238"/>
      <c r="AF32" s="238"/>
      <c r="AG32" s="11">
        <f>(Plant_BD[[#This Row],[Work Completion time on fault]]-Plant_BD[[#This Row],[Fault Time]])*24</f>
        <v>0.78333333333333321</v>
      </c>
      <c r="AH32" s="11">
        <f>IFERROR((Plant_BD[[#This Row],[Work Completion time on fault]]-Plant_BD[[#This Row],[Fault Time]])*24,"")</f>
        <v>0.78333333333333321</v>
      </c>
      <c r="AI32" s="212" t="s">
        <v>1013</v>
      </c>
      <c r="AJ32" s="6" t="s">
        <v>184</v>
      </c>
      <c r="AK32" s="239">
        <f>IFERROR(Plant_BD[[#This Row],[Breakdown Time]]*Plant_BD[[#This Row],[Plant Equivalent Weightage]],"")</f>
        <v>0.26143551386071662</v>
      </c>
      <c r="AL32" s="6">
        <v>0.01</v>
      </c>
      <c r="AM32" s="238">
        <f>IFERROR((_xlfn.XLOOKUP(Plant_BD[[#This Row],[Month Year]],'Modelling New'!$D:$D,'Modelling New'!$O:$O)*Plant_BD[[#This Row],[Lost PoA(kWh/m2)]]*Plant_BD[[#This Row],[DC Capacity Affected (kW)]]),"")</f>
        <v>16.43401623854891</v>
      </c>
      <c r="AN32" s="6"/>
      <c r="AO32" s="6"/>
      <c r="AP32" s="240"/>
    </row>
    <row r="33" spans="1:42" x14ac:dyDescent="0.25">
      <c r="A33" s="125">
        <f t="shared" si="0"/>
        <v>32</v>
      </c>
      <c r="B33" s="229">
        <v>45790</v>
      </c>
      <c r="C33" s="230">
        <f>YEAR(Plant_BD[[#This Row],[Date]])+IF(MONTH(Plant_BD[[#This Row],[Date]])&gt;=4,1,0)</f>
        <v>2026</v>
      </c>
      <c r="D33" s="230">
        <f>YEAR(Plant_BD[[#This Row],[Date]])</f>
        <v>2025</v>
      </c>
      <c r="E33" s="59" t="s">
        <v>4</v>
      </c>
      <c r="F33" s="59" t="s">
        <v>4</v>
      </c>
      <c r="G33" s="231">
        <f>Plant_BD[[#This Row],[Date]]-DAY(Plant_BD[[#This Row],[Date]])+1</f>
        <v>45778</v>
      </c>
      <c r="H33" s="3">
        <f>DAY(EOMONTH(Plant_BD[[#This Row],[Month Year]],0))</f>
        <v>31</v>
      </c>
      <c r="I33" s="232">
        <f>IFERROR(_xlfn.XLOOKUP(Plant_BD[[#This Row],[Date]],'Raw Data'!$G:$G,'Raw Data'!$I:$I),"")</f>
        <v>0.2361111111111111</v>
      </c>
      <c r="J33" s="232">
        <f>IFERROR(_xlfn.XLOOKUP(Plant_BD[[#This Row],[Date]],'Raw Data'!$G:$G,'Raw Data'!$J:$J),"")</f>
        <v>0.7680555555555556</v>
      </c>
      <c r="K33" s="233">
        <f>IFERROR((Plant_BD[[#This Row],[Sunset Time (POA&lt;20 W/m2)]]-Plant_BD[[#This Row],[Sunrise Time (POA&gt;20 W/m2)]])*24,"")</f>
        <v>12.766666666666669</v>
      </c>
      <c r="L33" s="233"/>
      <c r="M33" s="233"/>
      <c r="N33" s="233"/>
      <c r="O33" s="233"/>
      <c r="P33" s="233"/>
      <c r="Q33" s="233"/>
      <c r="R33" s="233"/>
      <c r="S33" s="233"/>
      <c r="T33" s="234" t="s">
        <v>259</v>
      </c>
      <c r="U33" s="10">
        <f>_xlfn.XLOOKUP(Plant_BD[[#This Row],[Affected Equipment]],'Basic Data'!$A:$A,'Basic Data'!$B:$B)</f>
        <v>113.40000000000002</v>
      </c>
      <c r="V33" s="235">
        <f>_xlfn.XLOOKUP(Plant_BD[[#This Row],[Affected Equipment]],'Basic Data'!$A:$A,'Basic Data'!$C:$C)</f>
        <v>1.5973630831643004E-2</v>
      </c>
      <c r="W33" s="236" t="s">
        <v>1019</v>
      </c>
      <c r="X33" s="236" t="s">
        <v>1019</v>
      </c>
      <c r="Y33" s="236" t="s">
        <v>1019</v>
      </c>
      <c r="Z33" s="236" t="s">
        <v>1019</v>
      </c>
      <c r="AA33" s="237">
        <v>0.26874999999999999</v>
      </c>
      <c r="AB33" s="237"/>
      <c r="AC33" s="237"/>
      <c r="AD33" s="237">
        <v>0.28125</v>
      </c>
      <c r="AE33" s="238"/>
      <c r="AF33" s="238"/>
      <c r="AG33" s="11">
        <f>(Plant_BD[[#This Row],[Work Completion time on fault]]-Plant_BD[[#This Row],[Fault Time]])*24</f>
        <v>0.30000000000000027</v>
      </c>
      <c r="AH33" s="11">
        <f>IFERROR((Plant_BD[[#This Row],[Work Completion time on fault]]-Plant_BD[[#This Row],[Fault Time]])*24,"")</f>
        <v>0.30000000000000027</v>
      </c>
      <c r="AI33" s="212" t="s">
        <v>1020</v>
      </c>
      <c r="AJ33" s="6" t="s">
        <v>184</v>
      </c>
      <c r="AK33" s="239">
        <f>IFERROR(Plant_BD[[#This Row],[Breakdown Time]]*Plant_BD[[#This Row],[Plant Equivalent Weightage]],"")</f>
        <v>4.7920892494929057E-3</v>
      </c>
      <c r="AL33" s="6">
        <v>0.02</v>
      </c>
      <c r="AM33" s="238">
        <f>IFERROR((_xlfn.XLOOKUP(Plant_BD[[#This Row],[Month Year]],'Modelling New'!$D:$D,'Modelling New'!$O:$O)*Plant_BD[[#This Row],[Lost PoA(kWh/m2)]]*Plant_BD[[#This Row],[DC Capacity Affected (kW)]]),"")</f>
        <v>1.5731110279246094</v>
      </c>
      <c r="AN33" s="6"/>
      <c r="AO33" s="6"/>
      <c r="AP33" s="240"/>
    </row>
    <row r="34" spans="1:42" x14ac:dyDescent="0.25">
      <c r="A34" s="125">
        <f t="shared" si="0"/>
        <v>33</v>
      </c>
      <c r="B34" s="229">
        <v>45790</v>
      </c>
      <c r="C34" s="230">
        <f>YEAR(Plant_BD[[#This Row],[Date]])+IF(MONTH(Plant_BD[[#This Row],[Date]])&gt;=4,1,0)</f>
        <v>2026</v>
      </c>
      <c r="D34" s="230">
        <f>YEAR(Plant_BD[[#This Row],[Date]])</f>
        <v>2025</v>
      </c>
      <c r="E34" s="59" t="s">
        <v>4</v>
      </c>
      <c r="F34" s="59" t="s">
        <v>4</v>
      </c>
      <c r="G34" s="231">
        <f>Plant_BD[[#This Row],[Date]]-DAY(Plant_BD[[#This Row],[Date]])+1</f>
        <v>45778</v>
      </c>
      <c r="H34" s="3">
        <f>DAY(EOMONTH(Plant_BD[[#This Row],[Month Year]],0))</f>
        <v>31</v>
      </c>
      <c r="I34" s="232">
        <f>IFERROR(_xlfn.XLOOKUP(Plant_BD[[#This Row],[Date]],'Raw Data'!$G:$G,'Raw Data'!$I:$I),"")</f>
        <v>0.2361111111111111</v>
      </c>
      <c r="J34" s="232">
        <f>IFERROR(_xlfn.XLOOKUP(Plant_BD[[#This Row],[Date]],'Raw Data'!$G:$G,'Raw Data'!$J:$J),"")</f>
        <v>0.7680555555555556</v>
      </c>
      <c r="K34" s="233">
        <f>IFERROR((Plant_BD[[#This Row],[Sunset Time (POA&lt;20 W/m2)]]-Plant_BD[[#This Row],[Sunrise Time (POA&gt;20 W/m2)]])*24,"")</f>
        <v>12.766666666666669</v>
      </c>
      <c r="L34" s="233"/>
      <c r="M34" s="233"/>
      <c r="N34" s="233"/>
      <c r="O34" s="233"/>
      <c r="P34" s="233"/>
      <c r="Q34" s="233"/>
      <c r="R34" s="233"/>
      <c r="S34" s="233"/>
      <c r="T34" s="234" t="s">
        <v>785</v>
      </c>
      <c r="U34" s="10">
        <f>_xlfn.XLOOKUP(Plant_BD[[#This Row],[Affected Equipment]],'Basic Data'!$A:$A,'Basic Data'!$B:$B)</f>
        <v>11.34</v>
      </c>
      <c r="V34" s="235">
        <f>_xlfn.XLOOKUP(Plant_BD[[#This Row],[Affected Equipment]],'Basic Data'!$A:$A,'Basic Data'!$C:$C)</f>
        <v>1.5973630831643E-3</v>
      </c>
      <c r="W34" s="236" t="s">
        <v>1019</v>
      </c>
      <c r="X34" s="236" t="s">
        <v>1019</v>
      </c>
      <c r="Y34" s="236" t="s">
        <v>1019</v>
      </c>
      <c r="Z34" s="236" t="s">
        <v>1019</v>
      </c>
      <c r="AA34" s="237">
        <v>0.28125</v>
      </c>
      <c r="AB34" s="237"/>
      <c r="AC34" s="237"/>
      <c r="AD34" s="237">
        <v>0.7680555555555556</v>
      </c>
      <c r="AE34" s="238"/>
      <c r="AF34" s="238"/>
      <c r="AG34" s="11">
        <f>(Plant_BD[[#This Row],[Work Completion time on fault]]-Plant_BD[[#This Row],[Fault Time]])*24</f>
        <v>11.683333333333334</v>
      </c>
      <c r="AH34" s="11">
        <f>IFERROR((Plant_BD[[#This Row],[Work Completion time on fault]]-Plant_BD[[#This Row],[Fault Time]])*24,"")</f>
        <v>11.683333333333334</v>
      </c>
      <c r="AI34" s="212" t="s">
        <v>1025</v>
      </c>
      <c r="AJ34" s="6" t="s">
        <v>184</v>
      </c>
      <c r="AK34" s="239">
        <f>IFERROR(Plant_BD[[#This Row],[Breakdown Time]]*Plant_BD[[#This Row],[Plant Equivalent Weightage]],"")</f>
        <v>1.866252535496957E-2</v>
      </c>
      <c r="AL34" s="6">
        <v>5.87</v>
      </c>
      <c r="AM34" s="238">
        <f>IFERROR((_xlfn.XLOOKUP(Plant_BD[[#This Row],[Month Year]],'Modelling New'!$D:$D,'Modelling New'!$O:$O)*Plant_BD[[#This Row],[Lost PoA(kWh/m2)]]*Plant_BD[[#This Row],[DC Capacity Affected (kW)]]),"")</f>
        <v>46.170808669587274</v>
      </c>
      <c r="AN34" s="6"/>
      <c r="AO34" s="6"/>
      <c r="AP34" s="240"/>
    </row>
    <row r="35" spans="1:42" x14ac:dyDescent="0.25">
      <c r="A35" s="125">
        <f t="shared" si="0"/>
        <v>34</v>
      </c>
      <c r="B35" s="229">
        <v>45800</v>
      </c>
      <c r="C35" s="230">
        <f>YEAR(Plant_BD[[#This Row],[Date]])+IF(MONTH(Plant_BD[[#This Row],[Date]])&gt;=4,1,0)</f>
        <v>2026</v>
      </c>
      <c r="D35" s="230">
        <f>YEAR(Plant_BD[[#This Row],[Date]])</f>
        <v>2025</v>
      </c>
      <c r="E35" s="59" t="s">
        <v>4</v>
      </c>
      <c r="F35" s="59" t="s">
        <v>4</v>
      </c>
      <c r="G35" s="231">
        <f>Plant_BD[[#This Row],[Date]]-DAY(Plant_BD[[#This Row],[Date]])+1</f>
        <v>45778</v>
      </c>
      <c r="H35" s="3">
        <f>DAY(EOMONTH(Plant_BD[[#This Row],[Month Year]],0))</f>
        <v>31</v>
      </c>
      <c r="I35" s="232">
        <f>IFERROR(_xlfn.XLOOKUP(Plant_BD[[#This Row],[Date]],'Raw Data'!$G:$G,'Raw Data'!$I:$I),"")</f>
        <v>0.24305555555555555</v>
      </c>
      <c r="J35" s="232">
        <f>IFERROR(_xlfn.XLOOKUP(Plant_BD[[#This Row],[Date]],'Raw Data'!$G:$G,'Raw Data'!$J:$J),"")</f>
        <v>0.78680555555555554</v>
      </c>
      <c r="K35" s="233">
        <f>IFERROR((Plant_BD[[#This Row],[Sunset Time (POA&lt;20 W/m2)]]-Plant_BD[[#This Row],[Sunrise Time (POA&gt;20 W/m2)]])*24,"")</f>
        <v>13.049999999999999</v>
      </c>
      <c r="L35" s="233"/>
      <c r="M35" s="233"/>
      <c r="N35" s="233"/>
      <c r="O35" s="233"/>
      <c r="P35" s="233"/>
      <c r="Q35" s="233"/>
      <c r="R35" s="233"/>
      <c r="S35" s="233"/>
      <c r="T35" s="234" t="s">
        <v>330</v>
      </c>
      <c r="U35" s="10">
        <f>_xlfn.XLOOKUP(Plant_BD[[#This Row],[Affected Equipment]],'Basic Data'!$A:$A,'Basic Data'!$B:$B)</f>
        <v>11.34</v>
      </c>
      <c r="V35" s="235">
        <f>_xlfn.XLOOKUP(Plant_BD[[#This Row],[Affected Equipment]],'Basic Data'!$A:$A,'Basic Data'!$C:$C)</f>
        <v>1.5973630831643E-3</v>
      </c>
      <c r="W35" s="236" t="s">
        <v>1079</v>
      </c>
      <c r="X35" s="236" t="s">
        <v>1079</v>
      </c>
      <c r="Y35" s="236" t="s">
        <v>1079</v>
      </c>
      <c r="Z35" s="236" t="s">
        <v>1079</v>
      </c>
      <c r="AA35" s="237">
        <v>0.24305555555555555</v>
      </c>
      <c r="AB35" s="237"/>
      <c r="AC35" s="237"/>
      <c r="AD35" s="237">
        <v>0.76736111111111116</v>
      </c>
      <c r="AE35" s="238"/>
      <c r="AF35" s="238"/>
      <c r="AG35" s="11">
        <f>(Plant_BD[[#This Row],[Work Completion time on fault]]-Plant_BD[[#This Row],[Fault Time]])*24</f>
        <v>12.583333333333334</v>
      </c>
      <c r="AH35" s="11">
        <f>IFERROR((Plant_BD[[#This Row],[Work Completion time on fault]]-Plant_BD[[#This Row],[Fault Time]])*24,"")</f>
        <v>12.583333333333334</v>
      </c>
      <c r="AI35" s="212" t="s">
        <v>1080</v>
      </c>
      <c r="AJ35" s="6" t="s">
        <v>184</v>
      </c>
      <c r="AK35" s="239">
        <f>IFERROR(Plant_BD[[#This Row],[Breakdown Time]]*Plant_BD[[#This Row],[Plant Equivalent Weightage]],"")</f>
        <v>2.0100152129817441E-2</v>
      </c>
      <c r="AL35" s="6">
        <v>5.0999999999999996</v>
      </c>
      <c r="AM35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5" s="6"/>
      <c r="AO35" s="6"/>
      <c r="AP35" s="240"/>
    </row>
    <row r="36" spans="1:42" x14ac:dyDescent="0.25">
      <c r="A36" s="125">
        <f t="shared" si="0"/>
        <v>35</v>
      </c>
      <c r="B36" s="229">
        <v>45800</v>
      </c>
      <c r="C36" s="230">
        <f>YEAR(Plant_BD[[#This Row],[Date]])+IF(MONTH(Plant_BD[[#This Row],[Date]])&gt;=4,1,0)</f>
        <v>2026</v>
      </c>
      <c r="D36" s="230">
        <f>YEAR(Plant_BD[[#This Row],[Date]])</f>
        <v>2025</v>
      </c>
      <c r="E36" s="59" t="s">
        <v>4</v>
      </c>
      <c r="F36" s="59" t="s">
        <v>4</v>
      </c>
      <c r="G36" s="231">
        <f>Plant_BD[[#This Row],[Date]]-DAY(Plant_BD[[#This Row],[Date]])+1</f>
        <v>45778</v>
      </c>
      <c r="H36" s="3">
        <f>DAY(EOMONTH(Plant_BD[[#This Row],[Month Year]],0))</f>
        <v>31</v>
      </c>
      <c r="I36" s="232">
        <f>IFERROR(_xlfn.XLOOKUP(Plant_BD[[#This Row],[Date]],'Raw Data'!$G:$G,'Raw Data'!$I:$I),"")</f>
        <v>0.24305555555555555</v>
      </c>
      <c r="J36" s="232">
        <f>IFERROR(_xlfn.XLOOKUP(Plant_BD[[#This Row],[Date]],'Raw Data'!$G:$G,'Raw Data'!$J:$J),"")</f>
        <v>0.78680555555555554</v>
      </c>
      <c r="K36" s="233">
        <f>IFERROR((Plant_BD[[#This Row],[Sunset Time (POA&lt;20 W/m2)]]-Plant_BD[[#This Row],[Sunrise Time (POA&gt;20 W/m2)]])*24,"")</f>
        <v>13.049999999999999</v>
      </c>
      <c r="L36" s="233"/>
      <c r="M36" s="233"/>
      <c r="N36" s="233"/>
      <c r="O36" s="233"/>
      <c r="P36" s="233"/>
      <c r="Q36" s="233"/>
      <c r="R36" s="233"/>
      <c r="S36" s="233"/>
      <c r="T36" s="234" t="s">
        <v>463</v>
      </c>
      <c r="U36" s="10">
        <f>_xlfn.XLOOKUP(Plant_BD[[#This Row],[Affected Equipment]],'Basic Data'!$A:$A,'Basic Data'!$B:$B)</f>
        <v>11.34</v>
      </c>
      <c r="V36" s="235">
        <f>_xlfn.XLOOKUP(Plant_BD[[#This Row],[Affected Equipment]],'Basic Data'!$A:$A,'Basic Data'!$C:$C)</f>
        <v>1.5973630831643E-3</v>
      </c>
      <c r="W36" s="236" t="s">
        <v>1079</v>
      </c>
      <c r="X36" s="236" t="s">
        <v>1079</v>
      </c>
      <c r="Y36" s="236" t="s">
        <v>1079</v>
      </c>
      <c r="Z36" s="236" t="s">
        <v>1079</v>
      </c>
      <c r="AA36" s="237">
        <v>0.24305555555555555</v>
      </c>
      <c r="AB36" s="237"/>
      <c r="AC36" s="237"/>
      <c r="AD36" s="237">
        <v>0.76736111111111116</v>
      </c>
      <c r="AE36" s="238"/>
      <c r="AF36" s="238"/>
      <c r="AG36" s="11">
        <f>(Plant_BD[[#This Row],[Work Completion time on fault]]-Plant_BD[[#This Row],[Fault Time]])*24</f>
        <v>12.583333333333334</v>
      </c>
      <c r="AH36" s="11">
        <f>IFERROR((Plant_BD[[#This Row],[Work Completion time on fault]]-Plant_BD[[#This Row],[Fault Time]])*24,"")</f>
        <v>12.583333333333334</v>
      </c>
      <c r="AI36" s="212" t="s">
        <v>1025</v>
      </c>
      <c r="AJ36" s="6" t="s">
        <v>184</v>
      </c>
      <c r="AK36" s="239">
        <f>IFERROR(Plant_BD[[#This Row],[Breakdown Time]]*Plant_BD[[#This Row],[Plant Equivalent Weightage]],"")</f>
        <v>2.0100152129817441E-2</v>
      </c>
      <c r="AL36" s="6">
        <v>5.0999999999999996</v>
      </c>
      <c r="AM36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6" s="6"/>
      <c r="AO36" s="6"/>
      <c r="AP36" s="240"/>
    </row>
    <row r="37" spans="1:42" x14ac:dyDescent="0.25">
      <c r="A37" s="125">
        <f t="shared" si="0"/>
        <v>36</v>
      </c>
      <c r="B37" s="229">
        <v>45800</v>
      </c>
      <c r="C37" s="230">
        <f>YEAR(Plant_BD[[#This Row],[Date]])+IF(MONTH(Plant_BD[[#This Row],[Date]])&gt;=4,1,0)</f>
        <v>2026</v>
      </c>
      <c r="D37" s="230">
        <f>YEAR(Plant_BD[[#This Row],[Date]])</f>
        <v>2025</v>
      </c>
      <c r="E37" s="59" t="s">
        <v>4</v>
      </c>
      <c r="F37" s="59" t="s">
        <v>4</v>
      </c>
      <c r="G37" s="231">
        <f>Plant_BD[[#This Row],[Date]]-DAY(Plant_BD[[#This Row],[Date]])+1</f>
        <v>45778</v>
      </c>
      <c r="H37" s="3">
        <f>DAY(EOMONTH(Plant_BD[[#This Row],[Month Year]],0))</f>
        <v>31</v>
      </c>
      <c r="I37" s="232">
        <f>IFERROR(_xlfn.XLOOKUP(Plant_BD[[#This Row],[Date]],'Raw Data'!$G:$G,'Raw Data'!$I:$I),"")</f>
        <v>0.24305555555555555</v>
      </c>
      <c r="J37" s="232">
        <f>IFERROR(_xlfn.XLOOKUP(Plant_BD[[#This Row],[Date]],'Raw Data'!$G:$G,'Raw Data'!$J:$J),"")</f>
        <v>0.78680555555555554</v>
      </c>
      <c r="K37" s="233">
        <f>IFERROR((Plant_BD[[#This Row],[Sunset Time (POA&lt;20 W/m2)]]-Plant_BD[[#This Row],[Sunrise Time (POA&gt;20 W/m2)]])*24,"")</f>
        <v>13.049999999999999</v>
      </c>
      <c r="L37" s="233"/>
      <c r="M37" s="233"/>
      <c r="N37" s="233"/>
      <c r="O37" s="233"/>
      <c r="P37" s="233"/>
      <c r="Q37" s="233"/>
      <c r="R37" s="233"/>
      <c r="S37" s="233"/>
      <c r="T37" s="234" t="s">
        <v>780</v>
      </c>
      <c r="U37" s="10">
        <f>_xlfn.XLOOKUP(Plant_BD[[#This Row],[Affected Equipment]],'Basic Data'!$A:$A,'Basic Data'!$B:$B)</f>
        <v>11.34</v>
      </c>
      <c r="V37" s="235">
        <f>_xlfn.XLOOKUP(Plant_BD[[#This Row],[Affected Equipment]],'Basic Data'!$A:$A,'Basic Data'!$C:$C)</f>
        <v>1.5973630831643E-3</v>
      </c>
      <c r="W37" s="236" t="s">
        <v>1079</v>
      </c>
      <c r="X37" s="236" t="s">
        <v>1079</v>
      </c>
      <c r="Y37" s="236" t="s">
        <v>1079</v>
      </c>
      <c r="Z37" s="236" t="s">
        <v>1079</v>
      </c>
      <c r="AA37" s="237">
        <v>0.24305555555555555</v>
      </c>
      <c r="AB37" s="237"/>
      <c r="AC37" s="237"/>
      <c r="AD37" s="237">
        <v>0.76736111111111116</v>
      </c>
      <c r="AE37" s="238"/>
      <c r="AF37" s="238"/>
      <c r="AG37" s="11">
        <f>(Plant_BD[[#This Row],[Work Completion time on fault]]-Plant_BD[[#This Row],[Fault Time]])*24</f>
        <v>12.583333333333334</v>
      </c>
      <c r="AH37" s="11">
        <f>IFERROR((Plant_BD[[#This Row],[Work Completion time on fault]]-Plant_BD[[#This Row],[Fault Time]])*24,"")</f>
        <v>12.583333333333334</v>
      </c>
      <c r="AI37" s="212" t="s">
        <v>1025</v>
      </c>
      <c r="AJ37" s="6" t="s">
        <v>184</v>
      </c>
      <c r="AK37" s="239">
        <f>IFERROR(Plant_BD[[#This Row],[Breakdown Time]]*Plant_BD[[#This Row],[Plant Equivalent Weightage]],"")</f>
        <v>2.0100152129817441E-2</v>
      </c>
      <c r="AL37" s="6">
        <v>5.0999999999999996</v>
      </c>
      <c r="AM37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7" s="6"/>
      <c r="AO37" s="6"/>
      <c r="AP37" s="240"/>
    </row>
    <row r="38" spans="1:42" x14ac:dyDescent="0.25">
      <c r="A38" s="125">
        <f t="shared" si="0"/>
        <v>37</v>
      </c>
      <c r="B38" s="229">
        <v>45800</v>
      </c>
      <c r="C38" s="230">
        <f>YEAR(Plant_BD[[#This Row],[Date]])+IF(MONTH(Plant_BD[[#This Row],[Date]])&gt;=4,1,0)</f>
        <v>2026</v>
      </c>
      <c r="D38" s="230">
        <f>YEAR(Plant_BD[[#This Row],[Date]])</f>
        <v>2025</v>
      </c>
      <c r="E38" s="59" t="s">
        <v>4</v>
      </c>
      <c r="F38" s="59" t="s">
        <v>4</v>
      </c>
      <c r="G38" s="231">
        <f>Plant_BD[[#This Row],[Date]]-DAY(Plant_BD[[#This Row],[Date]])+1</f>
        <v>45778</v>
      </c>
      <c r="H38" s="3">
        <f>DAY(EOMONTH(Plant_BD[[#This Row],[Month Year]],0))</f>
        <v>31</v>
      </c>
      <c r="I38" s="232">
        <f>IFERROR(_xlfn.XLOOKUP(Plant_BD[[#This Row],[Date]],'Raw Data'!$G:$G,'Raw Data'!$I:$I),"")</f>
        <v>0.24305555555555555</v>
      </c>
      <c r="J38" s="232">
        <f>IFERROR(_xlfn.XLOOKUP(Plant_BD[[#This Row],[Date]],'Raw Data'!$G:$G,'Raw Data'!$J:$J),"")</f>
        <v>0.78680555555555554</v>
      </c>
      <c r="K38" s="233">
        <f>IFERROR((Plant_BD[[#This Row],[Sunset Time (POA&lt;20 W/m2)]]-Plant_BD[[#This Row],[Sunrise Time (POA&gt;20 W/m2)]])*24,"")</f>
        <v>13.049999999999999</v>
      </c>
      <c r="L38" s="233"/>
      <c r="M38" s="233"/>
      <c r="N38" s="233"/>
      <c r="O38" s="233"/>
      <c r="P38" s="233"/>
      <c r="Q38" s="233"/>
      <c r="R38" s="233"/>
      <c r="S38" s="233"/>
      <c r="T38" s="234" t="s">
        <v>893</v>
      </c>
      <c r="U38" s="10">
        <f>_xlfn.XLOOKUP(Plant_BD[[#This Row],[Affected Equipment]],'Basic Data'!$A:$A,'Basic Data'!$B:$B)</f>
        <v>11.16</v>
      </c>
      <c r="V38" s="235">
        <f>_xlfn.XLOOKUP(Plant_BD[[#This Row],[Affected Equipment]],'Basic Data'!$A:$A,'Basic Data'!$C:$C)</f>
        <v>1.5720081135902635E-3</v>
      </c>
      <c r="W38" s="236" t="s">
        <v>1079</v>
      </c>
      <c r="X38" s="236" t="s">
        <v>1079</v>
      </c>
      <c r="Y38" s="236" t="s">
        <v>1079</v>
      </c>
      <c r="Z38" s="236" t="s">
        <v>1079</v>
      </c>
      <c r="AA38" s="237">
        <v>0.24305555555555555</v>
      </c>
      <c r="AB38" s="237"/>
      <c r="AC38" s="237"/>
      <c r="AD38" s="237">
        <v>0.76736111111111116</v>
      </c>
      <c r="AE38" s="238"/>
      <c r="AF38" s="238"/>
      <c r="AG38" s="11">
        <f>(Plant_BD[[#This Row],[Work Completion time on fault]]-Plant_BD[[#This Row],[Fault Time]])*24</f>
        <v>12.583333333333334</v>
      </c>
      <c r="AH38" s="11">
        <f>IFERROR((Plant_BD[[#This Row],[Work Completion time on fault]]-Plant_BD[[#This Row],[Fault Time]])*24,"")</f>
        <v>12.583333333333334</v>
      </c>
      <c r="AI38" s="212" t="s">
        <v>1081</v>
      </c>
      <c r="AJ38" s="6" t="s">
        <v>184</v>
      </c>
      <c r="AK38" s="239">
        <f>IFERROR(Plant_BD[[#This Row],[Breakdown Time]]*Plant_BD[[#This Row],[Plant Equivalent Weightage]],"")</f>
        <v>1.9781102096010816E-2</v>
      </c>
      <c r="AL38" s="6">
        <v>5.0999999999999996</v>
      </c>
      <c r="AM38" s="238">
        <f>IFERROR((_xlfn.XLOOKUP(Plant_BD[[#This Row],[Month Year]],'Modelling New'!$D:$D,'Modelling New'!$O:$O)*Plant_BD[[#This Row],[Lost PoA(kWh/m2)]]*Plant_BD[[#This Row],[DC Capacity Affected (kW)]]),"")</f>
        <v>39.477595796012807</v>
      </c>
      <c r="AN38" s="6"/>
      <c r="AO38" s="6"/>
      <c r="AP38" s="240"/>
    </row>
    <row r="39" spans="1:42" x14ac:dyDescent="0.25">
      <c r="A39" s="125">
        <f t="shared" si="0"/>
        <v>38</v>
      </c>
      <c r="B39" s="229">
        <v>45800</v>
      </c>
      <c r="C39" s="230">
        <f>YEAR(Plant_BD[[#This Row],[Date]])+IF(MONTH(Plant_BD[[#This Row],[Date]])&gt;=4,1,0)</f>
        <v>2026</v>
      </c>
      <c r="D39" s="230">
        <f>YEAR(Plant_BD[[#This Row],[Date]])</f>
        <v>2025</v>
      </c>
      <c r="E39" s="59" t="s">
        <v>4</v>
      </c>
      <c r="F39" s="59" t="s">
        <v>4</v>
      </c>
      <c r="G39" s="231">
        <f>Plant_BD[[#This Row],[Date]]-DAY(Plant_BD[[#This Row],[Date]])+1</f>
        <v>45778</v>
      </c>
      <c r="H39" s="3">
        <f>DAY(EOMONTH(Plant_BD[[#This Row],[Month Year]],0))</f>
        <v>31</v>
      </c>
      <c r="I39" s="232">
        <f>IFERROR(_xlfn.XLOOKUP(Plant_BD[[#This Row],[Date]],'Raw Data'!$G:$G,'Raw Data'!$I:$I),"")</f>
        <v>0.24305555555555555</v>
      </c>
      <c r="J39" s="232">
        <f>IFERROR(_xlfn.XLOOKUP(Plant_BD[[#This Row],[Date]],'Raw Data'!$G:$G,'Raw Data'!$J:$J),"")</f>
        <v>0.78680555555555554</v>
      </c>
      <c r="K39" s="233">
        <f>IFERROR((Plant_BD[[#This Row],[Sunset Time (POA&lt;20 W/m2)]]-Plant_BD[[#This Row],[Sunrise Time (POA&gt;20 W/m2)]])*24,"")</f>
        <v>13.049999999999999</v>
      </c>
      <c r="L39" s="233"/>
      <c r="M39" s="233"/>
      <c r="N39" s="233"/>
      <c r="O39" s="233"/>
      <c r="P39" s="233"/>
      <c r="Q39" s="233"/>
      <c r="R39" s="233"/>
      <c r="S39" s="233"/>
      <c r="T39" s="234" t="s">
        <v>901</v>
      </c>
      <c r="U39" s="10">
        <f>_xlfn.XLOOKUP(Plant_BD[[#This Row],[Affected Equipment]],'Basic Data'!$A:$A,'Basic Data'!$B:$B)</f>
        <v>11.52</v>
      </c>
      <c r="V39" s="235">
        <f>_xlfn.XLOOKUP(Plant_BD[[#This Row],[Affected Equipment]],'Basic Data'!$A:$A,'Basic Data'!$C:$C)</f>
        <v>1.6227180527383365E-3</v>
      </c>
      <c r="W39" s="236" t="s">
        <v>1079</v>
      </c>
      <c r="X39" s="236" t="s">
        <v>1079</v>
      </c>
      <c r="Y39" s="236" t="s">
        <v>1079</v>
      </c>
      <c r="Z39" s="236" t="s">
        <v>1079</v>
      </c>
      <c r="AA39" s="237">
        <v>0.24305555555555555</v>
      </c>
      <c r="AB39" s="237"/>
      <c r="AC39" s="237"/>
      <c r="AD39" s="237">
        <v>0.76736111111111116</v>
      </c>
      <c r="AE39" s="238"/>
      <c r="AF39" s="238"/>
      <c r="AG39" s="11">
        <f>(Plant_BD[[#This Row],[Work Completion time on fault]]-Plant_BD[[#This Row],[Fault Time]])*24</f>
        <v>12.583333333333334</v>
      </c>
      <c r="AH39" s="11">
        <f>IFERROR((Plant_BD[[#This Row],[Work Completion time on fault]]-Plant_BD[[#This Row],[Fault Time]])*24,"")</f>
        <v>12.583333333333334</v>
      </c>
      <c r="AI39" s="212" t="s">
        <v>1081</v>
      </c>
      <c r="AJ39" s="6" t="s">
        <v>184</v>
      </c>
      <c r="AK39" s="239">
        <f>IFERROR(Plant_BD[[#This Row],[Breakdown Time]]*Plant_BD[[#This Row],[Plant Equivalent Weightage]],"")</f>
        <v>2.0419202163624067E-2</v>
      </c>
      <c r="AL39" s="6">
        <v>5.0999999999999996</v>
      </c>
      <c r="AM39" s="238">
        <f>IFERROR((_xlfn.XLOOKUP(Plant_BD[[#This Row],[Month Year]],'Modelling New'!$D:$D,'Modelling New'!$O:$O)*Plant_BD[[#This Row],[Lost PoA(kWh/m2)]]*Plant_BD[[#This Row],[DC Capacity Affected (kW)]]),"")</f>
        <v>40.751066628142247</v>
      </c>
      <c r="AN39" s="6"/>
      <c r="AO39" s="6"/>
      <c r="AP39" s="240"/>
    </row>
    <row r="40" spans="1:42" x14ac:dyDescent="0.25">
      <c r="A40" s="125">
        <f t="shared" si="0"/>
        <v>39</v>
      </c>
      <c r="B40" s="229">
        <v>45835</v>
      </c>
      <c r="C40" s="230">
        <f>YEAR(Plant_BD[[#This Row],[Date]])+IF(MONTH(Plant_BD[[#This Row],[Date]])&gt;=4,1,0)</f>
        <v>2026</v>
      </c>
      <c r="D40" s="230">
        <f>YEAR(Plant_BD[[#This Row],[Date]])</f>
        <v>2025</v>
      </c>
      <c r="E40" s="59" t="s">
        <v>4</v>
      </c>
      <c r="F40" s="59" t="s">
        <v>4</v>
      </c>
      <c r="G40" s="231">
        <f>Plant_BD[[#This Row],[Date]]-DAY(Plant_BD[[#This Row],[Date]])+1</f>
        <v>45809</v>
      </c>
      <c r="H40" s="3">
        <f>DAY(EOMONTH(Plant_BD[[#This Row],[Month Year]],0))</f>
        <v>30</v>
      </c>
      <c r="I40" s="232">
        <f>IFERROR(_xlfn.XLOOKUP(Plant_BD[[#This Row],[Date]],'Raw Data'!$G:$G,'Raw Data'!$I:$I),"")</f>
        <v>0.22916666666666666</v>
      </c>
      <c r="J40" s="232">
        <f>IFERROR(_xlfn.XLOOKUP(Plant_BD[[#This Row],[Date]],'Raw Data'!$G:$G,'Raw Data'!$J:$J),"")</f>
        <v>0.78541666666666665</v>
      </c>
      <c r="K40" s="233">
        <f>IFERROR((Plant_BD[[#This Row],[Sunset Time (POA&lt;20 W/m2)]]-Plant_BD[[#This Row],[Sunrise Time (POA&gt;20 W/m2)]])*24,"")</f>
        <v>13.350000000000001</v>
      </c>
      <c r="L40" s="233"/>
      <c r="M40" s="233"/>
      <c r="N40" s="233"/>
      <c r="O40" s="233"/>
      <c r="P40" s="233"/>
      <c r="Q40" s="233"/>
      <c r="R40" s="233"/>
      <c r="S40" s="233"/>
      <c r="T40" s="234" t="s">
        <v>515</v>
      </c>
      <c r="U40" s="10">
        <f>_xlfn.XLOOKUP(Plant_BD[[#This Row],[Affected Equipment]],'Basic Data'!$A:$A,'Basic Data'!$B:$B)</f>
        <v>11.16</v>
      </c>
      <c r="V40" s="235">
        <f>_xlfn.XLOOKUP(Plant_BD[[#This Row],[Affected Equipment]],'Basic Data'!$A:$A,'Basic Data'!$C:$C)</f>
        <v>1.5720081135902635E-3</v>
      </c>
      <c r="W40" s="236" t="s">
        <v>1079</v>
      </c>
      <c r="X40" s="236" t="s">
        <v>1079</v>
      </c>
      <c r="Y40" s="236" t="s">
        <v>1079</v>
      </c>
      <c r="Z40" s="236" t="s">
        <v>1079</v>
      </c>
      <c r="AA40" s="237">
        <v>0.22916666666666666</v>
      </c>
      <c r="AB40" s="237"/>
      <c r="AC40" s="237"/>
      <c r="AD40" s="237">
        <v>0.78541666666666665</v>
      </c>
      <c r="AE40" s="238"/>
      <c r="AF40" s="238"/>
      <c r="AG40" s="11">
        <f>(Plant_BD[[#This Row],[Work Completion time on fault]]-Plant_BD[[#This Row],[Fault Time]])*24</f>
        <v>13.350000000000001</v>
      </c>
      <c r="AH40" s="11">
        <f>IFERROR((Plant_BD[[#This Row],[Work Completion time on fault]]-Plant_BD[[#This Row],[Fault Time]])*24,"")</f>
        <v>13.350000000000001</v>
      </c>
      <c r="AI40" s="212" t="s">
        <v>1081</v>
      </c>
      <c r="AJ40" s="6" t="s">
        <v>184</v>
      </c>
      <c r="AK40" s="239">
        <f>IFERROR(Plant_BD[[#This Row],[Breakdown Time]]*Plant_BD[[#This Row],[Plant Equivalent Weightage]],"")</f>
        <v>2.098630831643002E-2</v>
      </c>
      <c r="AL40" s="6">
        <v>4.8099999999999996</v>
      </c>
      <c r="AM40" s="238">
        <f>IFERROR((_xlfn.XLOOKUP(Plant_BD[[#This Row],[Month Year]],'Modelling New'!$D:$D,'Modelling New'!$O:$O)*Plant_BD[[#This Row],[Lost PoA(kWh/m2)]]*Plant_BD[[#This Row],[DC Capacity Affected (kW)]]),"")</f>
        <v>37.628423548556157</v>
      </c>
      <c r="AN40" s="6"/>
      <c r="AO40" s="6"/>
      <c r="AP40" s="240"/>
    </row>
    <row r="41" spans="1:42" x14ac:dyDescent="0.25">
      <c r="A41" s="125">
        <f t="shared" si="0"/>
        <v>40</v>
      </c>
      <c r="B41" s="229">
        <v>45835</v>
      </c>
      <c r="C41" s="230">
        <f>YEAR(Plant_BD[[#This Row],[Date]])+IF(MONTH(Plant_BD[[#This Row],[Date]])&gt;=4,1,0)</f>
        <v>2026</v>
      </c>
      <c r="D41" s="230">
        <f>YEAR(Plant_BD[[#This Row],[Date]])</f>
        <v>2025</v>
      </c>
      <c r="E41" s="59" t="s">
        <v>4</v>
      </c>
      <c r="F41" s="59" t="s">
        <v>4</v>
      </c>
      <c r="G41" s="231">
        <f>Plant_BD[[#This Row],[Date]]-DAY(Plant_BD[[#This Row],[Date]])+1</f>
        <v>45809</v>
      </c>
      <c r="H41" s="3">
        <f>DAY(EOMONTH(Plant_BD[[#This Row],[Month Year]],0))</f>
        <v>30</v>
      </c>
      <c r="I41" s="232">
        <f>IFERROR(_xlfn.XLOOKUP(Plant_BD[[#This Row],[Date]],'Raw Data'!$G:$G,'Raw Data'!$I:$I),"")</f>
        <v>0.22916666666666666</v>
      </c>
      <c r="J41" s="232">
        <f>IFERROR(_xlfn.XLOOKUP(Plant_BD[[#This Row],[Date]],'Raw Data'!$G:$G,'Raw Data'!$J:$J),"")</f>
        <v>0.78541666666666665</v>
      </c>
      <c r="K41" s="233">
        <f>IFERROR((Plant_BD[[#This Row],[Sunset Time (POA&lt;20 W/m2)]]-Plant_BD[[#This Row],[Sunrise Time (POA&gt;20 W/m2)]])*24,"")</f>
        <v>13.350000000000001</v>
      </c>
      <c r="L41" s="233"/>
      <c r="M41" s="233"/>
      <c r="N41" s="233"/>
      <c r="O41" s="233"/>
      <c r="P41" s="233"/>
      <c r="Q41" s="233"/>
      <c r="R41" s="233"/>
      <c r="S41" s="233"/>
      <c r="T41" s="234" t="s">
        <v>862</v>
      </c>
      <c r="U41" s="10">
        <f>_xlfn.XLOOKUP(Plant_BD[[#This Row],[Affected Equipment]],'Basic Data'!$A:$A,'Basic Data'!$B:$B)</f>
        <v>11.34</v>
      </c>
      <c r="V41" s="235">
        <f>_xlfn.XLOOKUP(Plant_BD[[#This Row],[Affected Equipment]],'Basic Data'!$A:$A,'Basic Data'!$C:$C)</f>
        <v>1.5973630831643E-3</v>
      </c>
      <c r="W41" s="236" t="s">
        <v>1079</v>
      </c>
      <c r="X41" s="236" t="s">
        <v>1079</v>
      </c>
      <c r="Y41" s="236" t="s">
        <v>1079</v>
      </c>
      <c r="Z41" s="236" t="s">
        <v>1079</v>
      </c>
      <c r="AA41" s="237">
        <v>0.22916666666666666</v>
      </c>
      <c r="AB41" s="237"/>
      <c r="AC41" s="237"/>
      <c r="AD41" s="237">
        <v>0.78541666666666665</v>
      </c>
      <c r="AE41" s="238"/>
      <c r="AF41" s="238"/>
      <c r="AG41" s="11">
        <f>(Plant_BD[[#This Row],[Work Completion time on fault]]-Plant_BD[[#This Row],[Fault Time]])*24</f>
        <v>13.350000000000001</v>
      </c>
      <c r="AH41" s="11">
        <f>IFERROR((Plant_BD[[#This Row],[Work Completion time on fault]]-Plant_BD[[#This Row],[Fault Time]])*24,"")</f>
        <v>13.350000000000001</v>
      </c>
      <c r="AI41" s="212" t="s">
        <v>1081</v>
      </c>
      <c r="AJ41" s="6" t="s">
        <v>184</v>
      </c>
      <c r="AK41" s="239">
        <f>IFERROR(Plant_BD[[#This Row],[Breakdown Time]]*Plant_BD[[#This Row],[Plant Equivalent Weightage]],"")</f>
        <v>2.1324797160243408E-2</v>
      </c>
      <c r="AL41" s="6">
        <v>4.8099999999999996</v>
      </c>
      <c r="AM41" s="238">
        <f>IFERROR((_xlfn.XLOOKUP(Plant_BD[[#This Row],[Month Year]],'Modelling New'!$D:$D,'Modelling New'!$O:$O)*Plant_BD[[#This Row],[Lost PoA(kWh/m2)]]*Plant_BD[[#This Row],[DC Capacity Affected (kW)]]),"")</f>
        <v>38.235333605790935</v>
      </c>
      <c r="AN41" s="6"/>
      <c r="AO41" s="6"/>
      <c r="AP41" s="240"/>
    </row>
    <row r="42" spans="1:42" x14ac:dyDescent="0.25">
      <c r="A42" s="125">
        <f t="shared" si="0"/>
        <v>41</v>
      </c>
      <c r="B42" s="229">
        <v>45854</v>
      </c>
      <c r="C42" s="230">
        <f>YEAR(Plant_BD[[#This Row],[Date]])+IF(MONTH(Plant_BD[[#This Row],[Date]])&gt;=4,1,0)</f>
        <v>2026</v>
      </c>
      <c r="D42" s="230">
        <f>YEAR(Plant_BD[[#This Row],[Date]])</f>
        <v>2025</v>
      </c>
      <c r="E42" s="59" t="s">
        <v>4</v>
      </c>
      <c r="F42" s="59" t="s">
        <v>4</v>
      </c>
      <c r="G42" s="231">
        <f>Plant_BD[[#This Row],[Date]]-DAY(Plant_BD[[#This Row],[Date]])+1</f>
        <v>45839</v>
      </c>
      <c r="H42" s="3">
        <f>DAY(EOMONTH(Plant_BD[[#This Row],[Month Year]],0))</f>
        <v>31</v>
      </c>
      <c r="I42" s="232">
        <f>IFERROR(_xlfn.XLOOKUP(Plant_BD[[#This Row],[Date]],'Raw Data'!$G:$G,'Raw Data'!$I:$I),"")</f>
        <v>0.2361111111111111</v>
      </c>
      <c r="J42" s="232">
        <f>IFERROR(_xlfn.XLOOKUP(Plant_BD[[#This Row],[Date]],'Raw Data'!$G:$G,'Raw Data'!$J:$J),"")</f>
        <v>0.7944444444444444</v>
      </c>
      <c r="K42" s="233">
        <f>IFERROR((Plant_BD[[#This Row],[Sunset Time (POA&lt;20 W/m2)]]-Plant_BD[[#This Row],[Sunrise Time (POA&gt;20 W/m2)]])*24,"")</f>
        <v>13.4</v>
      </c>
      <c r="L42" s="233"/>
      <c r="M42" s="233"/>
      <c r="N42" s="233"/>
      <c r="O42" s="233"/>
      <c r="P42" s="233"/>
      <c r="Q42" s="233"/>
      <c r="R42" s="233"/>
      <c r="S42" s="233"/>
      <c r="T42" s="234" t="s">
        <v>102</v>
      </c>
      <c r="U42" s="10">
        <f>_xlfn.XLOOKUP(Plant_BD[[#This Row],[Affected Equipment]],'Basic Data'!$A:$A,'Basic Data'!$B:$B)</f>
        <v>2369.3399999999997</v>
      </c>
      <c r="V42" s="235">
        <f>_xlfn.XLOOKUP(Plant_BD[[#This Row],[Affected Equipment]],'Basic Data'!$A:$A,'Basic Data'!$C:$C)</f>
        <v>0.33374746450304255</v>
      </c>
      <c r="W42" s="236" t="s">
        <v>1100</v>
      </c>
      <c r="X42" s="236" t="s">
        <v>1100</v>
      </c>
      <c r="Y42" s="236" t="s">
        <v>1100</v>
      </c>
      <c r="Z42" s="236" t="s">
        <v>1100</v>
      </c>
      <c r="AA42" s="237">
        <v>0.2361111111111111</v>
      </c>
      <c r="AB42" s="237"/>
      <c r="AC42" s="237"/>
      <c r="AD42" s="237">
        <v>0.2722222222222222</v>
      </c>
      <c r="AE42" s="238"/>
      <c r="AF42" s="238"/>
      <c r="AG42" s="11">
        <f>(Plant_BD[[#This Row],[Work Completion time on fault]]-Plant_BD[[#This Row],[Fault Time]])*24</f>
        <v>0.86666666666666625</v>
      </c>
      <c r="AH42" s="11">
        <f>IFERROR((Plant_BD[[#This Row],[Work Completion time on fault]]-Plant_BD[[#This Row],[Fault Time]])*24,"")</f>
        <v>0.86666666666666625</v>
      </c>
      <c r="AI42" s="212" t="s">
        <v>1101</v>
      </c>
      <c r="AJ42" s="6" t="s">
        <v>184</v>
      </c>
      <c r="AK42" s="239">
        <f>IFERROR(Plant_BD[[#This Row],[Breakdown Time]]*Plant_BD[[#This Row],[Plant Equivalent Weightage]],"")</f>
        <v>0.28924780256930338</v>
      </c>
      <c r="AL42" s="6">
        <v>0.02</v>
      </c>
      <c r="AM42" s="238">
        <f>IFERROR((_xlfn.XLOOKUP(Plant_BD[[#This Row],[Month Year]],'Modelling New'!$D:$D,'Modelling New'!$O:$O)*Plant_BD[[#This Row],[Lost PoA(kWh/m2)]]*Plant_BD[[#This Row],[DC Capacity Affected (kW)]]),"")</f>
        <v>34.706729834584287</v>
      </c>
      <c r="AN42" s="6"/>
      <c r="AO42" s="6"/>
      <c r="AP42" s="240"/>
    </row>
    <row r="43" spans="1:42" x14ac:dyDescent="0.25">
      <c r="A43" s="125">
        <f t="shared" si="0"/>
        <v>42</v>
      </c>
      <c r="B43" s="229">
        <v>45857</v>
      </c>
      <c r="C43" s="230">
        <f>YEAR(Plant_BD[[#This Row],[Date]])+IF(MONTH(Plant_BD[[#This Row],[Date]])&gt;=4,1,0)</f>
        <v>2026</v>
      </c>
      <c r="D43" s="230">
        <f>YEAR(Plant_BD[[#This Row],[Date]])</f>
        <v>2025</v>
      </c>
      <c r="E43" s="59" t="s">
        <v>4</v>
      </c>
      <c r="F43" s="59" t="s">
        <v>4</v>
      </c>
      <c r="G43" s="231">
        <f>Plant_BD[[#This Row],[Date]]-DAY(Plant_BD[[#This Row],[Date]])+1</f>
        <v>45839</v>
      </c>
      <c r="H43" s="3">
        <f>DAY(EOMONTH(Plant_BD[[#This Row],[Month Year]],0))</f>
        <v>31</v>
      </c>
      <c r="I43" s="232">
        <f>IFERROR(_xlfn.XLOOKUP(Plant_BD[[#This Row],[Date]],'Raw Data'!$G:$G,'Raw Data'!$I:$I),"")</f>
        <v>0.23055555555555557</v>
      </c>
      <c r="J43" s="232">
        <f>IFERROR(_xlfn.XLOOKUP(Plant_BD[[#This Row],[Date]],'Raw Data'!$G:$G,'Raw Data'!$J:$J),"")</f>
        <v>0.77777777777777779</v>
      </c>
      <c r="K43" s="233">
        <f>IFERROR((Plant_BD[[#This Row],[Sunset Time (POA&lt;20 W/m2)]]-Plant_BD[[#This Row],[Sunrise Time (POA&gt;20 W/m2)]])*24,"")</f>
        <v>13.133333333333335</v>
      </c>
      <c r="L43" s="233"/>
      <c r="M43" s="233"/>
      <c r="N43" s="233"/>
      <c r="O43" s="233"/>
      <c r="P43" s="233"/>
      <c r="Q43" s="233"/>
      <c r="R43" s="233"/>
      <c r="S43" s="233"/>
      <c r="T43" s="234" t="s">
        <v>779</v>
      </c>
      <c r="U43" s="10">
        <f>_xlfn.XLOOKUP(Plant_BD[[#This Row],[Affected Equipment]],'Basic Data'!$A:$A,'Basic Data'!$B:$B)</f>
        <v>11.34</v>
      </c>
      <c r="V43" s="235">
        <f>_xlfn.XLOOKUP(Plant_BD[[#This Row],[Affected Equipment]],'Basic Data'!$A:$A,'Basic Data'!$C:$C)</f>
        <v>1.5973630831643E-3</v>
      </c>
      <c r="W43" s="236" t="s">
        <v>1079</v>
      </c>
      <c r="X43" s="236" t="s">
        <v>1079</v>
      </c>
      <c r="Y43" s="236" t="s">
        <v>1079</v>
      </c>
      <c r="Z43" s="236" t="s">
        <v>1079</v>
      </c>
      <c r="AA43" s="237">
        <v>0.23055555555555557</v>
      </c>
      <c r="AB43" s="237"/>
      <c r="AC43" s="237"/>
      <c r="AD43" s="237">
        <v>0.77777777777777779</v>
      </c>
      <c r="AE43" s="238"/>
      <c r="AF43" s="238"/>
      <c r="AG43" s="11">
        <f>(Plant_BD[[#This Row],[Work Completion time on fault]]-Plant_BD[[#This Row],[Fault Time]])*24</f>
        <v>13.133333333333335</v>
      </c>
      <c r="AH43" s="11">
        <f>IFERROR((Plant_BD[[#This Row],[Work Completion time on fault]]-Plant_BD[[#This Row],[Fault Time]])*24,"")</f>
        <v>13.133333333333335</v>
      </c>
      <c r="AI43" s="212" t="s">
        <v>1102</v>
      </c>
      <c r="AJ43" s="6" t="s">
        <v>182</v>
      </c>
      <c r="AK43" s="239">
        <f>IFERROR(Plant_BD[[#This Row],[Breakdown Time]]*Plant_BD[[#This Row],[Plant Equivalent Weightage]],"")</f>
        <v>2.0978701825557809E-2</v>
      </c>
      <c r="AL43" s="6">
        <v>4.13</v>
      </c>
      <c r="AM43" s="238">
        <f>IFERROR((_xlfn.XLOOKUP(Plant_BD[[#This Row],[Month Year]],'Modelling New'!$D:$D,'Modelling New'!$O:$O)*Plant_BD[[#This Row],[Lost PoA(kWh/m2)]]*Plant_BD[[#This Row],[DC Capacity Affected (kW)]]),"")</f>
        <v>34.301998160223683</v>
      </c>
      <c r="AN43" s="6"/>
      <c r="AO43" s="6"/>
      <c r="AP43" s="240"/>
    </row>
    <row r="44" spans="1:42" x14ac:dyDescent="0.25">
      <c r="A44" s="125">
        <f t="shared" si="0"/>
        <v>43</v>
      </c>
      <c r="B44" s="229">
        <v>45857</v>
      </c>
      <c r="C44" s="230">
        <f>YEAR(Plant_BD[[#This Row],[Date]])+IF(MONTH(Plant_BD[[#This Row],[Date]])&gt;=4,1,0)</f>
        <v>2026</v>
      </c>
      <c r="D44" s="230">
        <f>YEAR(Plant_BD[[#This Row],[Date]])</f>
        <v>2025</v>
      </c>
      <c r="E44" s="59" t="s">
        <v>4</v>
      </c>
      <c r="F44" s="59" t="s">
        <v>4</v>
      </c>
      <c r="G44" s="231">
        <f>Plant_BD[[#This Row],[Date]]-DAY(Plant_BD[[#This Row],[Date]])+1</f>
        <v>45839</v>
      </c>
      <c r="H44" s="3">
        <f>DAY(EOMONTH(Plant_BD[[#This Row],[Month Year]],0))</f>
        <v>31</v>
      </c>
      <c r="I44" s="232">
        <f>IFERROR(_xlfn.XLOOKUP(Plant_BD[[#This Row],[Date]],'Raw Data'!$G:$G,'Raw Data'!$I:$I),"")</f>
        <v>0.23055555555555557</v>
      </c>
      <c r="J44" s="232">
        <f>IFERROR(_xlfn.XLOOKUP(Plant_BD[[#This Row],[Date]],'Raw Data'!$G:$G,'Raw Data'!$J:$J),"")</f>
        <v>0.77777777777777779</v>
      </c>
      <c r="K44" s="233">
        <f>IFERROR((Plant_BD[[#This Row],[Sunset Time (POA&lt;20 W/m2)]]-Plant_BD[[#This Row],[Sunrise Time (POA&gt;20 W/m2)]])*24,"")</f>
        <v>13.133333333333335</v>
      </c>
      <c r="L44" s="233"/>
      <c r="M44" s="233"/>
      <c r="N44" s="233"/>
      <c r="O44" s="233"/>
      <c r="P44" s="233"/>
      <c r="Q44" s="233"/>
      <c r="R44" s="233"/>
      <c r="S44" s="233"/>
      <c r="T44" s="234" t="s">
        <v>813</v>
      </c>
      <c r="U44" s="10">
        <f>_xlfn.XLOOKUP(Plant_BD[[#This Row],[Affected Equipment]],'Basic Data'!$A:$A,'Basic Data'!$B:$B)</f>
        <v>11.16</v>
      </c>
      <c r="V44" s="235">
        <f>_xlfn.XLOOKUP(Plant_BD[[#This Row],[Affected Equipment]],'Basic Data'!$A:$A,'Basic Data'!$C:$C)</f>
        <v>1.5720081135902635E-3</v>
      </c>
      <c r="W44" s="236" t="s">
        <v>1079</v>
      </c>
      <c r="X44" s="236" t="s">
        <v>1079</v>
      </c>
      <c r="Y44" s="236" t="s">
        <v>1079</v>
      </c>
      <c r="Z44" s="236" t="s">
        <v>1079</v>
      </c>
      <c r="AA44" s="237">
        <v>0.23055555555555557</v>
      </c>
      <c r="AB44" s="237"/>
      <c r="AC44" s="237"/>
      <c r="AD44" s="237">
        <v>0.77777777777777779</v>
      </c>
      <c r="AE44" s="238"/>
      <c r="AF44" s="238"/>
      <c r="AG44" s="11">
        <f>(Plant_BD[[#This Row],[Work Completion time on fault]]-Plant_BD[[#This Row],[Fault Time]])*24</f>
        <v>13.133333333333335</v>
      </c>
      <c r="AH44" s="11">
        <f>IFERROR((Plant_BD[[#This Row],[Work Completion time on fault]]-Plant_BD[[#This Row],[Fault Time]])*24,"")</f>
        <v>13.133333333333335</v>
      </c>
      <c r="AI44" s="212" t="s">
        <v>1102</v>
      </c>
      <c r="AJ44" s="6" t="s">
        <v>182</v>
      </c>
      <c r="AK44" s="239">
        <f>IFERROR(Plant_BD[[#This Row],[Breakdown Time]]*Plant_BD[[#This Row],[Plant Equivalent Weightage]],"")</f>
        <v>2.0645706558485463E-2</v>
      </c>
      <c r="AL44" s="6">
        <v>4.13</v>
      </c>
      <c r="AM44" s="238">
        <f>IFERROR((_xlfn.XLOOKUP(Plant_BD[[#This Row],[Month Year]],'Modelling New'!$D:$D,'Modelling New'!$O:$O)*Plant_BD[[#This Row],[Lost PoA(kWh/m2)]]*Plant_BD[[#This Row],[DC Capacity Affected (kW)]]),"")</f>
        <v>33.757521998950295</v>
      </c>
      <c r="AN44" s="6"/>
      <c r="AO44" s="6"/>
      <c r="AP44" s="240"/>
    </row>
    <row r="45" spans="1:42" x14ac:dyDescent="0.25">
      <c r="A45" s="125">
        <f t="shared" si="0"/>
        <v>44</v>
      </c>
      <c r="B45" s="229">
        <v>45858</v>
      </c>
      <c r="C45" s="230">
        <f>YEAR(Plant_BD[[#This Row],[Date]])+IF(MONTH(Plant_BD[[#This Row],[Date]])&gt;=4,1,0)</f>
        <v>2026</v>
      </c>
      <c r="D45" s="230">
        <f>YEAR(Plant_BD[[#This Row],[Date]])</f>
        <v>2025</v>
      </c>
      <c r="E45" s="59" t="s">
        <v>4</v>
      </c>
      <c r="F45" s="59" t="s">
        <v>4</v>
      </c>
      <c r="G45" s="231">
        <f>Plant_BD[[#This Row],[Date]]-DAY(Plant_BD[[#This Row],[Date]])+1</f>
        <v>45839</v>
      </c>
      <c r="H45" s="3">
        <f>DAY(EOMONTH(Plant_BD[[#This Row],[Month Year]],0))</f>
        <v>31</v>
      </c>
      <c r="I45" s="232">
        <f>IFERROR(_xlfn.XLOOKUP(Plant_BD[[#This Row],[Date]],'Raw Data'!$G:$G,'Raw Data'!$I:$I),"")</f>
        <v>0.2361111111111111</v>
      </c>
      <c r="J45" s="232">
        <f>IFERROR(_xlfn.XLOOKUP(Plant_BD[[#This Row],[Date]],'Raw Data'!$G:$G,'Raw Data'!$J:$J),"")</f>
        <v>0.78680555555555554</v>
      </c>
      <c r="K45" s="233">
        <f>IFERROR((Plant_BD[[#This Row],[Sunset Time (POA&lt;20 W/m2)]]-Plant_BD[[#This Row],[Sunrise Time (POA&gt;20 W/m2)]])*24,"")</f>
        <v>13.216666666666665</v>
      </c>
      <c r="L45" s="233"/>
      <c r="M45" s="233"/>
      <c r="N45" s="233"/>
      <c r="O45" s="233"/>
      <c r="P45" s="233"/>
      <c r="Q45" s="233"/>
      <c r="R45" s="233"/>
      <c r="S45" s="233"/>
      <c r="T45" s="234" t="s">
        <v>779</v>
      </c>
      <c r="U45" s="10">
        <f>_xlfn.XLOOKUP(Plant_BD[[#This Row],[Affected Equipment]],'Basic Data'!$A:$A,'Basic Data'!$B:$B)</f>
        <v>11.34</v>
      </c>
      <c r="V45" s="235">
        <f>_xlfn.XLOOKUP(Plant_BD[[#This Row],[Affected Equipment]],'Basic Data'!$A:$A,'Basic Data'!$C:$C)</f>
        <v>1.5973630831643E-3</v>
      </c>
      <c r="W45" s="236" t="s">
        <v>1079</v>
      </c>
      <c r="X45" s="236" t="s">
        <v>1079</v>
      </c>
      <c r="Y45" s="236" t="s">
        <v>1079</v>
      </c>
      <c r="Z45" s="236" t="s">
        <v>1079</v>
      </c>
      <c r="AA45" s="237">
        <v>0.2361111111111111</v>
      </c>
      <c r="AB45" s="237"/>
      <c r="AC45" s="237"/>
      <c r="AD45" s="237">
        <v>0.78472222222222221</v>
      </c>
      <c r="AE45" s="238"/>
      <c r="AF45" s="238"/>
      <c r="AG45" s="11">
        <f>(Plant_BD[[#This Row],[Work Completion time on fault]]-Plant_BD[[#This Row],[Fault Time]])*24</f>
        <v>13.166666666666668</v>
      </c>
      <c r="AH45" s="11">
        <f>IFERROR((Plant_BD[[#This Row],[Work Completion time on fault]]-Plant_BD[[#This Row],[Fault Time]])*24,"")</f>
        <v>13.166666666666668</v>
      </c>
      <c r="AI45" s="212" t="s">
        <v>1103</v>
      </c>
      <c r="AJ45" s="6" t="s">
        <v>184</v>
      </c>
      <c r="AK45" s="239">
        <f>IFERROR(Plant_BD[[#This Row],[Breakdown Time]]*Plant_BD[[#This Row],[Plant Equivalent Weightage]],"")</f>
        <v>2.1031947261663284E-2</v>
      </c>
      <c r="AL45" s="6">
        <v>4.63</v>
      </c>
      <c r="AM45" s="238">
        <f>IFERROR((_xlfn.XLOOKUP(Plant_BD[[#This Row],[Month Year]],'Modelling New'!$D:$D,'Modelling New'!$O:$O)*Plant_BD[[#This Row],[Lost PoA(kWh/m2)]]*Plant_BD[[#This Row],[DC Capacity Affected (kW)]]),"")</f>
        <v>38.454782441122433</v>
      </c>
      <c r="AN45" s="6"/>
      <c r="AO45" s="6"/>
      <c r="AP45" s="240"/>
    </row>
    <row r="46" spans="1:42" x14ac:dyDescent="0.25">
      <c r="A46" s="125">
        <f t="shared" si="0"/>
        <v>45</v>
      </c>
      <c r="B46" s="229">
        <v>45858</v>
      </c>
      <c r="C46" s="230">
        <f>YEAR(Plant_BD[[#This Row],[Date]])+IF(MONTH(Plant_BD[[#This Row],[Date]])&gt;=4,1,0)</f>
        <v>2026</v>
      </c>
      <c r="D46" s="230">
        <f>YEAR(Plant_BD[[#This Row],[Date]])</f>
        <v>2025</v>
      </c>
      <c r="E46" s="59" t="s">
        <v>4</v>
      </c>
      <c r="F46" s="59" t="s">
        <v>4</v>
      </c>
      <c r="G46" s="231">
        <f>Plant_BD[[#This Row],[Date]]-DAY(Plant_BD[[#This Row],[Date]])+1</f>
        <v>45839</v>
      </c>
      <c r="H46" s="3">
        <f>DAY(EOMONTH(Plant_BD[[#This Row],[Month Year]],0))</f>
        <v>31</v>
      </c>
      <c r="I46" s="232">
        <f>IFERROR(_xlfn.XLOOKUP(Plant_BD[[#This Row],[Date]],'Raw Data'!$G:$G,'Raw Data'!$I:$I),"")</f>
        <v>0.2361111111111111</v>
      </c>
      <c r="J46" s="232">
        <f>IFERROR(_xlfn.XLOOKUP(Plant_BD[[#This Row],[Date]],'Raw Data'!$G:$G,'Raw Data'!$J:$J),"")</f>
        <v>0.78680555555555554</v>
      </c>
      <c r="K46" s="233">
        <f>IFERROR((Plant_BD[[#This Row],[Sunset Time (POA&lt;20 W/m2)]]-Plant_BD[[#This Row],[Sunrise Time (POA&gt;20 W/m2)]])*24,"")</f>
        <v>13.216666666666665</v>
      </c>
      <c r="L46" s="233"/>
      <c r="M46" s="233"/>
      <c r="N46" s="233"/>
      <c r="O46" s="233"/>
      <c r="P46" s="233"/>
      <c r="Q46" s="233"/>
      <c r="R46" s="233"/>
      <c r="S46" s="233"/>
      <c r="T46" s="234" t="s">
        <v>813</v>
      </c>
      <c r="U46" s="10">
        <f>_xlfn.XLOOKUP(Plant_BD[[#This Row],[Affected Equipment]],'Basic Data'!$A:$A,'Basic Data'!$B:$B)</f>
        <v>11.16</v>
      </c>
      <c r="V46" s="235">
        <f>_xlfn.XLOOKUP(Plant_BD[[#This Row],[Affected Equipment]],'Basic Data'!$A:$A,'Basic Data'!$C:$C)</f>
        <v>1.5720081135902635E-3</v>
      </c>
      <c r="W46" s="236" t="s">
        <v>1079</v>
      </c>
      <c r="X46" s="236" t="s">
        <v>1079</v>
      </c>
      <c r="Y46" s="236" t="s">
        <v>1079</v>
      </c>
      <c r="Z46" s="236" t="s">
        <v>1079</v>
      </c>
      <c r="AA46" s="237">
        <v>0.2361111111111111</v>
      </c>
      <c r="AB46" s="237"/>
      <c r="AC46" s="237"/>
      <c r="AD46" s="237">
        <v>0.78472222222222221</v>
      </c>
      <c r="AE46" s="238"/>
      <c r="AF46" s="238"/>
      <c r="AG46" s="11">
        <f>(Plant_BD[[#This Row],[Work Completion time on fault]]-Plant_BD[[#This Row],[Fault Time]])*24</f>
        <v>13.166666666666668</v>
      </c>
      <c r="AH46" s="11">
        <f>IFERROR((Plant_BD[[#This Row],[Work Completion time on fault]]-Plant_BD[[#This Row],[Fault Time]])*24,"")</f>
        <v>13.166666666666668</v>
      </c>
      <c r="AI46" s="212" t="s">
        <v>1103</v>
      </c>
      <c r="AJ46" s="6" t="s">
        <v>184</v>
      </c>
      <c r="AK46" s="239">
        <f>IFERROR(Plant_BD[[#This Row],[Breakdown Time]]*Plant_BD[[#This Row],[Plant Equivalent Weightage]],"")</f>
        <v>2.0698106828938471E-2</v>
      </c>
      <c r="AL46" s="6">
        <v>4.63</v>
      </c>
      <c r="AM46" s="238">
        <f>IFERROR((_xlfn.XLOOKUP(Plant_BD[[#This Row],[Month Year]],'Modelling New'!$D:$D,'Modelling New'!$O:$O)*Plant_BD[[#This Row],[Lost PoA(kWh/m2)]]*Plant_BD[[#This Row],[DC Capacity Affected (kW)]]),"")</f>
        <v>37.844389069041128</v>
      </c>
      <c r="AN46" s="6"/>
      <c r="AO46" s="6"/>
      <c r="AP46" s="240"/>
    </row>
    <row r="47" spans="1:42" x14ac:dyDescent="0.25">
      <c r="A47" s="125">
        <f t="shared" si="0"/>
        <v>46</v>
      </c>
      <c r="B47" s="229">
        <v>45862</v>
      </c>
      <c r="C47" s="230">
        <f>YEAR(Plant_BD[[#This Row],[Date]])+IF(MONTH(Plant_BD[[#This Row],[Date]])&gt;=4,1,0)</f>
        <v>2026</v>
      </c>
      <c r="D47" s="230">
        <f>YEAR(Plant_BD[[#This Row],[Date]])</f>
        <v>2025</v>
      </c>
      <c r="E47" s="59" t="s">
        <v>4</v>
      </c>
      <c r="F47" s="59" t="s">
        <v>4</v>
      </c>
      <c r="G47" s="231">
        <f>Plant_BD[[#This Row],[Date]]-DAY(Plant_BD[[#This Row],[Date]])+1</f>
        <v>45839</v>
      </c>
      <c r="H47" s="3">
        <f>DAY(EOMONTH(Plant_BD[[#This Row],[Month Year]],0))</f>
        <v>31</v>
      </c>
      <c r="I47" s="232">
        <f>IFERROR(_xlfn.XLOOKUP(Plant_BD[[#This Row],[Date]],'Raw Data'!$G:$G,'Raw Data'!$I:$I),"")</f>
        <v>0.2361111111111111</v>
      </c>
      <c r="J47" s="232">
        <f>IFERROR(_xlfn.XLOOKUP(Plant_BD[[#This Row],[Date]],'Raw Data'!$G:$G,'Raw Data'!$J:$J),"")</f>
        <v>0.77916666666666667</v>
      </c>
      <c r="K47" s="233">
        <f>IFERROR((Plant_BD[[#This Row],[Sunset Time (POA&lt;20 W/m2)]]-Plant_BD[[#This Row],[Sunrise Time (POA&gt;20 W/m2)]])*24,"")</f>
        <v>13.033333333333335</v>
      </c>
      <c r="L47" s="233"/>
      <c r="M47" s="233"/>
      <c r="N47" s="233"/>
      <c r="O47" s="233"/>
      <c r="P47" s="233"/>
      <c r="Q47" s="233"/>
      <c r="R47" s="233"/>
      <c r="S47" s="233"/>
      <c r="T47" s="234" t="s">
        <v>100</v>
      </c>
      <c r="U47" s="10">
        <f>_xlfn.XLOOKUP(Plant_BD[[#This Row],[Affected Equipment]],'Basic Data'!$A:$A,'Basic Data'!$B:$B)</f>
        <v>2379.6000000000008</v>
      </c>
      <c r="V47" s="235">
        <f>_xlfn.XLOOKUP(Plant_BD[[#This Row],[Affected Equipment]],'Basic Data'!$A:$A,'Basic Data'!$C:$C)</f>
        <v>0.33519269776876276</v>
      </c>
      <c r="W47" s="236" t="s">
        <v>1019</v>
      </c>
      <c r="X47" s="236" t="s">
        <v>1019</v>
      </c>
      <c r="Y47" s="236" t="s">
        <v>1019</v>
      </c>
      <c r="Z47" s="236" t="s">
        <v>1019</v>
      </c>
      <c r="AA47" s="237">
        <v>0.54861111111111116</v>
      </c>
      <c r="AB47" s="237"/>
      <c r="AC47" s="237"/>
      <c r="AD47" s="237">
        <v>0.58958333333333335</v>
      </c>
      <c r="AE47" s="238"/>
      <c r="AF47" s="238"/>
      <c r="AG47" s="11">
        <f>(Plant_BD[[#This Row],[Work Completion time on fault]]-Plant_BD[[#This Row],[Fault Time]])*24</f>
        <v>0.9833333333333325</v>
      </c>
      <c r="AH47" s="11">
        <f>IFERROR((Plant_BD[[#This Row],[Work Completion time on fault]]-Plant_BD[[#This Row],[Fault Time]])*24,"")</f>
        <v>0.9833333333333325</v>
      </c>
      <c r="AI47" s="212" t="s">
        <v>1013</v>
      </c>
      <c r="AJ47" s="6" t="s">
        <v>184</v>
      </c>
      <c r="AK47" s="239">
        <f>IFERROR(Plant_BD[[#This Row],[Breakdown Time]]*Plant_BD[[#This Row],[Plant Equivalent Weightage]],"")</f>
        <v>0.32960615280594979</v>
      </c>
      <c r="AL47" s="6">
        <v>0.24</v>
      </c>
      <c r="AM47" s="238">
        <f>IFERROR((_xlfn.XLOOKUP(Plant_BD[[#This Row],[Month Year]],'Modelling New'!$D:$D,'Modelling New'!$O:$O)*Plant_BD[[#This Row],[Lost PoA(kWh/m2)]]*Plant_BD[[#This Row],[DC Capacity Affected (kW)]]),"")</f>
        <v>418.28425290271628</v>
      </c>
      <c r="AN47" s="6"/>
      <c r="AO47" s="6"/>
      <c r="AP47" s="240"/>
    </row>
    <row r="48" spans="1:42" x14ac:dyDescent="0.25">
      <c r="A48" s="125">
        <f t="shared" si="0"/>
        <v>47</v>
      </c>
      <c r="B48" s="229">
        <v>45862</v>
      </c>
      <c r="C48" s="230">
        <f>YEAR(Plant_BD[[#This Row],[Date]])+IF(MONTH(Plant_BD[[#This Row],[Date]])&gt;=4,1,0)</f>
        <v>2026</v>
      </c>
      <c r="D48" s="230">
        <f>YEAR(Plant_BD[[#This Row],[Date]])</f>
        <v>2025</v>
      </c>
      <c r="E48" s="59" t="s">
        <v>4</v>
      </c>
      <c r="F48" s="59" t="s">
        <v>4</v>
      </c>
      <c r="G48" s="231">
        <f>Plant_BD[[#This Row],[Date]]-DAY(Plant_BD[[#This Row],[Date]])+1</f>
        <v>45839</v>
      </c>
      <c r="H48" s="3">
        <f>DAY(EOMONTH(Plant_BD[[#This Row],[Month Year]],0))</f>
        <v>31</v>
      </c>
      <c r="I48" s="232">
        <f>IFERROR(_xlfn.XLOOKUP(Plant_BD[[#This Row],[Date]],'Raw Data'!$G:$G,'Raw Data'!$I:$I),"")</f>
        <v>0.2361111111111111</v>
      </c>
      <c r="J48" s="232">
        <f>IFERROR(_xlfn.XLOOKUP(Plant_BD[[#This Row],[Date]],'Raw Data'!$G:$G,'Raw Data'!$J:$J),"")</f>
        <v>0.77916666666666667</v>
      </c>
      <c r="K48" s="233">
        <f>IFERROR((Plant_BD[[#This Row],[Sunset Time (POA&lt;20 W/m2)]]-Plant_BD[[#This Row],[Sunrise Time (POA&gt;20 W/m2)]])*24,"")</f>
        <v>13.033333333333335</v>
      </c>
      <c r="L48" s="233"/>
      <c r="M48" s="233"/>
      <c r="N48" s="233"/>
      <c r="O48" s="233"/>
      <c r="P48" s="233"/>
      <c r="Q48" s="233"/>
      <c r="R48" s="233"/>
      <c r="S48" s="233"/>
      <c r="T48" s="234" t="s">
        <v>100</v>
      </c>
      <c r="U48" s="10">
        <f>_xlfn.XLOOKUP(Plant_BD[[#This Row],[Affected Equipment]],'Basic Data'!$A:$A,'Basic Data'!$B:$B)</f>
        <v>2379.6000000000008</v>
      </c>
      <c r="V48" s="235">
        <f>_xlfn.XLOOKUP(Plant_BD[[#This Row],[Affected Equipment]],'Basic Data'!$A:$A,'Basic Data'!$C:$C)</f>
        <v>0.33519269776876276</v>
      </c>
      <c r="W48" s="236" t="s">
        <v>1019</v>
      </c>
      <c r="X48" s="236" t="s">
        <v>1019</v>
      </c>
      <c r="Y48" s="236" t="s">
        <v>1019</v>
      </c>
      <c r="Z48" s="236" t="s">
        <v>1019</v>
      </c>
      <c r="AA48" s="237">
        <v>0.6166666666666667</v>
      </c>
      <c r="AB48" s="237"/>
      <c r="AC48" s="237"/>
      <c r="AD48" s="237">
        <v>0.62708333333333333</v>
      </c>
      <c r="AE48" s="238"/>
      <c r="AF48" s="238"/>
      <c r="AG48" s="11">
        <f>(Plant_BD[[#This Row],[Work Completion time on fault]]-Plant_BD[[#This Row],[Fault Time]])*24</f>
        <v>0.24999999999999911</v>
      </c>
      <c r="AH48" s="11">
        <f>IFERROR((Plant_BD[[#This Row],[Work Completion time on fault]]-Plant_BD[[#This Row],[Fault Time]])*24,"")</f>
        <v>0.24999999999999911</v>
      </c>
      <c r="AI48" s="212" t="s">
        <v>1013</v>
      </c>
      <c r="AJ48" s="6" t="s">
        <v>184</v>
      </c>
      <c r="AK48" s="239">
        <f>IFERROR(Plant_BD[[#This Row],[Breakdown Time]]*Plant_BD[[#This Row],[Plant Equivalent Weightage]],"")</f>
        <v>8.3798174442190398E-2</v>
      </c>
      <c r="AL48" s="6">
        <v>0.06</v>
      </c>
      <c r="AM48" s="238">
        <f>IFERROR((_xlfn.XLOOKUP(Plant_BD[[#This Row],[Month Year]],'Modelling New'!$D:$D,'Modelling New'!$O:$O)*Plant_BD[[#This Row],[Lost PoA(kWh/m2)]]*Plant_BD[[#This Row],[DC Capacity Affected (kW)]]),"")</f>
        <v>104.57106322567907</v>
      </c>
      <c r="AN48" s="6"/>
      <c r="AO48" s="6"/>
      <c r="AP48" s="240"/>
    </row>
    <row r="49" spans="1:42" x14ac:dyDescent="0.25">
      <c r="A49" s="125">
        <f t="shared" si="0"/>
        <v>48</v>
      </c>
      <c r="B49" s="229">
        <v>45865</v>
      </c>
      <c r="C49" s="230">
        <f>YEAR(Plant_BD[[#This Row],[Date]])+IF(MONTH(Plant_BD[[#This Row],[Date]])&gt;=4,1,0)</f>
        <v>2026</v>
      </c>
      <c r="D49" s="230">
        <f>YEAR(Plant_BD[[#This Row],[Date]])</f>
        <v>2025</v>
      </c>
      <c r="E49" s="59" t="s">
        <v>4</v>
      </c>
      <c r="F49" s="59" t="s">
        <v>4</v>
      </c>
      <c r="G49" s="231">
        <f>Plant_BD[[#This Row],[Date]]-DAY(Plant_BD[[#This Row],[Date]])+1</f>
        <v>45839</v>
      </c>
      <c r="H49" s="3">
        <f>DAY(EOMONTH(Plant_BD[[#This Row],[Month Year]],0))</f>
        <v>31</v>
      </c>
      <c r="I49" s="232">
        <f>IFERROR(_xlfn.XLOOKUP(Plant_BD[[#This Row],[Date]],'Raw Data'!$G:$G,'Raw Data'!$I:$I),"")</f>
        <v>0.23402777777777778</v>
      </c>
      <c r="J49" s="232">
        <f>IFERROR(_xlfn.XLOOKUP(Plant_BD[[#This Row],[Date]],'Raw Data'!$G:$G,'Raw Data'!$J:$J),"")</f>
        <v>0.77083333333333337</v>
      </c>
      <c r="K49" s="233">
        <f>IFERROR((Plant_BD[[#This Row],[Sunset Time (POA&lt;20 W/m2)]]-Plant_BD[[#This Row],[Sunrise Time (POA&gt;20 W/m2)]])*24,"")</f>
        <v>12.883333333333333</v>
      </c>
      <c r="L49" s="233"/>
      <c r="M49" s="233"/>
      <c r="N49" s="233"/>
      <c r="O49" s="233"/>
      <c r="P49" s="233"/>
      <c r="Q49" s="233"/>
      <c r="R49" s="233"/>
      <c r="S49" s="233"/>
      <c r="T49" s="234" t="s">
        <v>100</v>
      </c>
      <c r="U49" s="10">
        <f>_xlfn.XLOOKUP(Plant_BD[[#This Row],[Affected Equipment]],'Basic Data'!$A:$A,'Basic Data'!$B:$B)</f>
        <v>2379.6000000000008</v>
      </c>
      <c r="V49" s="235">
        <f>_xlfn.XLOOKUP(Plant_BD[[#This Row],[Affected Equipment]],'Basic Data'!$A:$A,'Basic Data'!$C:$C)</f>
        <v>0.33519269776876276</v>
      </c>
      <c r="W49" s="236" t="s">
        <v>1019</v>
      </c>
      <c r="X49" s="236" t="s">
        <v>1019</v>
      </c>
      <c r="Y49" s="236" t="s">
        <v>1019</v>
      </c>
      <c r="Z49" s="236" t="s">
        <v>1019</v>
      </c>
      <c r="AA49" s="237">
        <v>0.56805555555555554</v>
      </c>
      <c r="AB49" s="237"/>
      <c r="AC49" s="237"/>
      <c r="AD49" s="237">
        <v>0.57847222222222228</v>
      </c>
      <c r="AE49" s="238"/>
      <c r="AF49" s="238"/>
      <c r="AG49" s="11">
        <f>(Plant_BD[[#This Row],[Work Completion time on fault]]-Plant_BD[[#This Row],[Fault Time]])*24</f>
        <v>0.25000000000000178</v>
      </c>
      <c r="AH49" s="11">
        <f>IFERROR((Plant_BD[[#This Row],[Work Completion time on fault]]-Plant_BD[[#This Row],[Fault Time]])*24,"")</f>
        <v>0.25000000000000178</v>
      </c>
      <c r="AI49" s="212" t="s">
        <v>1013</v>
      </c>
      <c r="AJ49" s="6" t="s">
        <v>184</v>
      </c>
      <c r="AK49" s="239">
        <f>IFERROR(Plant_BD[[#This Row],[Breakdown Time]]*Plant_BD[[#This Row],[Plant Equivalent Weightage]],"")</f>
        <v>8.3798174442191287E-2</v>
      </c>
      <c r="AL49" s="6">
        <v>0.09</v>
      </c>
      <c r="AM49" s="238">
        <f>IFERROR((_xlfn.XLOOKUP(Plant_BD[[#This Row],[Month Year]],'Modelling New'!$D:$D,'Modelling New'!$O:$O)*Plant_BD[[#This Row],[Lost PoA(kWh/m2)]]*Plant_BD[[#This Row],[DC Capacity Affected (kW)]]),"")</f>
        <v>156.85659483851859</v>
      </c>
      <c r="AN49" s="6"/>
      <c r="AO49" s="6"/>
      <c r="AP49" s="240"/>
    </row>
    <row r="50" spans="1:42" x14ac:dyDescent="0.25">
      <c r="A50" s="125">
        <f t="shared" si="0"/>
        <v>49</v>
      </c>
      <c r="B50" s="229">
        <v>45868</v>
      </c>
      <c r="C50" s="230">
        <f>YEAR(Plant_BD[[#This Row],[Date]])+IF(MONTH(Plant_BD[[#This Row],[Date]])&gt;=4,1,0)</f>
        <v>2026</v>
      </c>
      <c r="D50" s="230">
        <f>YEAR(Plant_BD[[#This Row],[Date]])</f>
        <v>2025</v>
      </c>
      <c r="E50" s="59" t="s">
        <v>4</v>
      </c>
      <c r="F50" s="59" t="s">
        <v>4</v>
      </c>
      <c r="G50" s="231">
        <f>Plant_BD[[#This Row],[Date]]-DAY(Plant_BD[[#This Row],[Date]])+1</f>
        <v>45839</v>
      </c>
      <c r="H50" s="3">
        <f>DAY(EOMONTH(Plant_BD[[#This Row],[Month Year]],0))</f>
        <v>31</v>
      </c>
      <c r="I50" s="232">
        <f>IFERROR(_xlfn.XLOOKUP(Plant_BD[[#This Row],[Date]],'Raw Data'!$G:$G,'Raw Data'!$I:$I),"")</f>
        <v>0.24305555555555555</v>
      </c>
      <c r="J50" s="232">
        <f>IFERROR(_xlfn.XLOOKUP(Plant_BD[[#This Row],[Date]],'Raw Data'!$G:$G,'Raw Data'!$J:$J),"")</f>
        <v>0.78125</v>
      </c>
      <c r="K50" s="233">
        <f>IFERROR((Plant_BD[[#This Row],[Sunset Time (POA&lt;20 W/m2)]]-Plant_BD[[#This Row],[Sunrise Time (POA&gt;20 W/m2)]])*24,"")</f>
        <v>12.916666666666666</v>
      </c>
      <c r="L50" s="233"/>
      <c r="M50" s="233"/>
      <c r="N50" s="233"/>
      <c r="O50" s="233"/>
      <c r="P50" s="233"/>
      <c r="Q50" s="233"/>
      <c r="R50" s="233"/>
      <c r="S50" s="233"/>
      <c r="T50" s="234" t="s">
        <v>602</v>
      </c>
      <c r="U50" s="10">
        <f>_xlfn.XLOOKUP(Plant_BD[[#This Row],[Affected Equipment]],'Basic Data'!$A:$A,'Basic Data'!$B:$B)</f>
        <v>11.34</v>
      </c>
      <c r="V50" s="235">
        <f>_xlfn.XLOOKUP(Plant_BD[[#This Row],[Affected Equipment]],'Basic Data'!$A:$A,'Basic Data'!$C:$C)</f>
        <v>1.5973630831643E-3</v>
      </c>
      <c r="W50" s="236" t="s">
        <v>1106</v>
      </c>
      <c r="X50" s="236" t="s">
        <v>1106</v>
      </c>
      <c r="Y50" s="236" t="s">
        <v>1106</v>
      </c>
      <c r="Z50" s="236" t="s">
        <v>1106</v>
      </c>
      <c r="AA50" s="237">
        <v>0.24305555555555555</v>
      </c>
      <c r="AB50" s="237"/>
      <c r="AC50" s="237"/>
      <c r="AD50" s="237">
        <v>0.78125</v>
      </c>
      <c r="AE50" s="238"/>
      <c r="AF50" s="238"/>
      <c r="AG50" s="11">
        <f>(Plant_BD[[#This Row],[Work Completion time on fault]]-Plant_BD[[#This Row],[Fault Time]])*24</f>
        <v>12.916666666666666</v>
      </c>
      <c r="AH50" s="11">
        <f>IFERROR((Plant_BD[[#This Row],[Work Completion time on fault]]-Plant_BD[[#This Row],[Fault Time]])*24,"")</f>
        <v>12.916666666666666</v>
      </c>
      <c r="AI50" s="212" t="s">
        <v>1103</v>
      </c>
      <c r="AJ50" s="6" t="s">
        <v>184</v>
      </c>
      <c r="AK50" s="239">
        <f>IFERROR(Plant_BD[[#This Row],[Breakdown Time]]*Plant_BD[[#This Row],[Plant Equivalent Weightage]],"")</f>
        <v>2.0632606490872205E-2</v>
      </c>
      <c r="AL50" s="6">
        <v>4.05</v>
      </c>
      <c r="AM50" s="238">
        <f>IFERROR((_xlfn.XLOOKUP(Plant_BD[[#This Row],[Month Year]],'Modelling New'!$D:$D,'Modelling New'!$O:$O)*Plant_BD[[#This Row],[Lost PoA(kWh/m2)]]*Plant_BD[[#This Row],[DC Capacity Affected (kW)]]),"")</f>
        <v>33.637552675279885</v>
      </c>
      <c r="AN50" s="6"/>
      <c r="AO50" s="6"/>
      <c r="AP50" s="240"/>
    </row>
    <row r="51" spans="1:42" x14ac:dyDescent="0.25">
      <c r="A51" s="125"/>
      <c r="B51" s="229"/>
      <c r="C51" s="246">
        <f>YEAR(Plant_BD[[#This Row],[Date]])+IF(MONTH(Plant_BD[[#This Row],[Date]])&gt;=4,1,0)</f>
        <v>1900</v>
      </c>
      <c r="D51" s="247">
        <f>YEAR(Plant_BD[[#This Row],[Date]])</f>
        <v>1900</v>
      </c>
      <c r="E51" s="59"/>
      <c r="F51" s="59"/>
      <c r="G51" s="231">
        <f>Plant_BD[[#This Row],[Date]]-DAY(Plant_BD[[#This Row],[Date]])+1</f>
        <v>1</v>
      </c>
      <c r="H51" s="3">
        <f>DAY(EOMONTH(Plant_BD[[#This Row],[Month Year]],0))</f>
        <v>31</v>
      </c>
      <c r="I51" s="232">
        <f>IFERROR(_xlfn.XLOOKUP(Plant_BD[[#This Row],[Date]],'Raw Data'!$G:$G,'Raw Data'!$I:$I),"")</f>
        <v>0</v>
      </c>
      <c r="J51" s="232">
        <f>IFERROR(_xlfn.XLOOKUP(Plant_BD[[#This Row],[Date]],'Raw Data'!$G:$G,'Raw Data'!$J:$J),"")</f>
        <v>0</v>
      </c>
      <c r="K51" s="233">
        <f>IFERROR((Plant_BD[[#This Row],[Sunset Time (POA&lt;20 W/m2)]]-Plant_BD[[#This Row],[Sunrise Time (POA&gt;20 W/m2)]])*24,"")</f>
        <v>0</v>
      </c>
      <c r="L51" s="233"/>
      <c r="M51" s="233"/>
      <c r="N51" s="233"/>
      <c r="O51" s="233"/>
      <c r="P51" s="233"/>
      <c r="Q51" s="233"/>
      <c r="R51" s="233"/>
      <c r="S51" s="233"/>
      <c r="T51" s="234"/>
      <c r="U51" s="10">
        <f>_xlfn.XLOOKUP(Plant_BD[[#This Row],[Affected Equipment]],'Basic Data'!$A:$A,'Basic Data'!$B:$B)</f>
        <v>0</v>
      </c>
      <c r="V51" s="235">
        <f>_xlfn.XLOOKUP(Plant_BD[[#This Row],[Affected Equipment]],'Basic Data'!$A:$A,'Basic Data'!$C:$C)</f>
        <v>0</v>
      </c>
      <c r="W51" s="236"/>
      <c r="X51" s="236"/>
      <c r="Y51" s="236"/>
      <c r="Z51" s="248"/>
      <c r="AA51" s="249"/>
      <c r="AB51" s="237"/>
      <c r="AC51" s="237"/>
      <c r="AD51" s="249"/>
      <c r="AE51" s="238"/>
      <c r="AF51" s="238"/>
      <c r="AG51" s="11">
        <f>(Plant_BD[[#This Row],[Work Completion time on fault]]-Plant_BD[[#This Row],[Fault Time]])*24</f>
        <v>0</v>
      </c>
      <c r="AH51" s="11">
        <f>IFERROR((Plant_BD[[#This Row],[Work Completion time on fault]]-Plant_BD[[#This Row],[Fault Time]])*24,"")</f>
        <v>0</v>
      </c>
      <c r="AI51" s="212"/>
      <c r="AJ51" s="6"/>
      <c r="AK51" s="239">
        <f>IFERROR(Plant_BD[[#This Row],[Breakdown Time]]*Plant_BD[[#This Row],[Plant Equivalent Weightage]],"")</f>
        <v>0</v>
      </c>
      <c r="AL51" s="6"/>
      <c r="AM51" s="238" t="str">
        <f>IFERROR((_xlfn.XLOOKUP(Plant_BD[[#This Row],[Month Year]],'Modelling New'!$D:$D,'Modelling New'!$O:$O)*Plant_BD[[#This Row],[Lost PoA(kWh/m2)]]*Plant_BD[[#This Row],[DC Capacity Affected (kW)]]),"")</f>
        <v/>
      </c>
      <c r="AN51" s="6"/>
      <c r="AO51" s="6"/>
      <c r="AP51" s="240"/>
    </row>
    <row r="52" spans="1:42" x14ac:dyDescent="0.25">
      <c r="A52" s="125"/>
      <c r="B52" s="229"/>
      <c r="C52" s="246">
        <f>YEAR(Plant_BD[[#This Row],[Date]])+IF(MONTH(Plant_BD[[#This Row],[Date]])&gt;=4,1,0)</f>
        <v>1900</v>
      </c>
      <c r="D52" s="247">
        <f>YEAR(Plant_BD[[#This Row],[Date]])</f>
        <v>1900</v>
      </c>
      <c r="E52" s="59"/>
      <c r="F52" s="59"/>
      <c r="G52" s="231">
        <f>Plant_BD[[#This Row],[Date]]-DAY(Plant_BD[[#This Row],[Date]])+1</f>
        <v>1</v>
      </c>
      <c r="H52" s="3">
        <f>DAY(EOMONTH(Plant_BD[[#This Row],[Month Year]],0))</f>
        <v>31</v>
      </c>
      <c r="I52" s="232">
        <f>IFERROR(_xlfn.XLOOKUP(Plant_BD[[#This Row],[Date]],'Raw Data'!$G:$G,'Raw Data'!$I:$I),"")</f>
        <v>0</v>
      </c>
      <c r="J52" s="232">
        <f>IFERROR(_xlfn.XLOOKUP(Plant_BD[[#This Row],[Date]],'Raw Data'!$G:$G,'Raw Data'!$J:$J),"")</f>
        <v>0</v>
      </c>
      <c r="K52" s="233">
        <f>IFERROR((Plant_BD[[#This Row],[Sunset Time (POA&lt;20 W/m2)]]-Plant_BD[[#This Row],[Sunrise Time (POA&gt;20 W/m2)]])*24,"")</f>
        <v>0</v>
      </c>
      <c r="L52" s="233"/>
      <c r="M52" s="233"/>
      <c r="N52" s="233"/>
      <c r="O52" s="233"/>
      <c r="P52" s="233"/>
      <c r="Q52" s="233"/>
      <c r="R52" s="233"/>
      <c r="S52" s="233"/>
      <c r="T52" s="234"/>
      <c r="U52" s="10">
        <f>_xlfn.XLOOKUP(Plant_BD[[#This Row],[Affected Equipment]],'Basic Data'!$A:$A,'Basic Data'!$B:$B)</f>
        <v>0</v>
      </c>
      <c r="V52" s="235">
        <f>_xlfn.XLOOKUP(Plant_BD[[#This Row],[Affected Equipment]],'Basic Data'!$A:$A,'Basic Data'!$C:$C)</f>
        <v>0</v>
      </c>
      <c r="W52" s="236"/>
      <c r="X52" s="236"/>
      <c r="Y52" s="236"/>
      <c r="Z52" s="248"/>
      <c r="AA52" s="249"/>
      <c r="AB52" s="237"/>
      <c r="AC52" s="237"/>
      <c r="AD52" s="249"/>
      <c r="AE52" s="238"/>
      <c r="AF52" s="238"/>
      <c r="AG52" s="11">
        <f>(Plant_BD[[#This Row],[Work Completion time on fault]]-Plant_BD[[#This Row],[Fault Time]])*24</f>
        <v>0</v>
      </c>
      <c r="AH52" s="11">
        <f>IFERROR((Plant_BD[[#This Row],[Work Completion time on fault]]-Plant_BD[[#This Row],[Fault Time]])*24,"")</f>
        <v>0</v>
      </c>
      <c r="AI52" s="212"/>
      <c r="AJ52" s="6"/>
      <c r="AK52" s="239">
        <f>IFERROR(Plant_BD[[#This Row],[Breakdown Time]]*Plant_BD[[#This Row],[Plant Equivalent Weightage]],"")</f>
        <v>0</v>
      </c>
      <c r="AL52" s="6"/>
      <c r="AM52" s="238" t="str">
        <f>IFERROR((_xlfn.XLOOKUP(Plant_BD[[#This Row],[Month Year]],'Modelling New'!$D:$D,'Modelling New'!$O:$O)*Plant_BD[[#This Row],[Lost PoA(kWh/m2)]]*Plant_BD[[#This Row],[DC Capacity Affected (kW)]]),"")</f>
        <v/>
      </c>
      <c r="AN52" s="6"/>
      <c r="AO52" s="6"/>
      <c r="AP52" s="240"/>
    </row>
    <row r="53" spans="1:42" x14ac:dyDescent="0.25">
      <c r="A53" s="125"/>
      <c r="B53" s="229"/>
      <c r="C53" s="246">
        <f>YEAR(Plant_BD[[#This Row],[Date]])+IF(MONTH(Plant_BD[[#This Row],[Date]])&gt;=4,1,0)</f>
        <v>1900</v>
      </c>
      <c r="D53" s="247">
        <f>YEAR(Plant_BD[[#This Row],[Date]])</f>
        <v>1900</v>
      </c>
      <c r="E53" s="59"/>
      <c r="F53" s="59"/>
      <c r="G53" s="231">
        <f>Plant_BD[[#This Row],[Date]]-DAY(Plant_BD[[#This Row],[Date]])+1</f>
        <v>1</v>
      </c>
      <c r="H53" s="3">
        <f>DAY(EOMONTH(Plant_BD[[#This Row],[Month Year]],0))</f>
        <v>31</v>
      </c>
      <c r="I53" s="232">
        <f>IFERROR(_xlfn.XLOOKUP(Plant_BD[[#This Row],[Date]],'Raw Data'!$G:$G,'Raw Data'!$I:$I),"")</f>
        <v>0</v>
      </c>
      <c r="J53" s="232">
        <f>IFERROR(_xlfn.XLOOKUP(Plant_BD[[#This Row],[Date]],'Raw Data'!$G:$G,'Raw Data'!$J:$J),"")</f>
        <v>0</v>
      </c>
      <c r="K53" s="233">
        <f>IFERROR((Plant_BD[[#This Row],[Sunset Time (POA&lt;20 W/m2)]]-Plant_BD[[#This Row],[Sunrise Time (POA&gt;20 W/m2)]])*24,"")</f>
        <v>0</v>
      </c>
      <c r="L53" s="233"/>
      <c r="M53" s="233"/>
      <c r="N53" s="233"/>
      <c r="O53" s="233"/>
      <c r="P53" s="233"/>
      <c r="Q53" s="233"/>
      <c r="R53" s="233"/>
      <c r="S53" s="233"/>
      <c r="T53" s="234"/>
      <c r="U53" s="10">
        <f>_xlfn.XLOOKUP(Plant_BD[[#This Row],[Affected Equipment]],'Basic Data'!$A:$A,'Basic Data'!$B:$B)</f>
        <v>0</v>
      </c>
      <c r="V53" s="235">
        <f>_xlfn.XLOOKUP(Plant_BD[[#This Row],[Affected Equipment]],'Basic Data'!$A:$A,'Basic Data'!$C:$C)</f>
        <v>0</v>
      </c>
      <c r="W53" s="236"/>
      <c r="X53" s="236"/>
      <c r="Y53" s="236"/>
      <c r="Z53" s="248"/>
      <c r="AA53" s="249"/>
      <c r="AB53" s="237"/>
      <c r="AC53" s="237"/>
      <c r="AD53" s="249"/>
      <c r="AE53" s="238"/>
      <c r="AF53" s="238"/>
      <c r="AG53" s="11">
        <f>(Plant_BD[[#This Row],[Work Completion time on fault]]-Plant_BD[[#This Row],[Fault Time]])*24</f>
        <v>0</v>
      </c>
      <c r="AH53" s="11">
        <f>IFERROR((Plant_BD[[#This Row],[Work Completion time on fault]]-Plant_BD[[#This Row],[Fault Time]])*24,"")</f>
        <v>0</v>
      </c>
      <c r="AI53" s="212"/>
      <c r="AJ53" s="6"/>
      <c r="AK53" s="239">
        <f>IFERROR(Plant_BD[[#This Row],[Breakdown Time]]*Plant_BD[[#This Row],[Plant Equivalent Weightage]],"")</f>
        <v>0</v>
      </c>
      <c r="AL53" s="6"/>
      <c r="AM53" s="238" t="str">
        <f>IFERROR((_xlfn.XLOOKUP(Plant_BD[[#This Row],[Month Year]],'Modelling New'!$D:$D,'Modelling New'!$O:$O)*Plant_BD[[#This Row],[Lost PoA(kWh/m2)]]*Plant_BD[[#This Row],[DC Capacity Affected (kW)]]),"")</f>
        <v/>
      </c>
      <c r="AN53" s="6"/>
      <c r="AO53" s="6"/>
      <c r="AP53" s="240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880F46-FE49-4F9C-8294-51BA0183EA6D}">
          <x14:formula1>
            <xm:f>'Basic Data'!$A$2:$A$724</xm:f>
          </x14:formula1>
          <xm:sqref>T2:T1048576</xm:sqref>
        </x14:dataValidation>
        <x14:dataValidation type="list" allowBlank="1" showInputMessage="1" showErrorMessage="1" xr:uid="{D03BE0D8-EA1A-46AE-A185-1836744FC4D0}">
          <x14:formula1>
            <xm:f>'Basic Data'!$H$2:$H$3</xm:f>
          </x14:formula1>
          <xm:sqref>AJ2:AJ1048576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5BB0-34E0-411D-92C0-B82006EAC182}">
  <dimension ref="A1:AE45"/>
  <sheetViews>
    <sheetView workbookViewId="0">
      <pane xSplit="2" ySplit="1" topLeftCell="C28" activePane="bottomRight" state="frozen"/>
      <selection activeCell="G149" sqref="G149"/>
      <selection pane="topRight" activeCell="G149" sqref="G149"/>
      <selection pane="bottomLeft" activeCell="G149" sqref="G149"/>
      <selection pane="bottomRight" activeCell="A44" sqref="A44"/>
    </sheetView>
  </sheetViews>
  <sheetFormatPr defaultColWidth="8.7109375" defaultRowHeight="15" x14ac:dyDescent="0.25"/>
  <cols>
    <col min="1" max="1" width="10.85546875" style="7" bestFit="1" customWidth="1"/>
    <col min="2" max="2" width="10.42578125" style="7" bestFit="1" customWidth="1"/>
    <col min="3" max="3" width="10.85546875" style="7" customWidth="1"/>
    <col min="4" max="4" width="11.85546875" style="7" customWidth="1"/>
    <col min="5" max="5" width="14.42578125" style="7" customWidth="1"/>
    <col min="6" max="6" width="11.140625" style="7" customWidth="1"/>
    <col min="7" max="7" width="10.28515625" style="7" customWidth="1"/>
    <col min="8" max="8" width="9.42578125" style="7" bestFit="1" customWidth="1"/>
    <col min="9" max="9" width="14.85546875" style="7" customWidth="1"/>
    <col min="10" max="10" width="18.42578125" style="7" customWidth="1"/>
    <col min="11" max="11" width="14.85546875" style="7" customWidth="1"/>
    <col min="12" max="12" width="11.5703125" style="7" customWidth="1"/>
    <col min="13" max="13" width="12.7109375" style="7" customWidth="1"/>
    <col min="14" max="14" width="28.5703125" style="245" bestFit="1" customWidth="1"/>
    <col min="15" max="15" width="30" style="7" bestFit="1" customWidth="1"/>
    <col min="16" max="16" width="17.5703125" style="7" bestFit="1" customWidth="1"/>
    <col min="17" max="17" width="25.42578125" style="7" bestFit="1" customWidth="1"/>
    <col min="18" max="18" width="50.140625" style="217" bestFit="1" customWidth="1"/>
    <col min="19" max="19" width="14.140625" style="7" bestFit="1" customWidth="1"/>
    <col min="20" max="20" width="26.140625" style="7" bestFit="1" customWidth="1"/>
    <col min="21" max="21" width="26.42578125" style="7" bestFit="1" customWidth="1"/>
    <col min="22" max="22" width="31.85546875" style="7" bestFit="1" customWidth="1"/>
    <col min="23" max="23" width="25.42578125" style="7" bestFit="1" customWidth="1"/>
    <col min="24" max="24" width="18" style="7" bestFit="1" customWidth="1"/>
    <col min="25" max="25" width="18.85546875" style="7" bestFit="1" customWidth="1"/>
    <col min="26" max="26" width="19.5703125" style="7" bestFit="1" customWidth="1"/>
    <col min="27" max="27" width="41" style="7" bestFit="1" customWidth="1"/>
    <col min="28" max="28" width="10.5703125" style="7" bestFit="1" customWidth="1"/>
    <col min="29" max="29" width="29.28515625" style="7" bestFit="1" customWidth="1"/>
    <col min="30" max="30" width="21.42578125" style="7" bestFit="1" customWidth="1"/>
    <col min="31" max="31" width="32.42578125" style="7" bestFit="1" customWidth="1"/>
    <col min="32" max="16384" width="8.7109375" style="7"/>
  </cols>
  <sheetData>
    <row r="1" spans="1:31" s="70" customFormat="1" ht="32.1" customHeight="1" x14ac:dyDescent="0.25">
      <c r="A1" s="70" t="s">
        <v>7</v>
      </c>
      <c r="B1" s="70" t="s">
        <v>33</v>
      </c>
      <c r="C1" s="70" t="s">
        <v>109</v>
      </c>
      <c r="D1" s="70" t="s">
        <v>110</v>
      </c>
      <c r="E1" s="70" t="s">
        <v>1136</v>
      </c>
      <c r="F1" s="70" t="s">
        <v>85</v>
      </c>
      <c r="G1" s="70" t="s">
        <v>86</v>
      </c>
      <c r="H1" s="70" t="s">
        <v>62</v>
      </c>
      <c r="I1" s="70" t="s">
        <v>149</v>
      </c>
      <c r="J1" s="70" t="s">
        <v>150</v>
      </c>
      <c r="K1" s="70" t="s">
        <v>1002</v>
      </c>
      <c r="L1" s="70" t="s">
        <v>1154</v>
      </c>
      <c r="M1" s="70" t="s">
        <v>1138</v>
      </c>
      <c r="N1" s="70" t="s">
        <v>178</v>
      </c>
      <c r="O1" s="70" t="s">
        <v>1139</v>
      </c>
      <c r="P1" s="70" t="s">
        <v>1140</v>
      </c>
      <c r="Q1" s="70" t="s">
        <v>1003</v>
      </c>
      <c r="R1" s="70" t="s">
        <v>1004</v>
      </c>
      <c r="S1" s="70" t="s">
        <v>1005</v>
      </c>
      <c r="T1" s="70" t="s">
        <v>1141</v>
      </c>
      <c r="U1" s="70" t="s">
        <v>1006</v>
      </c>
      <c r="V1" s="70" t="s">
        <v>1142</v>
      </c>
      <c r="W1" s="70" t="s">
        <v>1143</v>
      </c>
      <c r="X1" s="70" t="s">
        <v>1007</v>
      </c>
      <c r="Y1" s="70" t="s">
        <v>1008</v>
      </c>
      <c r="Z1" s="70" t="s">
        <v>1009</v>
      </c>
      <c r="AA1" s="70" t="s">
        <v>1010</v>
      </c>
      <c r="AB1" s="70" t="s">
        <v>180</v>
      </c>
      <c r="AC1" s="70" t="s">
        <v>1011</v>
      </c>
      <c r="AD1" s="70" t="s">
        <v>1012</v>
      </c>
      <c r="AE1" s="70" t="s">
        <v>1144</v>
      </c>
    </row>
    <row r="2" spans="1:31" x14ac:dyDescent="0.25">
      <c r="A2" s="7">
        <v>1</v>
      </c>
      <c r="B2" s="241">
        <v>45750</v>
      </c>
      <c r="C2" s="86">
        <f>YEAR(Grid_BD[[#This Row],[Date]])+IF(MONTH(Grid_BD[[#This Row],[Date]])&gt;=4,1,0)</f>
        <v>2026</v>
      </c>
      <c r="D2" s="56">
        <f>YEAR(Grid_BD[[#This Row],[Date]])</f>
        <v>2025</v>
      </c>
      <c r="E2" s="56" t="s">
        <v>107</v>
      </c>
      <c r="F2" s="56" t="s">
        <v>107</v>
      </c>
      <c r="G2" s="242">
        <f>Grid_BD[[#This Row],[Date]]-DAY(Grid_BD[[#This Row],[Date]])+1</f>
        <v>45748</v>
      </c>
      <c r="H2" s="243">
        <f>DAY(EOMONTH(Grid_BD[[#This Row],[Month Year]],0))</f>
        <v>30</v>
      </c>
      <c r="I2" s="244">
        <f>_xlfn.XLOOKUP(Grid_BD[[#This Row],[Date]],'Raw Data'!$G:$G,'Raw Data'!$I:$I)</f>
        <v>0.24722222222222223</v>
      </c>
      <c r="J2" s="244">
        <f>_xlfn.XLOOKUP(Grid_BD[[#This Row],[Date]],'Raw Data'!$G:$G,'Raw Data'!$J:$J)</f>
        <v>0.77152777777777781</v>
      </c>
      <c r="K2" s="100">
        <f>IFERROR((Grid_BD[[#This Row],[Sunset Time (POA&lt;20 W/m2)]]-Grid_BD[[#This Row],[Sunrise Time (POA&gt;20 W/m2)]])*24,"")</f>
        <v>12.583333333333334</v>
      </c>
      <c r="L2" s="7" t="s">
        <v>282</v>
      </c>
      <c r="M2" s="87">
        <f>_xlfn.XLOOKUP(Grid_BD[[#This Row],[Affected Equipment ]],'Basic Data'!$A:$A,'Basic Data'!$B:$B)</f>
        <v>7099.2000000000007</v>
      </c>
      <c r="N2" s="245">
        <f>_xlfn.XLOOKUP(Grid_BD[[#This Row],[Affected Equipment ]],'Basic Data'!$A:$A,'Basic Data'!$C:$C)</f>
        <v>1</v>
      </c>
      <c r="O2" s="7" t="s">
        <v>1015</v>
      </c>
      <c r="P2" s="7" t="s">
        <v>199</v>
      </c>
      <c r="Q2" s="7" t="s">
        <v>1016</v>
      </c>
      <c r="S2" s="244">
        <v>0.56458333333333333</v>
      </c>
      <c r="V2" s="244">
        <v>0.58472222222222225</v>
      </c>
      <c r="Y2" s="100">
        <f>(Grid_BD[[#This Row],[Work Completion time on fault]]-Grid_BD[[#This Row],[Fault Time]])*24</f>
        <v>0.48333333333333428</v>
      </c>
      <c r="Z2" s="87">
        <f>(Grid_BD[[#This Row],[Work Completion time on fault]]-Grid_BD[[#This Row],[Fault Time]])*24</f>
        <v>0.48333333333333428</v>
      </c>
      <c r="AA2" s="217" t="s">
        <v>1017</v>
      </c>
      <c r="AB2" s="7" t="s">
        <v>184</v>
      </c>
      <c r="AC2" s="87">
        <f>IFERROR(Grid_BD[[#This Row],[Plant Equivalent Weightage]]*Grid_BD[[#This Row],[Resolution Time]],"")</f>
        <v>0.48333333333333428</v>
      </c>
      <c r="AD2" s="7">
        <v>7.0000000000000007E-2</v>
      </c>
      <c r="AE2" s="100">
        <f>IFERROR(_xlfn.XLOOKUP(Grid_BD[[#This Row],[Month Year]],'Modelling New'!$D:$D,'Modelling New'!$O:$O)*Grid_BD[[#This Row],[Lost PoA(kWh/m2)]]*Grid_BD[[#This Row],[DC Capacity Affected (kW)]],"")</f>
        <v>336.4512774307081</v>
      </c>
    </row>
    <row r="3" spans="1:31" x14ac:dyDescent="0.25">
      <c r="A3" s="7">
        <f>A2+1</f>
        <v>2</v>
      </c>
      <c r="B3" s="241">
        <v>45752</v>
      </c>
      <c r="C3" s="86">
        <f>YEAR(Grid_BD[[#This Row],[Date]])+IF(MONTH(Grid_BD[[#This Row],[Date]])&gt;=4,1,0)</f>
        <v>2026</v>
      </c>
      <c r="D3" s="7">
        <f>YEAR(Grid_BD[[#This Row],[Date]])</f>
        <v>2025</v>
      </c>
      <c r="E3" s="56" t="s">
        <v>107</v>
      </c>
      <c r="F3" s="56" t="s">
        <v>107</v>
      </c>
      <c r="G3" s="242">
        <f>Grid_BD[[#This Row],[Date]]-DAY(Grid_BD[[#This Row],[Date]])+1</f>
        <v>45748</v>
      </c>
      <c r="H3" s="7">
        <f>DAY(EOMONTH(Grid_BD[[#This Row],[Month Year]],0))</f>
        <v>30</v>
      </c>
      <c r="I3" s="244">
        <f>_xlfn.XLOOKUP(Grid_BD[[#This Row],[Date]],'Raw Data'!$G:$G,'Raw Data'!$I:$I)</f>
        <v>0.24930555555555556</v>
      </c>
      <c r="J3" s="244">
        <f>_xlfn.XLOOKUP(Grid_BD[[#This Row],[Date]],'Raw Data'!$G:$G,'Raw Data'!$J:$J)</f>
        <v>0.77361111111111114</v>
      </c>
      <c r="K3" s="100">
        <f>IFERROR((Grid_BD[[#This Row],[Sunset Time (POA&lt;20 W/m2)]]-Grid_BD[[#This Row],[Sunrise Time (POA&gt;20 W/m2)]])*24,"")</f>
        <v>12.583333333333334</v>
      </c>
      <c r="L3" s="7" t="s">
        <v>282</v>
      </c>
      <c r="M3" s="87">
        <f>_xlfn.XLOOKUP(Grid_BD[[#This Row],[Affected Equipment ]],'Basic Data'!$A:$A,'Basic Data'!$B:$B)</f>
        <v>7099.2000000000007</v>
      </c>
      <c r="N3" s="245">
        <f>_xlfn.XLOOKUP(Grid_BD[[#This Row],[Affected Equipment ]],'Basic Data'!$A:$A,'Basic Data'!$C:$C)</f>
        <v>1</v>
      </c>
      <c r="O3" s="7" t="s">
        <v>1015</v>
      </c>
      <c r="P3" s="7" t="s">
        <v>199</v>
      </c>
      <c r="Q3" s="7" t="s">
        <v>1016</v>
      </c>
      <c r="S3" s="244">
        <v>0.71388888888888891</v>
      </c>
      <c r="V3" s="244">
        <v>0.71111111111111114</v>
      </c>
      <c r="Y3" s="100">
        <f>(Grid_BD[[#This Row],[Work Completion time on fault]]-Grid_BD[[#This Row],[Fault Time]])*24</f>
        <v>-6.666666666666643E-2</v>
      </c>
      <c r="Z3" s="87">
        <f>(Grid_BD[[#This Row],[Work Completion time on fault]]-Grid_BD[[#This Row],[Fault Time]])*24</f>
        <v>-6.666666666666643E-2</v>
      </c>
      <c r="AA3" s="217" t="s">
        <v>1017</v>
      </c>
      <c r="AB3" s="7" t="s">
        <v>184</v>
      </c>
      <c r="AC3" s="87">
        <f>IFERROR(Grid_BD[[#This Row],[Plant Equivalent Weightage]]*Grid_BD[[#This Row],[Resolution Time]],"")</f>
        <v>-6.666666666666643E-2</v>
      </c>
      <c r="AD3" s="7">
        <v>0.02</v>
      </c>
      <c r="AE3" s="100">
        <f>IFERROR(_xlfn.XLOOKUP(Grid_BD[[#This Row],[Month Year]],'Modelling New'!$D:$D,'Modelling New'!$O:$O)*Grid_BD[[#This Row],[Lost PoA(kWh/m2)]]*Grid_BD[[#This Row],[DC Capacity Affected (kW)]],"")</f>
        <v>96.12893640877374</v>
      </c>
    </row>
    <row r="4" spans="1:31" x14ac:dyDescent="0.25">
      <c r="A4" s="7">
        <f t="shared" ref="A4:A45" si="0">A3+1</f>
        <v>3</v>
      </c>
      <c r="B4" s="241">
        <v>45757</v>
      </c>
      <c r="C4" s="86">
        <f>YEAR(Grid_BD[[#This Row],[Date]])+IF(MONTH(Grid_BD[[#This Row],[Date]])&gt;=4,1,0)</f>
        <v>2026</v>
      </c>
      <c r="D4" s="7">
        <f>YEAR(Grid_BD[[#This Row],[Date]])</f>
        <v>2025</v>
      </c>
      <c r="E4" s="56" t="s">
        <v>107</v>
      </c>
      <c r="F4" s="56" t="s">
        <v>107</v>
      </c>
      <c r="G4" s="242">
        <f>Grid_BD[[#This Row],[Date]]-DAY(Grid_BD[[#This Row],[Date]])+1</f>
        <v>45748</v>
      </c>
      <c r="H4" s="7">
        <f>DAY(EOMONTH(Grid_BD[[#This Row],[Month Year]],0))</f>
        <v>30</v>
      </c>
      <c r="I4" s="244">
        <f>_xlfn.XLOOKUP(Grid_BD[[#This Row],[Date]],'Raw Data'!$G:$G,'Raw Data'!$I:$I)</f>
        <v>0.24166666666666667</v>
      </c>
      <c r="J4" s="244">
        <f>_xlfn.XLOOKUP(Grid_BD[[#This Row],[Date]],'Raw Data'!$G:$G,'Raw Data'!$J:$J)</f>
        <v>0.78680555555555554</v>
      </c>
      <c r="K4" s="100">
        <f>IFERROR((Grid_BD[[#This Row],[Sunset Time (POA&lt;20 W/m2)]]-Grid_BD[[#This Row],[Sunrise Time (POA&gt;20 W/m2)]])*24,"")</f>
        <v>13.083333333333332</v>
      </c>
      <c r="L4" s="7" t="s">
        <v>282</v>
      </c>
      <c r="M4" s="87">
        <f>_xlfn.XLOOKUP(Grid_BD[[#This Row],[Affected Equipment ]],'Basic Data'!$A:$A,'Basic Data'!$B:$B)</f>
        <v>7099.2000000000007</v>
      </c>
      <c r="N4" s="245">
        <f>_xlfn.XLOOKUP(Grid_BD[[#This Row],[Affected Equipment ]],'Basic Data'!$A:$A,'Basic Data'!$C:$C)</f>
        <v>1</v>
      </c>
      <c r="O4" s="7" t="s">
        <v>1015</v>
      </c>
      <c r="P4" s="7" t="s">
        <v>199</v>
      </c>
      <c r="Q4" s="7" t="s">
        <v>1016</v>
      </c>
      <c r="S4" s="244">
        <v>0.7055555555555556</v>
      </c>
      <c r="V4" s="244">
        <v>0.78680555555555554</v>
      </c>
      <c r="Y4" s="100">
        <f>(Grid_BD[[#This Row],[Work Completion time on fault]]-Grid_BD[[#This Row],[Fault Time]])*24</f>
        <v>1.9499999999999984</v>
      </c>
      <c r="Z4" s="87">
        <f>(Grid_BD[[#This Row],[Work Completion time on fault]]-Grid_BD[[#This Row],[Fault Time]])*24</f>
        <v>1.9499999999999984</v>
      </c>
      <c r="AA4" s="217" t="s">
        <v>1017</v>
      </c>
      <c r="AB4" s="7" t="s">
        <v>184</v>
      </c>
      <c r="AC4" s="87">
        <f>IFERROR(Grid_BD[[#This Row],[Plant Equivalent Weightage]]*Grid_BD[[#This Row],[Resolution Time]],"")</f>
        <v>1.9499999999999984</v>
      </c>
      <c r="AD4" s="7">
        <v>6.0000000000000001E-3</v>
      </c>
      <c r="AE4" s="100">
        <f>IFERROR(_xlfn.XLOOKUP(Grid_BD[[#This Row],[Month Year]],'Modelling New'!$D:$D,'Modelling New'!$O:$O)*Grid_BD[[#This Row],[Lost PoA(kWh/m2)]]*Grid_BD[[#This Row],[DC Capacity Affected (kW)]],"")</f>
        <v>28.838680922632125</v>
      </c>
    </row>
    <row r="5" spans="1:31" x14ac:dyDescent="0.25">
      <c r="A5" s="7">
        <f t="shared" si="0"/>
        <v>4</v>
      </c>
      <c r="B5" s="241">
        <v>45758</v>
      </c>
      <c r="C5" s="86">
        <f>YEAR(Grid_BD[[#This Row],[Date]])+IF(MONTH(Grid_BD[[#This Row],[Date]])&gt;=4,1,0)</f>
        <v>2026</v>
      </c>
      <c r="D5" s="7">
        <f>YEAR(Grid_BD[[#This Row],[Date]])</f>
        <v>2025</v>
      </c>
      <c r="E5" s="56" t="s">
        <v>107</v>
      </c>
      <c r="F5" s="56" t="s">
        <v>107</v>
      </c>
      <c r="G5" s="242">
        <f>Grid_BD[[#This Row],[Date]]-DAY(Grid_BD[[#This Row],[Date]])+1</f>
        <v>45748</v>
      </c>
      <c r="H5" s="7">
        <f>DAY(EOMONTH(Grid_BD[[#This Row],[Month Year]],0))</f>
        <v>30</v>
      </c>
      <c r="I5" s="244">
        <f>_xlfn.XLOOKUP(Grid_BD[[#This Row],[Date]],'Raw Data'!$G:$G,'Raw Data'!$I:$I)</f>
        <v>0.24652777777777779</v>
      </c>
      <c r="J5" s="244">
        <f>_xlfn.XLOOKUP(Grid_BD[[#This Row],[Date]],'Raw Data'!$G:$G,'Raw Data'!$J:$J)</f>
        <v>0.77152777777777781</v>
      </c>
      <c r="K5" s="100">
        <f>IFERROR((Grid_BD[[#This Row],[Sunset Time (POA&lt;20 W/m2)]]-Grid_BD[[#This Row],[Sunrise Time (POA&gt;20 W/m2)]])*24,"")</f>
        <v>12.600000000000001</v>
      </c>
      <c r="L5" s="7" t="s">
        <v>282</v>
      </c>
      <c r="M5" s="87">
        <f>_xlfn.XLOOKUP(Grid_BD[[#This Row],[Affected Equipment ]],'Basic Data'!$A:$A,'Basic Data'!$B:$B)</f>
        <v>7099.2000000000007</v>
      </c>
      <c r="N5" s="245">
        <f>_xlfn.XLOOKUP(Grid_BD[[#This Row],[Affected Equipment ]],'Basic Data'!$A:$A,'Basic Data'!$C:$C)</f>
        <v>1</v>
      </c>
      <c r="O5" s="7" t="s">
        <v>1015</v>
      </c>
      <c r="P5" s="7" t="s">
        <v>199</v>
      </c>
      <c r="Q5" s="7" t="s">
        <v>1016</v>
      </c>
      <c r="S5" s="244">
        <v>0.24652777777777779</v>
      </c>
      <c r="V5" s="244">
        <v>0.3263888888888889</v>
      </c>
      <c r="Y5" s="100">
        <f>(Grid_BD[[#This Row],[Work Completion time on fault]]-Grid_BD[[#This Row],[Fault Time]])*24</f>
        <v>1.9166666666666665</v>
      </c>
      <c r="Z5" s="87">
        <f>(Grid_BD[[#This Row],[Work Completion time on fault]]-Grid_BD[[#This Row],[Fault Time]])*24</f>
        <v>1.9166666666666665</v>
      </c>
      <c r="AA5" s="217" t="s">
        <v>1017</v>
      </c>
      <c r="AB5" s="7" t="s">
        <v>184</v>
      </c>
      <c r="AC5" s="87">
        <f>IFERROR(Grid_BD[[#This Row],[Plant Equivalent Weightage]]*Grid_BD[[#This Row],[Resolution Time]],"")</f>
        <v>1.9166666666666665</v>
      </c>
      <c r="AD5" s="7">
        <v>0.16</v>
      </c>
      <c r="AE5" s="100">
        <f>IFERROR(_xlfn.XLOOKUP(Grid_BD[[#This Row],[Month Year]],'Modelling New'!$D:$D,'Modelling New'!$O:$O)*Grid_BD[[#This Row],[Lost PoA(kWh/m2)]]*Grid_BD[[#This Row],[DC Capacity Affected (kW)]],"")</f>
        <v>769.03149127018992</v>
      </c>
    </row>
    <row r="6" spans="1:31" x14ac:dyDescent="0.25">
      <c r="A6" s="7">
        <f t="shared" si="0"/>
        <v>5</v>
      </c>
      <c r="B6" s="241">
        <v>45767</v>
      </c>
      <c r="C6" s="86">
        <f>YEAR(Grid_BD[[#This Row],[Date]])+IF(MONTH(Grid_BD[[#This Row],[Date]])&gt;=4,1,0)</f>
        <v>2026</v>
      </c>
      <c r="D6" s="7">
        <f>YEAR(Grid_BD[[#This Row],[Date]])</f>
        <v>2025</v>
      </c>
      <c r="E6" s="56" t="s">
        <v>107</v>
      </c>
      <c r="F6" s="56" t="s">
        <v>107</v>
      </c>
      <c r="G6" s="242">
        <f>Grid_BD[[#This Row],[Date]]-DAY(Grid_BD[[#This Row],[Date]])+1</f>
        <v>45748</v>
      </c>
      <c r="H6" s="7">
        <f>DAY(EOMONTH(Grid_BD[[#This Row],[Month Year]],0))</f>
        <v>30</v>
      </c>
      <c r="I6" s="244">
        <f>_xlfn.XLOOKUP(Grid_BD[[#This Row],[Date]],'Raw Data'!$G:$G,'Raw Data'!$I:$I)</f>
        <v>0.23958333333333334</v>
      </c>
      <c r="J6" s="244">
        <f>_xlfn.XLOOKUP(Grid_BD[[#This Row],[Date]],'Raw Data'!$G:$G,'Raw Data'!$J:$J)</f>
        <v>0.78194444444444444</v>
      </c>
      <c r="K6" s="100">
        <f>IFERROR((Grid_BD[[#This Row],[Sunset Time (POA&lt;20 W/m2)]]-Grid_BD[[#This Row],[Sunrise Time (POA&gt;20 W/m2)]])*24,"")</f>
        <v>13.016666666666666</v>
      </c>
      <c r="L6" s="7" t="s">
        <v>282</v>
      </c>
      <c r="M6" s="87">
        <f>_xlfn.XLOOKUP(Grid_BD[[#This Row],[Affected Equipment ]],'Basic Data'!$A:$A,'Basic Data'!$B:$B)</f>
        <v>7099.2000000000007</v>
      </c>
      <c r="N6" s="245">
        <f>_xlfn.XLOOKUP(Grid_BD[[#This Row],[Affected Equipment ]],'Basic Data'!$A:$A,'Basic Data'!$C:$C)</f>
        <v>1</v>
      </c>
      <c r="O6" s="7" t="s">
        <v>1015</v>
      </c>
      <c r="P6" s="7" t="s">
        <v>199</v>
      </c>
      <c r="Q6" s="7" t="s">
        <v>1016</v>
      </c>
      <c r="S6" s="244">
        <v>0.69097222222222221</v>
      </c>
      <c r="V6" s="244">
        <v>0.69861111111111107</v>
      </c>
      <c r="Y6" s="100">
        <f>(Grid_BD[[#This Row],[Work Completion time on fault]]-Grid_BD[[#This Row],[Fault Time]])*24</f>
        <v>0.18333333333333268</v>
      </c>
      <c r="Z6" s="87">
        <f>(Grid_BD[[#This Row],[Work Completion time on fault]]-Grid_BD[[#This Row],[Fault Time]])*24</f>
        <v>0.18333333333333268</v>
      </c>
      <c r="AA6" s="217" t="s">
        <v>1017</v>
      </c>
      <c r="AB6" s="7" t="s">
        <v>184</v>
      </c>
      <c r="AC6" s="87">
        <f>IFERROR(Grid_BD[[#This Row],[Plant Equivalent Weightage]]*Grid_BD[[#This Row],[Resolution Time]],"")</f>
        <v>0.18333333333333268</v>
      </c>
      <c r="AD6" s="7">
        <v>0.04</v>
      </c>
      <c r="AE6" s="100">
        <f>IFERROR(_xlfn.XLOOKUP(Grid_BD[[#This Row],[Month Year]],'Modelling New'!$D:$D,'Modelling New'!$O:$O)*Grid_BD[[#This Row],[Lost PoA(kWh/m2)]]*Grid_BD[[#This Row],[DC Capacity Affected (kW)]],"")</f>
        <v>192.25787281754748</v>
      </c>
    </row>
    <row r="7" spans="1:31" x14ac:dyDescent="0.25">
      <c r="A7" s="7">
        <f t="shared" si="0"/>
        <v>6</v>
      </c>
      <c r="B7" s="241">
        <v>45768</v>
      </c>
      <c r="C7" s="86">
        <f>YEAR(Grid_BD[[#This Row],[Date]])+IF(MONTH(Grid_BD[[#This Row],[Date]])&gt;=4,1,0)</f>
        <v>2026</v>
      </c>
      <c r="D7" s="7">
        <f>YEAR(Grid_BD[[#This Row],[Date]])</f>
        <v>2025</v>
      </c>
      <c r="E7" s="56" t="s">
        <v>107</v>
      </c>
      <c r="F7" s="56" t="s">
        <v>107</v>
      </c>
      <c r="G7" s="242">
        <f>Grid_BD[[#This Row],[Date]]-DAY(Grid_BD[[#This Row],[Date]])+1</f>
        <v>45748</v>
      </c>
      <c r="H7" s="7">
        <f>DAY(EOMONTH(Grid_BD[[#This Row],[Month Year]],0))</f>
        <v>30</v>
      </c>
      <c r="I7" s="244">
        <f>_xlfn.XLOOKUP(Grid_BD[[#This Row],[Date]],'Raw Data'!$G:$G,'Raw Data'!$I:$I)</f>
        <v>0.23958333333333334</v>
      </c>
      <c r="J7" s="244">
        <f>_xlfn.XLOOKUP(Grid_BD[[#This Row],[Date]],'Raw Data'!$G:$G,'Raw Data'!$J:$J)</f>
        <v>0.7729166666666667</v>
      </c>
      <c r="K7" s="100">
        <f>IFERROR((Grid_BD[[#This Row],[Sunset Time (POA&lt;20 W/m2)]]-Grid_BD[[#This Row],[Sunrise Time (POA&gt;20 W/m2)]])*24,"")</f>
        <v>12.8</v>
      </c>
      <c r="L7" s="7" t="s">
        <v>282</v>
      </c>
      <c r="M7" s="87">
        <f>_xlfn.XLOOKUP(Grid_BD[[#This Row],[Affected Equipment ]],'Basic Data'!$A:$A,'Basic Data'!$B:$B)</f>
        <v>7099.2000000000007</v>
      </c>
      <c r="N7" s="245">
        <f>_xlfn.XLOOKUP(Grid_BD[[#This Row],[Affected Equipment ]],'Basic Data'!$A:$A,'Basic Data'!$C:$C)</f>
        <v>1</v>
      </c>
      <c r="O7" s="7" t="s">
        <v>1015</v>
      </c>
      <c r="P7" s="7" t="s">
        <v>199</v>
      </c>
      <c r="Q7" s="7" t="s">
        <v>1016</v>
      </c>
      <c r="S7" s="244">
        <v>0.62847222222222221</v>
      </c>
      <c r="V7" s="244">
        <v>0.64444444444444449</v>
      </c>
      <c r="Y7" s="100">
        <f>(Grid_BD[[#This Row],[Work Completion time on fault]]-Grid_BD[[#This Row],[Fault Time]])*24</f>
        <v>0.38333333333333464</v>
      </c>
      <c r="Z7" s="87">
        <f>(Grid_BD[[#This Row],[Work Completion time on fault]]-Grid_BD[[#This Row],[Fault Time]])*24</f>
        <v>0.38333333333333464</v>
      </c>
      <c r="AA7" s="217" t="s">
        <v>1017</v>
      </c>
      <c r="AB7" s="7" t="s">
        <v>184</v>
      </c>
      <c r="AC7" s="87">
        <f>IFERROR(Grid_BD[[#This Row],[Plant Equivalent Weightage]]*Grid_BD[[#This Row],[Resolution Time]],"")</f>
        <v>0.38333333333333464</v>
      </c>
      <c r="AD7" s="7">
        <v>0.18</v>
      </c>
      <c r="AE7" s="100">
        <f>IFERROR(_xlfn.XLOOKUP(Grid_BD[[#This Row],[Month Year]],'Modelling New'!$D:$D,'Modelling New'!$O:$O)*Grid_BD[[#This Row],[Lost PoA(kWh/m2)]]*Grid_BD[[#This Row],[DC Capacity Affected (kW)]],"")</f>
        <v>865.16042767896363</v>
      </c>
    </row>
    <row r="8" spans="1:31" x14ac:dyDescent="0.25">
      <c r="A8" s="7">
        <f t="shared" si="0"/>
        <v>7</v>
      </c>
      <c r="B8" s="241">
        <v>45768</v>
      </c>
      <c r="C8" s="86">
        <f>YEAR(Grid_BD[[#This Row],[Date]])+IF(MONTH(Grid_BD[[#This Row],[Date]])&gt;=4,1,0)</f>
        <v>2026</v>
      </c>
      <c r="D8" s="7">
        <f>YEAR(Grid_BD[[#This Row],[Date]])</f>
        <v>2025</v>
      </c>
      <c r="E8" s="56" t="s">
        <v>107</v>
      </c>
      <c r="F8" s="56" t="s">
        <v>107</v>
      </c>
      <c r="G8" s="242">
        <f>Grid_BD[[#This Row],[Date]]-DAY(Grid_BD[[#This Row],[Date]])+1</f>
        <v>45748</v>
      </c>
      <c r="H8" s="7">
        <f>DAY(EOMONTH(Grid_BD[[#This Row],[Month Year]],0))</f>
        <v>30</v>
      </c>
      <c r="I8" s="244">
        <f>_xlfn.XLOOKUP(Grid_BD[[#This Row],[Date]],'Raw Data'!$G:$G,'Raw Data'!$I:$I)</f>
        <v>0.23958333333333334</v>
      </c>
      <c r="J8" s="244">
        <f>_xlfn.XLOOKUP(Grid_BD[[#This Row],[Date]],'Raw Data'!$G:$G,'Raw Data'!$J:$J)</f>
        <v>0.7729166666666667</v>
      </c>
      <c r="K8" s="100">
        <f>IFERROR((Grid_BD[[#This Row],[Sunset Time (POA&lt;20 W/m2)]]-Grid_BD[[#This Row],[Sunrise Time (POA&gt;20 W/m2)]])*24,"")</f>
        <v>12.8</v>
      </c>
      <c r="L8" s="7" t="s">
        <v>282</v>
      </c>
      <c r="M8" s="87">
        <f>_xlfn.XLOOKUP(Grid_BD[[#This Row],[Affected Equipment ]],'Basic Data'!$A:$A,'Basic Data'!$B:$B)</f>
        <v>7099.2000000000007</v>
      </c>
      <c r="N8" s="245">
        <f>_xlfn.XLOOKUP(Grid_BD[[#This Row],[Affected Equipment ]],'Basic Data'!$A:$A,'Basic Data'!$C:$C)</f>
        <v>1</v>
      </c>
      <c r="O8" s="7" t="s">
        <v>1015</v>
      </c>
      <c r="P8" s="7" t="s">
        <v>199</v>
      </c>
      <c r="Q8" s="7" t="s">
        <v>1016</v>
      </c>
      <c r="S8" s="244">
        <v>0.7</v>
      </c>
      <c r="V8" s="244">
        <v>0.7729166666666667</v>
      </c>
      <c r="Y8" s="100">
        <f>(Grid_BD[[#This Row],[Work Completion time on fault]]-Grid_BD[[#This Row],[Fault Time]])*24</f>
        <v>1.7500000000000018</v>
      </c>
      <c r="Z8" s="87">
        <f>(Grid_BD[[#This Row],[Work Completion time on fault]]-Grid_BD[[#This Row],[Fault Time]])*24</f>
        <v>1.7500000000000018</v>
      </c>
      <c r="AA8" s="217" t="s">
        <v>1017</v>
      </c>
      <c r="AB8" s="7" t="s">
        <v>184</v>
      </c>
      <c r="AC8" s="87">
        <f>IFERROR(Grid_BD[[#This Row],[Plant Equivalent Weightage]]*Grid_BD[[#This Row],[Resolution Time]],"")</f>
        <v>1.7500000000000018</v>
      </c>
      <c r="AD8" s="7">
        <v>0.03</v>
      </c>
      <c r="AE8" s="100">
        <f>IFERROR(_xlfn.XLOOKUP(Grid_BD[[#This Row],[Month Year]],'Modelling New'!$D:$D,'Modelling New'!$O:$O)*Grid_BD[[#This Row],[Lost PoA(kWh/m2)]]*Grid_BD[[#This Row],[DC Capacity Affected (kW)]],"")</f>
        <v>144.19340461316062</v>
      </c>
    </row>
    <row r="9" spans="1:31" x14ac:dyDescent="0.25">
      <c r="A9" s="7">
        <f t="shared" si="0"/>
        <v>8</v>
      </c>
      <c r="B9" s="241">
        <v>45769</v>
      </c>
      <c r="C9" s="86">
        <f>YEAR(Grid_BD[[#This Row],[Date]])+IF(MONTH(Grid_BD[[#This Row],[Date]])&gt;=4,1,0)</f>
        <v>2026</v>
      </c>
      <c r="D9" s="7">
        <f>YEAR(Grid_BD[[#This Row],[Date]])</f>
        <v>2025</v>
      </c>
      <c r="E9" s="56" t="s">
        <v>107</v>
      </c>
      <c r="F9" s="56" t="s">
        <v>107</v>
      </c>
      <c r="G9" s="242">
        <f>Grid_BD[[#This Row],[Date]]-DAY(Grid_BD[[#This Row],[Date]])+1</f>
        <v>45748</v>
      </c>
      <c r="H9" s="7">
        <f>DAY(EOMONTH(Grid_BD[[#This Row],[Month Year]],0))</f>
        <v>30</v>
      </c>
      <c r="I9" s="244">
        <f>_xlfn.XLOOKUP(Grid_BD[[#This Row],[Date]],'Raw Data'!$G:$G,'Raw Data'!$I:$I)</f>
        <v>0.24305555555555555</v>
      </c>
      <c r="J9" s="244">
        <f>_xlfn.XLOOKUP(Grid_BD[[#This Row],[Date]],'Raw Data'!$G:$G,'Raw Data'!$J:$J)</f>
        <v>0.78194444444444444</v>
      </c>
      <c r="K9" s="100">
        <f>IFERROR((Grid_BD[[#This Row],[Sunset Time (POA&lt;20 W/m2)]]-Grid_BD[[#This Row],[Sunrise Time (POA&gt;20 W/m2)]])*24,"")</f>
        <v>12.933333333333334</v>
      </c>
      <c r="L9" s="7" t="s">
        <v>282</v>
      </c>
      <c r="M9" s="87">
        <f>_xlfn.XLOOKUP(Grid_BD[[#This Row],[Affected Equipment ]],'Basic Data'!$A:$A,'Basic Data'!$B:$B)</f>
        <v>7099.2000000000007</v>
      </c>
      <c r="N9" s="245">
        <f>_xlfn.XLOOKUP(Grid_BD[[#This Row],[Affected Equipment ]],'Basic Data'!$A:$A,'Basic Data'!$C:$C)</f>
        <v>1</v>
      </c>
      <c r="O9" s="7" t="s">
        <v>1015</v>
      </c>
      <c r="P9" s="7" t="s">
        <v>199</v>
      </c>
      <c r="Q9" s="7" t="s">
        <v>1016</v>
      </c>
      <c r="S9" s="244">
        <v>0.76041666666666663</v>
      </c>
      <c r="V9" s="244">
        <v>0.78194444444444444</v>
      </c>
      <c r="Y9" s="100">
        <f>(Grid_BD[[#This Row],[Work Completion time on fault]]-Grid_BD[[#This Row],[Fault Time]])*24</f>
        <v>0.5166666666666675</v>
      </c>
      <c r="Z9" s="87">
        <f>(Grid_BD[[#This Row],[Work Completion time on fault]]-Grid_BD[[#This Row],[Fault Time]])*24</f>
        <v>0.5166666666666675</v>
      </c>
      <c r="AA9" s="217" t="s">
        <v>1017</v>
      </c>
      <c r="AB9" s="7" t="s">
        <v>184</v>
      </c>
      <c r="AC9" s="87">
        <f>IFERROR(Grid_BD[[#This Row],[Plant Equivalent Weightage]]*Grid_BD[[#This Row],[Resolution Time]],"")</f>
        <v>0.5166666666666675</v>
      </c>
      <c r="AD9" s="7">
        <v>0.01</v>
      </c>
      <c r="AE9" s="100">
        <f>IFERROR(_xlfn.XLOOKUP(Grid_BD[[#This Row],[Month Year]],'Modelling New'!$D:$D,'Modelling New'!$O:$O)*Grid_BD[[#This Row],[Lost PoA(kWh/m2)]]*Grid_BD[[#This Row],[DC Capacity Affected (kW)]],"")</f>
        <v>48.06446820438687</v>
      </c>
    </row>
    <row r="10" spans="1:31" x14ac:dyDescent="0.25">
      <c r="A10" s="7">
        <f t="shared" si="0"/>
        <v>9</v>
      </c>
      <c r="B10" s="241">
        <v>45781</v>
      </c>
      <c r="C10" s="86">
        <f>YEAR(Grid_BD[[#This Row],[Date]])+IF(MONTH(Grid_BD[[#This Row],[Date]])&gt;=4,1,0)</f>
        <v>2026</v>
      </c>
      <c r="D10" s="7">
        <f>YEAR(Grid_BD[[#This Row],[Date]])</f>
        <v>2025</v>
      </c>
      <c r="E10" s="56" t="s">
        <v>107</v>
      </c>
      <c r="F10" s="56" t="s">
        <v>107</v>
      </c>
      <c r="G10" s="242">
        <f>Grid_BD[[#This Row],[Date]]-DAY(Grid_BD[[#This Row],[Date]])+1</f>
        <v>45778</v>
      </c>
      <c r="H10" s="7">
        <f>DAY(EOMONTH(Grid_BD[[#This Row],[Month Year]],0))</f>
        <v>31</v>
      </c>
      <c r="I10" s="244">
        <f>_xlfn.XLOOKUP(Grid_BD[[#This Row],[Date]],'Raw Data'!$G:$G,'Raw Data'!$I:$I)</f>
        <v>0.24861111111111112</v>
      </c>
      <c r="J10" s="244">
        <f>_xlfn.XLOOKUP(Grid_BD[[#This Row],[Date]],'Raw Data'!$G:$G,'Raw Data'!$J:$J)</f>
        <v>0.78263888888888888</v>
      </c>
      <c r="K10" s="100">
        <f>IFERROR((Grid_BD[[#This Row],[Sunset Time (POA&lt;20 W/m2)]]-Grid_BD[[#This Row],[Sunrise Time (POA&gt;20 W/m2)]])*24,"")</f>
        <v>12.816666666666666</v>
      </c>
      <c r="L10" s="7" t="s">
        <v>282</v>
      </c>
      <c r="M10" s="87">
        <f>_xlfn.XLOOKUP(Grid_BD[[#This Row],[Affected Equipment ]],'Basic Data'!$A:$A,'Basic Data'!$B:$B)</f>
        <v>7099.2000000000007</v>
      </c>
      <c r="N10" s="245">
        <f>_xlfn.XLOOKUP(Grid_BD[[#This Row],[Affected Equipment ]],'Basic Data'!$A:$A,'Basic Data'!$C:$C)</f>
        <v>1</v>
      </c>
      <c r="O10" s="7" t="s">
        <v>1015</v>
      </c>
      <c r="P10" s="7" t="s">
        <v>199</v>
      </c>
      <c r="Q10" s="7" t="s">
        <v>1016</v>
      </c>
      <c r="S10" s="244">
        <v>0.67708333333333337</v>
      </c>
      <c r="V10" s="244">
        <v>0.69027777777777777</v>
      </c>
      <c r="Y10" s="100">
        <f>(Grid_BD[[#This Row],[Work Completion time on fault]]-Grid_BD[[#This Row],[Fault Time]])*24</f>
        <v>0.31666666666666554</v>
      </c>
      <c r="Z10" s="87">
        <f>(Grid_BD[[#This Row],[Work Completion time on fault]]-Grid_BD[[#This Row],[Fault Time]])*24</f>
        <v>0.31666666666666554</v>
      </c>
      <c r="AA10" s="217" t="s">
        <v>1017</v>
      </c>
      <c r="AB10" s="7" t="s">
        <v>184</v>
      </c>
      <c r="AC10" s="87">
        <f>IFERROR(Grid_BD[[#This Row],[Plant Equivalent Weightage]]*Grid_BD[[#This Row],[Resolution Time]],"")</f>
        <v>0.31666666666666554</v>
      </c>
      <c r="AD10" s="7">
        <v>0.09</v>
      </c>
      <c r="AE10" s="100">
        <f>IFERROR(_xlfn.XLOOKUP(Grid_BD[[#This Row],[Month Year]],'Modelling New'!$D:$D,'Modelling New'!$O:$O)*Grid_BD[[#This Row],[Lost PoA(kWh/m2)]]*Grid_BD[[#This Row],[DC Capacity Affected (kW)]],"")</f>
        <v>443.16784958104699</v>
      </c>
    </row>
    <row r="11" spans="1:31" x14ac:dyDescent="0.25">
      <c r="A11" s="7">
        <f t="shared" si="0"/>
        <v>10</v>
      </c>
      <c r="B11" s="241">
        <v>45783</v>
      </c>
      <c r="C11" s="86">
        <f>YEAR(Grid_BD[[#This Row],[Date]])+IF(MONTH(Grid_BD[[#This Row],[Date]])&gt;=4,1,0)</f>
        <v>2026</v>
      </c>
      <c r="D11" s="7">
        <f>YEAR(Grid_BD[[#This Row],[Date]])</f>
        <v>2025</v>
      </c>
      <c r="E11" s="56" t="s">
        <v>107</v>
      </c>
      <c r="F11" s="56" t="s">
        <v>107</v>
      </c>
      <c r="G11" s="242">
        <f>Grid_BD[[#This Row],[Date]]-DAY(Grid_BD[[#This Row],[Date]])+1</f>
        <v>45778</v>
      </c>
      <c r="H11" s="7">
        <f>DAY(EOMONTH(Grid_BD[[#This Row],[Month Year]],0))</f>
        <v>31</v>
      </c>
      <c r="I11" s="244">
        <f>_xlfn.XLOOKUP(Grid_BD[[#This Row],[Date]],'Raw Data'!$G:$G,'Raw Data'!$I:$I)</f>
        <v>0.23472222222222222</v>
      </c>
      <c r="J11" s="244">
        <f>_xlfn.XLOOKUP(Grid_BD[[#This Row],[Date]],'Raw Data'!$G:$G,'Raw Data'!$J:$J)</f>
        <v>0.77569444444444446</v>
      </c>
      <c r="K11" s="100">
        <f>IFERROR((Grid_BD[[#This Row],[Sunset Time (POA&lt;20 W/m2)]]-Grid_BD[[#This Row],[Sunrise Time (POA&gt;20 W/m2)]])*24,"")</f>
        <v>12.983333333333333</v>
      </c>
      <c r="L11" s="7" t="s">
        <v>282</v>
      </c>
      <c r="M11" s="87">
        <f>_xlfn.XLOOKUP(Grid_BD[[#This Row],[Affected Equipment ]],'Basic Data'!$A:$A,'Basic Data'!$B:$B)</f>
        <v>7099.2000000000007</v>
      </c>
      <c r="N11" s="245">
        <f>_xlfn.XLOOKUP(Grid_BD[[#This Row],[Affected Equipment ]],'Basic Data'!$A:$A,'Basic Data'!$C:$C)</f>
        <v>1</v>
      </c>
      <c r="O11" s="7" t="s">
        <v>1015</v>
      </c>
      <c r="P11" s="7" t="s">
        <v>199</v>
      </c>
      <c r="Q11" s="7" t="s">
        <v>1016</v>
      </c>
      <c r="S11" s="244">
        <v>0.39583333333333331</v>
      </c>
      <c r="V11" s="244">
        <v>0.41944444444444445</v>
      </c>
      <c r="Y11" s="100">
        <f>(Grid_BD[[#This Row],[Work Completion time on fault]]-Grid_BD[[#This Row],[Fault Time]])*24</f>
        <v>0.56666666666666732</v>
      </c>
      <c r="Z11" s="87">
        <f>(Grid_BD[[#This Row],[Work Completion time on fault]]-Grid_BD[[#This Row],[Fault Time]])*24</f>
        <v>0.56666666666666732</v>
      </c>
      <c r="AA11" s="217" t="s">
        <v>1017</v>
      </c>
      <c r="AB11" s="7" t="s">
        <v>184</v>
      </c>
      <c r="AC11" s="87">
        <f>IFERROR(Grid_BD[[#This Row],[Plant Equivalent Weightage]]*Grid_BD[[#This Row],[Resolution Time]],"")</f>
        <v>0.56666666666666732</v>
      </c>
      <c r="AD11" s="7">
        <v>0.4</v>
      </c>
      <c r="AE11" s="100">
        <f>IFERROR(_xlfn.XLOOKUP(Grid_BD[[#This Row],[Month Year]],'Modelling New'!$D:$D,'Modelling New'!$O:$O)*Grid_BD[[#This Row],[Lost PoA(kWh/m2)]]*Grid_BD[[#This Row],[DC Capacity Affected (kW)]],"")</f>
        <v>1969.6348870268757</v>
      </c>
    </row>
    <row r="12" spans="1:31" x14ac:dyDescent="0.25">
      <c r="A12" s="7">
        <f t="shared" si="0"/>
        <v>11</v>
      </c>
      <c r="B12" s="241">
        <v>45785</v>
      </c>
      <c r="C12" s="86">
        <f>YEAR(Grid_BD[[#This Row],[Date]])+IF(MONTH(Grid_BD[[#This Row],[Date]])&gt;=4,1,0)</f>
        <v>2026</v>
      </c>
      <c r="D12" s="7">
        <f>YEAR(Grid_BD[[#This Row],[Date]])</f>
        <v>2025</v>
      </c>
      <c r="E12" s="56" t="s">
        <v>107</v>
      </c>
      <c r="F12" s="56" t="s">
        <v>107</v>
      </c>
      <c r="G12" s="242">
        <f>Grid_BD[[#This Row],[Date]]-DAY(Grid_BD[[#This Row],[Date]])+1</f>
        <v>45778</v>
      </c>
      <c r="H12" s="7">
        <f>DAY(EOMONTH(Grid_BD[[#This Row],[Month Year]],0))</f>
        <v>31</v>
      </c>
      <c r="I12" s="244">
        <f>_xlfn.XLOOKUP(Grid_BD[[#This Row],[Date]],'Raw Data'!$G:$G,'Raw Data'!$I:$I)</f>
        <v>0.23194444444444445</v>
      </c>
      <c r="J12" s="244">
        <f>_xlfn.XLOOKUP(Grid_BD[[#This Row],[Date]],'Raw Data'!$G:$G,'Raw Data'!$J:$J)</f>
        <v>0.76041666666666663</v>
      </c>
      <c r="K12" s="100">
        <f>IFERROR((Grid_BD[[#This Row],[Sunset Time (POA&lt;20 W/m2)]]-Grid_BD[[#This Row],[Sunrise Time (POA&gt;20 W/m2)]])*24,"")</f>
        <v>12.683333333333334</v>
      </c>
      <c r="L12" s="7" t="s">
        <v>282</v>
      </c>
      <c r="M12" s="87">
        <f>_xlfn.XLOOKUP(Grid_BD[[#This Row],[Affected Equipment ]],'Basic Data'!$A:$A,'Basic Data'!$B:$B)</f>
        <v>7099.2000000000007</v>
      </c>
      <c r="N12" s="245">
        <f>_xlfn.XLOOKUP(Grid_BD[[#This Row],[Affected Equipment ]],'Basic Data'!$A:$A,'Basic Data'!$C:$C)</f>
        <v>1</v>
      </c>
      <c r="O12" s="7" t="s">
        <v>1015</v>
      </c>
      <c r="P12" s="7" t="s">
        <v>199</v>
      </c>
      <c r="Q12" s="7" t="s">
        <v>1016</v>
      </c>
      <c r="S12" s="244">
        <v>0.37430555555555556</v>
      </c>
      <c r="V12" s="244">
        <v>0.39513888888888887</v>
      </c>
      <c r="Y12" s="100">
        <f>(Grid_BD[[#This Row],[Work Completion time on fault]]-Grid_BD[[#This Row],[Fault Time]])*24</f>
        <v>0.49999999999999956</v>
      </c>
      <c r="Z12" s="87">
        <f>(Grid_BD[[#This Row],[Work Completion time on fault]]-Grid_BD[[#This Row],[Fault Time]])*24</f>
        <v>0.49999999999999956</v>
      </c>
      <c r="AA12" s="217" t="s">
        <v>1017</v>
      </c>
      <c r="AB12" s="7" t="s">
        <v>184</v>
      </c>
      <c r="AC12" s="87">
        <f>IFERROR(Grid_BD[[#This Row],[Plant Equivalent Weightage]]*Grid_BD[[#This Row],[Resolution Time]],"")</f>
        <v>0.49999999999999956</v>
      </c>
      <c r="AD12" s="7">
        <v>0.28999999999999998</v>
      </c>
      <c r="AE12" s="100">
        <f>IFERROR(_xlfn.XLOOKUP(Grid_BD[[#This Row],[Month Year]],'Modelling New'!$D:$D,'Modelling New'!$O:$O)*Grid_BD[[#This Row],[Lost PoA(kWh/m2)]]*Grid_BD[[#This Row],[DC Capacity Affected (kW)]],"")</f>
        <v>1427.9852930944849</v>
      </c>
    </row>
    <row r="13" spans="1:31" x14ac:dyDescent="0.25">
      <c r="A13" s="7">
        <f t="shared" si="0"/>
        <v>12</v>
      </c>
      <c r="B13" s="241">
        <v>45792</v>
      </c>
      <c r="C13" s="86">
        <f>YEAR(Grid_BD[[#This Row],[Date]])+IF(MONTH(Grid_BD[[#This Row],[Date]])&gt;=4,1,0)</f>
        <v>2026</v>
      </c>
      <c r="D13" s="7">
        <f>YEAR(Grid_BD[[#This Row],[Date]])</f>
        <v>2025</v>
      </c>
      <c r="E13" s="56" t="s">
        <v>107</v>
      </c>
      <c r="F13" s="56" t="s">
        <v>107</v>
      </c>
      <c r="G13" s="242">
        <f>Grid_BD[[#This Row],[Date]]-DAY(Grid_BD[[#This Row],[Date]])+1</f>
        <v>45778</v>
      </c>
      <c r="H13" s="7">
        <f>DAY(EOMONTH(Grid_BD[[#This Row],[Month Year]],0))</f>
        <v>31</v>
      </c>
      <c r="I13" s="244">
        <f>_xlfn.XLOOKUP(Grid_BD[[#This Row],[Date]],'Raw Data'!$G:$G,'Raw Data'!$I:$I)</f>
        <v>0.24930555555555556</v>
      </c>
      <c r="J13" s="244">
        <f>_xlfn.XLOOKUP(Grid_BD[[#This Row],[Date]],'Raw Data'!$G:$G,'Raw Data'!$J:$J)</f>
        <v>0.78333333333333333</v>
      </c>
      <c r="K13" s="100">
        <f>IFERROR((Grid_BD[[#This Row],[Sunset Time (POA&lt;20 W/m2)]]-Grid_BD[[#This Row],[Sunrise Time (POA&gt;20 W/m2)]])*24,"")</f>
        <v>12.816666666666666</v>
      </c>
      <c r="L13" s="7" t="s">
        <v>282</v>
      </c>
      <c r="M13" s="87">
        <f>_xlfn.XLOOKUP(Grid_BD[[#This Row],[Affected Equipment ]],'Basic Data'!$A:$A,'Basic Data'!$B:$B)</f>
        <v>7099.2000000000007</v>
      </c>
      <c r="N13" s="245">
        <f>_xlfn.XLOOKUP(Grid_BD[[#This Row],[Affected Equipment ]],'Basic Data'!$A:$A,'Basic Data'!$C:$C)</f>
        <v>1</v>
      </c>
      <c r="O13" s="7" t="s">
        <v>1015</v>
      </c>
      <c r="P13" s="7" t="s">
        <v>199</v>
      </c>
      <c r="Q13" s="7" t="s">
        <v>1016</v>
      </c>
      <c r="S13" s="244">
        <v>0.24930555555555556</v>
      </c>
      <c r="V13" s="244">
        <v>0.43055555555555558</v>
      </c>
      <c r="Y13" s="100">
        <f>(Grid_BD[[#This Row],[Work Completion time on fault]]-Grid_BD[[#This Row],[Fault Time]])*24</f>
        <v>4.3500000000000005</v>
      </c>
      <c r="Z13" s="87">
        <f>(Grid_BD[[#This Row],[Work Completion time on fault]]-Grid_BD[[#This Row],[Fault Time]])*24</f>
        <v>4.3500000000000005</v>
      </c>
      <c r="AA13" s="217" t="s">
        <v>1017</v>
      </c>
      <c r="AB13" s="7" t="s">
        <v>184</v>
      </c>
      <c r="AC13" s="87">
        <f>IFERROR(Grid_BD[[#This Row],[Plant Equivalent Weightage]]*Grid_BD[[#This Row],[Resolution Time]],"")</f>
        <v>4.3500000000000005</v>
      </c>
      <c r="AD13" s="7">
        <v>0.63</v>
      </c>
      <c r="AE13" s="100">
        <f>IFERROR(_xlfn.XLOOKUP(Grid_BD[[#This Row],[Month Year]],'Modelling New'!$D:$D,'Modelling New'!$O:$O)*Grid_BD[[#This Row],[Lost PoA(kWh/m2)]]*Grid_BD[[#This Row],[DC Capacity Affected (kW)]],"")</f>
        <v>3102.1749470673294</v>
      </c>
    </row>
    <row r="14" spans="1:31" x14ac:dyDescent="0.25">
      <c r="A14" s="7">
        <f t="shared" si="0"/>
        <v>13</v>
      </c>
      <c r="B14" s="241">
        <v>45793</v>
      </c>
      <c r="C14" s="86">
        <f>YEAR(Grid_BD[[#This Row],[Date]])+IF(MONTH(Grid_BD[[#This Row],[Date]])&gt;=4,1,0)</f>
        <v>2026</v>
      </c>
      <c r="D14" s="7">
        <f>YEAR(Grid_BD[[#This Row],[Date]])</f>
        <v>2025</v>
      </c>
      <c r="E14" s="56" t="s">
        <v>107</v>
      </c>
      <c r="F14" s="56" t="s">
        <v>107</v>
      </c>
      <c r="G14" s="242">
        <f>Grid_BD[[#This Row],[Date]]-DAY(Grid_BD[[#This Row],[Date]])+1</f>
        <v>45778</v>
      </c>
      <c r="H14" s="7">
        <f>DAY(EOMONTH(Grid_BD[[#This Row],[Month Year]],0))</f>
        <v>31</v>
      </c>
      <c r="I14" s="244">
        <f>_xlfn.XLOOKUP(Grid_BD[[#This Row],[Date]],'Raw Data'!$G:$G,'Raw Data'!$I:$I)</f>
        <v>0.23749999999999999</v>
      </c>
      <c r="J14" s="244">
        <f>_xlfn.XLOOKUP(Grid_BD[[#This Row],[Date]],'Raw Data'!$G:$G,'Raw Data'!$J:$J)</f>
        <v>0.79027777777777775</v>
      </c>
      <c r="K14" s="100">
        <f>IFERROR((Grid_BD[[#This Row],[Sunset Time (POA&lt;20 W/m2)]]-Grid_BD[[#This Row],[Sunrise Time (POA&gt;20 W/m2)]])*24,"")</f>
        <v>13.266666666666667</v>
      </c>
      <c r="L14" s="7" t="s">
        <v>282</v>
      </c>
      <c r="M14" s="87">
        <f>_xlfn.XLOOKUP(Grid_BD[[#This Row],[Affected Equipment ]],'Basic Data'!$A:$A,'Basic Data'!$B:$B)</f>
        <v>7099.2000000000007</v>
      </c>
      <c r="N14" s="245">
        <f>_xlfn.XLOOKUP(Grid_BD[[#This Row],[Affected Equipment ]],'Basic Data'!$A:$A,'Basic Data'!$C:$C)</f>
        <v>1</v>
      </c>
      <c r="O14" s="7" t="s">
        <v>1015</v>
      </c>
      <c r="P14" s="7" t="s">
        <v>199</v>
      </c>
      <c r="Q14" s="7" t="s">
        <v>1016</v>
      </c>
      <c r="S14" s="244">
        <v>0.37152777777777779</v>
      </c>
      <c r="V14" s="244">
        <v>0.37986111111111109</v>
      </c>
      <c r="Y14" s="100">
        <f>(Grid_BD[[#This Row],[Work Completion time on fault]]-Grid_BD[[#This Row],[Fault Time]])*24</f>
        <v>0.19999999999999929</v>
      </c>
      <c r="Z14" s="87">
        <f>(Grid_BD[[#This Row],[Work Completion time on fault]]-Grid_BD[[#This Row],[Fault Time]])*24</f>
        <v>0.19999999999999929</v>
      </c>
      <c r="AA14" s="217" t="s">
        <v>1017</v>
      </c>
      <c r="AB14" s="7" t="s">
        <v>184</v>
      </c>
      <c r="AC14" s="87">
        <f>IFERROR(Grid_BD[[#This Row],[Plant Equivalent Weightage]]*Grid_BD[[#This Row],[Resolution Time]],"")</f>
        <v>0.19999999999999929</v>
      </c>
      <c r="AD14" s="7">
        <v>0.09</v>
      </c>
      <c r="AE14" s="100">
        <f>IFERROR(_xlfn.XLOOKUP(Grid_BD[[#This Row],[Month Year]],'Modelling New'!$D:$D,'Modelling New'!$O:$O)*Grid_BD[[#This Row],[Lost PoA(kWh/m2)]]*Grid_BD[[#This Row],[DC Capacity Affected (kW)]],"")</f>
        <v>443.16784958104699</v>
      </c>
    </row>
    <row r="15" spans="1:31" x14ac:dyDescent="0.25">
      <c r="A15" s="7">
        <f t="shared" si="0"/>
        <v>14</v>
      </c>
      <c r="B15" s="241">
        <v>45793</v>
      </c>
      <c r="C15" s="86">
        <f>YEAR(Grid_BD[[#This Row],[Date]])+IF(MONTH(Grid_BD[[#This Row],[Date]])&gt;=4,1,0)</f>
        <v>2026</v>
      </c>
      <c r="D15" s="7">
        <f>YEAR(Grid_BD[[#This Row],[Date]])</f>
        <v>2025</v>
      </c>
      <c r="E15" s="56" t="s">
        <v>107</v>
      </c>
      <c r="F15" s="56" t="s">
        <v>107</v>
      </c>
      <c r="G15" s="242">
        <f>Grid_BD[[#This Row],[Date]]-DAY(Grid_BD[[#This Row],[Date]])+1</f>
        <v>45778</v>
      </c>
      <c r="H15" s="7">
        <f>DAY(EOMONTH(Grid_BD[[#This Row],[Month Year]],0))</f>
        <v>31</v>
      </c>
      <c r="I15" s="244">
        <f>_xlfn.XLOOKUP(Grid_BD[[#This Row],[Date]],'Raw Data'!$G:$G,'Raw Data'!$I:$I)</f>
        <v>0.23749999999999999</v>
      </c>
      <c r="J15" s="244">
        <f>_xlfn.XLOOKUP(Grid_BD[[#This Row],[Date]],'Raw Data'!$G:$G,'Raw Data'!$J:$J)</f>
        <v>0.79027777777777775</v>
      </c>
      <c r="K15" s="100">
        <f>IFERROR((Grid_BD[[#This Row],[Sunset Time (POA&lt;20 W/m2)]]-Grid_BD[[#This Row],[Sunrise Time (POA&gt;20 W/m2)]])*24,"")</f>
        <v>13.266666666666667</v>
      </c>
      <c r="L15" s="7" t="s">
        <v>282</v>
      </c>
      <c r="M15" s="87">
        <f>_xlfn.XLOOKUP(Grid_BD[[#This Row],[Affected Equipment ]],'Basic Data'!$A:$A,'Basic Data'!$B:$B)</f>
        <v>7099.2000000000007</v>
      </c>
      <c r="N15" s="245">
        <f>_xlfn.XLOOKUP(Grid_BD[[#This Row],[Affected Equipment ]],'Basic Data'!$A:$A,'Basic Data'!$C:$C)</f>
        <v>1</v>
      </c>
      <c r="O15" s="7" t="s">
        <v>1015</v>
      </c>
      <c r="P15" s="7" t="s">
        <v>199</v>
      </c>
      <c r="Q15" s="7" t="s">
        <v>1016</v>
      </c>
      <c r="S15" s="244">
        <v>0.68263888888888891</v>
      </c>
      <c r="V15" s="244">
        <v>0.68611111111111112</v>
      </c>
      <c r="Y15" s="100">
        <f>(Grid_BD[[#This Row],[Work Completion time on fault]]-Grid_BD[[#This Row],[Fault Time]])*24</f>
        <v>8.3333333333333037E-2</v>
      </c>
      <c r="Z15" s="87">
        <f>(Grid_BD[[#This Row],[Work Completion time on fault]]-Grid_BD[[#This Row],[Fault Time]])*24</f>
        <v>8.3333333333333037E-2</v>
      </c>
      <c r="AA15" s="217" t="s">
        <v>1017</v>
      </c>
      <c r="AB15" s="7" t="s">
        <v>184</v>
      </c>
      <c r="AC15" s="87">
        <f>IFERROR(Grid_BD[[#This Row],[Plant Equivalent Weightage]]*Grid_BD[[#This Row],[Resolution Time]],"")</f>
        <v>8.3333333333333037E-2</v>
      </c>
      <c r="AD15" s="7">
        <v>0.03</v>
      </c>
      <c r="AE15" s="100">
        <f>IFERROR(_xlfn.XLOOKUP(Grid_BD[[#This Row],[Month Year]],'Modelling New'!$D:$D,'Modelling New'!$O:$O)*Grid_BD[[#This Row],[Lost PoA(kWh/m2)]]*Grid_BD[[#This Row],[DC Capacity Affected (kW)]],"")</f>
        <v>147.72261652701567</v>
      </c>
    </row>
    <row r="16" spans="1:31" x14ac:dyDescent="0.25">
      <c r="A16" s="7">
        <f t="shared" si="0"/>
        <v>15</v>
      </c>
      <c r="B16" s="241">
        <v>45794</v>
      </c>
      <c r="C16" s="86">
        <f>YEAR(Grid_BD[[#This Row],[Date]])+IF(MONTH(Grid_BD[[#This Row],[Date]])&gt;=4,1,0)</f>
        <v>2026</v>
      </c>
      <c r="D16" s="7">
        <f>YEAR(Grid_BD[[#This Row],[Date]])</f>
        <v>2025</v>
      </c>
      <c r="E16" s="56" t="s">
        <v>107</v>
      </c>
      <c r="F16" s="56" t="s">
        <v>107</v>
      </c>
      <c r="G16" s="242">
        <f>Grid_BD[[#This Row],[Date]]-DAY(Grid_BD[[#This Row],[Date]])+1</f>
        <v>45778</v>
      </c>
      <c r="H16" s="7">
        <f>DAY(EOMONTH(Grid_BD[[#This Row],[Month Year]],0))</f>
        <v>31</v>
      </c>
      <c r="I16" s="244">
        <f>_xlfn.XLOOKUP(Grid_BD[[#This Row],[Date]],'Raw Data'!$G:$G,'Raw Data'!$I:$I)</f>
        <v>0.23819444444444443</v>
      </c>
      <c r="J16" s="244">
        <f>_xlfn.XLOOKUP(Grid_BD[[#This Row],[Date]],'Raw Data'!$G:$G,'Raw Data'!$J:$J)</f>
        <v>0.78125</v>
      </c>
      <c r="K16" s="100">
        <f>IFERROR((Grid_BD[[#This Row],[Sunset Time (POA&lt;20 W/m2)]]-Grid_BD[[#This Row],[Sunrise Time (POA&gt;20 W/m2)]])*24,"")</f>
        <v>13.033333333333335</v>
      </c>
      <c r="L16" s="7" t="s">
        <v>282</v>
      </c>
      <c r="M16" s="87">
        <f>_xlfn.XLOOKUP(Grid_BD[[#This Row],[Affected Equipment ]],'Basic Data'!$A:$A,'Basic Data'!$B:$B)</f>
        <v>7099.2000000000007</v>
      </c>
      <c r="N16" s="245">
        <f>_xlfn.XLOOKUP(Grid_BD[[#This Row],[Affected Equipment ]],'Basic Data'!$A:$A,'Basic Data'!$C:$C)</f>
        <v>1</v>
      </c>
      <c r="O16" s="7" t="s">
        <v>1015</v>
      </c>
      <c r="P16" s="7" t="s">
        <v>199</v>
      </c>
      <c r="Q16" s="7" t="s">
        <v>1016</v>
      </c>
      <c r="S16" s="244">
        <v>0.6694444444444444</v>
      </c>
      <c r="V16" s="244">
        <v>0.67291666666666672</v>
      </c>
      <c r="Y16" s="100">
        <f>(Grid_BD[[#This Row],[Work Completion time on fault]]-Grid_BD[[#This Row],[Fault Time]])*24</f>
        <v>8.3333333333335702E-2</v>
      </c>
      <c r="Z16" s="87">
        <f>(Grid_BD[[#This Row],[Work Completion time on fault]]-Grid_BD[[#This Row],[Fault Time]])*24</f>
        <v>8.3333333333335702E-2</v>
      </c>
      <c r="AA16" s="217" t="s">
        <v>1017</v>
      </c>
      <c r="AB16" s="7" t="s">
        <v>184</v>
      </c>
      <c r="AC16" s="87">
        <f>IFERROR(Grid_BD[[#This Row],[Plant Equivalent Weightage]]*Grid_BD[[#This Row],[Resolution Time]],"")</f>
        <v>8.3333333333335702E-2</v>
      </c>
      <c r="AD16" s="7">
        <v>0.01</v>
      </c>
      <c r="AE16" s="100">
        <f>IFERROR(_xlfn.XLOOKUP(Grid_BD[[#This Row],[Month Year]],'Modelling New'!$D:$D,'Modelling New'!$O:$O)*Grid_BD[[#This Row],[Lost PoA(kWh/m2)]]*Grid_BD[[#This Row],[DC Capacity Affected (kW)]],"")</f>
        <v>49.240872175671896</v>
      </c>
    </row>
    <row r="17" spans="1:31" x14ac:dyDescent="0.25">
      <c r="A17" s="7">
        <f t="shared" si="0"/>
        <v>16</v>
      </c>
      <c r="B17" s="241">
        <v>45796</v>
      </c>
      <c r="C17" s="86">
        <f>YEAR(Grid_BD[[#This Row],[Date]])+IF(MONTH(Grid_BD[[#This Row],[Date]])&gt;=4,1,0)</f>
        <v>2026</v>
      </c>
      <c r="D17" s="7">
        <f>YEAR(Grid_BD[[#This Row],[Date]])</f>
        <v>2025</v>
      </c>
      <c r="E17" s="56" t="s">
        <v>107</v>
      </c>
      <c r="F17" s="56" t="s">
        <v>107</v>
      </c>
      <c r="G17" s="242">
        <f>Grid_BD[[#This Row],[Date]]-DAY(Grid_BD[[#This Row],[Date]])+1</f>
        <v>45778</v>
      </c>
      <c r="H17" s="7">
        <f>DAY(EOMONTH(Grid_BD[[#This Row],[Month Year]],0))</f>
        <v>31</v>
      </c>
      <c r="I17" s="244">
        <f>_xlfn.XLOOKUP(Grid_BD[[#This Row],[Date]],'Raw Data'!$G:$G,'Raw Data'!$I:$I)</f>
        <v>0.2361111111111111</v>
      </c>
      <c r="J17" s="244">
        <f>_xlfn.XLOOKUP(Grid_BD[[#This Row],[Date]],'Raw Data'!$G:$G,'Raw Data'!$J:$J)</f>
        <v>0.78125</v>
      </c>
      <c r="K17" s="100">
        <f>IFERROR((Grid_BD[[#This Row],[Sunset Time (POA&lt;20 W/m2)]]-Grid_BD[[#This Row],[Sunrise Time (POA&gt;20 W/m2)]])*24,"")</f>
        <v>13.083333333333332</v>
      </c>
      <c r="L17" s="7" t="s">
        <v>282</v>
      </c>
      <c r="M17" s="87">
        <f>_xlfn.XLOOKUP(Grid_BD[[#This Row],[Affected Equipment ]],'Basic Data'!$A:$A,'Basic Data'!$B:$B)</f>
        <v>7099.2000000000007</v>
      </c>
      <c r="N17" s="245">
        <f>_xlfn.XLOOKUP(Grid_BD[[#This Row],[Affected Equipment ]],'Basic Data'!$A:$A,'Basic Data'!$C:$C)</f>
        <v>1</v>
      </c>
      <c r="O17" s="7" t="s">
        <v>1015</v>
      </c>
      <c r="P17" s="7" t="s">
        <v>199</v>
      </c>
      <c r="Q17" s="7" t="s">
        <v>1016</v>
      </c>
      <c r="S17" s="244">
        <v>0.53541666666666665</v>
      </c>
      <c r="V17" s="244">
        <v>0.61319444444444449</v>
      </c>
      <c r="Y17" s="100">
        <f>(Grid_BD[[#This Row],[Work Completion time on fault]]-Grid_BD[[#This Row],[Fault Time]])*24</f>
        <v>1.866666666666668</v>
      </c>
      <c r="Z17" s="87">
        <f>(Grid_BD[[#This Row],[Work Completion time on fault]]-Grid_BD[[#This Row],[Fault Time]])*24</f>
        <v>1.866666666666668</v>
      </c>
      <c r="AA17" s="217" t="s">
        <v>1017</v>
      </c>
      <c r="AB17" s="7" t="s">
        <v>184</v>
      </c>
      <c r="AC17" s="87">
        <f>IFERROR(Grid_BD[[#This Row],[Plant Equivalent Weightage]]*Grid_BD[[#This Row],[Resolution Time]],"")</f>
        <v>1.866666666666668</v>
      </c>
      <c r="AD17" s="7">
        <v>1.26</v>
      </c>
      <c r="AE17" s="100">
        <f>IFERROR(_xlfn.XLOOKUP(Grid_BD[[#This Row],[Month Year]],'Modelling New'!$D:$D,'Modelling New'!$O:$O)*Grid_BD[[#This Row],[Lost PoA(kWh/m2)]]*Grid_BD[[#This Row],[DC Capacity Affected (kW)]],"")</f>
        <v>6204.3498941346588</v>
      </c>
    </row>
    <row r="18" spans="1:31" x14ac:dyDescent="0.25">
      <c r="A18" s="7">
        <f t="shared" si="0"/>
        <v>17</v>
      </c>
      <c r="B18" s="241">
        <v>45796</v>
      </c>
      <c r="C18" s="86">
        <f>YEAR(Grid_BD[[#This Row],[Date]])+IF(MONTH(Grid_BD[[#This Row],[Date]])&gt;=4,1,0)</f>
        <v>2026</v>
      </c>
      <c r="D18" s="7">
        <f>YEAR(Grid_BD[[#This Row],[Date]])</f>
        <v>2025</v>
      </c>
      <c r="E18" s="56" t="s">
        <v>107</v>
      </c>
      <c r="F18" s="56" t="s">
        <v>107</v>
      </c>
      <c r="G18" s="242">
        <f>Grid_BD[[#This Row],[Date]]-DAY(Grid_BD[[#This Row],[Date]])+1</f>
        <v>45778</v>
      </c>
      <c r="H18" s="7">
        <f>DAY(EOMONTH(Grid_BD[[#This Row],[Month Year]],0))</f>
        <v>31</v>
      </c>
      <c r="I18" s="244">
        <f>_xlfn.XLOOKUP(Grid_BD[[#This Row],[Date]],'Raw Data'!$G:$G,'Raw Data'!$I:$I)</f>
        <v>0.2361111111111111</v>
      </c>
      <c r="J18" s="244">
        <f>_xlfn.XLOOKUP(Grid_BD[[#This Row],[Date]],'Raw Data'!$G:$G,'Raw Data'!$J:$J)</f>
        <v>0.78125</v>
      </c>
      <c r="K18" s="100">
        <f>IFERROR((Grid_BD[[#This Row],[Sunset Time (POA&lt;20 W/m2)]]-Grid_BD[[#This Row],[Sunrise Time (POA&gt;20 W/m2)]])*24,"")</f>
        <v>13.083333333333332</v>
      </c>
      <c r="L18" s="7" t="s">
        <v>282</v>
      </c>
      <c r="M18" s="87">
        <f>_xlfn.XLOOKUP(Grid_BD[[#This Row],[Affected Equipment ]],'Basic Data'!$A:$A,'Basic Data'!$B:$B)</f>
        <v>7099.2000000000007</v>
      </c>
      <c r="N18" s="245">
        <f>_xlfn.XLOOKUP(Grid_BD[[#This Row],[Affected Equipment ]],'Basic Data'!$A:$A,'Basic Data'!$C:$C)</f>
        <v>1</v>
      </c>
      <c r="O18" s="7" t="s">
        <v>1015</v>
      </c>
      <c r="P18" s="7" t="s">
        <v>199</v>
      </c>
      <c r="Q18" s="7" t="s">
        <v>1016</v>
      </c>
      <c r="S18" s="244">
        <v>0.69097222222222221</v>
      </c>
      <c r="V18" s="244">
        <v>0.72083333333333333</v>
      </c>
      <c r="Y18" s="100">
        <f>(Grid_BD[[#This Row],[Work Completion time on fault]]-Grid_BD[[#This Row],[Fault Time]])*24</f>
        <v>0.71666666666666679</v>
      </c>
      <c r="Z18" s="87">
        <f>(Grid_BD[[#This Row],[Work Completion time on fault]]-Grid_BD[[#This Row],[Fault Time]])*24</f>
        <v>0.71666666666666679</v>
      </c>
      <c r="AA18" s="217" t="s">
        <v>1017</v>
      </c>
      <c r="AB18" s="7" t="s">
        <v>184</v>
      </c>
      <c r="AC18" s="87">
        <f>IFERROR(Grid_BD[[#This Row],[Plant Equivalent Weightage]]*Grid_BD[[#This Row],[Resolution Time]],"")</f>
        <v>0.71666666666666679</v>
      </c>
      <c r="AD18" s="7">
        <v>0.16</v>
      </c>
      <c r="AE18" s="100">
        <f>IFERROR(_xlfn.XLOOKUP(Grid_BD[[#This Row],[Month Year]],'Modelling New'!$D:$D,'Modelling New'!$O:$O)*Grid_BD[[#This Row],[Lost PoA(kWh/m2)]]*Grid_BD[[#This Row],[DC Capacity Affected (kW)]],"")</f>
        <v>787.85395481075034</v>
      </c>
    </row>
    <row r="19" spans="1:31" x14ac:dyDescent="0.25">
      <c r="A19" s="7">
        <f t="shared" si="0"/>
        <v>18</v>
      </c>
      <c r="B19" s="241">
        <v>45796</v>
      </c>
      <c r="C19" s="86">
        <f>YEAR(Grid_BD[[#This Row],[Date]])+IF(MONTH(Grid_BD[[#This Row],[Date]])&gt;=4,1,0)</f>
        <v>2026</v>
      </c>
      <c r="D19" s="7">
        <f>YEAR(Grid_BD[[#This Row],[Date]])</f>
        <v>2025</v>
      </c>
      <c r="E19" s="56" t="s">
        <v>107</v>
      </c>
      <c r="F19" s="56" t="s">
        <v>107</v>
      </c>
      <c r="G19" s="242">
        <f>Grid_BD[[#This Row],[Date]]-DAY(Grid_BD[[#This Row],[Date]])+1</f>
        <v>45778</v>
      </c>
      <c r="H19" s="7">
        <f>DAY(EOMONTH(Grid_BD[[#This Row],[Month Year]],0))</f>
        <v>31</v>
      </c>
      <c r="I19" s="244">
        <f>_xlfn.XLOOKUP(Grid_BD[[#This Row],[Date]],'Raw Data'!$G:$G,'Raw Data'!$I:$I)</f>
        <v>0.2361111111111111</v>
      </c>
      <c r="J19" s="244">
        <f>_xlfn.XLOOKUP(Grid_BD[[#This Row],[Date]],'Raw Data'!$G:$G,'Raw Data'!$J:$J)</f>
        <v>0.78125</v>
      </c>
      <c r="K19" s="100">
        <f>IFERROR((Grid_BD[[#This Row],[Sunset Time (POA&lt;20 W/m2)]]-Grid_BD[[#This Row],[Sunrise Time (POA&gt;20 W/m2)]])*24,"")</f>
        <v>13.083333333333332</v>
      </c>
      <c r="L19" s="7" t="s">
        <v>282</v>
      </c>
      <c r="M19" s="87">
        <f>_xlfn.XLOOKUP(Grid_BD[[#This Row],[Affected Equipment ]],'Basic Data'!$A:$A,'Basic Data'!$B:$B)</f>
        <v>7099.2000000000007</v>
      </c>
      <c r="N19" s="245">
        <f>_xlfn.XLOOKUP(Grid_BD[[#This Row],[Affected Equipment ]],'Basic Data'!$A:$A,'Basic Data'!$C:$C)</f>
        <v>1</v>
      </c>
      <c r="O19" s="7" t="s">
        <v>1015</v>
      </c>
      <c r="P19" s="7" t="s">
        <v>199</v>
      </c>
      <c r="Q19" s="7" t="s">
        <v>1016</v>
      </c>
      <c r="S19" s="244">
        <v>0.76597222222222228</v>
      </c>
      <c r="V19" s="244">
        <v>0.78680555555555554</v>
      </c>
      <c r="Y19" s="100">
        <f>(Grid_BD[[#This Row],[Work Completion time on fault]]-Grid_BD[[#This Row],[Fault Time]])*24</f>
        <v>0.49999999999999822</v>
      </c>
      <c r="Z19" s="87">
        <f>(Grid_BD[[#This Row],[Work Completion time on fault]]-Grid_BD[[#This Row],[Fault Time]])*24</f>
        <v>0.49999999999999822</v>
      </c>
      <c r="AA19" s="217" t="s">
        <v>1017</v>
      </c>
      <c r="AB19" s="7" t="s">
        <v>184</v>
      </c>
      <c r="AC19" s="87">
        <f>IFERROR(Grid_BD[[#This Row],[Plant Equivalent Weightage]]*Grid_BD[[#This Row],[Resolution Time]],"")</f>
        <v>0.49999999999999822</v>
      </c>
      <c r="AD19" s="7">
        <v>2E-3</v>
      </c>
      <c r="AE19" s="100">
        <f>IFERROR(_xlfn.XLOOKUP(Grid_BD[[#This Row],[Month Year]],'Modelling New'!$D:$D,'Modelling New'!$O:$O)*Grid_BD[[#This Row],[Lost PoA(kWh/m2)]]*Grid_BD[[#This Row],[DC Capacity Affected (kW)]],"")</f>
        <v>9.8481744351343785</v>
      </c>
    </row>
    <row r="20" spans="1:31" x14ac:dyDescent="0.25">
      <c r="A20" s="7">
        <f t="shared" si="0"/>
        <v>19</v>
      </c>
      <c r="B20" s="241">
        <v>45801</v>
      </c>
      <c r="C20" s="86">
        <f>YEAR(Grid_BD[[#This Row],[Date]])+IF(MONTH(Grid_BD[[#This Row],[Date]])&gt;=4,1,0)</f>
        <v>2026</v>
      </c>
      <c r="D20" s="7">
        <f>YEAR(Grid_BD[[#This Row],[Date]])</f>
        <v>2025</v>
      </c>
      <c r="E20" s="56" t="s">
        <v>107</v>
      </c>
      <c r="F20" s="56" t="s">
        <v>107</v>
      </c>
      <c r="G20" s="242">
        <f>Grid_BD[[#This Row],[Date]]-DAY(Grid_BD[[#This Row],[Date]])+1</f>
        <v>45778</v>
      </c>
      <c r="H20" s="7">
        <f>DAY(EOMONTH(Grid_BD[[#This Row],[Month Year]],0))</f>
        <v>31</v>
      </c>
      <c r="I20" s="244">
        <f>_xlfn.XLOOKUP(Grid_BD[[#This Row],[Date]],'Raw Data'!$G:$G,'Raw Data'!$I:$I)</f>
        <v>0.25277777777777777</v>
      </c>
      <c r="J20" s="244">
        <f>_xlfn.XLOOKUP(Grid_BD[[#This Row],[Date]],'Raw Data'!$G:$G,'Raw Data'!$J:$J)</f>
        <v>0.76527777777777772</v>
      </c>
      <c r="K20" s="100">
        <f>IFERROR((Grid_BD[[#This Row],[Sunset Time (POA&lt;20 W/m2)]]-Grid_BD[[#This Row],[Sunrise Time (POA&gt;20 W/m2)]])*24,"")</f>
        <v>12.299999999999999</v>
      </c>
      <c r="L20" s="7" t="s">
        <v>282</v>
      </c>
      <c r="M20" s="87">
        <f>_xlfn.XLOOKUP(Grid_BD[[#This Row],[Affected Equipment ]],'Basic Data'!$A:$A,'Basic Data'!$B:$B)</f>
        <v>7099.2000000000007</v>
      </c>
      <c r="N20" s="245">
        <f>_xlfn.XLOOKUP(Grid_BD[[#This Row],[Affected Equipment ]],'Basic Data'!$A:$A,'Basic Data'!$C:$C)</f>
        <v>1</v>
      </c>
      <c r="O20" s="7" t="s">
        <v>1015</v>
      </c>
      <c r="P20" s="7" t="s">
        <v>199</v>
      </c>
      <c r="Q20" s="7" t="s">
        <v>1016</v>
      </c>
      <c r="S20" s="244">
        <v>0.4826388888888889</v>
      </c>
      <c r="V20" s="244">
        <v>0.49513888888888891</v>
      </c>
      <c r="Y20" s="100">
        <f>(Grid_BD[[#This Row],[Work Completion time on fault]]-Grid_BD[[#This Row],[Fault Time]])*24</f>
        <v>0.30000000000000027</v>
      </c>
      <c r="Z20" s="87">
        <f>(Grid_BD[[#This Row],[Work Completion time on fault]]-Grid_BD[[#This Row],[Fault Time]])*24</f>
        <v>0.30000000000000027</v>
      </c>
      <c r="AA20" s="217" t="s">
        <v>1017</v>
      </c>
      <c r="AB20" s="7" t="s">
        <v>184</v>
      </c>
      <c r="AC20" s="87">
        <f>IFERROR(Grid_BD[[#This Row],[Plant Equivalent Weightage]]*Grid_BD[[#This Row],[Resolution Time]],"")</f>
        <v>0.30000000000000027</v>
      </c>
      <c r="AD20" s="7">
        <v>0.13194500000000001</v>
      </c>
      <c r="AE20" s="100">
        <f>IFERROR(_xlfn.XLOOKUP(Grid_BD[[#This Row],[Month Year]],'Modelling New'!$D:$D,'Modelling New'!$O:$O)*Grid_BD[[#This Row],[Lost PoA(kWh/m2)]]*Grid_BD[[#This Row],[DC Capacity Affected (kW)]],"")</f>
        <v>649.70868792190288</v>
      </c>
    </row>
    <row r="21" spans="1:31" x14ac:dyDescent="0.25">
      <c r="A21" s="7">
        <f t="shared" si="0"/>
        <v>20</v>
      </c>
      <c r="B21" s="241">
        <v>45801</v>
      </c>
      <c r="C21" s="86">
        <f>YEAR(Grid_BD[[#This Row],[Date]])+IF(MONTH(Grid_BD[[#This Row],[Date]])&gt;=4,1,0)</f>
        <v>2026</v>
      </c>
      <c r="D21" s="7">
        <f>YEAR(Grid_BD[[#This Row],[Date]])</f>
        <v>2025</v>
      </c>
      <c r="E21" s="56" t="s">
        <v>107</v>
      </c>
      <c r="F21" s="56" t="s">
        <v>107</v>
      </c>
      <c r="G21" s="242">
        <f>Grid_BD[[#This Row],[Date]]-DAY(Grid_BD[[#This Row],[Date]])+1</f>
        <v>45778</v>
      </c>
      <c r="H21" s="7">
        <f>DAY(EOMONTH(Grid_BD[[#This Row],[Month Year]],0))</f>
        <v>31</v>
      </c>
      <c r="I21" s="244">
        <f>_xlfn.XLOOKUP(Grid_BD[[#This Row],[Date]],'Raw Data'!$G:$G,'Raw Data'!$I:$I)</f>
        <v>0.25277777777777777</v>
      </c>
      <c r="J21" s="244">
        <f>_xlfn.XLOOKUP(Grid_BD[[#This Row],[Date]],'Raw Data'!$G:$G,'Raw Data'!$J:$J)</f>
        <v>0.76527777777777772</v>
      </c>
      <c r="K21" s="100">
        <f>IFERROR((Grid_BD[[#This Row],[Sunset Time (POA&lt;20 W/m2)]]-Grid_BD[[#This Row],[Sunrise Time (POA&gt;20 W/m2)]])*24,"")</f>
        <v>12.299999999999999</v>
      </c>
      <c r="L21" s="7" t="s">
        <v>282</v>
      </c>
      <c r="M21" s="87">
        <f>_xlfn.XLOOKUP(Grid_BD[[#This Row],[Affected Equipment ]],'Basic Data'!$A:$A,'Basic Data'!$B:$B)</f>
        <v>7099.2000000000007</v>
      </c>
      <c r="N21" s="245">
        <f>_xlfn.XLOOKUP(Grid_BD[[#This Row],[Affected Equipment ]],'Basic Data'!$A:$A,'Basic Data'!$C:$C)</f>
        <v>1</v>
      </c>
      <c r="O21" s="7" t="s">
        <v>1015</v>
      </c>
      <c r="P21" s="7" t="s">
        <v>199</v>
      </c>
      <c r="Q21" s="7" t="s">
        <v>1016</v>
      </c>
      <c r="S21" s="244">
        <v>0.67708333333333337</v>
      </c>
      <c r="V21" s="244">
        <v>0.68888888888888888</v>
      </c>
      <c r="Y21" s="100">
        <f>(Grid_BD[[#This Row],[Work Completion time on fault]]-Grid_BD[[#This Row],[Fault Time]])*24</f>
        <v>0.28333333333333233</v>
      </c>
      <c r="Z21" s="87">
        <f>(Grid_BD[[#This Row],[Work Completion time on fault]]-Grid_BD[[#This Row],[Fault Time]])*24</f>
        <v>0.28333333333333233</v>
      </c>
      <c r="AA21" s="217" t="s">
        <v>1017</v>
      </c>
      <c r="AB21" s="7" t="s">
        <v>184</v>
      </c>
      <c r="AC21" s="87">
        <f>IFERROR(Grid_BD[[#This Row],[Plant Equivalent Weightage]]*Grid_BD[[#This Row],[Resolution Time]],"")</f>
        <v>0.28333333333333233</v>
      </c>
      <c r="AD21" s="7">
        <v>9.4613333333333341E-2</v>
      </c>
      <c r="AE21" s="100">
        <f>IFERROR(_xlfn.XLOOKUP(Grid_BD[[#This Row],[Month Year]],'Modelling New'!$D:$D,'Modelling New'!$O:$O)*Grid_BD[[#This Row],[Lost PoA(kWh/m2)]]*Grid_BD[[#This Row],[DC Capacity Affected (kW)]],"")</f>
        <v>465.88430527809032</v>
      </c>
    </row>
    <row r="22" spans="1:31" x14ac:dyDescent="0.25">
      <c r="A22" s="7">
        <f t="shared" si="0"/>
        <v>21</v>
      </c>
      <c r="B22" s="241">
        <v>45802</v>
      </c>
      <c r="C22" s="86">
        <f>YEAR(Grid_BD[[#This Row],[Date]])+IF(MONTH(Grid_BD[[#This Row],[Date]])&gt;=4,1,0)</f>
        <v>2026</v>
      </c>
      <c r="D22" s="7">
        <f>YEAR(Grid_BD[[#This Row],[Date]])</f>
        <v>2025</v>
      </c>
      <c r="E22" s="56" t="s">
        <v>107</v>
      </c>
      <c r="F22" s="56" t="s">
        <v>107</v>
      </c>
      <c r="G22" s="242">
        <f>Grid_BD[[#This Row],[Date]]-DAY(Grid_BD[[#This Row],[Date]])+1</f>
        <v>45778</v>
      </c>
      <c r="H22" s="7">
        <f>DAY(EOMONTH(Grid_BD[[#This Row],[Month Year]],0))</f>
        <v>31</v>
      </c>
      <c r="I22" s="244">
        <f>_xlfn.XLOOKUP(Grid_BD[[#This Row],[Date]],'Raw Data'!$G:$G,'Raw Data'!$I:$I)</f>
        <v>0.24305555555555555</v>
      </c>
      <c r="J22" s="244">
        <f>_xlfn.XLOOKUP(Grid_BD[[#This Row],[Date]],'Raw Data'!$G:$G,'Raw Data'!$J:$J)</f>
        <v>0.78680555555555554</v>
      </c>
      <c r="K22" s="100">
        <f>IFERROR((Grid_BD[[#This Row],[Sunset Time (POA&lt;20 W/m2)]]-Grid_BD[[#This Row],[Sunrise Time (POA&gt;20 W/m2)]])*24,"")</f>
        <v>13.049999999999999</v>
      </c>
      <c r="L22" s="7" t="s">
        <v>282</v>
      </c>
      <c r="M22" s="87">
        <f>_xlfn.XLOOKUP(Grid_BD[[#This Row],[Affected Equipment ]],'Basic Data'!$A:$A,'Basic Data'!$B:$B)</f>
        <v>7099.2000000000007</v>
      </c>
      <c r="N22" s="245">
        <f>_xlfn.XLOOKUP(Grid_BD[[#This Row],[Affected Equipment ]],'Basic Data'!$A:$A,'Basic Data'!$C:$C)</f>
        <v>1</v>
      </c>
      <c r="O22" s="7" t="s">
        <v>1015</v>
      </c>
      <c r="P22" s="7" t="s">
        <v>199</v>
      </c>
      <c r="Q22" s="7" t="s">
        <v>1016</v>
      </c>
      <c r="S22" s="244">
        <v>0.51597222222222228</v>
      </c>
      <c r="V22" s="244">
        <v>0.53472222222222221</v>
      </c>
      <c r="Y22" s="100">
        <f>(Grid_BD[[#This Row],[Work Completion time on fault]]-Grid_BD[[#This Row],[Fault Time]])*24</f>
        <v>0.4499999999999984</v>
      </c>
      <c r="Z22" s="87">
        <f>(Grid_BD[[#This Row],[Work Completion time on fault]]-Grid_BD[[#This Row],[Fault Time]])*24</f>
        <v>0.4499999999999984</v>
      </c>
      <c r="AA22" s="217" t="s">
        <v>1017</v>
      </c>
      <c r="AB22" s="7" t="s">
        <v>184</v>
      </c>
      <c r="AC22" s="87">
        <f>IFERROR(Grid_BD[[#This Row],[Plant Equivalent Weightage]]*Grid_BD[[#This Row],[Resolution Time]],"")</f>
        <v>0.4499999999999984</v>
      </c>
      <c r="AD22" s="7">
        <v>0.18</v>
      </c>
      <c r="AE22" s="100">
        <f>IFERROR(_xlfn.XLOOKUP(Grid_BD[[#This Row],[Month Year]],'Modelling New'!$D:$D,'Modelling New'!$O:$O)*Grid_BD[[#This Row],[Lost PoA(kWh/m2)]]*Grid_BD[[#This Row],[DC Capacity Affected (kW)]],"")</f>
        <v>886.33569916209399</v>
      </c>
    </row>
    <row r="23" spans="1:31" x14ac:dyDescent="0.25">
      <c r="A23" s="7">
        <f t="shared" si="0"/>
        <v>22</v>
      </c>
      <c r="B23" s="241">
        <v>45804</v>
      </c>
      <c r="C23" s="86">
        <f>YEAR(Grid_BD[[#This Row],[Date]])+IF(MONTH(Grid_BD[[#This Row],[Date]])&gt;=4,1,0)</f>
        <v>2026</v>
      </c>
      <c r="D23" s="7">
        <f>YEAR(Grid_BD[[#This Row],[Date]])</f>
        <v>2025</v>
      </c>
      <c r="E23" s="56" t="s">
        <v>107</v>
      </c>
      <c r="F23" s="56" t="s">
        <v>107</v>
      </c>
      <c r="G23" s="242">
        <f>Grid_BD[[#This Row],[Date]]-DAY(Grid_BD[[#This Row],[Date]])+1</f>
        <v>45778</v>
      </c>
      <c r="H23" s="7">
        <f>DAY(EOMONTH(Grid_BD[[#This Row],[Month Year]],0))</f>
        <v>31</v>
      </c>
      <c r="I23" s="244">
        <f>_xlfn.XLOOKUP(Grid_BD[[#This Row],[Date]],'Raw Data'!$G:$G,'Raw Data'!$I:$I)</f>
        <v>0.23749999999999999</v>
      </c>
      <c r="J23" s="244">
        <f>_xlfn.XLOOKUP(Grid_BD[[#This Row],[Date]],'Raw Data'!$G:$G,'Raw Data'!$J:$J)</f>
        <v>0.78125</v>
      </c>
      <c r="K23" s="100">
        <f>IFERROR((Grid_BD[[#This Row],[Sunset Time (POA&lt;20 W/m2)]]-Grid_BD[[#This Row],[Sunrise Time (POA&gt;20 W/m2)]])*24,"")</f>
        <v>13.049999999999999</v>
      </c>
      <c r="L23" s="7" t="s">
        <v>282</v>
      </c>
      <c r="M23" s="87">
        <f>_xlfn.XLOOKUP(Grid_BD[[#This Row],[Affected Equipment ]],'Basic Data'!$A:$A,'Basic Data'!$B:$B)</f>
        <v>7099.2000000000007</v>
      </c>
      <c r="N23" s="245">
        <f>_xlfn.XLOOKUP(Grid_BD[[#This Row],[Affected Equipment ]],'Basic Data'!$A:$A,'Basic Data'!$C:$C)</f>
        <v>1</v>
      </c>
      <c r="O23" s="7" t="s">
        <v>1015</v>
      </c>
      <c r="P23" s="7" t="s">
        <v>199</v>
      </c>
      <c r="Q23" s="7" t="s">
        <v>1016</v>
      </c>
      <c r="S23" s="244">
        <v>0.41041666666666665</v>
      </c>
      <c r="V23" s="244">
        <v>0.42986111111111114</v>
      </c>
      <c r="Y23" s="100">
        <f>(Grid_BD[[#This Row],[Work Completion time on fault]]-Grid_BD[[#This Row],[Fault Time]])*24</f>
        <v>0.46666666666666767</v>
      </c>
      <c r="Z23" s="87">
        <f>(Grid_BD[[#This Row],[Work Completion time on fault]]-Grid_BD[[#This Row],[Fault Time]])*24</f>
        <v>0.46666666666666767</v>
      </c>
      <c r="AA23" s="217" t="s">
        <v>1017</v>
      </c>
      <c r="AB23" s="7" t="s">
        <v>184</v>
      </c>
      <c r="AC23" s="87">
        <f>IFERROR(Grid_BD[[#This Row],[Plant Equivalent Weightage]]*Grid_BD[[#This Row],[Resolution Time]],"")</f>
        <v>0.46666666666666767</v>
      </c>
      <c r="AD23" s="7">
        <v>0.22</v>
      </c>
      <c r="AE23" s="100">
        <f>IFERROR(_xlfn.XLOOKUP(Grid_BD[[#This Row],[Month Year]],'Modelling New'!$D:$D,'Modelling New'!$O:$O)*Grid_BD[[#This Row],[Lost PoA(kWh/m2)]]*Grid_BD[[#This Row],[DC Capacity Affected (kW)]],"")</f>
        <v>1083.2991878647817</v>
      </c>
    </row>
    <row r="24" spans="1:31" x14ac:dyDescent="0.25">
      <c r="A24" s="7">
        <f t="shared" si="0"/>
        <v>23</v>
      </c>
      <c r="B24" s="241">
        <v>45807</v>
      </c>
      <c r="C24" s="86">
        <f>YEAR(Grid_BD[[#This Row],[Date]])+IF(MONTH(Grid_BD[[#This Row],[Date]])&gt;=4,1,0)</f>
        <v>2026</v>
      </c>
      <c r="D24" s="7">
        <f>YEAR(Grid_BD[[#This Row],[Date]])</f>
        <v>2025</v>
      </c>
      <c r="E24" s="56" t="s">
        <v>107</v>
      </c>
      <c r="F24" s="56" t="s">
        <v>107</v>
      </c>
      <c r="G24" s="242">
        <f>Grid_BD[[#This Row],[Date]]-DAY(Grid_BD[[#This Row],[Date]])+1</f>
        <v>45778</v>
      </c>
      <c r="H24" s="7">
        <f>DAY(EOMONTH(Grid_BD[[#This Row],[Month Year]],0))</f>
        <v>31</v>
      </c>
      <c r="I24" s="244">
        <f>_xlfn.XLOOKUP(Grid_BD[[#This Row],[Date]],'Raw Data'!$G:$G,'Raw Data'!$I:$I)</f>
        <v>0.23541666666666666</v>
      </c>
      <c r="J24" s="244">
        <f>_xlfn.XLOOKUP(Grid_BD[[#This Row],[Date]],'Raw Data'!$G:$G,'Raw Data'!$J:$J)</f>
        <v>0.79374999999999996</v>
      </c>
      <c r="K24" s="100">
        <f>IFERROR((Grid_BD[[#This Row],[Sunset Time (POA&lt;20 W/m2)]]-Grid_BD[[#This Row],[Sunrise Time (POA&gt;20 W/m2)]])*24,"")</f>
        <v>13.4</v>
      </c>
      <c r="L24" s="7" t="s">
        <v>282</v>
      </c>
      <c r="M24" s="87">
        <f>_xlfn.XLOOKUP(Grid_BD[[#This Row],[Affected Equipment ]],'Basic Data'!$A:$A,'Basic Data'!$B:$B)</f>
        <v>7099.2000000000007</v>
      </c>
      <c r="N24" s="245">
        <f>_xlfn.XLOOKUP(Grid_BD[[#This Row],[Affected Equipment ]],'Basic Data'!$A:$A,'Basic Data'!$C:$C)</f>
        <v>1</v>
      </c>
      <c r="O24" s="7" t="s">
        <v>1015</v>
      </c>
      <c r="P24" s="7" t="s">
        <v>199</v>
      </c>
      <c r="Q24" s="7" t="s">
        <v>1016</v>
      </c>
      <c r="S24" s="244">
        <v>0.3923611111111111</v>
      </c>
      <c r="V24" s="244">
        <v>0.42291666666666666</v>
      </c>
      <c r="Y24" s="100">
        <f>(Grid_BD[[#This Row],[Work Completion time on fault]]-Grid_BD[[#This Row],[Fault Time]])*24</f>
        <v>0.73333333333333339</v>
      </c>
      <c r="Z24" s="87">
        <f>(Grid_BD[[#This Row],[Work Completion time on fault]]-Grid_BD[[#This Row],[Fault Time]])*24</f>
        <v>0.73333333333333339</v>
      </c>
      <c r="AA24" s="217" t="s">
        <v>1017</v>
      </c>
      <c r="AB24" s="7" t="s">
        <v>184</v>
      </c>
      <c r="AC24" s="87">
        <f>IFERROR(Grid_BD[[#This Row],[Plant Equivalent Weightage]]*Grid_BD[[#This Row],[Resolution Time]],"")</f>
        <v>0.73333333333333339</v>
      </c>
      <c r="AD24" s="7">
        <v>0.48</v>
      </c>
      <c r="AE24" s="100">
        <f>IFERROR(_xlfn.XLOOKUP(Grid_BD[[#This Row],[Month Year]],'Modelling New'!$D:$D,'Modelling New'!$O:$O)*Grid_BD[[#This Row],[Lost PoA(kWh/m2)]]*Grid_BD[[#This Row],[DC Capacity Affected (kW)]],"")</f>
        <v>2363.5618644322508</v>
      </c>
    </row>
    <row r="25" spans="1:31" x14ac:dyDescent="0.25">
      <c r="A25" s="7">
        <f t="shared" si="0"/>
        <v>24</v>
      </c>
      <c r="B25" s="241">
        <v>45808</v>
      </c>
      <c r="C25" s="86">
        <f>YEAR(Grid_BD[[#This Row],[Date]])+IF(MONTH(Grid_BD[[#This Row],[Date]])&gt;=4,1,0)</f>
        <v>2026</v>
      </c>
      <c r="D25" s="7">
        <f>YEAR(Grid_BD[[#This Row],[Date]])</f>
        <v>2025</v>
      </c>
      <c r="E25" s="56" t="s">
        <v>107</v>
      </c>
      <c r="F25" s="56" t="s">
        <v>107</v>
      </c>
      <c r="G25" s="242">
        <f>Grid_BD[[#This Row],[Date]]-DAY(Grid_BD[[#This Row],[Date]])+1</f>
        <v>45778</v>
      </c>
      <c r="H25" s="7">
        <f>DAY(EOMONTH(Grid_BD[[#This Row],[Month Year]],0))</f>
        <v>31</v>
      </c>
      <c r="I25" s="244">
        <f>_xlfn.XLOOKUP(Grid_BD[[#This Row],[Date]],'Raw Data'!$G:$G,'Raw Data'!$I:$I)</f>
        <v>0.23333333333333334</v>
      </c>
      <c r="J25" s="244">
        <f>_xlfn.XLOOKUP(Grid_BD[[#This Row],[Date]],'Raw Data'!$G:$G,'Raw Data'!$J:$J)</f>
        <v>0.78888888888888886</v>
      </c>
      <c r="K25" s="100">
        <f>IFERROR((Grid_BD[[#This Row],[Sunset Time (POA&lt;20 W/m2)]]-Grid_BD[[#This Row],[Sunrise Time (POA&gt;20 W/m2)]])*24,"")</f>
        <v>13.333333333333334</v>
      </c>
      <c r="L25" s="7" t="s">
        <v>282</v>
      </c>
      <c r="M25" s="87">
        <f>_xlfn.XLOOKUP(Grid_BD[[#This Row],[Affected Equipment ]],'Basic Data'!$A:$A,'Basic Data'!$B:$B)</f>
        <v>7099.2000000000007</v>
      </c>
      <c r="N25" s="245">
        <f>_xlfn.XLOOKUP(Grid_BD[[#This Row],[Affected Equipment ]],'Basic Data'!$A:$A,'Basic Data'!$C:$C)</f>
        <v>1</v>
      </c>
      <c r="O25" s="7" t="s">
        <v>1015</v>
      </c>
      <c r="P25" s="7" t="s">
        <v>199</v>
      </c>
      <c r="Q25" s="7" t="s">
        <v>1016</v>
      </c>
      <c r="S25" s="244">
        <v>0.30763888888888891</v>
      </c>
      <c r="V25" s="244">
        <v>0.34583333333333333</v>
      </c>
      <c r="Y25" s="100">
        <f>(Grid_BD[[#This Row],[Work Completion time on fault]]-Grid_BD[[#This Row],[Fault Time]])*24</f>
        <v>0.91666666666666607</v>
      </c>
      <c r="Z25" s="87">
        <f>(Grid_BD[[#This Row],[Work Completion time on fault]]-Grid_BD[[#This Row],[Fault Time]])*24</f>
        <v>0.91666666666666607</v>
      </c>
      <c r="AA25" s="217" t="s">
        <v>1017</v>
      </c>
      <c r="AB25" s="7" t="s">
        <v>184</v>
      </c>
      <c r="AC25" s="87">
        <f>IFERROR(Grid_BD[[#This Row],[Plant Equivalent Weightage]]*Grid_BD[[#This Row],[Resolution Time]],"")</f>
        <v>0.91666666666666607</v>
      </c>
      <c r="AD25" s="7">
        <v>0.17</v>
      </c>
      <c r="AE25" s="100">
        <f>IFERROR(_xlfn.XLOOKUP(Grid_BD[[#This Row],[Month Year]],'Modelling New'!$D:$D,'Modelling New'!$O:$O)*Grid_BD[[#This Row],[Lost PoA(kWh/m2)]]*Grid_BD[[#This Row],[DC Capacity Affected (kW)]],"")</f>
        <v>837.09482698642228</v>
      </c>
    </row>
    <row r="26" spans="1:31" x14ac:dyDescent="0.25">
      <c r="A26" s="7">
        <f t="shared" si="0"/>
        <v>25</v>
      </c>
      <c r="B26" s="241">
        <v>45814</v>
      </c>
      <c r="C26" s="86">
        <f>YEAR(Grid_BD[[#This Row],[Date]])+IF(MONTH(Grid_BD[[#This Row],[Date]])&gt;=4,1,0)</f>
        <v>2026</v>
      </c>
      <c r="D26" s="7">
        <f>YEAR(Grid_BD[[#This Row],[Date]])</f>
        <v>2025</v>
      </c>
      <c r="E26" s="56" t="s">
        <v>107</v>
      </c>
      <c r="F26" s="56" t="s">
        <v>107</v>
      </c>
      <c r="G26" s="242">
        <f>Grid_BD[[#This Row],[Date]]-DAY(Grid_BD[[#This Row],[Date]])+1</f>
        <v>45809</v>
      </c>
      <c r="H26" s="7">
        <f>DAY(EOMONTH(Grid_BD[[#This Row],[Month Year]],0))</f>
        <v>30</v>
      </c>
      <c r="I26" s="244">
        <f>_xlfn.XLOOKUP(Grid_BD[[#This Row],[Date]],'Raw Data'!$G:$G,'Raw Data'!$I:$I)</f>
        <v>0.22569444444444445</v>
      </c>
      <c r="J26" s="244">
        <f>_xlfn.XLOOKUP(Grid_BD[[#This Row],[Date]],'Raw Data'!$G:$G,'Raw Data'!$J:$J)</f>
        <v>0.7895833333333333</v>
      </c>
      <c r="K26" s="100">
        <f>IFERROR((Grid_BD[[#This Row],[Sunset Time (POA&lt;20 W/m2)]]-Grid_BD[[#This Row],[Sunrise Time (POA&gt;20 W/m2)]])*24,"")</f>
        <v>13.533333333333333</v>
      </c>
      <c r="L26" s="7" t="s">
        <v>282</v>
      </c>
      <c r="M26" s="87">
        <f>_xlfn.XLOOKUP(Grid_BD[[#This Row],[Affected Equipment ]],'Basic Data'!$A:$A,'Basic Data'!$B:$B)</f>
        <v>7099.2000000000007</v>
      </c>
      <c r="N26" s="245">
        <f>_xlfn.XLOOKUP(Grid_BD[[#This Row],[Affected Equipment ]],'Basic Data'!$A:$A,'Basic Data'!$C:$C)</f>
        <v>1</v>
      </c>
      <c r="O26" s="7" t="s">
        <v>1015</v>
      </c>
      <c r="P26" s="7" t="s">
        <v>199</v>
      </c>
      <c r="Q26" s="7" t="s">
        <v>1016</v>
      </c>
      <c r="S26" s="244">
        <v>0.6875</v>
      </c>
      <c r="V26" s="244">
        <v>0.70972222222222225</v>
      </c>
      <c r="Y26" s="100">
        <f>(Grid_BD[[#This Row],[Work Completion time on fault]]-Grid_BD[[#This Row],[Fault Time]])*24</f>
        <v>0.5333333333333341</v>
      </c>
      <c r="Z26" s="87">
        <f>(Grid_BD[[#This Row],[Work Completion time on fault]]-Grid_BD[[#This Row],[Fault Time]])*24</f>
        <v>0.5333333333333341</v>
      </c>
      <c r="AA26" s="217" t="s">
        <v>1017</v>
      </c>
      <c r="AB26" s="7" t="s">
        <v>184</v>
      </c>
      <c r="AC26" s="87">
        <f>IFERROR(Grid_BD[[#This Row],[Plant Equivalent Weightage]]*Grid_BD[[#This Row],[Resolution Time]],"")</f>
        <v>0.5333333333333341</v>
      </c>
      <c r="AD26" s="7">
        <v>0.12</v>
      </c>
      <c r="AE26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27" spans="1:31" x14ac:dyDescent="0.25">
      <c r="A27" s="7">
        <f t="shared" si="0"/>
        <v>26</v>
      </c>
      <c r="B27" s="241">
        <v>45819</v>
      </c>
      <c r="C27" s="86">
        <f>YEAR(Grid_BD[[#This Row],[Date]])+IF(MONTH(Grid_BD[[#This Row],[Date]])&gt;=4,1,0)</f>
        <v>2026</v>
      </c>
      <c r="D27" s="7">
        <f>YEAR(Grid_BD[[#This Row],[Date]])</f>
        <v>2025</v>
      </c>
      <c r="E27" s="56" t="s">
        <v>107</v>
      </c>
      <c r="F27" s="56" t="s">
        <v>107</v>
      </c>
      <c r="G27" s="242">
        <f>Grid_BD[[#This Row],[Date]]-DAY(Grid_BD[[#This Row],[Date]])+1</f>
        <v>45809</v>
      </c>
      <c r="H27" s="7">
        <f>DAY(EOMONTH(Grid_BD[[#This Row],[Month Year]],0))</f>
        <v>30</v>
      </c>
      <c r="I27" s="244">
        <f>_xlfn.XLOOKUP(Grid_BD[[#This Row],[Date]],'Raw Data'!$G:$G,'Raw Data'!$I:$I)</f>
        <v>0.24097222222222223</v>
      </c>
      <c r="J27" s="244">
        <f>_xlfn.XLOOKUP(Grid_BD[[#This Row],[Date]],'Raw Data'!$G:$G,'Raw Data'!$J:$J)</f>
        <v>0.78749999999999998</v>
      </c>
      <c r="K27" s="100">
        <f>IFERROR((Grid_BD[[#This Row],[Sunset Time (POA&lt;20 W/m2)]]-Grid_BD[[#This Row],[Sunrise Time (POA&gt;20 W/m2)]])*24,"")</f>
        <v>13.116666666666665</v>
      </c>
      <c r="L27" s="7" t="s">
        <v>282</v>
      </c>
      <c r="M27" s="87">
        <f>_xlfn.XLOOKUP(Grid_BD[[#This Row],[Affected Equipment ]],'Basic Data'!$A:$A,'Basic Data'!$B:$B)</f>
        <v>7099.2000000000007</v>
      </c>
      <c r="N27" s="245">
        <f>_xlfn.XLOOKUP(Grid_BD[[#This Row],[Affected Equipment ]],'Basic Data'!$A:$A,'Basic Data'!$C:$C)</f>
        <v>1</v>
      </c>
      <c r="O27" s="7" t="s">
        <v>1015</v>
      </c>
      <c r="P27" s="7" t="s">
        <v>199</v>
      </c>
      <c r="Q27" s="7" t="s">
        <v>1016</v>
      </c>
      <c r="S27" s="244">
        <v>0.21041666666666667</v>
      </c>
      <c r="V27" s="244">
        <v>0.26041666666666669</v>
      </c>
      <c r="Y27" s="100">
        <f>(Grid_BD[[#This Row],[Work Completion time on fault]]-Grid_BD[[#This Row],[Fault Time]])*24</f>
        <v>1.2000000000000004</v>
      </c>
      <c r="Z27" s="87">
        <f>(Grid_BD[[#This Row],[Work Completion time on fault]]-Grid_BD[[#This Row],[Fault Time]])*24</f>
        <v>1.2000000000000004</v>
      </c>
      <c r="AA27" s="217" t="s">
        <v>1017</v>
      </c>
      <c r="AB27" s="7" t="s">
        <v>184</v>
      </c>
      <c r="AC27" s="87">
        <f>IFERROR(Grid_BD[[#This Row],[Plant Equivalent Weightage]]*Grid_BD[[#This Row],[Resolution Time]],"")</f>
        <v>1.2000000000000004</v>
      </c>
      <c r="AD27" s="7">
        <v>1E-3</v>
      </c>
      <c r="AE27" s="100">
        <f>IFERROR(_xlfn.XLOOKUP(Grid_BD[[#This Row],[Month Year]],'Modelling New'!$D:$D,'Modelling New'!$O:$O)*Grid_BD[[#This Row],[Lost PoA(kWh/m2)]]*Grid_BD[[#This Row],[DC Capacity Affected (kW)]],"")</f>
        <v>4.9764101158710181</v>
      </c>
    </row>
    <row r="28" spans="1:31" x14ac:dyDescent="0.25">
      <c r="A28" s="7">
        <f t="shared" si="0"/>
        <v>27</v>
      </c>
      <c r="B28" s="241">
        <v>45822</v>
      </c>
      <c r="C28" s="86">
        <f>YEAR(Grid_BD[[#This Row],[Date]])+IF(MONTH(Grid_BD[[#This Row],[Date]])&gt;=4,1,0)</f>
        <v>2026</v>
      </c>
      <c r="D28" s="7">
        <f>YEAR(Grid_BD[[#This Row],[Date]])</f>
        <v>2025</v>
      </c>
      <c r="E28" s="56" t="s">
        <v>107</v>
      </c>
      <c r="F28" s="56" t="s">
        <v>107</v>
      </c>
      <c r="G28" s="242">
        <f>Grid_BD[[#This Row],[Date]]-DAY(Grid_BD[[#This Row],[Date]])+1</f>
        <v>45809</v>
      </c>
      <c r="H28" s="7">
        <f>DAY(EOMONTH(Grid_BD[[#This Row],[Month Year]],0))</f>
        <v>30</v>
      </c>
      <c r="I28" s="244">
        <f>_xlfn.XLOOKUP(Grid_BD[[#This Row],[Date]],'Raw Data'!$G:$G,'Raw Data'!$I:$I)</f>
        <v>0.21249999999999999</v>
      </c>
      <c r="J28" s="244">
        <f>_xlfn.XLOOKUP(Grid_BD[[#This Row],[Date]],'Raw Data'!$G:$G,'Raw Data'!$J:$J)</f>
        <v>0.79236111111111107</v>
      </c>
      <c r="K28" s="100">
        <f>IFERROR((Grid_BD[[#This Row],[Sunset Time (POA&lt;20 W/m2)]]-Grid_BD[[#This Row],[Sunrise Time (POA&gt;20 W/m2)]])*24,"")</f>
        <v>13.916666666666664</v>
      </c>
      <c r="L28" s="7" t="s">
        <v>282</v>
      </c>
      <c r="M28" s="87">
        <f>_xlfn.XLOOKUP(Grid_BD[[#This Row],[Affected Equipment ]],'Basic Data'!$A:$A,'Basic Data'!$B:$B)</f>
        <v>7099.2000000000007</v>
      </c>
      <c r="N28" s="245">
        <f>_xlfn.XLOOKUP(Grid_BD[[#This Row],[Affected Equipment ]],'Basic Data'!$A:$A,'Basic Data'!$C:$C)</f>
        <v>1</v>
      </c>
      <c r="O28" s="7" t="s">
        <v>1015</v>
      </c>
      <c r="P28" s="7" t="s">
        <v>199</v>
      </c>
      <c r="Q28" s="7" t="s">
        <v>1016</v>
      </c>
      <c r="S28" s="244">
        <v>0.30277777777777776</v>
      </c>
      <c r="V28" s="244">
        <v>0.31944444444444442</v>
      </c>
      <c r="Y28" s="100">
        <f>(Grid_BD[[#This Row],[Work Completion time on fault]]-Grid_BD[[#This Row],[Fault Time]])*24</f>
        <v>0.39999999999999991</v>
      </c>
      <c r="Z28" s="87">
        <f>(Grid_BD[[#This Row],[Work Completion time on fault]]-Grid_BD[[#This Row],[Fault Time]])*24</f>
        <v>0.39999999999999991</v>
      </c>
      <c r="AA28" s="217" t="s">
        <v>1017</v>
      </c>
      <c r="AB28" s="7" t="s">
        <v>184</v>
      </c>
      <c r="AC28" s="87">
        <f>IFERROR(Grid_BD[[#This Row],[Plant Equivalent Weightage]]*Grid_BD[[#This Row],[Resolution Time]],"")</f>
        <v>0.39999999999999991</v>
      </c>
      <c r="AD28" s="7">
        <v>0.08</v>
      </c>
      <c r="AE28" s="100">
        <f>IFERROR(_xlfn.XLOOKUP(Grid_BD[[#This Row],[Month Year]],'Modelling New'!$D:$D,'Modelling New'!$O:$O)*Grid_BD[[#This Row],[Lost PoA(kWh/m2)]]*Grid_BD[[#This Row],[DC Capacity Affected (kW)]],"")</f>
        <v>398.11280926968146</v>
      </c>
    </row>
    <row r="29" spans="1:31" x14ac:dyDescent="0.25">
      <c r="A29" s="7">
        <f t="shared" si="0"/>
        <v>28</v>
      </c>
      <c r="B29" s="241">
        <v>45822</v>
      </c>
      <c r="C29" s="86">
        <f>YEAR(Grid_BD[[#This Row],[Date]])+IF(MONTH(Grid_BD[[#This Row],[Date]])&gt;=4,1,0)</f>
        <v>2026</v>
      </c>
      <c r="D29" s="7">
        <f>YEAR(Grid_BD[[#This Row],[Date]])</f>
        <v>2025</v>
      </c>
      <c r="E29" s="56" t="s">
        <v>107</v>
      </c>
      <c r="F29" s="56" t="s">
        <v>107</v>
      </c>
      <c r="G29" s="242">
        <f>Grid_BD[[#This Row],[Date]]-DAY(Grid_BD[[#This Row],[Date]])+1</f>
        <v>45809</v>
      </c>
      <c r="H29" s="7">
        <f>DAY(EOMONTH(Grid_BD[[#This Row],[Month Year]],0))</f>
        <v>30</v>
      </c>
      <c r="I29" s="244">
        <f>_xlfn.XLOOKUP(Grid_BD[[#This Row],[Date]],'Raw Data'!$G:$G,'Raw Data'!$I:$I)</f>
        <v>0.21249999999999999</v>
      </c>
      <c r="J29" s="244">
        <f>_xlfn.XLOOKUP(Grid_BD[[#This Row],[Date]],'Raw Data'!$G:$G,'Raw Data'!$J:$J)</f>
        <v>0.79236111111111107</v>
      </c>
      <c r="K29" s="100">
        <f>IFERROR((Grid_BD[[#This Row],[Sunset Time (POA&lt;20 W/m2)]]-Grid_BD[[#This Row],[Sunrise Time (POA&gt;20 W/m2)]])*24,"")</f>
        <v>13.916666666666664</v>
      </c>
      <c r="L29" s="7" t="s">
        <v>282</v>
      </c>
      <c r="M29" s="87">
        <f>_xlfn.XLOOKUP(Grid_BD[[#This Row],[Affected Equipment ]],'Basic Data'!$A:$A,'Basic Data'!$B:$B)</f>
        <v>7099.2000000000007</v>
      </c>
      <c r="N29" s="245">
        <f>_xlfn.XLOOKUP(Grid_BD[[#This Row],[Affected Equipment ]],'Basic Data'!$A:$A,'Basic Data'!$C:$C)</f>
        <v>1</v>
      </c>
      <c r="O29" s="7" t="s">
        <v>1015</v>
      </c>
      <c r="P29" s="7" t="s">
        <v>199</v>
      </c>
      <c r="Q29" s="7" t="s">
        <v>1016</v>
      </c>
      <c r="S29" s="244">
        <v>0.35625000000000001</v>
      </c>
      <c r="V29" s="244">
        <v>0.37083333333333335</v>
      </c>
      <c r="Y29" s="100">
        <f>(Grid_BD[[#This Row],[Work Completion time on fault]]-Grid_BD[[#This Row],[Fault Time]])*24</f>
        <v>0.35000000000000009</v>
      </c>
      <c r="Z29" s="87">
        <f>(Grid_BD[[#This Row],[Work Completion time on fault]]-Grid_BD[[#This Row],[Fault Time]])*24</f>
        <v>0.35000000000000009</v>
      </c>
      <c r="AA29" s="217" t="s">
        <v>1017</v>
      </c>
      <c r="AB29" s="7" t="s">
        <v>184</v>
      </c>
      <c r="AC29" s="87">
        <f>IFERROR(Grid_BD[[#This Row],[Plant Equivalent Weightage]]*Grid_BD[[#This Row],[Resolution Time]],"")</f>
        <v>0.35000000000000009</v>
      </c>
      <c r="AD29" s="7">
        <v>0.12</v>
      </c>
      <c r="AE29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30" spans="1:31" x14ac:dyDescent="0.25">
      <c r="A30" s="7">
        <f t="shared" si="0"/>
        <v>29</v>
      </c>
      <c r="B30" s="241">
        <v>45824</v>
      </c>
      <c r="C30" s="86">
        <f>YEAR(Grid_BD[[#This Row],[Date]])+IF(MONTH(Grid_BD[[#This Row],[Date]])&gt;=4,1,0)</f>
        <v>2026</v>
      </c>
      <c r="D30" s="7">
        <f>YEAR(Grid_BD[[#This Row],[Date]])</f>
        <v>2025</v>
      </c>
      <c r="E30" s="56" t="s">
        <v>107</v>
      </c>
      <c r="F30" s="56" t="s">
        <v>107</v>
      </c>
      <c r="G30" s="242">
        <f>Grid_BD[[#This Row],[Date]]-DAY(Grid_BD[[#This Row],[Date]])+1</f>
        <v>45809</v>
      </c>
      <c r="H30" s="7">
        <f>DAY(EOMONTH(Grid_BD[[#This Row],[Month Year]],0))</f>
        <v>30</v>
      </c>
      <c r="I30" s="244">
        <f>_xlfn.XLOOKUP(Grid_BD[[#This Row],[Date]],'Raw Data'!$G:$G,'Raw Data'!$I:$I)</f>
        <v>0.22777777777777777</v>
      </c>
      <c r="J30" s="244">
        <f>_xlfn.XLOOKUP(Grid_BD[[#This Row],[Date]],'Raw Data'!$G:$G,'Raw Data'!$J:$J)</f>
        <v>0.77083333333333337</v>
      </c>
      <c r="K30" s="100">
        <f>IFERROR((Grid_BD[[#This Row],[Sunset Time (POA&lt;20 W/m2)]]-Grid_BD[[#This Row],[Sunrise Time (POA&gt;20 W/m2)]])*24,"")</f>
        <v>13.033333333333335</v>
      </c>
      <c r="L30" s="7" t="s">
        <v>282</v>
      </c>
      <c r="M30" s="87">
        <f>_xlfn.XLOOKUP(Grid_BD[[#This Row],[Affected Equipment ]],'Basic Data'!$A:$A,'Basic Data'!$B:$B)</f>
        <v>7099.2000000000007</v>
      </c>
      <c r="N30" s="245">
        <f>_xlfn.XLOOKUP(Grid_BD[[#This Row],[Affected Equipment ]],'Basic Data'!$A:$A,'Basic Data'!$C:$C)</f>
        <v>1</v>
      </c>
      <c r="O30" s="7" t="s">
        <v>1015</v>
      </c>
      <c r="P30" s="7" t="s">
        <v>199</v>
      </c>
      <c r="Q30" s="7" t="s">
        <v>1016</v>
      </c>
      <c r="S30" s="244">
        <v>0.3659722222222222</v>
      </c>
      <c r="V30" s="244">
        <v>0.38194444444444442</v>
      </c>
      <c r="Y30" s="100">
        <f>(Grid_BD[[#This Row],[Work Completion time on fault]]-Grid_BD[[#This Row],[Fault Time]])*24</f>
        <v>0.3833333333333333</v>
      </c>
      <c r="Z30" s="87">
        <f>(Grid_BD[[#This Row],[Work Completion time on fault]]-Grid_BD[[#This Row],[Fault Time]])*24</f>
        <v>0.3833333333333333</v>
      </c>
      <c r="AA30" s="217" t="s">
        <v>1017</v>
      </c>
      <c r="AB30" s="7" t="s">
        <v>184</v>
      </c>
      <c r="AC30" s="87">
        <f>IFERROR(Grid_BD[[#This Row],[Plant Equivalent Weightage]]*Grid_BD[[#This Row],[Resolution Time]],"")</f>
        <v>0.3833333333333333</v>
      </c>
      <c r="AD30" s="7">
        <v>0.15</v>
      </c>
      <c r="AE30" s="100">
        <f>IFERROR(_xlfn.XLOOKUP(Grid_BD[[#This Row],[Month Year]],'Modelling New'!$D:$D,'Modelling New'!$O:$O)*Grid_BD[[#This Row],[Lost PoA(kWh/m2)]]*Grid_BD[[#This Row],[DC Capacity Affected (kW)]],"")</f>
        <v>746.46151738065271</v>
      </c>
    </row>
    <row r="31" spans="1:31" x14ac:dyDescent="0.25">
      <c r="A31" s="7">
        <f t="shared" si="0"/>
        <v>30</v>
      </c>
      <c r="B31" s="241">
        <v>45824</v>
      </c>
      <c r="C31" s="86">
        <f>YEAR(Grid_BD[[#This Row],[Date]])+IF(MONTH(Grid_BD[[#This Row],[Date]])&gt;=4,1,0)</f>
        <v>2026</v>
      </c>
      <c r="D31" s="7">
        <f>YEAR(Grid_BD[[#This Row],[Date]])</f>
        <v>2025</v>
      </c>
      <c r="E31" s="56" t="s">
        <v>107</v>
      </c>
      <c r="F31" s="56" t="s">
        <v>107</v>
      </c>
      <c r="G31" s="242">
        <f>Grid_BD[[#This Row],[Date]]-DAY(Grid_BD[[#This Row],[Date]])+1</f>
        <v>45809</v>
      </c>
      <c r="H31" s="7">
        <f>DAY(EOMONTH(Grid_BD[[#This Row],[Month Year]],0))</f>
        <v>30</v>
      </c>
      <c r="I31" s="244">
        <f>_xlfn.XLOOKUP(Grid_BD[[#This Row],[Date]],'Raw Data'!$G:$G,'Raw Data'!$I:$I)</f>
        <v>0.22777777777777777</v>
      </c>
      <c r="J31" s="244">
        <f>_xlfn.XLOOKUP(Grid_BD[[#This Row],[Date]],'Raw Data'!$G:$G,'Raw Data'!$J:$J)</f>
        <v>0.77083333333333337</v>
      </c>
      <c r="K31" s="100">
        <f>IFERROR((Grid_BD[[#This Row],[Sunset Time (POA&lt;20 W/m2)]]-Grid_BD[[#This Row],[Sunrise Time (POA&gt;20 W/m2)]])*24,"")</f>
        <v>13.033333333333335</v>
      </c>
      <c r="L31" s="7" t="s">
        <v>282</v>
      </c>
      <c r="M31" s="87">
        <f>_xlfn.XLOOKUP(Grid_BD[[#This Row],[Affected Equipment ]],'Basic Data'!$A:$A,'Basic Data'!$B:$B)</f>
        <v>7099.2000000000007</v>
      </c>
      <c r="N31" s="245">
        <f>_xlfn.XLOOKUP(Grid_BD[[#This Row],[Affected Equipment ]],'Basic Data'!$A:$A,'Basic Data'!$C:$C)</f>
        <v>1</v>
      </c>
      <c r="O31" s="7" t="s">
        <v>1015</v>
      </c>
      <c r="P31" s="7" t="s">
        <v>199</v>
      </c>
      <c r="Q31" s="7" t="s">
        <v>1016</v>
      </c>
      <c r="S31" s="244">
        <v>0.7583333333333333</v>
      </c>
      <c r="V31" s="244">
        <v>0.77083333333333337</v>
      </c>
      <c r="Y31" s="100">
        <f>(Grid_BD[[#This Row],[Work Completion time on fault]]-Grid_BD[[#This Row],[Fault Time]])*24</f>
        <v>0.3000000000000016</v>
      </c>
      <c r="Z31" s="87">
        <f>(Grid_BD[[#This Row],[Work Completion time on fault]]-Grid_BD[[#This Row],[Fault Time]])*24</f>
        <v>0.3000000000000016</v>
      </c>
      <c r="AA31" s="217" t="s">
        <v>1017</v>
      </c>
      <c r="AB31" s="7" t="s">
        <v>184</v>
      </c>
      <c r="AC31" s="87">
        <f>IFERROR(Grid_BD[[#This Row],[Plant Equivalent Weightage]]*Grid_BD[[#This Row],[Resolution Time]],"")</f>
        <v>0.3000000000000016</v>
      </c>
      <c r="AD31" s="7">
        <v>2E-3</v>
      </c>
      <c r="AE31" s="100">
        <f>IFERROR(_xlfn.XLOOKUP(Grid_BD[[#This Row],[Month Year]],'Modelling New'!$D:$D,'Modelling New'!$O:$O)*Grid_BD[[#This Row],[Lost PoA(kWh/m2)]]*Grid_BD[[#This Row],[DC Capacity Affected (kW)]],"")</f>
        <v>9.9528202317420362</v>
      </c>
    </row>
    <row r="32" spans="1:31" x14ac:dyDescent="0.25">
      <c r="A32" s="7">
        <f t="shared" si="0"/>
        <v>31</v>
      </c>
      <c r="B32" s="241">
        <v>45825</v>
      </c>
      <c r="C32" s="86">
        <f>YEAR(Grid_BD[[#This Row],[Date]])+IF(MONTH(Grid_BD[[#This Row],[Date]])&gt;=4,1,0)</f>
        <v>2026</v>
      </c>
      <c r="D32" s="7">
        <f>YEAR(Grid_BD[[#This Row],[Date]])</f>
        <v>2025</v>
      </c>
      <c r="E32" s="56" t="s">
        <v>107</v>
      </c>
      <c r="F32" s="56" t="s">
        <v>107</v>
      </c>
      <c r="G32" s="242">
        <f>Grid_BD[[#This Row],[Date]]-DAY(Grid_BD[[#This Row],[Date]])+1</f>
        <v>45809</v>
      </c>
      <c r="H32" s="7">
        <f>DAY(EOMONTH(Grid_BD[[#This Row],[Month Year]],0))</f>
        <v>30</v>
      </c>
      <c r="I32" s="244">
        <f>_xlfn.XLOOKUP(Grid_BD[[#This Row],[Date]],'Raw Data'!$G:$G,'Raw Data'!$I:$I)</f>
        <v>0.23333333333333334</v>
      </c>
      <c r="J32" s="244">
        <f>_xlfn.XLOOKUP(Grid_BD[[#This Row],[Date]],'Raw Data'!$G:$G,'Raw Data'!$J:$J)</f>
        <v>0.79722222222222228</v>
      </c>
      <c r="K32" s="100">
        <f>IFERROR((Grid_BD[[#This Row],[Sunset Time (POA&lt;20 W/m2)]]-Grid_BD[[#This Row],[Sunrise Time (POA&gt;20 W/m2)]])*24,"")</f>
        <v>13.533333333333333</v>
      </c>
      <c r="L32" s="7" t="s">
        <v>282</v>
      </c>
      <c r="M32" s="87">
        <f>_xlfn.XLOOKUP(Grid_BD[[#This Row],[Affected Equipment ]],'Basic Data'!$A:$A,'Basic Data'!$B:$B)</f>
        <v>7099.2000000000007</v>
      </c>
      <c r="N32" s="245">
        <f>_xlfn.XLOOKUP(Grid_BD[[#This Row],[Affected Equipment ]],'Basic Data'!$A:$A,'Basic Data'!$C:$C)</f>
        <v>1</v>
      </c>
      <c r="O32" s="7" t="s">
        <v>1015</v>
      </c>
      <c r="P32" s="7" t="s">
        <v>199</v>
      </c>
      <c r="Q32" s="7" t="s">
        <v>1016</v>
      </c>
      <c r="S32" s="244">
        <v>0.67291666666666672</v>
      </c>
      <c r="V32" s="244">
        <v>0.69027777777777777</v>
      </c>
      <c r="Y32" s="100">
        <f>(Grid_BD[[#This Row],[Work Completion time on fault]]-Grid_BD[[#This Row],[Fault Time]])*24</f>
        <v>0.41666666666666519</v>
      </c>
      <c r="Z32" s="87">
        <f>(Grid_BD[[#This Row],[Work Completion time on fault]]-Grid_BD[[#This Row],[Fault Time]])*24</f>
        <v>0.41666666666666519</v>
      </c>
      <c r="AA32" s="217" t="s">
        <v>1017</v>
      </c>
      <c r="AB32" s="7" t="s">
        <v>184</v>
      </c>
      <c r="AC32" s="87">
        <f>IFERROR(Grid_BD[[#This Row],[Plant Equivalent Weightage]]*Grid_BD[[#This Row],[Resolution Time]],"")</f>
        <v>0.41666666666666519</v>
      </c>
      <c r="AD32" s="7">
        <v>7.0000000000000007E-2</v>
      </c>
      <c r="AE32" s="100">
        <f>IFERROR(_xlfn.XLOOKUP(Grid_BD[[#This Row],[Month Year]],'Modelling New'!$D:$D,'Modelling New'!$O:$O)*Grid_BD[[#This Row],[Lost PoA(kWh/m2)]]*Grid_BD[[#This Row],[DC Capacity Affected (kW)]],"")</f>
        <v>348.3487081109713</v>
      </c>
    </row>
    <row r="33" spans="1:31" x14ac:dyDescent="0.25">
      <c r="A33" s="7">
        <f t="shared" si="0"/>
        <v>32</v>
      </c>
      <c r="B33" s="241">
        <v>45829</v>
      </c>
      <c r="C33" s="86">
        <f>YEAR(Grid_BD[[#This Row],[Date]])+IF(MONTH(Grid_BD[[#This Row],[Date]])&gt;=4,1,0)</f>
        <v>2026</v>
      </c>
      <c r="D33" s="7">
        <f>YEAR(Grid_BD[[#This Row],[Date]])</f>
        <v>2025</v>
      </c>
      <c r="E33" s="56" t="s">
        <v>107</v>
      </c>
      <c r="F33" s="56" t="s">
        <v>107</v>
      </c>
      <c r="G33" s="242">
        <f>Grid_BD[[#This Row],[Date]]-DAY(Grid_BD[[#This Row],[Date]])+1</f>
        <v>45809</v>
      </c>
      <c r="H33" s="7">
        <f>DAY(EOMONTH(Grid_BD[[#This Row],[Month Year]],0))</f>
        <v>30</v>
      </c>
      <c r="I33" s="244">
        <f>_xlfn.XLOOKUP(Grid_BD[[#This Row],[Date]],'Raw Data'!$G:$G,'Raw Data'!$I:$I)</f>
        <v>0.2298611111111111</v>
      </c>
      <c r="J33" s="244">
        <f>_xlfn.XLOOKUP(Grid_BD[[#This Row],[Date]],'Raw Data'!$G:$G,'Raw Data'!$J:$J)</f>
        <v>0.79583333333333328</v>
      </c>
      <c r="K33" s="100">
        <f>IFERROR((Grid_BD[[#This Row],[Sunset Time (POA&lt;20 W/m2)]]-Grid_BD[[#This Row],[Sunrise Time (POA&gt;20 W/m2)]])*24,"")</f>
        <v>13.583333333333332</v>
      </c>
      <c r="L33" s="7" t="s">
        <v>282</v>
      </c>
      <c r="M33" s="87">
        <f>_xlfn.XLOOKUP(Grid_BD[[#This Row],[Affected Equipment ]],'Basic Data'!$A:$A,'Basic Data'!$B:$B)</f>
        <v>7099.2000000000007</v>
      </c>
      <c r="N33" s="245">
        <f>_xlfn.XLOOKUP(Grid_BD[[#This Row],[Affected Equipment ]],'Basic Data'!$A:$A,'Basic Data'!$C:$C)</f>
        <v>1</v>
      </c>
      <c r="O33" s="7" t="s">
        <v>1015</v>
      </c>
      <c r="P33" s="7" t="s">
        <v>199</v>
      </c>
      <c r="Q33" s="7" t="s">
        <v>1016</v>
      </c>
      <c r="S33" s="244">
        <v>0.74097222222222225</v>
      </c>
      <c r="V33" s="244">
        <v>0.74722222222222223</v>
      </c>
      <c r="Y33" s="100">
        <f>(Grid_BD[[#This Row],[Work Completion time on fault]]-Grid_BD[[#This Row],[Fault Time]])*24</f>
        <v>0.14999999999999947</v>
      </c>
      <c r="Z33" s="87">
        <f>(Grid_BD[[#This Row],[Work Completion time on fault]]-Grid_BD[[#This Row],[Fault Time]])*24</f>
        <v>0.14999999999999947</v>
      </c>
      <c r="AA33" s="217" t="s">
        <v>1017</v>
      </c>
      <c r="AB33" s="7" t="s">
        <v>184</v>
      </c>
      <c r="AC33" s="87">
        <f>IFERROR(Grid_BD[[#This Row],[Plant Equivalent Weightage]]*Grid_BD[[#This Row],[Resolution Time]],"")</f>
        <v>0.14999999999999947</v>
      </c>
      <c r="AD33" s="7">
        <v>0.01</v>
      </c>
      <c r="AE33" s="100">
        <f>IFERROR(_xlfn.XLOOKUP(Grid_BD[[#This Row],[Month Year]],'Modelling New'!$D:$D,'Modelling New'!$O:$O)*Grid_BD[[#This Row],[Lost PoA(kWh/m2)]]*Grid_BD[[#This Row],[DC Capacity Affected (kW)]],"")</f>
        <v>49.764101158710183</v>
      </c>
    </row>
    <row r="34" spans="1:31" x14ac:dyDescent="0.25">
      <c r="A34" s="7">
        <f t="shared" si="0"/>
        <v>33</v>
      </c>
      <c r="B34" s="241">
        <v>45831</v>
      </c>
      <c r="C34" s="86">
        <f>YEAR(Grid_BD[[#This Row],[Date]])+IF(MONTH(Grid_BD[[#This Row],[Date]])&gt;=4,1,0)</f>
        <v>2026</v>
      </c>
      <c r="D34" s="7">
        <f>YEAR(Grid_BD[[#This Row],[Date]])</f>
        <v>2025</v>
      </c>
      <c r="E34" s="56" t="s">
        <v>107</v>
      </c>
      <c r="F34" s="56" t="s">
        <v>107</v>
      </c>
      <c r="G34" s="242">
        <f>Grid_BD[[#This Row],[Date]]-DAY(Grid_BD[[#This Row],[Date]])+1</f>
        <v>45809</v>
      </c>
      <c r="H34" s="7">
        <f>DAY(EOMONTH(Grid_BD[[#This Row],[Month Year]],0))</f>
        <v>30</v>
      </c>
      <c r="I34" s="244">
        <f>_xlfn.XLOOKUP(Grid_BD[[#This Row],[Date]],'Raw Data'!$G:$G,'Raw Data'!$I:$I)</f>
        <v>0.23333333333333334</v>
      </c>
      <c r="J34" s="244">
        <f>_xlfn.XLOOKUP(Grid_BD[[#This Row],[Date]],'Raw Data'!$G:$G,'Raw Data'!$J:$J)</f>
        <v>0.79374999999999996</v>
      </c>
      <c r="K34" s="100">
        <f>IFERROR((Grid_BD[[#This Row],[Sunset Time (POA&lt;20 W/m2)]]-Grid_BD[[#This Row],[Sunrise Time (POA&gt;20 W/m2)]])*24,"")</f>
        <v>13.449999999999998</v>
      </c>
      <c r="L34" s="7" t="s">
        <v>282</v>
      </c>
      <c r="M34" s="87">
        <f>_xlfn.XLOOKUP(Grid_BD[[#This Row],[Affected Equipment ]],'Basic Data'!$A:$A,'Basic Data'!$B:$B)</f>
        <v>7099.2000000000007</v>
      </c>
      <c r="N34" s="245">
        <f>_xlfn.XLOOKUP(Grid_BD[[#This Row],[Affected Equipment ]],'Basic Data'!$A:$A,'Basic Data'!$C:$C)</f>
        <v>1</v>
      </c>
      <c r="O34" s="7" t="s">
        <v>1015</v>
      </c>
      <c r="P34" s="7" t="s">
        <v>199</v>
      </c>
      <c r="Q34" s="7" t="s">
        <v>1016</v>
      </c>
      <c r="S34" s="244">
        <v>0.32291666666666669</v>
      </c>
      <c r="V34" s="244">
        <v>0.34722222222222221</v>
      </c>
      <c r="Y34" s="100">
        <f>(Grid_BD[[#This Row],[Work Completion time on fault]]-Grid_BD[[#This Row],[Fault Time]])*24</f>
        <v>0.58333333333333259</v>
      </c>
      <c r="Z34" s="87">
        <f>(Grid_BD[[#This Row],[Work Completion time on fault]]-Grid_BD[[#This Row],[Fault Time]])*24</f>
        <v>0.58333333333333259</v>
      </c>
      <c r="AA34" s="217" t="s">
        <v>1017</v>
      </c>
      <c r="AB34" s="7" t="s">
        <v>184</v>
      </c>
      <c r="AC34" s="87">
        <f>IFERROR(Grid_BD[[#This Row],[Plant Equivalent Weightage]]*Grid_BD[[#This Row],[Resolution Time]],"")</f>
        <v>0.58333333333333259</v>
      </c>
      <c r="AD34" s="7">
        <v>0.12</v>
      </c>
      <c r="AE34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35" spans="1:31" x14ac:dyDescent="0.25">
      <c r="A35" s="7">
        <f t="shared" si="0"/>
        <v>34</v>
      </c>
      <c r="B35" s="241">
        <v>45841</v>
      </c>
      <c r="C35" s="86">
        <f>YEAR(Grid_BD[[#This Row],[Date]])+IF(MONTH(Grid_BD[[#This Row],[Date]])&gt;=4,1,0)</f>
        <v>2026</v>
      </c>
      <c r="D35" s="7">
        <f>YEAR(Grid_BD[[#This Row],[Date]])</f>
        <v>2025</v>
      </c>
      <c r="E35" s="56" t="s">
        <v>107</v>
      </c>
      <c r="F35" s="56" t="s">
        <v>107</v>
      </c>
      <c r="G35" s="242">
        <f>Grid_BD[[#This Row],[Date]]-DAY(Grid_BD[[#This Row],[Date]])+1</f>
        <v>45839</v>
      </c>
      <c r="H35" s="7">
        <f>DAY(EOMONTH(Grid_BD[[#This Row],[Month Year]],0))</f>
        <v>31</v>
      </c>
      <c r="I35" s="244">
        <f>_xlfn.XLOOKUP(Grid_BD[[#This Row],[Date]],'Raw Data'!$G:$G,'Raw Data'!$I:$I)</f>
        <v>0.23472222222222222</v>
      </c>
      <c r="J35" s="244">
        <f>_xlfn.XLOOKUP(Grid_BD[[#This Row],[Date]],'Raw Data'!$G:$G,'Raw Data'!$J:$J)</f>
        <v>0.78125</v>
      </c>
      <c r="K35" s="100">
        <f>IFERROR((Grid_BD[[#This Row],[Sunset Time (POA&lt;20 W/m2)]]-Grid_BD[[#This Row],[Sunrise Time (POA&gt;20 W/m2)]])*24,"")</f>
        <v>13.116666666666665</v>
      </c>
      <c r="L35" s="7" t="s">
        <v>282</v>
      </c>
      <c r="M35" s="87">
        <f>_xlfn.XLOOKUP(Grid_BD[[#This Row],[Affected Equipment ]],'Basic Data'!$A:$A,'Basic Data'!$B:$B)</f>
        <v>7099.2000000000007</v>
      </c>
      <c r="N35" s="245">
        <f>_xlfn.XLOOKUP(Grid_BD[[#This Row],[Affected Equipment ]],'Basic Data'!$A:$A,'Basic Data'!$C:$C)</f>
        <v>1</v>
      </c>
      <c r="O35" s="7" t="s">
        <v>1015</v>
      </c>
      <c r="P35" s="7" t="s">
        <v>199</v>
      </c>
      <c r="Q35" s="7" t="s">
        <v>1016</v>
      </c>
      <c r="S35" s="244">
        <v>0.47708333333333336</v>
      </c>
      <c r="V35" s="244">
        <v>0.49375000000000002</v>
      </c>
      <c r="Y35" s="100">
        <f>(Grid_BD[[#This Row],[Work Completion time on fault]]-Grid_BD[[#This Row],[Fault Time]])*24</f>
        <v>0.39999999999999991</v>
      </c>
      <c r="Z35" s="87">
        <f>(Grid_BD[[#This Row],[Work Completion time on fault]]-Grid_BD[[#This Row],[Fault Time]])*24</f>
        <v>0.39999999999999991</v>
      </c>
      <c r="AA35" s="217" t="s">
        <v>1017</v>
      </c>
      <c r="AB35" s="7" t="s">
        <v>184</v>
      </c>
      <c r="AC35" s="87">
        <f>IFERROR(Grid_BD[[#This Row],[Plant Equivalent Weightage]]*Grid_BD[[#This Row],[Resolution Time]],"")</f>
        <v>0.39999999999999991</v>
      </c>
      <c r="AD35" s="7">
        <v>0.27</v>
      </c>
      <c r="AE35" s="100">
        <f>IFERROR(_xlfn.XLOOKUP(Grid_BD[[#This Row],[Month Year]],'Modelling New'!$D:$D,'Modelling New'!$O:$O)*Grid_BD[[#This Row],[Lost PoA(kWh/m2)]]*Grid_BD[[#This Row],[DC Capacity Affected (kW)]],"")</f>
        <v>1403.8783889026868</v>
      </c>
    </row>
    <row r="36" spans="1:31" x14ac:dyDescent="0.25">
      <c r="A36" s="7">
        <f t="shared" si="0"/>
        <v>35</v>
      </c>
      <c r="B36" s="241">
        <v>45841</v>
      </c>
      <c r="C36" s="86">
        <f>YEAR(Grid_BD[[#This Row],[Date]])+IF(MONTH(Grid_BD[[#This Row],[Date]])&gt;=4,1,0)</f>
        <v>2026</v>
      </c>
      <c r="D36" s="7">
        <f>YEAR(Grid_BD[[#This Row],[Date]])</f>
        <v>2025</v>
      </c>
      <c r="E36" s="56" t="s">
        <v>107</v>
      </c>
      <c r="F36" s="56" t="s">
        <v>107</v>
      </c>
      <c r="G36" s="242">
        <f>Grid_BD[[#This Row],[Date]]-DAY(Grid_BD[[#This Row],[Date]])+1</f>
        <v>45839</v>
      </c>
      <c r="H36" s="7">
        <f>DAY(EOMONTH(Grid_BD[[#This Row],[Month Year]],0))</f>
        <v>31</v>
      </c>
      <c r="I36" s="244">
        <f>_xlfn.XLOOKUP(Grid_BD[[#This Row],[Date]],'Raw Data'!$G:$G,'Raw Data'!$I:$I)</f>
        <v>0.23472222222222222</v>
      </c>
      <c r="J36" s="244">
        <f>_xlfn.XLOOKUP(Grid_BD[[#This Row],[Date]],'Raw Data'!$G:$G,'Raw Data'!$J:$J)</f>
        <v>0.78125</v>
      </c>
      <c r="K36" s="100">
        <f>IFERROR((Grid_BD[[#This Row],[Sunset Time (POA&lt;20 W/m2)]]-Grid_BD[[#This Row],[Sunrise Time (POA&gt;20 W/m2)]])*24,"")</f>
        <v>13.116666666666665</v>
      </c>
      <c r="L36" s="7" t="s">
        <v>282</v>
      </c>
      <c r="M36" s="87">
        <f>_xlfn.XLOOKUP(Grid_BD[[#This Row],[Affected Equipment ]],'Basic Data'!$A:$A,'Basic Data'!$B:$B)</f>
        <v>7099.2000000000007</v>
      </c>
      <c r="N36" s="245">
        <f>_xlfn.XLOOKUP(Grid_BD[[#This Row],[Affected Equipment ]],'Basic Data'!$A:$A,'Basic Data'!$C:$C)</f>
        <v>1</v>
      </c>
      <c r="O36" s="7" t="s">
        <v>1015</v>
      </c>
      <c r="P36" s="7" t="s">
        <v>199</v>
      </c>
      <c r="Q36" s="7" t="s">
        <v>1016</v>
      </c>
      <c r="S36" s="244">
        <v>0.50208333333333333</v>
      </c>
      <c r="V36" s="244">
        <v>0.55902777777777779</v>
      </c>
      <c r="Y36" s="100">
        <f>(Grid_BD[[#This Row],[Work Completion time on fault]]-Grid_BD[[#This Row],[Fault Time]])*24</f>
        <v>1.3666666666666671</v>
      </c>
      <c r="Z36" s="87">
        <f>(Grid_BD[[#This Row],[Work Completion time on fault]]-Grid_BD[[#This Row],[Fault Time]])*24</f>
        <v>1.3666666666666671</v>
      </c>
      <c r="AA36" s="217" t="s">
        <v>1017</v>
      </c>
      <c r="AB36" s="7" t="s">
        <v>184</v>
      </c>
      <c r="AC36" s="87">
        <f>IFERROR(Grid_BD[[#This Row],[Plant Equivalent Weightage]]*Grid_BD[[#This Row],[Resolution Time]],"")</f>
        <v>1.3666666666666671</v>
      </c>
      <c r="AD36" s="7">
        <v>0.75</v>
      </c>
      <c r="AE36" s="100">
        <f>IFERROR(_xlfn.XLOOKUP(Grid_BD[[#This Row],[Month Year]],'Modelling New'!$D:$D,'Modelling New'!$O:$O)*Grid_BD[[#This Row],[Lost PoA(kWh/m2)]]*Grid_BD[[#This Row],[DC Capacity Affected (kW)]],"")</f>
        <v>3899.6621913963518</v>
      </c>
    </row>
    <row r="37" spans="1:31" x14ac:dyDescent="0.25">
      <c r="A37" s="7">
        <f t="shared" si="0"/>
        <v>36</v>
      </c>
      <c r="B37" s="241">
        <v>45841</v>
      </c>
      <c r="C37" s="86">
        <f>YEAR(Grid_BD[[#This Row],[Date]])+IF(MONTH(Grid_BD[[#This Row],[Date]])&gt;=4,1,0)</f>
        <v>2026</v>
      </c>
      <c r="D37" s="7">
        <f>YEAR(Grid_BD[[#This Row],[Date]])</f>
        <v>2025</v>
      </c>
      <c r="E37" s="56" t="s">
        <v>107</v>
      </c>
      <c r="F37" s="56" t="s">
        <v>107</v>
      </c>
      <c r="G37" s="242">
        <f>Grid_BD[[#This Row],[Date]]-DAY(Grid_BD[[#This Row],[Date]])+1</f>
        <v>45839</v>
      </c>
      <c r="H37" s="7">
        <f>DAY(EOMONTH(Grid_BD[[#This Row],[Month Year]],0))</f>
        <v>31</v>
      </c>
      <c r="I37" s="244">
        <f>_xlfn.XLOOKUP(Grid_BD[[#This Row],[Date]],'Raw Data'!$G:$G,'Raw Data'!$I:$I)</f>
        <v>0.23472222222222222</v>
      </c>
      <c r="J37" s="244">
        <f>_xlfn.XLOOKUP(Grid_BD[[#This Row],[Date]],'Raw Data'!$G:$G,'Raw Data'!$J:$J)</f>
        <v>0.78125</v>
      </c>
      <c r="K37" s="100">
        <f>IFERROR((Grid_BD[[#This Row],[Sunset Time (POA&lt;20 W/m2)]]-Grid_BD[[#This Row],[Sunrise Time (POA&gt;20 W/m2)]])*24,"")</f>
        <v>13.116666666666665</v>
      </c>
      <c r="L37" s="7" t="s">
        <v>282</v>
      </c>
      <c r="M37" s="87">
        <f>_xlfn.XLOOKUP(Grid_BD[[#This Row],[Affected Equipment ]],'Basic Data'!$A:$A,'Basic Data'!$B:$B)</f>
        <v>7099.2000000000007</v>
      </c>
      <c r="N37" s="245">
        <f>_xlfn.XLOOKUP(Grid_BD[[#This Row],[Affected Equipment ]],'Basic Data'!$A:$A,'Basic Data'!$C:$C)</f>
        <v>1</v>
      </c>
      <c r="O37" s="7" t="s">
        <v>1015</v>
      </c>
      <c r="P37" s="7" t="s">
        <v>199</v>
      </c>
      <c r="Q37" s="7" t="s">
        <v>1016</v>
      </c>
      <c r="S37" s="244">
        <v>0.62777777777777777</v>
      </c>
      <c r="V37" s="244">
        <v>0.63888888888888884</v>
      </c>
      <c r="Y37" s="100">
        <f>(Grid_BD[[#This Row],[Work Completion time on fault]]-Grid_BD[[#This Row],[Fault Time]])*24</f>
        <v>0.26666666666666572</v>
      </c>
      <c r="Z37" s="87">
        <f>(Grid_BD[[#This Row],[Work Completion time on fault]]-Grid_BD[[#This Row],[Fault Time]])*24</f>
        <v>0.26666666666666572</v>
      </c>
      <c r="AA37" s="217" t="s">
        <v>1017</v>
      </c>
      <c r="AB37" s="7" t="s">
        <v>184</v>
      </c>
      <c r="AC37" s="87">
        <f>IFERROR(Grid_BD[[#This Row],[Plant Equivalent Weightage]]*Grid_BD[[#This Row],[Resolution Time]],"")</f>
        <v>0.26666666666666572</v>
      </c>
      <c r="AD37" s="7">
        <v>0.16</v>
      </c>
      <c r="AE37" s="100">
        <f>IFERROR(_xlfn.XLOOKUP(Grid_BD[[#This Row],[Month Year]],'Modelling New'!$D:$D,'Modelling New'!$O:$O)*Grid_BD[[#This Row],[Lost PoA(kWh/m2)]]*Grid_BD[[#This Row],[DC Capacity Affected (kW)]],"")</f>
        <v>831.92793416455504</v>
      </c>
    </row>
    <row r="38" spans="1:31" x14ac:dyDescent="0.25">
      <c r="A38" s="7">
        <f t="shared" si="0"/>
        <v>37</v>
      </c>
      <c r="B38" s="241">
        <v>45842</v>
      </c>
      <c r="C38" s="86">
        <f>YEAR(Grid_BD[[#This Row],[Date]])+IF(MONTH(Grid_BD[[#This Row],[Date]])&gt;=4,1,0)</f>
        <v>2026</v>
      </c>
      <c r="D38" s="7">
        <f>YEAR(Grid_BD[[#This Row],[Date]])</f>
        <v>2025</v>
      </c>
      <c r="E38" s="56" t="s">
        <v>107</v>
      </c>
      <c r="F38" s="56" t="s">
        <v>107</v>
      </c>
      <c r="G38" s="242">
        <f>Grid_BD[[#This Row],[Date]]-DAY(Grid_BD[[#This Row],[Date]])+1</f>
        <v>45839</v>
      </c>
      <c r="H38" s="7">
        <f>DAY(EOMONTH(Grid_BD[[#This Row],[Month Year]],0))</f>
        <v>31</v>
      </c>
      <c r="I38" s="244">
        <f>_xlfn.XLOOKUP(Grid_BD[[#This Row],[Date]],'Raw Data'!$G:$G,'Raw Data'!$I:$I)</f>
        <v>0.22916666666666666</v>
      </c>
      <c r="J38" s="244">
        <f>_xlfn.XLOOKUP(Grid_BD[[#This Row],[Date]],'Raw Data'!$G:$G,'Raw Data'!$J:$J)</f>
        <v>0.78125</v>
      </c>
      <c r="K38" s="100">
        <f>IFERROR((Grid_BD[[#This Row],[Sunset Time (POA&lt;20 W/m2)]]-Grid_BD[[#This Row],[Sunrise Time (POA&gt;20 W/m2)]])*24,"")</f>
        <v>13.25</v>
      </c>
      <c r="L38" s="7" t="s">
        <v>282</v>
      </c>
      <c r="M38" s="87">
        <f>_xlfn.XLOOKUP(Grid_BD[[#This Row],[Affected Equipment ]],'Basic Data'!$A:$A,'Basic Data'!$B:$B)</f>
        <v>7099.2000000000007</v>
      </c>
      <c r="N38" s="245">
        <f>_xlfn.XLOOKUP(Grid_BD[[#This Row],[Affected Equipment ]],'Basic Data'!$A:$A,'Basic Data'!$C:$C)</f>
        <v>1</v>
      </c>
      <c r="O38" s="7" t="s">
        <v>1015</v>
      </c>
      <c r="P38" s="7" t="s">
        <v>199</v>
      </c>
      <c r="Q38" s="7" t="s">
        <v>1016</v>
      </c>
      <c r="S38" s="244">
        <v>0.39930555555555558</v>
      </c>
      <c r="V38" s="244">
        <v>0.41388888888888886</v>
      </c>
      <c r="Y38" s="100">
        <f>(Grid_BD[[#This Row],[Work Completion time on fault]]-Grid_BD[[#This Row],[Fault Time]])*24</f>
        <v>0.34999999999999876</v>
      </c>
      <c r="Z38" s="87">
        <f>(Grid_BD[[#This Row],[Work Completion time on fault]]-Grid_BD[[#This Row],[Fault Time]])*24</f>
        <v>0.34999999999999876</v>
      </c>
      <c r="AA38" s="217" t="s">
        <v>1017</v>
      </c>
      <c r="AB38" s="7" t="s">
        <v>184</v>
      </c>
      <c r="AC38" s="87">
        <f>IFERROR(Grid_BD[[#This Row],[Plant Equivalent Weightage]]*Grid_BD[[#This Row],[Resolution Time]],"")</f>
        <v>0.34999999999999876</v>
      </c>
      <c r="AD38" s="7">
        <v>0.18</v>
      </c>
      <c r="AE38" s="100">
        <f>IFERROR(_xlfn.XLOOKUP(Grid_BD[[#This Row],[Month Year]],'Modelling New'!$D:$D,'Modelling New'!$O:$O)*Grid_BD[[#This Row],[Lost PoA(kWh/m2)]]*Grid_BD[[#This Row],[DC Capacity Affected (kW)]],"")</f>
        <v>935.91892593512432</v>
      </c>
    </row>
    <row r="39" spans="1:31" x14ac:dyDescent="0.25">
      <c r="A39" s="7">
        <f t="shared" si="0"/>
        <v>38</v>
      </c>
      <c r="B39" s="241">
        <v>45847</v>
      </c>
      <c r="C39" s="86">
        <f>YEAR(Grid_BD[[#This Row],[Date]])+IF(MONTH(Grid_BD[[#This Row],[Date]])&gt;=4,1,0)</f>
        <v>2026</v>
      </c>
      <c r="D39" s="7">
        <f>YEAR(Grid_BD[[#This Row],[Date]])</f>
        <v>2025</v>
      </c>
      <c r="E39" s="56" t="s">
        <v>107</v>
      </c>
      <c r="F39" s="56" t="s">
        <v>107</v>
      </c>
      <c r="G39" s="242">
        <f>Grid_BD[[#This Row],[Date]]-DAY(Grid_BD[[#This Row],[Date]])+1</f>
        <v>45839</v>
      </c>
      <c r="H39" s="7">
        <f>DAY(EOMONTH(Grid_BD[[#This Row],[Month Year]],0))</f>
        <v>31</v>
      </c>
      <c r="I39" s="244">
        <f>_xlfn.XLOOKUP(Grid_BD[[#This Row],[Date]],'Raw Data'!$G:$G,'Raw Data'!$I:$I)</f>
        <v>0.2298611111111111</v>
      </c>
      <c r="J39" s="244">
        <f>_xlfn.XLOOKUP(Grid_BD[[#This Row],[Date]],'Raw Data'!$G:$G,'Raw Data'!$J:$J)</f>
        <v>0.79166666666666663</v>
      </c>
      <c r="K39" s="100">
        <f>IFERROR((Grid_BD[[#This Row],[Sunset Time (POA&lt;20 W/m2)]]-Grid_BD[[#This Row],[Sunrise Time (POA&gt;20 W/m2)]])*24,"")</f>
        <v>13.483333333333334</v>
      </c>
      <c r="L39" s="7" t="s">
        <v>282</v>
      </c>
      <c r="M39" s="87">
        <f>_xlfn.XLOOKUP(Grid_BD[[#This Row],[Affected Equipment ]],'Basic Data'!$A:$A,'Basic Data'!$B:$B)</f>
        <v>7099.2000000000007</v>
      </c>
      <c r="N39" s="245">
        <f>_xlfn.XLOOKUP(Grid_BD[[#This Row],[Affected Equipment ]],'Basic Data'!$A:$A,'Basic Data'!$C:$C)</f>
        <v>1</v>
      </c>
      <c r="O39" s="7" t="s">
        <v>1015</v>
      </c>
      <c r="P39" s="7" t="s">
        <v>199</v>
      </c>
      <c r="Q39" s="7" t="s">
        <v>1016</v>
      </c>
      <c r="S39" s="244">
        <v>0.37291666666666667</v>
      </c>
      <c r="V39" s="244">
        <v>0.39305555555555555</v>
      </c>
      <c r="Y39" s="100">
        <f>(Grid_BD[[#This Row],[Work Completion time on fault]]-Grid_BD[[#This Row],[Fault Time]])*24</f>
        <v>0.48333333333333295</v>
      </c>
      <c r="Z39" s="87">
        <f>(Grid_BD[[#This Row],[Work Completion time on fault]]-Grid_BD[[#This Row],[Fault Time]])*24</f>
        <v>0.48333333333333295</v>
      </c>
      <c r="AA39" s="217" t="s">
        <v>1017</v>
      </c>
      <c r="AB39" s="7" t="s">
        <v>184</v>
      </c>
      <c r="AC39" s="87">
        <f>IFERROR(Grid_BD[[#This Row],[Plant Equivalent Weightage]]*Grid_BD[[#This Row],[Resolution Time]],"")</f>
        <v>0.48333333333333295</v>
      </c>
      <c r="AD39" s="7">
        <v>0.2</v>
      </c>
      <c r="AE39" s="100">
        <f>IFERROR(_xlfn.XLOOKUP(Grid_BD[[#This Row],[Month Year]],'Modelling New'!$D:$D,'Modelling New'!$O:$O)*Grid_BD[[#This Row],[Lost PoA(kWh/m2)]]*Grid_BD[[#This Row],[DC Capacity Affected (kW)]],"")</f>
        <v>1039.9099177056939</v>
      </c>
    </row>
    <row r="40" spans="1:31" x14ac:dyDescent="0.25">
      <c r="A40" s="7">
        <f t="shared" si="0"/>
        <v>39</v>
      </c>
      <c r="B40" s="241">
        <v>45850</v>
      </c>
      <c r="C40" s="86">
        <f>YEAR(Grid_BD[[#This Row],[Date]])+IF(MONTH(Grid_BD[[#This Row],[Date]])&gt;=4,1,0)</f>
        <v>2026</v>
      </c>
      <c r="D40" s="7">
        <f>YEAR(Grid_BD[[#This Row],[Date]])</f>
        <v>2025</v>
      </c>
      <c r="E40" s="56" t="s">
        <v>107</v>
      </c>
      <c r="F40" s="56" t="s">
        <v>107</v>
      </c>
      <c r="G40" s="242">
        <f>Grid_BD[[#This Row],[Date]]-DAY(Grid_BD[[#This Row],[Date]])+1</f>
        <v>45839</v>
      </c>
      <c r="H40" s="7">
        <f>DAY(EOMONTH(Grid_BD[[#This Row],[Month Year]],0))</f>
        <v>31</v>
      </c>
      <c r="I40" s="244">
        <f>_xlfn.XLOOKUP(Grid_BD[[#This Row],[Date]],'Raw Data'!$G:$G,'Raw Data'!$I:$I)</f>
        <v>0.22847222222222222</v>
      </c>
      <c r="J40" s="244">
        <f>_xlfn.XLOOKUP(Grid_BD[[#This Row],[Date]],'Raw Data'!$G:$G,'Raw Data'!$J:$J)</f>
        <v>0.79236111111111107</v>
      </c>
      <c r="K40" s="100">
        <f>IFERROR((Grid_BD[[#This Row],[Sunset Time (POA&lt;20 W/m2)]]-Grid_BD[[#This Row],[Sunrise Time (POA&gt;20 W/m2)]])*24,"")</f>
        <v>13.533333333333333</v>
      </c>
      <c r="L40" s="7" t="s">
        <v>282</v>
      </c>
      <c r="M40" s="87">
        <f>_xlfn.XLOOKUP(Grid_BD[[#This Row],[Affected Equipment ]],'Basic Data'!$A:$A,'Basic Data'!$B:$B)</f>
        <v>7099.2000000000007</v>
      </c>
      <c r="N40" s="245">
        <f>_xlfn.XLOOKUP(Grid_BD[[#This Row],[Affected Equipment ]],'Basic Data'!$A:$A,'Basic Data'!$C:$C)</f>
        <v>1</v>
      </c>
      <c r="O40" s="7" t="s">
        <v>1015</v>
      </c>
      <c r="P40" s="7" t="s">
        <v>199</v>
      </c>
      <c r="Q40" s="7" t="s">
        <v>1016</v>
      </c>
      <c r="S40" s="244">
        <v>0.62569444444444444</v>
      </c>
      <c r="V40" s="244">
        <v>0.64097222222222228</v>
      </c>
      <c r="Y40" s="100">
        <f>(Grid_BD[[#This Row],[Work Completion time on fault]]-Grid_BD[[#This Row],[Fault Time]])*24</f>
        <v>0.36666666666666803</v>
      </c>
      <c r="Z40" s="87">
        <f>(Grid_BD[[#This Row],[Work Completion time on fault]]-Grid_BD[[#This Row],[Fault Time]])*24</f>
        <v>0.36666666666666803</v>
      </c>
      <c r="AA40" s="217" t="s">
        <v>1017</v>
      </c>
      <c r="AB40" s="7" t="s">
        <v>184</v>
      </c>
      <c r="AC40" s="87">
        <f>IFERROR(Grid_BD[[#This Row],[Plant Equivalent Weightage]]*Grid_BD[[#This Row],[Resolution Time]],"")</f>
        <v>0.36666666666666803</v>
      </c>
      <c r="AD40" s="7">
        <v>0.06</v>
      </c>
      <c r="AE40" s="100">
        <f>IFERROR(_xlfn.XLOOKUP(Grid_BD[[#This Row],[Month Year]],'Modelling New'!$D:$D,'Modelling New'!$O:$O)*Grid_BD[[#This Row],[Lost PoA(kWh/m2)]]*Grid_BD[[#This Row],[DC Capacity Affected (kW)]],"")</f>
        <v>311.97297531170813</v>
      </c>
    </row>
    <row r="41" spans="1:31" x14ac:dyDescent="0.25">
      <c r="A41" s="7">
        <f t="shared" si="0"/>
        <v>40</v>
      </c>
      <c r="B41" s="241">
        <v>45854</v>
      </c>
      <c r="C41" s="86">
        <f>YEAR(Grid_BD[[#This Row],[Date]])+IF(MONTH(Grid_BD[[#This Row],[Date]])&gt;=4,1,0)</f>
        <v>2026</v>
      </c>
      <c r="D41" s="7">
        <f>YEAR(Grid_BD[[#This Row],[Date]])</f>
        <v>2025</v>
      </c>
      <c r="E41" s="56" t="s">
        <v>107</v>
      </c>
      <c r="F41" s="56" t="s">
        <v>107</v>
      </c>
      <c r="G41" s="242">
        <f>Grid_BD[[#This Row],[Date]]-DAY(Grid_BD[[#This Row],[Date]])+1</f>
        <v>45839</v>
      </c>
      <c r="H41" s="7">
        <f>DAY(EOMONTH(Grid_BD[[#This Row],[Month Year]],0))</f>
        <v>31</v>
      </c>
      <c r="I41" s="244">
        <f>_xlfn.XLOOKUP(Grid_BD[[#This Row],[Date]],'Raw Data'!$G:$G,'Raw Data'!$I:$I)</f>
        <v>0.2361111111111111</v>
      </c>
      <c r="J41" s="244">
        <f>_xlfn.XLOOKUP(Grid_BD[[#This Row],[Date]],'Raw Data'!$G:$G,'Raw Data'!$J:$J)</f>
        <v>0.7944444444444444</v>
      </c>
      <c r="K41" s="100">
        <f>IFERROR((Grid_BD[[#This Row],[Sunset Time (POA&lt;20 W/m2)]]-Grid_BD[[#This Row],[Sunrise Time (POA&gt;20 W/m2)]])*24,"")</f>
        <v>13.4</v>
      </c>
      <c r="L41" s="7" t="s">
        <v>282</v>
      </c>
      <c r="M41" s="87">
        <f>_xlfn.XLOOKUP(Grid_BD[[#This Row],[Affected Equipment ]],'Basic Data'!$A:$A,'Basic Data'!$B:$B)</f>
        <v>7099.2000000000007</v>
      </c>
      <c r="N41" s="245">
        <f>_xlfn.XLOOKUP(Grid_BD[[#This Row],[Affected Equipment ]],'Basic Data'!$A:$A,'Basic Data'!$C:$C)</f>
        <v>1</v>
      </c>
      <c r="O41" s="7" t="s">
        <v>1015</v>
      </c>
      <c r="P41" s="7" t="s">
        <v>199</v>
      </c>
      <c r="Q41" s="7" t="s">
        <v>1016</v>
      </c>
      <c r="S41" s="244">
        <v>0.29375000000000001</v>
      </c>
      <c r="V41" s="244">
        <v>0.31597222222222221</v>
      </c>
      <c r="Y41" s="100">
        <f>(Grid_BD[[#This Row],[Work Completion time on fault]]-Grid_BD[[#This Row],[Fault Time]])*24</f>
        <v>0.53333333333333277</v>
      </c>
      <c r="Z41" s="87">
        <f>(Grid_BD[[#This Row],[Work Completion time on fault]]-Grid_BD[[#This Row],[Fault Time]])*24</f>
        <v>0.53333333333333277</v>
      </c>
      <c r="AA41" s="217" t="s">
        <v>1017</v>
      </c>
      <c r="AB41" s="7" t="s">
        <v>184</v>
      </c>
      <c r="AC41" s="87">
        <f>IFERROR(Grid_BD[[#This Row],[Plant Equivalent Weightage]]*Grid_BD[[#This Row],[Resolution Time]],"")</f>
        <v>0.53333333333333277</v>
      </c>
      <c r="AD41" s="7">
        <v>0.1</v>
      </c>
      <c r="AE41" s="100">
        <f>IFERROR(_xlfn.XLOOKUP(Grid_BD[[#This Row],[Month Year]],'Modelling New'!$D:$D,'Modelling New'!$O:$O)*Grid_BD[[#This Row],[Lost PoA(kWh/m2)]]*Grid_BD[[#This Row],[DC Capacity Affected (kW)]],"")</f>
        <v>519.95495885284697</v>
      </c>
    </row>
    <row r="42" spans="1:31" x14ac:dyDescent="0.25">
      <c r="A42" s="7">
        <f t="shared" si="0"/>
        <v>41</v>
      </c>
      <c r="B42" s="241">
        <v>45863</v>
      </c>
      <c r="C42" s="86">
        <f>YEAR(Grid_BD[[#This Row],[Date]])+IF(MONTH(Grid_BD[[#This Row],[Date]])&gt;=4,1,0)</f>
        <v>2026</v>
      </c>
      <c r="D42" s="7">
        <f>YEAR(Grid_BD[[#This Row],[Date]])</f>
        <v>2025</v>
      </c>
      <c r="E42" s="56" t="s">
        <v>107</v>
      </c>
      <c r="F42" s="56" t="s">
        <v>107</v>
      </c>
      <c r="G42" s="242">
        <f>Grid_BD[[#This Row],[Date]]-DAY(Grid_BD[[#This Row],[Date]])+1</f>
        <v>45839</v>
      </c>
      <c r="H42" s="7">
        <f>DAY(EOMONTH(Grid_BD[[#This Row],[Month Year]],0))</f>
        <v>31</v>
      </c>
      <c r="I42" s="244">
        <f>_xlfn.XLOOKUP(Grid_BD[[#This Row],[Date]],'Raw Data'!$G:$G,'Raw Data'!$I:$I)</f>
        <v>0.2361111111111111</v>
      </c>
      <c r="J42" s="244">
        <f>_xlfn.XLOOKUP(Grid_BD[[#This Row],[Date]],'Raw Data'!$G:$G,'Raw Data'!$J:$J)</f>
        <v>0.77083333333333337</v>
      </c>
      <c r="K42" s="100">
        <f>IFERROR((Grid_BD[[#This Row],[Sunset Time (POA&lt;20 W/m2)]]-Grid_BD[[#This Row],[Sunrise Time (POA&gt;20 W/m2)]])*24,"")</f>
        <v>12.833333333333336</v>
      </c>
      <c r="L42" s="7" t="s">
        <v>282</v>
      </c>
      <c r="M42" s="87">
        <f>_xlfn.XLOOKUP(Grid_BD[[#This Row],[Affected Equipment ]],'Basic Data'!$A:$A,'Basic Data'!$B:$B)</f>
        <v>7099.2000000000007</v>
      </c>
      <c r="N42" s="245">
        <f>_xlfn.XLOOKUP(Grid_BD[[#This Row],[Affected Equipment ]],'Basic Data'!$A:$A,'Basic Data'!$C:$C)</f>
        <v>1</v>
      </c>
      <c r="O42" s="7" t="s">
        <v>1015</v>
      </c>
      <c r="P42" s="7" t="s">
        <v>199</v>
      </c>
      <c r="Q42" s="7" t="s">
        <v>1016</v>
      </c>
      <c r="S42" s="244">
        <v>0.2722222222222222</v>
      </c>
      <c r="V42" s="244">
        <v>0.29444444444444445</v>
      </c>
      <c r="Y42" s="100">
        <f>(Grid_BD[[#This Row],[Work Completion time on fault]]-Grid_BD[[#This Row],[Fault Time]])*24</f>
        <v>0.5333333333333341</v>
      </c>
      <c r="Z42" s="87">
        <f>(Grid_BD[[#This Row],[Work Completion time on fault]]-Grid_BD[[#This Row],[Fault Time]])*24</f>
        <v>0.5333333333333341</v>
      </c>
      <c r="AA42" s="217" t="s">
        <v>1017</v>
      </c>
      <c r="AB42" s="7" t="s">
        <v>184</v>
      </c>
      <c r="AC42" s="87">
        <f>IFERROR(Grid_BD[[#This Row],[Plant Equivalent Weightage]]*Grid_BD[[#This Row],[Resolution Time]],"")</f>
        <v>0.5333333333333341</v>
      </c>
      <c r="AD42" s="7">
        <v>0.01</v>
      </c>
      <c r="AE42" s="100">
        <f>IFERROR(_xlfn.XLOOKUP(Grid_BD[[#This Row],[Month Year]],'Modelling New'!$D:$D,'Modelling New'!$O:$O)*Grid_BD[[#This Row],[Lost PoA(kWh/m2)]]*Grid_BD[[#This Row],[DC Capacity Affected (kW)]],"")</f>
        <v>51.99549588528469</v>
      </c>
    </row>
    <row r="43" spans="1:31" x14ac:dyDescent="0.25">
      <c r="A43" s="7">
        <f t="shared" si="0"/>
        <v>42</v>
      </c>
      <c r="B43" s="241">
        <v>45865</v>
      </c>
      <c r="C43" s="86">
        <f>YEAR(Grid_BD[[#This Row],[Date]])+IF(MONTH(Grid_BD[[#This Row],[Date]])&gt;=4,1,0)</f>
        <v>2026</v>
      </c>
      <c r="D43" s="7">
        <f>YEAR(Grid_BD[[#This Row],[Date]])</f>
        <v>2025</v>
      </c>
      <c r="E43" s="56" t="s">
        <v>107</v>
      </c>
      <c r="F43" s="56" t="s">
        <v>107</v>
      </c>
      <c r="G43" s="242">
        <f>Grid_BD[[#This Row],[Date]]-DAY(Grid_BD[[#This Row],[Date]])+1</f>
        <v>45839</v>
      </c>
      <c r="H43" s="7">
        <f>DAY(EOMONTH(Grid_BD[[#This Row],[Month Year]],0))</f>
        <v>31</v>
      </c>
      <c r="I43" s="244">
        <f>_xlfn.XLOOKUP(Grid_BD[[#This Row],[Date]],'Raw Data'!$G:$G,'Raw Data'!$I:$I)</f>
        <v>0.23402777777777778</v>
      </c>
      <c r="J43" s="244">
        <f>_xlfn.XLOOKUP(Grid_BD[[#This Row],[Date]],'Raw Data'!$G:$G,'Raw Data'!$J:$J)</f>
        <v>0.77083333333333337</v>
      </c>
      <c r="K43" s="100">
        <f>IFERROR((Grid_BD[[#This Row],[Sunset Time (POA&lt;20 W/m2)]]-Grid_BD[[#This Row],[Sunrise Time (POA&gt;20 W/m2)]])*24,"")</f>
        <v>12.883333333333333</v>
      </c>
      <c r="L43" s="7" t="s">
        <v>282</v>
      </c>
      <c r="M43" s="87">
        <f>_xlfn.XLOOKUP(Grid_BD[[#This Row],[Affected Equipment ]],'Basic Data'!$A:$A,'Basic Data'!$B:$B)</f>
        <v>7099.2000000000007</v>
      </c>
      <c r="N43" s="245">
        <f>_xlfn.XLOOKUP(Grid_BD[[#This Row],[Affected Equipment ]],'Basic Data'!$A:$A,'Basic Data'!$C:$C)</f>
        <v>1</v>
      </c>
      <c r="O43" s="7" t="s">
        <v>1015</v>
      </c>
      <c r="P43" s="7" t="s">
        <v>199</v>
      </c>
      <c r="Q43" s="7" t="s">
        <v>1016</v>
      </c>
      <c r="S43" s="244">
        <v>0.40555555555555556</v>
      </c>
      <c r="V43" s="244">
        <v>0.46458333333333335</v>
      </c>
      <c r="Y43" s="100">
        <f>(Grid_BD[[#This Row],[Work Completion time on fault]]-Grid_BD[[#This Row],[Fault Time]])*24</f>
        <v>1.416666666666667</v>
      </c>
      <c r="Z43" s="87">
        <f>(Grid_BD[[#This Row],[Work Completion time on fault]]-Grid_BD[[#This Row],[Fault Time]])*24</f>
        <v>1.416666666666667</v>
      </c>
      <c r="AA43" s="217" t="s">
        <v>1017</v>
      </c>
      <c r="AB43" s="7" t="s">
        <v>184</v>
      </c>
      <c r="AC43" s="87">
        <f>IFERROR(Grid_BD[[#This Row],[Plant Equivalent Weightage]]*Grid_BD[[#This Row],[Resolution Time]],"")</f>
        <v>1.416666666666667</v>
      </c>
      <c r="AD43" s="7">
        <v>0.75</v>
      </c>
      <c r="AE43" s="100">
        <f>IFERROR(_xlfn.XLOOKUP(Grid_BD[[#This Row],[Month Year]],'Modelling New'!$D:$D,'Modelling New'!$O:$O)*Grid_BD[[#This Row],[Lost PoA(kWh/m2)]]*Grid_BD[[#This Row],[DC Capacity Affected (kW)]],"")</f>
        <v>3899.6621913963518</v>
      </c>
    </row>
    <row r="44" spans="1:31" x14ac:dyDescent="0.25">
      <c r="A44" s="7">
        <f t="shared" si="0"/>
        <v>43</v>
      </c>
      <c r="B44" s="241">
        <v>45869</v>
      </c>
      <c r="C44" s="86">
        <f>YEAR(Grid_BD[[#This Row],[Date]])+IF(MONTH(Grid_BD[[#This Row],[Date]])&gt;=4,1,0)</f>
        <v>2026</v>
      </c>
      <c r="D44" s="250">
        <f>YEAR(Grid_BD[[#This Row],[Date]])</f>
        <v>2025</v>
      </c>
      <c r="E44" s="56" t="s">
        <v>107</v>
      </c>
      <c r="F44" s="56" t="s">
        <v>107</v>
      </c>
      <c r="G44" s="251">
        <f>Grid_BD[[#This Row],[Date]]-DAY(Grid_BD[[#This Row],[Date]])+1</f>
        <v>45839</v>
      </c>
      <c r="H44" s="252">
        <f>DAY(EOMONTH(Grid_BD[[#This Row],[Month Year]],0))</f>
        <v>31</v>
      </c>
      <c r="I44" s="244">
        <f>_xlfn.XLOOKUP(Grid_BD[[#This Row],[Date]],'Raw Data'!$G:$G,'Raw Data'!$I:$I)</f>
        <v>0.23541666666666666</v>
      </c>
      <c r="J44" s="244">
        <f>_xlfn.XLOOKUP(Grid_BD[[#This Row],[Date]],'Raw Data'!$G:$G,'Raw Data'!$J:$J)</f>
        <v>0.78125</v>
      </c>
      <c r="K44" s="100">
        <f>IFERROR((Grid_BD[[#This Row],[Sunset Time (POA&lt;20 W/m2)]]-Grid_BD[[#This Row],[Sunrise Time (POA&gt;20 W/m2)]])*24,"")</f>
        <v>13.100000000000001</v>
      </c>
      <c r="L44" s="7" t="s">
        <v>282</v>
      </c>
      <c r="M44" s="87">
        <f>_xlfn.XLOOKUP(Grid_BD[[#This Row],[Affected Equipment ]],'Basic Data'!$A:$A,'Basic Data'!$B:$B)</f>
        <v>7099.2000000000007</v>
      </c>
      <c r="N44" s="245">
        <f>_xlfn.XLOOKUP(Grid_BD[[#This Row],[Affected Equipment ]],'Basic Data'!$A:$A,'Basic Data'!$C:$C)</f>
        <v>1</v>
      </c>
      <c r="O44" s="7" t="s">
        <v>1015</v>
      </c>
      <c r="P44" s="7" t="s">
        <v>199</v>
      </c>
      <c r="Q44" s="7" t="s">
        <v>1016</v>
      </c>
      <c r="S44" s="244">
        <v>0.58194444444444449</v>
      </c>
      <c r="T44" s="7" t="s">
        <v>1155</v>
      </c>
      <c r="U44" s="7" t="s">
        <v>1155</v>
      </c>
      <c r="V44" s="244">
        <v>0.61458333333333337</v>
      </c>
      <c r="Y44" s="100">
        <f>(Grid_BD[[#This Row],[Work Completion time on fault]]-Grid_BD[[#This Row],[Fault Time]])*24</f>
        <v>0.78333333333333321</v>
      </c>
      <c r="Z44" s="87">
        <f>(Grid_BD[[#This Row],[Work Completion time on fault]]-Grid_BD[[#This Row],[Fault Time]])*24</f>
        <v>0.78333333333333321</v>
      </c>
      <c r="AA44" s="253" t="s">
        <v>1156</v>
      </c>
      <c r="AB44" s="7" t="s">
        <v>184</v>
      </c>
      <c r="AC44" s="87">
        <f>IFERROR(Grid_BD[[#This Row],[Plant Equivalent Weightage]]*Grid_BD[[#This Row],[Resolution Time]],"")</f>
        <v>0.78333333333333321</v>
      </c>
      <c r="AD44" s="7">
        <v>0.42</v>
      </c>
      <c r="AE44" s="100">
        <f>IFERROR(_xlfn.XLOOKUP(Grid_BD[[#This Row],[Month Year]],'Modelling New'!$D:$D,'Modelling New'!$O:$O)*Grid_BD[[#This Row],[Lost PoA(kWh/m2)]]*Grid_BD[[#This Row],[DC Capacity Affected (kW)]],"")</f>
        <v>2183.8108271819565</v>
      </c>
    </row>
    <row r="45" spans="1:31" x14ac:dyDescent="0.25">
      <c r="A45" s="7">
        <f t="shared" si="0"/>
        <v>44</v>
      </c>
      <c r="B45" s="241">
        <v>45870</v>
      </c>
      <c r="C45" s="86">
        <f>YEAR(Grid_BD[[#This Row],[Date]])+IF(MONTH(Grid_BD[[#This Row],[Date]])&gt;=4,1,0)</f>
        <v>2026</v>
      </c>
      <c r="D45" s="250">
        <f>YEAR(Grid_BD[[#This Row],[Date]])</f>
        <v>2025</v>
      </c>
      <c r="E45" s="56" t="s">
        <v>107</v>
      </c>
      <c r="F45" s="56" t="s">
        <v>107</v>
      </c>
      <c r="G45" s="251">
        <f>Grid_BD[[#This Row],[Date]]-DAY(Grid_BD[[#This Row],[Date]])+1</f>
        <v>45870</v>
      </c>
      <c r="H45" s="252">
        <f>DAY(EOMONTH(Grid_BD[[#This Row],[Month Year]],0))</f>
        <v>31</v>
      </c>
      <c r="I45" s="244">
        <f>_xlfn.XLOOKUP(Grid_BD[[#This Row],[Date]],'Raw Data'!$G:$G,'Raw Data'!$I:$I)</f>
        <v>0.23680555555555555</v>
      </c>
      <c r="J45" s="244">
        <f>_xlfn.XLOOKUP(Grid_BD[[#This Row],[Date]],'Raw Data'!$G:$G,'Raw Data'!$J:$J)</f>
        <v>0.78194444444444444</v>
      </c>
      <c r="K45" s="100">
        <f>IFERROR((Grid_BD[[#This Row],[Sunset Time (POA&lt;20 W/m2)]]-Grid_BD[[#This Row],[Sunrise Time (POA&gt;20 W/m2)]])*24,"")</f>
        <v>13.083333333333332</v>
      </c>
      <c r="L45" s="7" t="s">
        <v>282</v>
      </c>
      <c r="M45" s="87">
        <f>_xlfn.XLOOKUP(Grid_BD[[#This Row],[Affected Equipment ]],'Basic Data'!$A:$A,'Basic Data'!$B:$B)</f>
        <v>7099.2000000000007</v>
      </c>
      <c r="N45" s="245">
        <f>_xlfn.XLOOKUP(Grid_BD[[#This Row],[Affected Equipment ]],'Basic Data'!$A:$A,'Basic Data'!$C:$C)</f>
        <v>1</v>
      </c>
      <c r="O45" s="7" t="s">
        <v>1015</v>
      </c>
      <c r="P45" s="7" t="s">
        <v>199</v>
      </c>
      <c r="Q45" s="7" t="s">
        <v>1016</v>
      </c>
      <c r="S45" s="244">
        <v>0.47847222222222224</v>
      </c>
      <c r="T45" s="7" t="s">
        <v>1155</v>
      </c>
      <c r="U45" s="7" t="s">
        <v>1155</v>
      </c>
      <c r="V45" s="244">
        <v>0.57847222222222228</v>
      </c>
      <c r="Y45" s="100">
        <f>(Grid_BD[[#This Row],[Work Completion time on fault]]-Grid_BD[[#This Row],[Fault Time]])*24</f>
        <v>2.4000000000000008</v>
      </c>
      <c r="Z45" s="87">
        <f>(Grid_BD[[#This Row],[Work Completion time on fault]]-Grid_BD[[#This Row],[Fault Time]])*24</f>
        <v>2.4000000000000008</v>
      </c>
      <c r="AA45" s="253" t="s">
        <v>1157</v>
      </c>
      <c r="AB45" s="7" t="s">
        <v>184</v>
      </c>
      <c r="AC45" s="87">
        <f>IFERROR(Grid_BD[[#This Row],[Plant Equivalent Weightage]]*Grid_BD[[#This Row],[Resolution Time]],"")</f>
        <v>2.4000000000000008</v>
      </c>
      <c r="AD45" s="7">
        <v>1.55</v>
      </c>
      <c r="AE45" s="100">
        <f>IFERROR(_xlfn.XLOOKUP(Grid_BD[[#This Row],[Month Year]],'Modelling New'!$D:$D,'Modelling New'!$O:$O)*Grid_BD[[#This Row],[Lost PoA(kWh/m2)]]*Grid_BD[[#This Row],[DC Capacity Affected (kW)]],"")</f>
        <v>8052.2627453237992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3D1B17-0A23-4519-B778-A2E831ACAFAE}">
          <x14:formula1>
            <xm:f>'Basic Data'!$A$2:$A$724</xm:f>
          </x14:formula1>
          <xm:sqref>L2:L1048576</xm:sqref>
        </x14:dataValidation>
        <x14:dataValidation type="list" allowBlank="1" showInputMessage="1" showErrorMessage="1" xr:uid="{872F57FF-1780-4E9A-92B6-CF74A25588D2}">
          <x14:formula1>
            <xm:f>'Basic Data'!$H$2:$H$3</xm:f>
          </x14:formula1>
          <xm:sqref>AB2:AB1048576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D5A9A-618D-48C0-8EC8-58067A8E3135}">
  <dimension ref="A1:U5"/>
  <sheetViews>
    <sheetView topLeftCell="C1" workbookViewId="0">
      <selection activeCell="R3" sqref="R3"/>
    </sheetView>
  </sheetViews>
  <sheetFormatPr defaultColWidth="9.85546875" defaultRowHeight="15.6" customHeight="1" x14ac:dyDescent="0.25"/>
  <cols>
    <col min="1" max="5" width="9.85546875" style="217"/>
    <col min="6" max="6" width="12.140625" style="217" customWidth="1"/>
    <col min="7" max="10" width="9.85546875" style="217"/>
    <col min="11" max="11" width="11.85546875" style="217" customWidth="1"/>
    <col min="12" max="19" width="9.85546875" style="217"/>
    <col min="20" max="20" width="12.140625" style="217" customWidth="1"/>
    <col min="21" max="16384" width="9.85546875" style="217"/>
  </cols>
  <sheetData>
    <row r="1" spans="1:21" s="7" customFormat="1" ht="65.099999999999994" customHeight="1" x14ac:dyDescent="0.25">
      <c r="A1" s="207" t="s">
        <v>1118</v>
      </c>
      <c r="B1" s="208" t="s">
        <v>77</v>
      </c>
      <c r="C1" s="208" t="s">
        <v>33</v>
      </c>
      <c r="D1" s="208" t="s">
        <v>1111</v>
      </c>
      <c r="E1" s="208" t="s">
        <v>1119</v>
      </c>
      <c r="F1" s="208" t="s">
        <v>1120</v>
      </c>
      <c r="G1" s="208" t="s">
        <v>1121</v>
      </c>
      <c r="H1" s="208" t="s">
        <v>1122</v>
      </c>
      <c r="I1" s="208" t="s">
        <v>1123</v>
      </c>
      <c r="J1" s="208" t="s">
        <v>1124</v>
      </c>
      <c r="K1" s="208" t="s">
        <v>1125</v>
      </c>
      <c r="L1" s="208" t="s">
        <v>1126</v>
      </c>
      <c r="M1" s="208" t="s">
        <v>1127</v>
      </c>
      <c r="N1" s="208" t="s">
        <v>1128</v>
      </c>
      <c r="O1" s="208" t="s">
        <v>1129</v>
      </c>
      <c r="P1" s="208" t="s">
        <v>1130</v>
      </c>
      <c r="Q1" s="208" t="s">
        <v>1131</v>
      </c>
      <c r="R1" s="208" t="s">
        <v>1132</v>
      </c>
      <c r="S1" s="208" t="s">
        <v>1133</v>
      </c>
      <c r="T1" s="208" t="s">
        <v>1134</v>
      </c>
      <c r="U1" s="208" t="s">
        <v>1135</v>
      </c>
    </row>
    <row r="2" spans="1:21" ht="15.6" customHeight="1" x14ac:dyDescent="0.25">
      <c r="A2" s="209">
        <v>1</v>
      </c>
      <c r="B2" s="210">
        <f>Curtailment[[#This Row],[Date]]-DAY(Curtailment[[#This Row],[Date]])+1</f>
        <v>45870</v>
      </c>
      <c r="C2" s="211">
        <v>45870</v>
      </c>
      <c r="D2" s="212"/>
      <c r="E2" s="212"/>
      <c r="F2" s="212"/>
      <c r="G2" s="212"/>
      <c r="H2" s="213"/>
      <c r="I2" s="213"/>
      <c r="J2" s="213">
        <f>I2-H2</f>
        <v>0</v>
      </c>
      <c r="K2" s="213">
        <f>(J2/0.041677)</f>
        <v>0</v>
      </c>
      <c r="L2" s="212"/>
      <c r="M2" s="212"/>
      <c r="N2" s="214"/>
      <c r="O2" s="214">
        <f t="shared" ref="O2:O5" si="0">(N2-M2)</f>
        <v>0</v>
      </c>
      <c r="P2" s="214"/>
      <c r="Q2" s="215"/>
      <c r="R2" s="216">
        <f>(M2*P2*Q2)/100</f>
        <v>0</v>
      </c>
      <c r="S2" s="212"/>
      <c r="T2" s="212"/>
      <c r="U2" s="212"/>
    </row>
    <row r="3" spans="1:21" ht="15.6" customHeight="1" x14ac:dyDescent="0.25">
      <c r="A3" s="209">
        <v>2</v>
      </c>
      <c r="B3" s="210">
        <f>Curtailment[[#This Row],[Date]]-DAY(Curtailment[[#This Row],[Date]])+1</f>
        <v>1</v>
      </c>
      <c r="C3" s="211"/>
      <c r="D3" s="212"/>
      <c r="E3" s="212"/>
      <c r="F3" s="212"/>
      <c r="G3" s="212"/>
      <c r="H3" s="213"/>
      <c r="I3" s="213"/>
      <c r="J3" s="213">
        <f>I3-H3</f>
        <v>0</v>
      </c>
      <c r="K3" s="213">
        <f>(J3/0.041677)</f>
        <v>0</v>
      </c>
      <c r="L3" s="212"/>
      <c r="M3" s="212"/>
      <c r="N3" s="214"/>
      <c r="O3" s="214">
        <f t="shared" si="0"/>
        <v>0</v>
      </c>
      <c r="P3" s="214"/>
      <c r="Q3" s="215"/>
      <c r="R3" s="216">
        <f t="shared" ref="R3:R5" si="1">(M3*P3*Q3)/100</f>
        <v>0</v>
      </c>
      <c r="S3" s="212"/>
      <c r="T3" s="212"/>
      <c r="U3" s="212"/>
    </row>
    <row r="4" spans="1:21" ht="15.6" customHeight="1" x14ac:dyDescent="0.25">
      <c r="A4" s="209">
        <v>3</v>
      </c>
      <c r="B4" s="210">
        <f>Curtailment[[#This Row],[Date]]-DAY(Curtailment[[#This Row],[Date]])+1</f>
        <v>1</v>
      </c>
      <c r="C4" s="211"/>
      <c r="D4" s="212"/>
      <c r="E4" s="212"/>
      <c r="F4" s="212"/>
      <c r="G4" s="212"/>
      <c r="H4" s="213"/>
      <c r="I4" s="213"/>
      <c r="J4" s="213">
        <f t="shared" ref="J4:J5" si="2">I4-H4</f>
        <v>0</v>
      </c>
      <c r="K4" s="213">
        <f t="shared" ref="K4:K5" si="3">(J4/0.041677)</f>
        <v>0</v>
      </c>
      <c r="L4" s="212"/>
      <c r="M4" s="212"/>
      <c r="N4" s="214"/>
      <c r="O4" s="214">
        <f t="shared" si="0"/>
        <v>0</v>
      </c>
      <c r="P4" s="214"/>
      <c r="Q4" s="215"/>
      <c r="R4" s="216">
        <f t="shared" si="1"/>
        <v>0</v>
      </c>
      <c r="S4" s="212"/>
      <c r="T4" s="212"/>
      <c r="U4" s="212"/>
    </row>
    <row r="5" spans="1:21" ht="15.6" customHeight="1" x14ac:dyDescent="0.25">
      <c r="A5" s="218">
        <v>4</v>
      </c>
      <c r="B5" s="219">
        <f>Curtailment[[#This Row],[Date]]-DAY(Curtailment[[#This Row],[Date]])+1</f>
        <v>1</v>
      </c>
      <c r="C5" s="220"/>
      <c r="D5" s="221"/>
      <c r="E5" s="221"/>
      <c r="F5" s="221"/>
      <c r="G5" s="221"/>
      <c r="H5" s="222"/>
      <c r="I5" s="222"/>
      <c r="J5" s="222">
        <f t="shared" si="2"/>
        <v>0</v>
      </c>
      <c r="K5" s="222">
        <f t="shared" si="3"/>
        <v>0</v>
      </c>
      <c r="L5" s="221"/>
      <c r="M5" s="221"/>
      <c r="N5" s="223"/>
      <c r="O5" s="223">
        <f t="shared" si="0"/>
        <v>0</v>
      </c>
      <c r="P5" s="223"/>
      <c r="Q5" s="224"/>
      <c r="R5" s="225">
        <f t="shared" si="1"/>
        <v>0</v>
      </c>
      <c r="S5" s="221"/>
      <c r="T5" s="221"/>
      <c r="U5" s="221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I120" activePane="bottomRight" state="frozen"/>
      <selection pane="topRight" activeCell="I2" sqref="I2"/>
      <selection pane="bottomLeft" activeCell="A3" sqref="A3"/>
      <selection pane="bottomRight" activeCell="I134" sqref="I134"/>
    </sheetView>
  </sheetViews>
  <sheetFormatPr defaultRowHeight="15" x14ac:dyDescent="0.25"/>
  <cols>
    <col min="1" max="5" width="13.42578125" customWidth="1"/>
    <col min="6" max="6" width="10.85546875" style="77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9" customFormat="1" ht="38.25" x14ac:dyDescent="0.25">
      <c r="A2" s="49" t="s">
        <v>7</v>
      </c>
      <c r="B2" s="49" t="s">
        <v>81</v>
      </c>
      <c r="C2" s="49" t="s">
        <v>83</v>
      </c>
      <c r="D2" s="49" t="s">
        <v>84</v>
      </c>
      <c r="E2" s="49" t="s">
        <v>85</v>
      </c>
      <c r="F2" s="49" t="s">
        <v>86</v>
      </c>
      <c r="G2" s="49" t="s">
        <v>62</v>
      </c>
      <c r="H2" s="52" t="s">
        <v>33</v>
      </c>
      <c r="I2" s="49" t="s">
        <v>1027</v>
      </c>
      <c r="J2" s="49" t="s">
        <v>1028</v>
      </c>
      <c r="K2" s="49" t="s">
        <v>88</v>
      </c>
      <c r="L2" s="49" t="s">
        <v>89</v>
      </c>
      <c r="M2" s="49" t="s">
        <v>90</v>
      </c>
      <c r="N2" s="49" t="s">
        <v>91</v>
      </c>
      <c r="O2" s="49" t="s">
        <v>92</v>
      </c>
      <c r="P2" s="49" t="s">
        <v>93</v>
      </c>
      <c r="Q2" s="49" t="s">
        <v>94</v>
      </c>
      <c r="R2" s="49" t="s">
        <v>95</v>
      </c>
      <c r="S2" s="49" t="s">
        <v>96</v>
      </c>
      <c r="T2" s="49" t="s">
        <v>97</v>
      </c>
      <c r="U2" s="49" t="s">
        <v>98</v>
      </c>
      <c r="V2" s="49" t="s">
        <v>99</v>
      </c>
      <c r="W2" s="49" t="s">
        <v>1029</v>
      </c>
      <c r="X2" s="49" t="s">
        <v>1030</v>
      </c>
      <c r="Y2" s="49" t="s">
        <v>1031</v>
      </c>
      <c r="Z2" s="49" t="s">
        <v>1032</v>
      </c>
      <c r="AA2" s="49" t="s">
        <v>1033</v>
      </c>
      <c r="AB2" s="49" t="s">
        <v>1034</v>
      </c>
      <c r="AC2" s="49" t="s">
        <v>1035</v>
      </c>
      <c r="AD2" s="49" t="s">
        <v>1036</v>
      </c>
    </row>
    <row r="3" spans="1:30" x14ac:dyDescent="0.25">
      <c r="A3" s="45">
        <v>1</v>
      </c>
      <c r="B3" s="45" t="s">
        <v>108</v>
      </c>
      <c r="C3" s="45">
        <v>2025</v>
      </c>
      <c r="D3" s="45" t="s">
        <v>107</v>
      </c>
      <c r="E3" s="45" t="s">
        <v>107</v>
      </c>
      <c r="F3" s="77">
        <f>Mod_CL[[#This Row],[Date]]-DAY(Mod_CL[[#This Row],[Date]])+1</f>
        <v>45717</v>
      </c>
      <c r="G3" s="2">
        <f>DAY(EOMONTH(Mod_CL[[#This Row],[Month Year]],0))</f>
        <v>31</v>
      </c>
      <c r="H3" s="51">
        <v>45745</v>
      </c>
      <c r="I3" s="45">
        <v>7</v>
      </c>
      <c r="J3" s="45">
        <v>3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45">
        <v>1800</v>
      </c>
      <c r="T3" s="45">
        <v>2160</v>
      </c>
      <c r="U3" s="45">
        <v>1440</v>
      </c>
      <c r="V3" s="45">
        <v>2160</v>
      </c>
      <c r="W3" s="2">
        <f>SUM(Mod_CL[[#This Row],[Inv 1 (630kw) unit 1]:[Inv 3 (630kw) unit 4]])</f>
        <v>7560</v>
      </c>
      <c r="X3" s="83">
        <v>0.39583333333333331</v>
      </c>
      <c r="Y3" s="45">
        <v>0</v>
      </c>
      <c r="Z3" s="45">
        <v>0</v>
      </c>
      <c r="AA3" s="83">
        <v>0.5625</v>
      </c>
      <c r="AB3" s="45">
        <v>0</v>
      </c>
      <c r="AC3" s="45">
        <v>0</v>
      </c>
      <c r="AD3" s="45" t="s">
        <v>1038</v>
      </c>
    </row>
    <row r="4" spans="1:30" x14ac:dyDescent="0.25">
      <c r="A4" s="45">
        <f>A3+1</f>
        <v>2</v>
      </c>
      <c r="B4" s="45" t="s">
        <v>108</v>
      </c>
      <c r="C4" s="45">
        <v>2025</v>
      </c>
      <c r="D4" s="45" t="s">
        <v>107</v>
      </c>
      <c r="E4" s="45" t="s">
        <v>107</v>
      </c>
      <c r="F4" s="77">
        <f>Mod_CL[[#This Row],[Date]]-DAY(Mod_CL[[#This Row],[Date]])+1</f>
        <v>45717</v>
      </c>
      <c r="G4" s="2">
        <f>DAY(EOMONTH(Mod_CL[[#This Row],[Month Year]],0))</f>
        <v>31</v>
      </c>
      <c r="H4" s="51">
        <v>45746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45">
        <v>0</v>
      </c>
      <c r="T4" s="45">
        <v>0</v>
      </c>
      <c r="U4" s="45">
        <v>0</v>
      </c>
      <c r="V4" s="45">
        <v>0</v>
      </c>
      <c r="W4" s="2">
        <f>SUM(Mod_CL[[#This Row],[Inv 1 (630kw) unit 1]:[Inv 3 (630kw) unit 4]])</f>
        <v>0</v>
      </c>
      <c r="X4" s="83">
        <v>0</v>
      </c>
      <c r="Y4" s="45">
        <v>0</v>
      </c>
      <c r="Z4" s="45">
        <v>0</v>
      </c>
      <c r="AA4" s="83">
        <v>0</v>
      </c>
      <c r="AB4" s="45">
        <v>0</v>
      </c>
      <c r="AC4" s="45">
        <v>0</v>
      </c>
      <c r="AD4" s="45" t="s">
        <v>1039</v>
      </c>
    </row>
    <row r="5" spans="1:30" x14ac:dyDescent="0.25">
      <c r="A5" s="45">
        <f t="shared" ref="A5:A68" si="0">A4+1</f>
        <v>3</v>
      </c>
      <c r="B5" s="45" t="s">
        <v>108</v>
      </c>
      <c r="C5" s="45">
        <v>2025</v>
      </c>
      <c r="D5" s="45" t="s">
        <v>107</v>
      </c>
      <c r="E5" s="45" t="s">
        <v>107</v>
      </c>
      <c r="F5" s="77">
        <f>Mod_CL[[#This Row],[Date]]-DAY(Mod_CL[[#This Row],[Date]])+1</f>
        <v>45717</v>
      </c>
      <c r="G5" s="2">
        <f>DAY(EOMONTH(Mod_CL[[#This Row],[Month Year]],0))</f>
        <v>31</v>
      </c>
      <c r="H5" s="51">
        <v>45747</v>
      </c>
      <c r="I5" s="45">
        <v>8</v>
      </c>
      <c r="J5" s="45">
        <v>1</v>
      </c>
      <c r="K5" s="45">
        <v>1800</v>
      </c>
      <c r="L5" s="45">
        <v>2160</v>
      </c>
      <c r="M5" s="45">
        <v>1800</v>
      </c>
      <c r="N5" s="45">
        <v>1800</v>
      </c>
      <c r="O5" s="45">
        <v>0</v>
      </c>
      <c r="P5" s="45">
        <v>0</v>
      </c>
      <c r="Q5" s="45">
        <v>0</v>
      </c>
      <c r="R5" s="45">
        <v>0</v>
      </c>
      <c r="S5" s="45">
        <v>0</v>
      </c>
      <c r="T5" s="45">
        <v>0</v>
      </c>
      <c r="U5" s="45">
        <v>0</v>
      </c>
      <c r="V5" s="45">
        <v>0</v>
      </c>
      <c r="W5" s="2">
        <f>SUM(Mod_CL[[#This Row],[Inv 1 (630kw) unit 1]:[Inv 3 (630kw) unit 4]])</f>
        <v>7560</v>
      </c>
      <c r="X5" s="83">
        <v>0.39583333333333331</v>
      </c>
      <c r="Y5" s="45">
        <v>0</v>
      </c>
      <c r="Z5" s="45">
        <v>0</v>
      </c>
      <c r="AA5" s="83">
        <v>0.5625</v>
      </c>
      <c r="AB5" s="45">
        <v>0</v>
      </c>
      <c r="AC5" s="45">
        <v>0</v>
      </c>
      <c r="AD5" s="45" t="s">
        <v>1038</v>
      </c>
    </row>
    <row r="6" spans="1:30" x14ac:dyDescent="0.25">
      <c r="A6" s="45">
        <f t="shared" si="0"/>
        <v>4</v>
      </c>
      <c r="B6" s="45" t="s">
        <v>108</v>
      </c>
      <c r="C6" s="45">
        <v>2025</v>
      </c>
      <c r="D6" s="45" t="s">
        <v>4</v>
      </c>
      <c r="E6" s="45" t="s">
        <v>4</v>
      </c>
      <c r="F6" s="77">
        <f>Mod_CL[[#This Row],[Date]]-DAY(Mod_CL[[#This Row],[Date]])+1</f>
        <v>45748</v>
      </c>
      <c r="G6" s="2">
        <f>DAY(EOMONTH(Mod_CL[[#This Row],[Month Year]],0))</f>
        <v>30</v>
      </c>
      <c r="H6" s="51">
        <v>45748</v>
      </c>
      <c r="I6" s="45">
        <v>1</v>
      </c>
      <c r="J6" s="45">
        <v>1</v>
      </c>
      <c r="K6" s="45">
        <v>1800</v>
      </c>
      <c r="L6" s="45">
        <v>2160</v>
      </c>
      <c r="M6" s="45">
        <v>1800</v>
      </c>
      <c r="N6" s="45">
        <v>1800</v>
      </c>
      <c r="O6" s="45">
        <v>0</v>
      </c>
      <c r="P6" s="45">
        <v>0</v>
      </c>
      <c r="Q6" s="45">
        <v>0</v>
      </c>
      <c r="R6" s="45">
        <v>0</v>
      </c>
      <c r="S6" s="45">
        <v>0</v>
      </c>
      <c r="T6" s="45">
        <v>0</v>
      </c>
      <c r="U6" s="45">
        <v>0</v>
      </c>
      <c r="V6" s="45">
        <v>0</v>
      </c>
      <c r="W6" s="2">
        <f>SUM(Mod_CL[[#This Row],[Inv 1 (630kw) unit 1]:[Inv 3 (630kw) unit 4]])</f>
        <v>7560</v>
      </c>
      <c r="X6" s="83">
        <v>0.39583333333333331</v>
      </c>
      <c r="Y6" s="45">
        <v>0</v>
      </c>
      <c r="Z6" s="45">
        <v>0</v>
      </c>
      <c r="AA6" s="83">
        <v>0.5625</v>
      </c>
      <c r="AB6" s="45">
        <v>0</v>
      </c>
      <c r="AC6" s="45">
        <v>0</v>
      </c>
      <c r="AD6" s="45" t="s">
        <v>1038</v>
      </c>
    </row>
    <row r="7" spans="1:30" x14ac:dyDescent="0.25">
      <c r="A7" s="45">
        <f t="shared" si="0"/>
        <v>5</v>
      </c>
      <c r="B7" s="45" t="s">
        <v>108</v>
      </c>
      <c r="C7" s="45">
        <v>2025</v>
      </c>
      <c r="D7" s="45" t="s">
        <v>4</v>
      </c>
      <c r="E7" s="45" t="s">
        <v>4</v>
      </c>
      <c r="F7" s="77">
        <f>Mod_CL[[#This Row],[Date]]-DAY(Mod_CL[[#This Row],[Date]])+1</f>
        <v>45748</v>
      </c>
      <c r="G7" s="2">
        <f>DAY(EOMONTH(Mod_CL[[#This Row],[Month Year]],0))</f>
        <v>30</v>
      </c>
      <c r="H7" s="51">
        <v>45749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  <c r="R7" s="45">
        <v>0</v>
      </c>
      <c r="S7" s="45">
        <v>0</v>
      </c>
      <c r="T7" s="45">
        <v>0</v>
      </c>
      <c r="U7" s="45">
        <v>0</v>
      </c>
      <c r="V7" s="45">
        <v>0</v>
      </c>
      <c r="W7" s="2">
        <f>SUM(Mod_CL[[#This Row],[Inv 1 (630kw) unit 1]:[Inv 3 (630kw) unit 4]])</f>
        <v>0</v>
      </c>
      <c r="X7" s="83">
        <v>0</v>
      </c>
      <c r="Y7" s="45">
        <v>0</v>
      </c>
      <c r="Z7" s="45">
        <v>0</v>
      </c>
      <c r="AA7" s="83">
        <v>0</v>
      </c>
      <c r="AB7" s="45">
        <v>0</v>
      </c>
      <c r="AC7" s="45">
        <v>0</v>
      </c>
      <c r="AD7" s="45" t="s">
        <v>1039</v>
      </c>
    </row>
    <row r="8" spans="1:30" x14ac:dyDescent="0.25">
      <c r="A8" s="45">
        <f t="shared" si="0"/>
        <v>6</v>
      </c>
      <c r="B8" s="45" t="s">
        <v>108</v>
      </c>
      <c r="C8" s="45">
        <v>2025</v>
      </c>
      <c r="D8" s="45" t="s">
        <v>4</v>
      </c>
      <c r="E8" s="45" t="s">
        <v>4</v>
      </c>
      <c r="F8" s="77">
        <f>Mod_CL[[#This Row],[Date]]-DAY(Mod_CL[[#This Row],[Date]])+1</f>
        <v>45748</v>
      </c>
      <c r="G8" s="2">
        <f>DAY(EOMONTH(Mod_CL[[#This Row],[Month Year]],0))</f>
        <v>30</v>
      </c>
      <c r="H8" s="51">
        <v>45750</v>
      </c>
      <c r="I8" s="45">
        <v>1</v>
      </c>
      <c r="J8" s="46">
        <v>2</v>
      </c>
      <c r="K8" s="46">
        <v>0</v>
      </c>
      <c r="L8" s="46">
        <v>0</v>
      </c>
      <c r="M8" s="46">
        <v>0</v>
      </c>
      <c r="N8" s="46">
        <v>0</v>
      </c>
      <c r="O8" s="46">
        <v>2160</v>
      </c>
      <c r="P8" s="46">
        <v>1800</v>
      </c>
      <c r="Q8" s="46">
        <v>2160</v>
      </c>
      <c r="R8" s="46">
        <v>1440</v>
      </c>
      <c r="S8" s="46">
        <v>0</v>
      </c>
      <c r="T8" s="46">
        <v>0</v>
      </c>
      <c r="U8" s="46">
        <v>0</v>
      </c>
      <c r="V8" s="46">
        <v>0</v>
      </c>
      <c r="W8" s="2">
        <f>SUM(Mod_CL[[#This Row],[Inv 1 (630kw) unit 1]:[Inv 3 (630kw) unit 4]])</f>
        <v>7560</v>
      </c>
      <c r="X8" s="83">
        <v>0.39583333333333331</v>
      </c>
      <c r="Y8" s="46">
        <v>0</v>
      </c>
      <c r="Z8" s="46">
        <v>0</v>
      </c>
      <c r="AA8" s="83">
        <v>0.5625</v>
      </c>
      <c r="AB8" s="46">
        <v>0</v>
      </c>
      <c r="AC8" s="46">
        <v>0</v>
      </c>
      <c r="AD8" s="46" t="s">
        <v>1038</v>
      </c>
    </row>
    <row r="9" spans="1:30" x14ac:dyDescent="0.25">
      <c r="A9" s="45">
        <f t="shared" si="0"/>
        <v>7</v>
      </c>
      <c r="B9" s="45" t="s">
        <v>108</v>
      </c>
      <c r="C9" s="45">
        <v>2025</v>
      </c>
      <c r="D9" s="45" t="s">
        <v>4</v>
      </c>
      <c r="E9" s="45" t="s">
        <v>4</v>
      </c>
      <c r="F9" s="77">
        <f>Mod_CL[[#This Row],[Date]]-DAY(Mod_CL[[#This Row],[Date]])+1</f>
        <v>45748</v>
      </c>
      <c r="G9" s="2">
        <f>DAY(EOMONTH(Mod_CL[[#This Row],[Month Year]],0))</f>
        <v>30</v>
      </c>
      <c r="H9" s="51">
        <v>45751</v>
      </c>
      <c r="I9" s="45">
        <v>1</v>
      </c>
      <c r="J9" s="45">
        <v>3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  <c r="R9" s="45">
        <v>0</v>
      </c>
      <c r="S9" s="45">
        <v>1800</v>
      </c>
      <c r="T9" s="45">
        <v>2160</v>
      </c>
      <c r="U9" s="45">
        <v>1440</v>
      </c>
      <c r="V9" s="45">
        <v>2160</v>
      </c>
      <c r="W9" s="2">
        <f>SUM(Mod_CL[[#This Row],[Inv 1 (630kw) unit 1]:[Inv 3 (630kw) unit 4]])</f>
        <v>7560</v>
      </c>
      <c r="X9" s="83">
        <v>0.39583333333333331</v>
      </c>
      <c r="Y9" s="45">
        <v>0</v>
      </c>
      <c r="Z9" s="45">
        <v>0</v>
      </c>
      <c r="AA9" s="83">
        <v>0.5625</v>
      </c>
      <c r="AB9" s="45">
        <v>0</v>
      </c>
      <c r="AC9" s="45">
        <v>0</v>
      </c>
      <c r="AD9" s="45" t="s">
        <v>1038</v>
      </c>
    </row>
    <row r="10" spans="1:30" x14ac:dyDescent="0.25">
      <c r="A10" s="45">
        <f t="shared" si="0"/>
        <v>8</v>
      </c>
      <c r="B10" s="45" t="s">
        <v>108</v>
      </c>
      <c r="C10" s="45">
        <v>2025</v>
      </c>
      <c r="D10" s="45" t="s">
        <v>4</v>
      </c>
      <c r="E10" s="45" t="s">
        <v>4</v>
      </c>
      <c r="F10" s="77">
        <f>Mod_CL[[#This Row],[Date]]-DAY(Mod_CL[[#This Row],[Date]])+1</f>
        <v>45748</v>
      </c>
      <c r="G10" s="2">
        <f>DAY(EOMONTH(Mod_CL[[#This Row],[Month Year]],0))</f>
        <v>30</v>
      </c>
      <c r="H10" s="51">
        <v>45752</v>
      </c>
      <c r="I10" s="45">
        <v>2</v>
      </c>
      <c r="J10" s="45">
        <v>1</v>
      </c>
      <c r="K10" s="45">
        <v>1800</v>
      </c>
      <c r="L10" s="45">
        <v>2160</v>
      </c>
      <c r="M10" s="45">
        <v>1800</v>
      </c>
      <c r="N10" s="45">
        <v>1800</v>
      </c>
      <c r="O10" s="45">
        <v>0</v>
      </c>
      <c r="P10" s="45">
        <v>0</v>
      </c>
      <c r="Q10" s="45">
        <v>0</v>
      </c>
      <c r="R10" s="45">
        <v>0</v>
      </c>
      <c r="S10" s="45">
        <v>0</v>
      </c>
      <c r="T10" s="45">
        <v>0</v>
      </c>
      <c r="U10" s="45">
        <v>0</v>
      </c>
      <c r="V10" s="45">
        <v>0</v>
      </c>
      <c r="W10" s="2">
        <f>SUM(Mod_CL[[#This Row],[Inv 1 (630kw) unit 1]:[Inv 3 (630kw) unit 4]])</f>
        <v>7560</v>
      </c>
      <c r="X10" s="83">
        <v>0.39583333333333331</v>
      </c>
      <c r="Y10" s="45">
        <v>0</v>
      </c>
      <c r="Z10" s="45">
        <v>0</v>
      </c>
      <c r="AA10" s="83">
        <v>0.5625</v>
      </c>
      <c r="AB10" s="45">
        <v>0</v>
      </c>
      <c r="AC10" s="45">
        <v>0</v>
      </c>
      <c r="AD10" s="45" t="s">
        <v>1038</v>
      </c>
    </row>
    <row r="11" spans="1:30" x14ac:dyDescent="0.25">
      <c r="A11" s="45">
        <f t="shared" si="0"/>
        <v>9</v>
      </c>
      <c r="B11" s="45" t="s">
        <v>108</v>
      </c>
      <c r="C11" s="45">
        <v>2025</v>
      </c>
      <c r="D11" s="45" t="s">
        <v>4</v>
      </c>
      <c r="E11" s="45" t="s">
        <v>4</v>
      </c>
      <c r="F11" s="77">
        <f>Mod_CL[[#This Row],[Date]]-DAY(Mod_CL[[#This Row],[Date]])+1</f>
        <v>45748</v>
      </c>
      <c r="G11" s="2">
        <f>DAY(EOMONTH(Mod_CL[[#This Row],[Month Year]],0))</f>
        <v>30</v>
      </c>
      <c r="H11" s="51">
        <v>45753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  <c r="R11" s="45">
        <v>0</v>
      </c>
      <c r="S11" s="45">
        <v>0</v>
      </c>
      <c r="T11" s="45">
        <v>0</v>
      </c>
      <c r="U11" s="45">
        <v>0</v>
      </c>
      <c r="V11" s="45">
        <v>0</v>
      </c>
      <c r="W11" s="2">
        <f>SUM(Mod_CL[[#This Row],[Inv 1 (630kw) unit 1]:[Inv 3 (630kw) unit 4]])</f>
        <v>0</v>
      </c>
      <c r="X11" s="83">
        <v>0</v>
      </c>
      <c r="Y11" s="45">
        <v>0</v>
      </c>
      <c r="Z11" s="45">
        <v>0</v>
      </c>
      <c r="AA11" s="83">
        <v>0</v>
      </c>
      <c r="AB11" s="45">
        <v>0</v>
      </c>
      <c r="AC11" s="45">
        <v>0</v>
      </c>
      <c r="AD11" s="45" t="s">
        <v>1039</v>
      </c>
    </row>
    <row r="12" spans="1:30" x14ac:dyDescent="0.25">
      <c r="A12" s="45">
        <f t="shared" si="0"/>
        <v>10</v>
      </c>
      <c r="B12" s="45" t="s">
        <v>108</v>
      </c>
      <c r="C12" s="45">
        <v>2025</v>
      </c>
      <c r="D12" s="45" t="s">
        <v>4</v>
      </c>
      <c r="E12" s="45" t="s">
        <v>4</v>
      </c>
      <c r="F12" s="77">
        <f>Mod_CL[[#This Row],[Date]]-DAY(Mod_CL[[#This Row],[Date]])+1</f>
        <v>45748</v>
      </c>
      <c r="G12" s="2">
        <f>DAY(EOMONTH(Mod_CL[[#This Row],[Month Year]],0))</f>
        <v>30</v>
      </c>
      <c r="H12" s="51">
        <v>45754</v>
      </c>
      <c r="I12" s="45">
        <v>2</v>
      </c>
      <c r="J12" s="46">
        <v>2</v>
      </c>
      <c r="K12" s="46">
        <v>0</v>
      </c>
      <c r="L12" s="46">
        <v>0</v>
      </c>
      <c r="M12" s="46">
        <v>0</v>
      </c>
      <c r="N12" s="46">
        <v>0</v>
      </c>
      <c r="O12" s="46">
        <v>2160</v>
      </c>
      <c r="P12" s="46">
        <v>1800</v>
      </c>
      <c r="Q12" s="46">
        <v>2160</v>
      </c>
      <c r="R12" s="46">
        <v>1440</v>
      </c>
      <c r="S12" s="46">
        <v>0</v>
      </c>
      <c r="T12" s="46">
        <v>0</v>
      </c>
      <c r="U12" s="46">
        <v>0</v>
      </c>
      <c r="V12" s="46">
        <v>0</v>
      </c>
      <c r="W12" s="2">
        <f>SUM(Mod_CL[[#This Row],[Inv 1 (630kw) unit 1]:[Inv 3 (630kw) unit 4]])</f>
        <v>7560</v>
      </c>
      <c r="X12" s="83">
        <v>0.39583333333333331</v>
      </c>
      <c r="Y12" s="46">
        <v>0</v>
      </c>
      <c r="Z12" s="46">
        <v>0</v>
      </c>
      <c r="AA12" s="83">
        <v>0.5625</v>
      </c>
      <c r="AB12" s="46">
        <v>0</v>
      </c>
      <c r="AC12" s="46">
        <v>0</v>
      </c>
      <c r="AD12" s="46" t="s">
        <v>1038</v>
      </c>
    </row>
    <row r="13" spans="1:30" x14ac:dyDescent="0.25">
      <c r="A13" s="45">
        <f t="shared" si="0"/>
        <v>11</v>
      </c>
      <c r="B13" s="45" t="s">
        <v>108</v>
      </c>
      <c r="C13" s="45">
        <v>2025</v>
      </c>
      <c r="D13" s="45" t="s">
        <v>4</v>
      </c>
      <c r="E13" s="45" t="s">
        <v>4</v>
      </c>
      <c r="F13" s="77">
        <f>Mod_CL[[#This Row],[Date]]-DAY(Mod_CL[[#This Row],[Date]])+1</f>
        <v>45748</v>
      </c>
      <c r="G13" s="2">
        <f>DAY(EOMONTH(Mod_CL[[#This Row],[Month Year]],0))</f>
        <v>30</v>
      </c>
      <c r="H13" s="51">
        <v>45755</v>
      </c>
      <c r="I13" s="45">
        <v>2</v>
      </c>
      <c r="J13" s="45">
        <v>3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  <c r="R13" s="45">
        <v>0</v>
      </c>
      <c r="S13" s="45">
        <v>1800</v>
      </c>
      <c r="T13" s="45">
        <v>2160</v>
      </c>
      <c r="U13" s="45">
        <v>1440</v>
      </c>
      <c r="V13" s="45">
        <v>2160</v>
      </c>
      <c r="W13" s="2">
        <f>SUM(Mod_CL[[#This Row],[Inv 1 (630kw) unit 1]:[Inv 3 (630kw) unit 4]])</f>
        <v>7560</v>
      </c>
      <c r="X13" s="83">
        <v>0.39583333333333331</v>
      </c>
      <c r="Y13" s="45">
        <v>0</v>
      </c>
      <c r="Z13" s="45">
        <v>0</v>
      </c>
      <c r="AA13" s="83">
        <v>0.5625</v>
      </c>
      <c r="AB13" s="45">
        <v>0</v>
      </c>
      <c r="AC13" s="45">
        <v>0</v>
      </c>
      <c r="AD13" s="45" t="s">
        <v>1038</v>
      </c>
    </row>
    <row r="14" spans="1:30" x14ac:dyDescent="0.25">
      <c r="A14" s="45">
        <f t="shared" si="0"/>
        <v>12</v>
      </c>
      <c r="B14" s="45" t="s">
        <v>108</v>
      </c>
      <c r="C14" s="45">
        <v>2025</v>
      </c>
      <c r="D14" s="45" t="s">
        <v>4</v>
      </c>
      <c r="E14" s="45" t="s">
        <v>4</v>
      </c>
      <c r="F14" s="77">
        <f>Mod_CL[[#This Row],[Date]]-DAY(Mod_CL[[#This Row],[Date]])+1</f>
        <v>45748</v>
      </c>
      <c r="G14" s="2">
        <f>DAY(EOMONTH(Mod_CL[[#This Row],[Month Year]],0))</f>
        <v>30</v>
      </c>
      <c r="H14" s="51">
        <v>45756</v>
      </c>
      <c r="I14" s="45">
        <v>3</v>
      </c>
      <c r="J14" s="46">
        <v>2</v>
      </c>
      <c r="K14" s="46">
        <v>0</v>
      </c>
      <c r="L14" s="46">
        <v>0</v>
      </c>
      <c r="M14" s="46">
        <v>0</v>
      </c>
      <c r="N14" s="46">
        <v>0</v>
      </c>
      <c r="O14" s="46">
        <v>2160</v>
      </c>
      <c r="P14" s="46">
        <v>1800</v>
      </c>
      <c r="Q14" s="46">
        <v>2160</v>
      </c>
      <c r="R14" s="46">
        <v>1440</v>
      </c>
      <c r="S14" s="46">
        <v>0</v>
      </c>
      <c r="T14" s="46">
        <v>0</v>
      </c>
      <c r="U14" s="46">
        <v>0</v>
      </c>
      <c r="V14" s="46">
        <v>0</v>
      </c>
      <c r="W14" s="2">
        <f>SUM(Mod_CL[[#This Row],[Inv 1 (630kw) unit 1]:[Inv 3 (630kw) unit 4]])</f>
        <v>7560</v>
      </c>
      <c r="X14" s="83">
        <v>0.39583333333333331</v>
      </c>
      <c r="Y14" s="46">
        <v>0</v>
      </c>
      <c r="Z14" s="46">
        <v>0</v>
      </c>
      <c r="AA14" s="83">
        <v>0.5625</v>
      </c>
      <c r="AB14" s="46">
        <v>0</v>
      </c>
      <c r="AC14" s="46">
        <v>0</v>
      </c>
      <c r="AD14" s="46" t="s">
        <v>1038</v>
      </c>
    </row>
    <row r="15" spans="1:30" x14ac:dyDescent="0.25">
      <c r="A15" s="45">
        <f t="shared" si="0"/>
        <v>13</v>
      </c>
      <c r="B15" s="45" t="s">
        <v>108</v>
      </c>
      <c r="C15" s="45">
        <v>2025</v>
      </c>
      <c r="D15" s="45" t="s">
        <v>4</v>
      </c>
      <c r="E15" s="45" t="s">
        <v>4</v>
      </c>
      <c r="F15" s="77">
        <f>Mod_CL[[#This Row],[Date]]-DAY(Mod_CL[[#This Row],[Date]])+1</f>
        <v>45748</v>
      </c>
      <c r="G15" s="2">
        <f>DAY(EOMONTH(Mod_CL[[#This Row],[Month Year]],0))</f>
        <v>30</v>
      </c>
      <c r="H15" s="51">
        <v>45757</v>
      </c>
      <c r="I15" s="45">
        <v>3</v>
      </c>
      <c r="J15" s="45">
        <v>3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  <c r="R15" s="45">
        <v>0</v>
      </c>
      <c r="S15" s="45">
        <v>1800</v>
      </c>
      <c r="T15" s="45">
        <v>2160</v>
      </c>
      <c r="U15" s="45">
        <v>1440</v>
      </c>
      <c r="V15" s="45">
        <v>2160</v>
      </c>
      <c r="W15" s="2">
        <f>SUM(Mod_CL[[#This Row],[Inv 1 (630kw) unit 1]:[Inv 3 (630kw) unit 4]])</f>
        <v>7560</v>
      </c>
      <c r="X15" s="83">
        <v>0.39583333333333331</v>
      </c>
      <c r="Y15" s="45">
        <v>0</v>
      </c>
      <c r="Z15" s="45">
        <v>0</v>
      </c>
      <c r="AA15" s="83">
        <v>0.5625</v>
      </c>
      <c r="AB15" s="45">
        <v>0</v>
      </c>
      <c r="AC15" s="45">
        <v>0</v>
      </c>
      <c r="AD15" s="45" t="s">
        <v>1038</v>
      </c>
    </row>
    <row r="16" spans="1:30" x14ac:dyDescent="0.25">
      <c r="A16" s="45">
        <f t="shared" si="0"/>
        <v>14</v>
      </c>
      <c r="B16" s="45" t="s">
        <v>108</v>
      </c>
      <c r="C16" s="45">
        <v>2025</v>
      </c>
      <c r="D16" s="45" t="s">
        <v>4</v>
      </c>
      <c r="E16" s="45" t="s">
        <v>4</v>
      </c>
      <c r="F16" s="77">
        <f>Mod_CL[[#This Row],[Date]]-DAY(Mod_CL[[#This Row],[Date]])+1</f>
        <v>45748</v>
      </c>
      <c r="G16" s="2">
        <f>DAY(EOMONTH(Mod_CL[[#This Row],[Month Year]],0))</f>
        <v>30</v>
      </c>
      <c r="H16" s="51">
        <v>45758</v>
      </c>
      <c r="I16" s="45">
        <v>0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  <c r="R16" s="45">
        <v>0</v>
      </c>
      <c r="S16" s="45">
        <v>0</v>
      </c>
      <c r="T16" s="45">
        <v>0</v>
      </c>
      <c r="U16" s="45">
        <v>0</v>
      </c>
      <c r="V16" s="45">
        <v>0</v>
      </c>
      <c r="W16" s="2">
        <f>SUM(Mod_CL[[#This Row],[Inv 1 (630kw) unit 1]:[Inv 3 (630kw) unit 4]])</f>
        <v>0</v>
      </c>
      <c r="X16" s="83">
        <v>0</v>
      </c>
      <c r="Y16" s="45">
        <v>0</v>
      </c>
      <c r="Z16" s="45">
        <v>0</v>
      </c>
      <c r="AA16" s="83">
        <v>0</v>
      </c>
      <c r="AB16" s="45">
        <v>0</v>
      </c>
      <c r="AC16" s="45">
        <v>0</v>
      </c>
      <c r="AD16" s="45" t="s">
        <v>1014</v>
      </c>
    </row>
    <row r="17" spans="1:30" x14ac:dyDescent="0.25">
      <c r="A17" s="45">
        <f t="shared" si="0"/>
        <v>15</v>
      </c>
      <c r="B17" s="45" t="s">
        <v>108</v>
      </c>
      <c r="C17" s="45">
        <v>2025</v>
      </c>
      <c r="D17" s="45" t="s">
        <v>4</v>
      </c>
      <c r="E17" s="45" t="s">
        <v>4</v>
      </c>
      <c r="F17" s="77">
        <f>Mod_CL[[#This Row],[Date]]-DAY(Mod_CL[[#This Row],[Date]])+1</f>
        <v>45748</v>
      </c>
      <c r="G17" s="2">
        <f>DAY(EOMONTH(Mod_CL[[#This Row],[Month Year]],0))</f>
        <v>30</v>
      </c>
      <c r="H17" s="51">
        <v>45759</v>
      </c>
      <c r="I17" s="45">
        <v>4</v>
      </c>
      <c r="J17" s="45">
        <v>1</v>
      </c>
      <c r="K17" s="45">
        <v>1800</v>
      </c>
      <c r="L17" s="45">
        <v>2160</v>
      </c>
      <c r="M17" s="45">
        <v>1800</v>
      </c>
      <c r="N17" s="45">
        <v>1800</v>
      </c>
      <c r="O17" s="45">
        <v>0</v>
      </c>
      <c r="P17" s="45">
        <v>0</v>
      </c>
      <c r="Q17" s="45">
        <v>0</v>
      </c>
      <c r="R17" s="45">
        <v>0</v>
      </c>
      <c r="S17" s="45">
        <v>0</v>
      </c>
      <c r="T17" s="45">
        <v>0</v>
      </c>
      <c r="U17" s="45">
        <v>0</v>
      </c>
      <c r="V17" s="45">
        <v>0</v>
      </c>
      <c r="W17" s="2">
        <f>SUM(Mod_CL[[#This Row],[Inv 1 (630kw) unit 1]:[Inv 3 (630kw) unit 4]])</f>
        <v>7560</v>
      </c>
      <c r="X17" s="83">
        <v>0.39583333333333331</v>
      </c>
      <c r="Y17" s="45">
        <v>0</v>
      </c>
      <c r="Z17" s="45">
        <v>0</v>
      </c>
      <c r="AA17" s="83">
        <v>0.5625</v>
      </c>
      <c r="AB17" s="45">
        <v>0</v>
      </c>
      <c r="AC17" s="45">
        <v>0</v>
      </c>
      <c r="AD17" s="45" t="s">
        <v>1038</v>
      </c>
    </row>
    <row r="18" spans="1:30" x14ac:dyDescent="0.25">
      <c r="A18" s="45">
        <f t="shared" si="0"/>
        <v>16</v>
      </c>
      <c r="B18" s="45" t="s">
        <v>108</v>
      </c>
      <c r="C18" s="45">
        <v>2025</v>
      </c>
      <c r="D18" s="45" t="s">
        <v>4</v>
      </c>
      <c r="E18" s="45" t="s">
        <v>4</v>
      </c>
      <c r="F18" s="77">
        <f>Mod_CL[[#This Row],[Date]]-DAY(Mod_CL[[#This Row],[Date]])+1</f>
        <v>45748</v>
      </c>
      <c r="G18" s="2">
        <f>DAY(EOMONTH(Mod_CL[[#This Row],[Month Year]],0))</f>
        <v>30</v>
      </c>
      <c r="H18" s="51">
        <v>45760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  <c r="R18" s="45">
        <v>0</v>
      </c>
      <c r="S18" s="45">
        <v>0</v>
      </c>
      <c r="T18" s="45">
        <v>0</v>
      </c>
      <c r="U18" s="45">
        <v>0</v>
      </c>
      <c r="V18" s="45">
        <v>0</v>
      </c>
      <c r="W18" s="2">
        <f>SUM(Mod_CL[[#This Row],[Inv 1 (630kw) unit 1]:[Inv 3 (630kw) unit 4]])</f>
        <v>0</v>
      </c>
      <c r="X18" s="83">
        <v>0</v>
      </c>
      <c r="Y18" s="45">
        <v>0</v>
      </c>
      <c r="Z18" s="45">
        <v>0</v>
      </c>
      <c r="AA18" s="83">
        <v>0</v>
      </c>
      <c r="AB18" s="45">
        <v>0</v>
      </c>
      <c r="AC18" s="45">
        <v>0</v>
      </c>
      <c r="AD18" s="45" t="s">
        <v>1039</v>
      </c>
    </row>
    <row r="19" spans="1:30" x14ac:dyDescent="0.25">
      <c r="A19" s="45">
        <f t="shared" si="0"/>
        <v>17</v>
      </c>
      <c r="B19" s="45" t="s">
        <v>108</v>
      </c>
      <c r="C19" s="45">
        <v>2025</v>
      </c>
      <c r="D19" s="45" t="s">
        <v>4</v>
      </c>
      <c r="E19" s="45" t="s">
        <v>4</v>
      </c>
      <c r="F19" s="77">
        <f>Mod_CL[[#This Row],[Date]]-DAY(Mod_CL[[#This Row],[Date]])+1</f>
        <v>45748</v>
      </c>
      <c r="G19" s="2">
        <f>DAY(EOMONTH(Mod_CL[[#This Row],[Month Year]],0))</f>
        <v>30</v>
      </c>
      <c r="H19" s="51">
        <v>45761</v>
      </c>
      <c r="I19" s="45">
        <v>4</v>
      </c>
      <c r="J19" s="46">
        <v>2</v>
      </c>
      <c r="K19" s="46">
        <v>0</v>
      </c>
      <c r="L19" s="46">
        <v>0</v>
      </c>
      <c r="M19" s="46">
        <v>0</v>
      </c>
      <c r="N19" s="46">
        <v>0</v>
      </c>
      <c r="O19" s="46">
        <v>2160</v>
      </c>
      <c r="P19" s="46">
        <v>1800</v>
      </c>
      <c r="Q19" s="46">
        <v>2160</v>
      </c>
      <c r="R19" s="46">
        <v>1440</v>
      </c>
      <c r="S19" s="46">
        <v>0</v>
      </c>
      <c r="T19" s="46">
        <v>0</v>
      </c>
      <c r="U19" s="46">
        <v>0</v>
      </c>
      <c r="V19" s="46">
        <v>0</v>
      </c>
      <c r="W19" s="2">
        <f>SUM(Mod_CL[[#This Row],[Inv 1 (630kw) unit 1]:[Inv 3 (630kw) unit 4]])</f>
        <v>7560</v>
      </c>
      <c r="X19" s="83">
        <v>0.39583333333333331</v>
      </c>
      <c r="Y19" s="46">
        <v>0</v>
      </c>
      <c r="Z19" s="46">
        <v>0</v>
      </c>
      <c r="AA19" s="83">
        <v>0.5625</v>
      </c>
      <c r="AB19" s="46">
        <v>0</v>
      </c>
      <c r="AC19" s="46">
        <v>0</v>
      </c>
      <c r="AD19" s="46" t="s">
        <v>1038</v>
      </c>
    </row>
    <row r="20" spans="1:30" x14ac:dyDescent="0.25">
      <c r="A20" s="45">
        <f t="shared" si="0"/>
        <v>18</v>
      </c>
      <c r="B20" s="45" t="s">
        <v>108</v>
      </c>
      <c r="C20" s="45">
        <v>2025</v>
      </c>
      <c r="D20" s="45" t="s">
        <v>4</v>
      </c>
      <c r="E20" s="45" t="s">
        <v>4</v>
      </c>
      <c r="F20" s="77">
        <f>Mod_CL[[#This Row],[Date]]-DAY(Mod_CL[[#This Row],[Date]])+1</f>
        <v>45748</v>
      </c>
      <c r="G20" s="2">
        <f>DAY(EOMONTH(Mod_CL[[#This Row],[Month Year]],0))</f>
        <v>30</v>
      </c>
      <c r="H20" s="51">
        <v>45762</v>
      </c>
      <c r="I20" s="45">
        <v>4</v>
      </c>
      <c r="J20" s="45">
        <v>1</v>
      </c>
      <c r="K20" s="45">
        <v>1800</v>
      </c>
      <c r="L20" s="45">
        <v>2160</v>
      </c>
      <c r="M20" s="45">
        <v>1800</v>
      </c>
      <c r="N20" s="45">
        <v>1800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2">
        <f>SUM(Mod_CL[[#This Row],[Inv 1 (630kw) unit 1]:[Inv 3 (630kw) unit 4]])</f>
        <v>7560</v>
      </c>
      <c r="X20" s="83">
        <v>0.39583333333333331</v>
      </c>
      <c r="Y20" s="45">
        <v>0</v>
      </c>
      <c r="Z20" s="45">
        <v>0</v>
      </c>
      <c r="AA20" s="83">
        <v>0.5625</v>
      </c>
      <c r="AB20" s="45">
        <v>0</v>
      </c>
      <c r="AC20" s="45">
        <v>0</v>
      </c>
      <c r="AD20" s="45" t="s">
        <v>1038</v>
      </c>
    </row>
    <row r="21" spans="1:30" x14ac:dyDescent="0.25">
      <c r="A21" s="45">
        <f t="shared" si="0"/>
        <v>19</v>
      </c>
      <c r="B21" s="45" t="s">
        <v>108</v>
      </c>
      <c r="C21" s="45">
        <v>2025</v>
      </c>
      <c r="D21" s="45" t="s">
        <v>4</v>
      </c>
      <c r="E21" s="45" t="s">
        <v>4</v>
      </c>
      <c r="F21" s="77">
        <f>Mod_CL[[#This Row],[Date]]-DAY(Mod_CL[[#This Row],[Date]])+1</f>
        <v>45748</v>
      </c>
      <c r="G21" s="2">
        <f>DAY(EOMONTH(Mod_CL[[#This Row],[Month Year]],0))</f>
        <v>30</v>
      </c>
      <c r="H21" s="51">
        <v>45763</v>
      </c>
      <c r="I21" s="45">
        <v>5</v>
      </c>
      <c r="J21" s="45">
        <v>3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1800</v>
      </c>
      <c r="T21" s="45">
        <v>2160</v>
      </c>
      <c r="U21" s="45">
        <v>1440</v>
      </c>
      <c r="V21" s="45">
        <v>2160</v>
      </c>
      <c r="W21" s="2">
        <f>SUM(Mod_CL[[#This Row],[Inv 1 (630kw) unit 1]:[Inv 3 (630kw) unit 4]])</f>
        <v>7560</v>
      </c>
      <c r="X21" s="83">
        <v>0.39583333333333331</v>
      </c>
      <c r="Y21" s="45">
        <v>0</v>
      </c>
      <c r="Z21" s="45">
        <v>0</v>
      </c>
      <c r="AA21" s="83">
        <v>0.5625</v>
      </c>
      <c r="AB21" s="45">
        <v>0</v>
      </c>
      <c r="AC21" s="45">
        <v>0</v>
      </c>
      <c r="AD21" s="45" t="s">
        <v>1038</v>
      </c>
    </row>
    <row r="22" spans="1:30" x14ac:dyDescent="0.25">
      <c r="A22" s="45">
        <f t="shared" si="0"/>
        <v>20</v>
      </c>
      <c r="B22" s="45" t="s">
        <v>108</v>
      </c>
      <c r="C22" s="45">
        <v>2025</v>
      </c>
      <c r="D22" s="45" t="s">
        <v>4</v>
      </c>
      <c r="E22" s="45" t="s">
        <v>4</v>
      </c>
      <c r="F22" s="77">
        <f>Mod_CL[[#This Row],[Date]]-DAY(Mod_CL[[#This Row],[Date]])+1</f>
        <v>45748</v>
      </c>
      <c r="G22" s="2">
        <f>DAY(EOMONTH(Mod_CL[[#This Row],[Month Year]],0))</f>
        <v>30</v>
      </c>
      <c r="H22" s="51">
        <v>45764</v>
      </c>
      <c r="I22" s="45">
        <v>5</v>
      </c>
      <c r="J22" s="46">
        <v>2</v>
      </c>
      <c r="K22" s="46">
        <v>0</v>
      </c>
      <c r="L22" s="46">
        <v>0</v>
      </c>
      <c r="M22" s="46">
        <v>0</v>
      </c>
      <c r="N22" s="46">
        <v>0</v>
      </c>
      <c r="O22" s="46">
        <v>2160</v>
      </c>
      <c r="P22" s="46">
        <v>1800</v>
      </c>
      <c r="Q22" s="46">
        <v>2160</v>
      </c>
      <c r="R22" s="46">
        <v>1440</v>
      </c>
      <c r="S22" s="46">
        <v>0</v>
      </c>
      <c r="T22" s="46">
        <v>0</v>
      </c>
      <c r="U22" s="46">
        <v>0</v>
      </c>
      <c r="V22" s="46">
        <v>0</v>
      </c>
      <c r="W22" s="2">
        <f>SUM(Mod_CL[[#This Row],[Inv 1 (630kw) unit 1]:[Inv 3 (630kw) unit 4]])</f>
        <v>7560</v>
      </c>
      <c r="X22" s="83">
        <v>0.39583333333333331</v>
      </c>
      <c r="Y22" s="46">
        <v>0</v>
      </c>
      <c r="Z22" s="46">
        <v>0</v>
      </c>
      <c r="AA22" s="83">
        <v>0.5625</v>
      </c>
      <c r="AB22" s="46">
        <v>0</v>
      </c>
      <c r="AC22" s="46">
        <v>0</v>
      </c>
      <c r="AD22" s="46" t="s">
        <v>1038</v>
      </c>
    </row>
    <row r="23" spans="1:30" x14ac:dyDescent="0.25">
      <c r="A23" s="45">
        <f t="shared" si="0"/>
        <v>21</v>
      </c>
      <c r="B23" s="45" t="s">
        <v>108</v>
      </c>
      <c r="C23" s="45">
        <v>2025</v>
      </c>
      <c r="D23" s="45" t="s">
        <v>4</v>
      </c>
      <c r="E23" s="45" t="s">
        <v>4</v>
      </c>
      <c r="F23" s="77">
        <f>Mod_CL[[#This Row],[Date]]-DAY(Mod_CL[[#This Row],[Date]])+1</f>
        <v>45748</v>
      </c>
      <c r="G23" s="2">
        <f>DAY(EOMONTH(Mod_CL[[#This Row],[Month Year]],0))</f>
        <v>30</v>
      </c>
      <c r="H23" s="51">
        <v>45765</v>
      </c>
      <c r="I23" s="45">
        <v>5</v>
      </c>
      <c r="J23" s="45">
        <v>3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1800</v>
      </c>
      <c r="T23" s="45">
        <v>2160</v>
      </c>
      <c r="U23" s="45">
        <v>1440</v>
      </c>
      <c r="V23" s="45">
        <v>2160</v>
      </c>
      <c r="W23" s="2">
        <f>SUM(Mod_CL[[#This Row],[Inv 1 (630kw) unit 1]:[Inv 3 (630kw) unit 4]])</f>
        <v>7560</v>
      </c>
      <c r="X23" s="83">
        <v>0.39583333333333331</v>
      </c>
      <c r="Y23" s="45">
        <v>0</v>
      </c>
      <c r="Z23" s="45">
        <v>0</v>
      </c>
      <c r="AA23" s="83">
        <v>0.5625</v>
      </c>
      <c r="AB23" s="45">
        <v>0</v>
      </c>
      <c r="AC23" s="45">
        <v>0</v>
      </c>
      <c r="AD23" s="45" t="s">
        <v>1038</v>
      </c>
    </row>
    <row r="24" spans="1:30" x14ac:dyDescent="0.25">
      <c r="A24" s="45">
        <f t="shared" si="0"/>
        <v>22</v>
      </c>
      <c r="B24" s="45" t="s">
        <v>108</v>
      </c>
      <c r="C24" s="45">
        <v>2025</v>
      </c>
      <c r="D24" s="45" t="s">
        <v>4</v>
      </c>
      <c r="E24" s="45" t="s">
        <v>4</v>
      </c>
      <c r="F24" s="77">
        <f>Mod_CL[[#This Row],[Date]]-DAY(Mod_CL[[#This Row],[Date]])+1</f>
        <v>45748</v>
      </c>
      <c r="G24" s="2">
        <f>DAY(EOMONTH(Mod_CL[[#This Row],[Month Year]],0))</f>
        <v>30</v>
      </c>
      <c r="H24" s="51">
        <v>45766</v>
      </c>
      <c r="I24" s="45">
        <v>6</v>
      </c>
      <c r="J24" s="45">
        <v>1</v>
      </c>
      <c r="K24" s="45">
        <v>1800</v>
      </c>
      <c r="L24" s="45">
        <v>2160</v>
      </c>
      <c r="M24" s="45">
        <v>1800</v>
      </c>
      <c r="N24" s="45">
        <v>1800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2">
        <f>SUM(Mod_CL[[#This Row],[Inv 1 (630kw) unit 1]:[Inv 3 (630kw) unit 4]])</f>
        <v>7560</v>
      </c>
      <c r="X24" s="83">
        <v>0.39583333333333331</v>
      </c>
      <c r="Y24" s="45">
        <v>0</v>
      </c>
      <c r="Z24" s="45">
        <v>0</v>
      </c>
      <c r="AA24" s="83">
        <v>0.5625</v>
      </c>
      <c r="AB24" s="45">
        <v>0</v>
      </c>
      <c r="AC24" s="45">
        <v>0</v>
      </c>
      <c r="AD24" s="45" t="s">
        <v>1038</v>
      </c>
    </row>
    <row r="25" spans="1:30" x14ac:dyDescent="0.25">
      <c r="A25" s="45">
        <f t="shared" si="0"/>
        <v>23</v>
      </c>
      <c r="B25" s="45" t="s">
        <v>108</v>
      </c>
      <c r="C25" s="45">
        <v>2025</v>
      </c>
      <c r="D25" s="45" t="s">
        <v>4</v>
      </c>
      <c r="E25" s="45" t="s">
        <v>4</v>
      </c>
      <c r="F25" s="77">
        <f>Mod_CL[[#This Row],[Date]]-DAY(Mod_CL[[#This Row],[Date]])+1</f>
        <v>45748</v>
      </c>
      <c r="G25" s="2">
        <f>DAY(EOMONTH(Mod_CL[[#This Row],[Month Year]],0))</f>
        <v>30</v>
      </c>
      <c r="H25" s="51">
        <v>45767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2">
        <f>SUM(Mod_CL[[#This Row],[Inv 1 (630kw) unit 1]:[Inv 3 (630kw) unit 4]])</f>
        <v>0</v>
      </c>
      <c r="X25" s="83">
        <v>0</v>
      </c>
      <c r="Y25" s="45">
        <v>0</v>
      </c>
      <c r="Z25" s="45">
        <v>0</v>
      </c>
      <c r="AA25" s="83">
        <v>0</v>
      </c>
      <c r="AB25" s="45">
        <v>0</v>
      </c>
      <c r="AC25" s="45">
        <v>0</v>
      </c>
      <c r="AD25" s="45" t="s">
        <v>1039</v>
      </c>
    </row>
    <row r="26" spans="1:30" x14ac:dyDescent="0.25">
      <c r="A26" s="45">
        <f t="shared" si="0"/>
        <v>24</v>
      </c>
      <c r="B26" s="45" t="s">
        <v>108</v>
      </c>
      <c r="C26" s="45">
        <v>2025</v>
      </c>
      <c r="D26" s="45" t="s">
        <v>4</v>
      </c>
      <c r="E26" s="45" t="s">
        <v>4</v>
      </c>
      <c r="F26" s="77">
        <f>Mod_CL[[#This Row],[Date]]-DAY(Mod_CL[[#This Row],[Date]])+1</f>
        <v>45748</v>
      </c>
      <c r="G26" s="2">
        <f>DAY(EOMONTH(Mod_CL[[#This Row],[Month Year]],0))</f>
        <v>30</v>
      </c>
      <c r="H26" s="51">
        <v>45768</v>
      </c>
      <c r="I26" s="45">
        <v>6</v>
      </c>
      <c r="J26" s="46">
        <v>2</v>
      </c>
      <c r="K26" s="46">
        <v>0</v>
      </c>
      <c r="L26" s="46">
        <v>0</v>
      </c>
      <c r="M26" s="46">
        <v>0</v>
      </c>
      <c r="N26" s="46">
        <v>0</v>
      </c>
      <c r="O26" s="46">
        <v>2160</v>
      </c>
      <c r="P26" s="46">
        <v>1800</v>
      </c>
      <c r="Q26" s="46">
        <v>2160</v>
      </c>
      <c r="R26" s="46">
        <v>1440</v>
      </c>
      <c r="S26" s="46">
        <v>0</v>
      </c>
      <c r="T26" s="46">
        <v>0</v>
      </c>
      <c r="U26" s="46">
        <v>0</v>
      </c>
      <c r="V26" s="46">
        <v>0</v>
      </c>
      <c r="W26" s="2">
        <f>SUM(Mod_CL[[#This Row],[Inv 1 (630kw) unit 1]:[Inv 3 (630kw) unit 4]])</f>
        <v>7560</v>
      </c>
      <c r="X26" s="83">
        <v>0.39583333333333331</v>
      </c>
      <c r="Y26" s="46">
        <v>0</v>
      </c>
      <c r="Z26" s="46">
        <v>0</v>
      </c>
      <c r="AA26" s="83">
        <v>0.5625</v>
      </c>
      <c r="AB26" s="46">
        <v>0</v>
      </c>
      <c r="AC26" s="46">
        <v>0</v>
      </c>
      <c r="AD26" s="46" t="s">
        <v>1038</v>
      </c>
    </row>
    <row r="27" spans="1:30" x14ac:dyDescent="0.25">
      <c r="A27" s="45">
        <f t="shared" si="0"/>
        <v>25</v>
      </c>
      <c r="B27" s="45" t="s">
        <v>108</v>
      </c>
      <c r="C27" s="45">
        <v>2025</v>
      </c>
      <c r="D27" s="45" t="s">
        <v>4</v>
      </c>
      <c r="E27" s="45" t="s">
        <v>4</v>
      </c>
      <c r="F27" s="77">
        <f>Mod_CL[[#This Row],[Date]]-DAY(Mod_CL[[#This Row],[Date]])+1</f>
        <v>45748</v>
      </c>
      <c r="G27" s="2">
        <f>DAY(EOMONTH(Mod_CL[[#This Row],[Month Year]],0))</f>
        <v>30</v>
      </c>
      <c r="H27" s="51">
        <v>45769</v>
      </c>
      <c r="I27" s="45">
        <v>6</v>
      </c>
      <c r="J27" s="45">
        <v>3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  <c r="Q27" s="45">
        <v>0</v>
      </c>
      <c r="R27" s="45">
        <v>0</v>
      </c>
      <c r="S27" s="45">
        <v>1800</v>
      </c>
      <c r="T27" s="45">
        <v>2160</v>
      </c>
      <c r="U27" s="45">
        <v>1440</v>
      </c>
      <c r="V27" s="45">
        <v>2160</v>
      </c>
      <c r="W27" s="2">
        <f>SUM(Mod_CL[[#This Row],[Inv 1 (630kw) unit 1]:[Inv 3 (630kw) unit 4]])</f>
        <v>7560</v>
      </c>
      <c r="X27" s="83">
        <v>0.39583333333333331</v>
      </c>
      <c r="Y27" s="45">
        <v>0</v>
      </c>
      <c r="Z27" s="45">
        <v>0</v>
      </c>
      <c r="AA27" s="83">
        <v>0.5625</v>
      </c>
      <c r="AB27" s="45">
        <v>0</v>
      </c>
      <c r="AC27" s="45">
        <v>0</v>
      </c>
      <c r="AD27" s="45" t="s">
        <v>1038</v>
      </c>
    </row>
    <row r="28" spans="1:30" x14ac:dyDescent="0.25">
      <c r="A28" s="45">
        <f t="shared" si="0"/>
        <v>26</v>
      </c>
      <c r="B28" s="45" t="s">
        <v>108</v>
      </c>
      <c r="C28" s="45">
        <v>2025</v>
      </c>
      <c r="D28" s="45" t="s">
        <v>4</v>
      </c>
      <c r="E28" s="45" t="s">
        <v>4</v>
      </c>
      <c r="F28" s="77">
        <f>Mod_CL[[#This Row],[Date]]-DAY(Mod_CL[[#This Row],[Date]])+1</f>
        <v>45748</v>
      </c>
      <c r="G28" s="2">
        <f>DAY(EOMONTH(Mod_CL[[#This Row],[Month Year]],0))</f>
        <v>30</v>
      </c>
      <c r="H28" s="51">
        <v>45770</v>
      </c>
      <c r="I28" s="45">
        <v>7</v>
      </c>
      <c r="J28" s="46">
        <v>2</v>
      </c>
      <c r="K28" s="46">
        <v>0</v>
      </c>
      <c r="L28" s="46">
        <v>0</v>
      </c>
      <c r="M28" s="46">
        <v>0</v>
      </c>
      <c r="N28" s="46">
        <v>0</v>
      </c>
      <c r="O28" s="46">
        <v>2160</v>
      </c>
      <c r="P28" s="46">
        <v>1800</v>
      </c>
      <c r="Q28" s="46">
        <v>2160</v>
      </c>
      <c r="R28" s="46">
        <v>1440</v>
      </c>
      <c r="S28" s="46">
        <v>0</v>
      </c>
      <c r="T28" s="46">
        <v>0</v>
      </c>
      <c r="U28" s="46">
        <v>0</v>
      </c>
      <c r="V28" s="46">
        <v>0</v>
      </c>
      <c r="W28" s="2">
        <f>SUM(Mod_CL[[#This Row],[Inv 1 (630kw) unit 1]:[Inv 3 (630kw) unit 4]])</f>
        <v>7560</v>
      </c>
      <c r="X28" s="83">
        <v>0.39583333333333331</v>
      </c>
      <c r="Y28" s="46">
        <v>0</v>
      </c>
      <c r="Z28" s="46">
        <v>0</v>
      </c>
      <c r="AA28" s="83">
        <v>0.5625</v>
      </c>
      <c r="AB28" s="46">
        <v>0</v>
      </c>
      <c r="AC28" s="46">
        <v>0</v>
      </c>
      <c r="AD28" s="46" t="s">
        <v>1038</v>
      </c>
    </row>
    <row r="29" spans="1:30" x14ac:dyDescent="0.25">
      <c r="A29" s="45">
        <f t="shared" si="0"/>
        <v>27</v>
      </c>
      <c r="B29" s="45" t="s">
        <v>108</v>
      </c>
      <c r="C29" s="45">
        <v>2025</v>
      </c>
      <c r="D29" s="45" t="s">
        <v>4</v>
      </c>
      <c r="E29" s="45" t="s">
        <v>4</v>
      </c>
      <c r="F29" s="77">
        <f>Mod_CL[[#This Row],[Date]]-DAY(Mod_CL[[#This Row],[Date]])+1</f>
        <v>45748</v>
      </c>
      <c r="G29" s="2">
        <f>DAY(EOMONTH(Mod_CL[[#This Row],[Month Year]],0))</f>
        <v>30</v>
      </c>
      <c r="H29" s="51">
        <v>45771</v>
      </c>
      <c r="I29" s="45">
        <v>7</v>
      </c>
      <c r="J29" s="45">
        <v>3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1800</v>
      </c>
      <c r="T29" s="45">
        <v>2160</v>
      </c>
      <c r="U29" s="45">
        <v>1440</v>
      </c>
      <c r="V29" s="45">
        <v>2160</v>
      </c>
      <c r="W29" s="2">
        <f>SUM(Mod_CL[[#This Row],[Inv 1 (630kw) unit 1]:[Inv 3 (630kw) unit 4]])</f>
        <v>7560</v>
      </c>
      <c r="X29" s="83">
        <v>0.39583333333333331</v>
      </c>
      <c r="Y29" s="45">
        <v>0</v>
      </c>
      <c r="Z29" s="45">
        <v>0</v>
      </c>
      <c r="AA29" s="83">
        <v>0.5625</v>
      </c>
      <c r="AB29" s="45">
        <v>0</v>
      </c>
      <c r="AC29" s="45">
        <v>0</v>
      </c>
      <c r="AD29" s="45" t="s">
        <v>1038</v>
      </c>
    </row>
    <row r="30" spans="1:30" x14ac:dyDescent="0.25">
      <c r="A30" s="45">
        <f t="shared" si="0"/>
        <v>28</v>
      </c>
      <c r="B30" s="45" t="s">
        <v>108</v>
      </c>
      <c r="C30" s="45">
        <v>2025</v>
      </c>
      <c r="D30" s="45" t="s">
        <v>4</v>
      </c>
      <c r="E30" s="45" t="s">
        <v>4</v>
      </c>
      <c r="F30" s="77">
        <f>Mod_CL[[#This Row],[Date]]-DAY(Mod_CL[[#This Row],[Date]])+1</f>
        <v>45748</v>
      </c>
      <c r="G30" s="2">
        <f>DAY(EOMONTH(Mod_CL[[#This Row],[Month Year]],0))</f>
        <v>30</v>
      </c>
      <c r="H30" s="51">
        <v>45772</v>
      </c>
      <c r="I30" s="45">
        <v>7</v>
      </c>
      <c r="J30" s="45">
        <v>1</v>
      </c>
      <c r="K30" s="45">
        <v>1800</v>
      </c>
      <c r="L30" s="45">
        <v>2160</v>
      </c>
      <c r="M30" s="45">
        <v>1800</v>
      </c>
      <c r="N30" s="45">
        <v>1800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5">
        <v>0</v>
      </c>
      <c r="U30" s="45">
        <v>0</v>
      </c>
      <c r="V30" s="45">
        <v>0</v>
      </c>
      <c r="W30" s="2">
        <f>SUM(Mod_CL[[#This Row],[Inv 1 (630kw) unit 1]:[Inv 3 (630kw) unit 4]])</f>
        <v>7560</v>
      </c>
      <c r="X30" s="83">
        <v>0.39583333333333331</v>
      </c>
      <c r="Y30" s="45">
        <v>0</v>
      </c>
      <c r="Z30" s="45">
        <v>0</v>
      </c>
      <c r="AA30" s="83">
        <v>0.5625</v>
      </c>
      <c r="AB30" s="45">
        <v>0</v>
      </c>
      <c r="AC30" s="45">
        <v>0</v>
      </c>
      <c r="AD30" s="45" t="s">
        <v>1038</v>
      </c>
    </row>
    <row r="31" spans="1:30" x14ac:dyDescent="0.25">
      <c r="A31" s="45">
        <f t="shared" si="0"/>
        <v>29</v>
      </c>
      <c r="B31" s="45" t="s">
        <v>108</v>
      </c>
      <c r="C31" s="45">
        <v>2025</v>
      </c>
      <c r="D31" s="45" t="s">
        <v>4</v>
      </c>
      <c r="E31" s="45" t="s">
        <v>4</v>
      </c>
      <c r="F31" s="77">
        <f>Mod_CL[[#This Row],[Date]]-DAY(Mod_CL[[#This Row],[Date]])+1</f>
        <v>45748</v>
      </c>
      <c r="G31" s="2">
        <f>DAY(EOMONTH(Mod_CL[[#This Row],[Month Year]],0))</f>
        <v>30</v>
      </c>
      <c r="H31" s="51">
        <v>45773</v>
      </c>
      <c r="I31" s="45">
        <v>8</v>
      </c>
      <c r="J31" s="46">
        <v>2</v>
      </c>
      <c r="K31" s="46">
        <v>0</v>
      </c>
      <c r="L31" s="46">
        <v>0</v>
      </c>
      <c r="M31" s="46">
        <v>0</v>
      </c>
      <c r="N31" s="46">
        <v>0</v>
      </c>
      <c r="O31" s="46">
        <v>2160</v>
      </c>
      <c r="P31" s="46">
        <v>1800</v>
      </c>
      <c r="Q31" s="46">
        <v>2160</v>
      </c>
      <c r="R31" s="46">
        <v>1440</v>
      </c>
      <c r="S31" s="46">
        <v>0</v>
      </c>
      <c r="T31" s="46">
        <v>0</v>
      </c>
      <c r="U31" s="46">
        <v>0</v>
      </c>
      <c r="V31" s="46">
        <v>0</v>
      </c>
      <c r="W31" s="2">
        <f>SUM(Mod_CL[[#This Row],[Inv 1 (630kw) unit 1]:[Inv 3 (630kw) unit 4]])</f>
        <v>7560</v>
      </c>
      <c r="X31" s="83">
        <v>0.39583333333333331</v>
      </c>
      <c r="Y31" s="46">
        <v>0</v>
      </c>
      <c r="Z31" s="46">
        <v>0</v>
      </c>
      <c r="AA31" s="83">
        <v>0.5625</v>
      </c>
      <c r="AB31" s="46">
        <v>0</v>
      </c>
      <c r="AC31" s="46">
        <v>0</v>
      </c>
      <c r="AD31" s="46" t="s">
        <v>1038</v>
      </c>
    </row>
    <row r="32" spans="1:30" x14ac:dyDescent="0.25">
      <c r="A32" s="45">
        <f t="shared" si="0"/>
        <v>30</v>
      </c>
      <c r="B32" s="45" t="s">
        <v>108</v>
      </c>
      <c r="C32" s="45">
        <v>2025</v>
      </c>
      <c r="D32" s="45" t="s">
        <v>4</v>
      </c>
      <c r="E32" s="45" t="s">
        <v>4</v>
      </c>
      <c r="F32" s="77">
        <f>Mod_CL[[#This Row],[Date]]-DAY(Mod_CL[[#This Row],[Date]])+1</f>
        <v>45748</v>
      </c>
      <c r="G32" s="2">
        <f>DAY(EOMONTH(Mod_CL[[#This Row],[Month Year]],0))</f>
        <v>30</v>
      </c>
      <c r="H32" s="51">
        <v>45774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2">
        <f>SUM(Mod_CL[[#This Row],[Inv 1 (630kw) unit 1]:[Inv 3 (630kw) unit 4]])</f>
        <v>0</v>
      </c>
      <c r="X32" s="83">
        <v>0</v>
      </c>
      <c r="Y32" s="45">
        <v>0</v>
      </c>
      <c r="Z32" s="45">
        <v>0</v>
      </c>
      <c r="AA32" s="83">
        <v>0</v>
      </c>
      <c r="AB32" s="45">
        <v>0</v>
      </c>
      <c r="AC32" s="45">
        <v>0</v>
      </c>
      <c r="AD32" s="45" t="s">
        <v>1039</v>
      </c>
    </row>
    <row r="33" spans="1:30" x14ac:dyDescent="0.25">
      <c r="A33" s="45">
        <f t="shared" si="0"/>
        <v>31</v>
      </c>
      <c r="B33" s="45" t="s">
        <v>108</v>
      </c>
      <c r="C33" s="45">
        <v>2025</v>
      </c>
      <c r="D33" s="45" t="s">
        <v>4</v>
      </c>
      <c r="E33" s="45" t="s">
        <v>4</v>
      </c>
      <c r="F33" s="77">
        <f>Mod_CL[[#This Row],[Date]]-DAY(Mod_CL[[#This Row],[Date]])+1</f>
        <v>45748</v>
      </c>
      <c r="G33" s="2">
        <f>DAY(EOMONTH(Mod_CL[[#This Row],[Month Year]],0))</f>
        <v>30</v>
      </c>
      <c r="H33" s="51">
        <v>45775</v>
      </c>
      <c r="I33" s="45">
        <v>8</v>
      </c>
      <c r="J33" s="45">
        <v>1</v>
      </c>
      <c r="K33" s="45">
        <v>1800</v>
      </c>
      <c r="L33" s="45">
        <v>2160</v>
      </c>
      <c r="M33" s="45">
        <v>1800</v>
      </c>
      <c r="N33" s="45">
        <v>1800</v>
      </c>
      <c r="O33" s="45">
        <v>0</v>
      </c>
      <c r="P33" s="45">
        <v>0</v>
      </c>
      <c r="Q33" s="45">
        <v>0</v>
      </c>
      <c r="R33" s="45">
        <v>0</v>
      </c>
      <c r="S33" s="45">
        <v>0</v>
      </c>
      <c r="T33" s="45">
        <v>0</v>
      </c>
      <c r="U33" s="45">
        <v>0</v>
      </c>
      <c r="V33" s="45">
        <v>0</v>
      </c>
      <c r="W33" s="2">
        <f>SUM(Mod_CL[[#This Row],[Inv 1 (630kw) unit 1]:[Inv 3 (630kw) unit 4]])</f>
        <v>7560</v>
      </c>
      <c r="X33" s="83">
        <v>0.39583333333333331</v>
      </c>
      <c r="Y33" s="45">
        <v>0</v>
      </c>
      <c r="Z33" s="45">
        <v>0</v>
      </c>
      <c r="AA33" s="83">
        <v>0.5625</v>
      </c>
      <c r="AB33" s="45">
        <v>0</v>
      </c>
      <c r="AC33" s="45">
        <v>0</v>
      </c>
      <c r="AD33" s="45" t="s">
        <v>1038</v>
      </c>
    </row>
    <row r="34" spans="1:30" x14ac:dyDescent="0.25">
      <c r="A34" s="45">
        <f t="shared" si="0"/>
        <v>32</v>
      </c>
      <c r="B34" s="45" t="s">
        <v>108</v>
      </c>
      <c r="C34" s="45">
        <v>2025</v>
      </c>
      <c r="D34" s="45" t="s">
        <v>4</v>
      </c>
      <c r="E34" s="45" t="s">
        <v>4</v>
      </c>
      <c r="F34" s="77">
        <f>Mod_CL[[#This Row],[Date]]-DAY(Mod_CL[[#This Row],[Date]])+1</f>
        <v>45748</v>
      </c>
      <c r="G34" s="2">
        <f>DAY(EOMONTH(Mod_CL[[#This Row],[Month Year]],0))</f>
        <v>30</v>
      </c>
      <c r="H34" s="51">
        <v>45776</v>
      </c>
      <c r="I34" s="45">
        <v>8</v>
      </c>
      <c r="J34" s="45">
        <v>3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45">
        <v>0</v>
      </c>
      <c r="R34" s="45">
        <v>0</v>
      </c>
      <c r="S34" s="45">
        <v>1800</v>
      </c>
      <c r="T34" s="45">
        <v>2160</v>
      </c>
      <c r="U34" s="45">
        <v>1440</v>
      </c>
      <c r="V34" s="45">
        <v>2160</v>
      </c>
      <c r="W34" s="2">
        <f>SUM(Mod_CL[[#This Row],[Inv 1 (630kw) unit 1]:[Inv 3 (630kw) unit 4]])</f>
        <v>7560</v>
      </c>
      <c r="X34" s="83">
        <v>0.39583333333333331</v>
      </c>
      <c r="Y34" s="45">
        <v>0</v>
      </c>
      <c r="Z34" s="45">
        <v>0</v>
      </c>
      <c r="AA34" s="83">
        <v>0.5625</v>
      </c>
      <c r="AB34" s="45">
        <v>0</v>
      </c>
      <c r="AC34" s="45">
        <v>0</v>
      </c>
      <c r="AD34" s="45" t="s">
        <v>1038</v>
      </c>
    </row>
    <row r="35" spans="1:30" x14ac:dyDescent="0.25">
      <c r="A35" s="45">
        <f t="shared" si="0"/>
        <v>33</v>
      </c>
      <c r="B35" s="45" t="s">
        <v>108</v>
      </c>
      <c r="C35" s="45">
        <v>2025</v>
      </c>
      <c r="D35" s="45" t="s">
        <v>4</v>
      </c>
      <c r="E35" s="45" t="s">
        <v>4</v>
      </c>
      <c r="F35" s="77">
        <f>Mod_CL[[#This Row],[Date]]-DAY(Mod_CL[[#This Row],[Date]])+1</f>
        <v>45748</v>
      </c>
      <c r="G35" s="2">
        <f>DAY(EOMONTH(Mod_CL[[#This Row],[Month Year]],0))</f>
        <v>30</v>
      </c>
      <c r="H35" s="51">
        <v>45777</v>
      </c>
      <c r="I35" s="45">
        <v>9</v>
      </c>
      <c r="J35" s="46">
        <v>2</v>
      </c>
      <c r="K35" s="46">
        <v>0</v>
      </c>
      <c r="L35" s="46">
        <v>0</v>
      </c>
      <c r="M35" s="46">
        <v>0</v>
      </c>
      <c r="N35" s="46">
        <v>0</v>
      </c>
      <c r="O35" s="46">
        <v>2160</v>
      </c>
      <c r="P35" s="46">
        <v>1800</v>
      </c>
      <c r="Q35" s="46">
        <v>2160</v>
      </c>
      <c r="R35" s="46">
        <v>1440</v>
      </c>
      <c r="S35" s="46">
        <v>0</v>
      </c>
      <c r="T35" s="46">
        <v>0</v>
      </c>
      <c r="U35" s="46">
        <v>0</v>
      </c>
      <c r="V35" s="46">
        <v>0</v>
      </c>
      <c r="W35" s="2">
        <f>SUM(Mod_CL[[#This Row],[Inv 1 (630kw) unit 1]:[Inv 3 (630kw) unit 4]])</f>
        <v>7560</v>
      </c>
      <c r="X35" s="83">
        <v>0.39583333333333331</v>
      </c>
      <c r="Y35" s="46">
        <v>0</v>
      </c>
      <c r="Z35" s="46">
        <v>0</v>
      </c>
      <c r="AA35" s="83">
        <v>0.5625</v>
      </c>
      <c r="AB35" s="46">
        <v>0</v>
      </c>
      <c r="AC35" s="46">
        <v>0</v>
      </c>
      <c r="AD35" s="46" t="s">
        <v>1038</v>
      </c>
    </row>
    <row r="36" spans="1:30" x14ac:dyDescent="0.25">
      <c r="A36" s="45">
        <f t="shared" si="0"/>
        <v>34</v>
      </c>
      <c r="B36" s="45" t="s">
        <v>108</v>
      </c>
      <c r="C36" s="45">
        <v>2025</v>
      </c>
      <c r="D36" s="45" t="s">
        <v>4</v>
      </c>
      <c r="E36" s="45" t="s">
        <v>4</v>
      </c>
      <c r="F36" s="77">
        <f>Mod_CL[[#This Row],[Date]]-DAY(Mod_CL[[#This Row],[Date]])+1</f>
        <v>45778</v>
      </c>
      <c r="G36" s="2">
        <f>DAY(EOMONTH(Mod_CL[[#This Row],[Month Year]],0))</f>
        <v>31</v>
      </c>
      <c r="H36" s="51">
        <v>45778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45">
        <v>0</v>
      </c>
      <c r="O36" s="45">
        <v>0</v>
      </c>
      <c r="P36" s="45">
        <v>0</v>
      </c>
      <c r="Q36" s="45">
        <v>0</v>
      </c>
      <c r="R36" s="45">
        <v>0</v>
      </c>
      <c r="S36" s="45">
        <v>0</v>
      </c>
      <c r="T36" s="45">
        <v>0</v>
      </c>
      <c r="U36" s="45">
        <v>0</v>
      </c>
      <c r="V36" s="45">
        <v>0</v>
      </c>
      <c r="W36" s="2">
        <f>SUM(Mod_CL[[#This Row],[Inv 1 (630kw) unit 1]:[Inv 3 (630kw) unit 4]])</f>
        <v>0</v>
      </c>
      <c r="X36" s="83">
        <v>0</v>
      </c>
      <c r="Y36" s="45">
        <v>0</v>
      </c>
      <c r="Z36" s="45">
        <v>0</v>
      </c>
      <c r="AA36" s="83">
        <v>0</v>
      </c>
      <c r="AB36" s="45">
        <v>0</v>
      </c>
      <c r="AC36" s="45">
        <v>0</v>
      </c>
      <c r="AD36" s="45" t="s">
        <v>1069</v>
      </c>
    </row>
    <row r="37" spans="1:30" x14ac:dyDescent="0.25">
      <c r="A37" s="45">
        <f t="shared" si="0"/>
        <v>35</v>
      </c>
      <c r="B37" s="45" t="s">
        <v>108</v>
      </c>
      <c r="C37" s="45">
        <v>2025</v>
      </c>
      <c r="D37" s="45" t="s">
        <v>4</v>
      </c>
      <c r="E37" s="45" t="s">
        <v>4</v>
      </c>
      <c r="F37" s="77">
        <f>Mod_CL[[#This Row],[Date]]-DAY(Mod_CL[[#This Row],[Date]])+1</f>
        <v>45778</v>
      </c>
      <c r="G37" s="2">
        <f>DAY(EOMONTH(Mod_CL[[#This Row],[Month Year]],0))</f>
        <v>31</v>
      </c>
      <c r="H37" s="51">
        <v>45779</v>
      </c>
      <c r="I37" s="45">
        <v>1</v>
      </c>
      <c r="J37" s="45">
        <v>3</v>
      </c>
      <c r="K37" s="45">
        <v>0</v>
      </c>
      <c r="L37" s="45">
        <v>0</v>
      </c>
      <c r="M37" s="45">
        <v>0</v>
      </c>
      <c r="N37" s="45">
        <v>0</v>
      </c>
      <c r="O37" s="45">
        <v>0</v>
      </c>
      <c r="P37" s="45">
        <v>0</v>
      </c>
      <c r="Q37" s="45">
        <v>0</v>
      </c>
      <c r="R37" s="45">
        <v>0</v>
      </c>
      <c r="S37" s="45">
        <v>1800</v>
      </c>
      <c r="T37" s="45">
        <v>2160</v>
      </c>
      <c r="U37" s="45">
        <v>1440</v>
      </c>
      <c r="V37" s="45">
        <v>2160</v>
      </c>
      <c r="W37" s="2">
        <f>SUM(Mod_CL[[#This Row],[Inv 1 (630kw) unit 1]:[Inv 3 (630kw) unit 4]])</f>
        <v>7560</v>
      </c>
      <c r="X37" s="83">
        <v>0.39583333333333331</v>
      </c>
      <c r="Y37" s="45">
        <v>0</v>
      </c>
      <c r="Z37" s="45">
        <v>0</v>
      </c>
      <c r="AA37" s="83">
        <v>0.5625</v>
      </c>
      <c r="AB37" s="45">
        <v>0</v>
      </c>
      <c r="AC37" s="45">
        <v>0</v>
      </c>
      <c r="AD37" s="45" t="s">
        <v>1038</v>
      </c>
    </row>
    <row r="38" spans="1:30" x14ac:dyDescent="0.25">
      <c r="A38" s="45">
        <f t="shared" si="0"/>
        <v>36</v>
      </c>
      <c r="B38" s="45" t="s">
        <v>108</v>
      </c>
      <c r="C38" s="45">
        <v>2025</v>
      </c>
      <c r="D38" s="45" t="s">
        <v>4</v>
      </c>
      <c r="E38" s="45" t="s">
        <v>4</v>
      </c>
      <c r="F38" s="77">
        <f>Mod_CL[[#This Row],[Date]]-DAY(Mod_CL[[#This Row],[Date]])+1</f>
        <v>45778</v>
      </c>
      <c r="G38" s="2">
        <f>DAY(EOMONTH(Mod_CL[[#This Row],[Month Year]],0))</f>
        <v>31</v>
      </c>
      <c r="H38" s="51">
        <v>45780</v>
      </c>
      <c r="I38" s="45">
        <v>1</v>
      </c>
      <c r="J38" s="45">
        <v>1</v>
      </c>
      <c r="K38" s="45">
        <v>1800</v>
      </c>
      <c r="L38" s="45">
        <v>2160</v>
      </c>
      <c r="M38" s="45">
        <v>1800</v>
      </c>
      <c r="N38" s="45">
        <v>1800</v>
      </c>
      <c r="O38" s="45">
        <v>0</v>
      </c>
      <c r="P38" s="45">
        <v>0</v>
      </c>
      <c r="Q38" s="45">
        <v>0</v>
      </c>
      <c r="R38" s="45">
        <v>0</v>
      </c>
      <c r="S38" s="45">
        <v>0</v>
      </c>
      <c r="T38" s="45">
        <v>0</v>
      </c>
      <c r="U38" s="45">
        <v>0</v>
      </c>
      <c r="V38" s="45">
        <v>0</v>
      </c>
      <c r="W38" s="2">
        <f>SUM(Mod_CL[[#This Row],[Inv 1 (630kw) unit 1]:[Inv 3 (630kw) unit 4]])</f>
        <v>7560</v>
      </c>
      <c r="X38" s="83">
        <v>0.39583333333333331</v>
      </c>
      <c r="Y38" s="45">
        <v>0</v>
      </c>
      <c r="Z38" s="45">
        <v>0</v>
      </c>
      <c r="AA38" s="83">
        <v>0.5625</v>
      </c>
      <c r="AB38" s="45">
        <v>0</v>
      </c>
      <c r="AC38" s="45">
        <v>0</v>
      </c>
      <c r="AD38" s="45" t="s">
        <v>1038</v>
      </c>
    </row>
    <row r="39" spans="1:30" x14ac:dyDescent="0.25">
      <c r="A39" s="45">
        <f t="shared" si="0"/>
        <v>37</v>
      </c>
      <c r="B39" s="45" t="s">
        <v>108</v>
      </c>
      <c r="C39" s="45">
        <v>2025</v>
      </c>
      <c r="D39" s="45" t="s">
        <v>4</v>
      </c>
      <c r="E39" s="45" t="s">
        <v>4</v>
      </c>
      <c r="F39" s="77">
        <f>Mod_CL[[#This Row],[Date]]-DAY(Mod_CL[[#This Row],[Date]])+1</f>
        <v>45778</v>
      </c>
      <c r="G39" s="2">
        <f>DAY(EOMONTH(Mod_CL[[#This Row],[Month Year]],0))</f>
        <v>31</v>
      </c>
      <c r="H39" s="51">
        <v>45781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45">
        <v>0</v>
      </c>
      <c r="R39" s="45">
        <v>0</v>
      </c>
      <c r="S39" s="45">
        <v>0</v>
      </c>
      <c r="T39" s="45">
        <v>0</v>
      </c>
      <c r="U39" s="45">
        <v>0</v>
      </c>
      <c r="V39" s="45">
        <v>0</v>
      </c>
      <c r="W39" s="2">
        <f>SUM(Mod_CL[[#This Row],[Inv 1 (630kw) unit 1]:[Inv 3 (630kw) unit 4]])</f>
        <v>0</v>
      </c>
      <c r="X39" s="83">
        <v>0</v>
      </c>
      <c r="Y39" s="45">
        <v>0</v>
      </c>
      <c r="Z39" s="45">
        <v>0</v>
      </c>
      <c r="AA39" s="83">
        <v>0</v>
      </c>
      <c r="AB39" s="45">
        <v>0</v>
      </c>
      <c r="AC39" s="45">
        <v>0</v>
      </c>
      <c r="AD39" s="45" t="s">
        <v>1039</v>
      </c>
    </row>
    <row r="40" spans="1:30" x14ac:dyDescent="0.25">
      <c r="A40" s="45">
        <f t="shared" si="0"/>
        <v>38</v>
      </c>
      <c r="B40" s="45" t="s">
        <v>108</v>
      </c>
      <c r="C40" s="45">
        <v>2025</v>
      </c>
      <c r="D40" s="45" t="s">
        <v>4</v>
      </c>
      <c r="E40" s="45" t="s">
        <v>4</v>
      </c>
      <c r="F40" s="77">
        <f>Mod_CL[[#This Row],[Date]]-DAY(Mod_CL[[#This Row],[Date]])+1</f>
        <v>45778</v>
      </c>
      <c r="G40" s="2">
        <f>DAY(EOMONTH(Mod_CL[[#This Row],[Month Year]],0))</f>
        <v>31</v>
      </c>
      <c r="H40" s="51">
        <v>45782</v>
      </c>
      <c r="I40" s="45">
        <v>1</v>
      </c>
      <c r="J40" s="45">
        <v>3</v>
      </c>
      <c r="K40" s="45">
        <v>0</v>
      </c>
      <c r="L40" s="45">
        <v>0</v>
      </c>
      <c r="M40" s="45">
        <v>0</v>
      </c>
      <c r="N40" s="45">
        <v>0</v>
      </c>
      <c r="O40" s="45">
        <v>0</v>
      </c>
      <c r="P40" s="45">
        <v>0</v>
      </c>
      <c r="Q40" s="45">
        <v>0</v>
      </c>
      <c r="R40" s="45">
        <v>0</v>
      </c>
      <c r="S40" s="45">
        <v>1800</v>
      </c>
      <c r="T40" s="45">
        <v>2160</v>
      </c>
      <c r="U40" s="45">
        <v>1440</v>
      </c>
      <c r="V40" s="45">
        <v>2160</v>
      </c>
      <c r="W40" s="2">
        <f>SUM(Mod_CL[[#This Row],[Inv 1 (630kw) unit 1]:[Inv 3 (630kw) unit 4]])</f>
        <v>7560</v>
      </c>
      <c r="X40" s="83">
        <v>0.39583333333333331</v>
      </c>
      <c r="Y40" s="45">
        <v>0</v>
      </c>
      <c r="Z40" s="45">
        <v>0</v>
      </c>
      <c r="AA40" s="83">
        <v>0.5625</v>
      </c>
      <c r="AB40" s="45">
        <v>0</v>
      </c>
      <c r="AC40" s="45">
        <v>0</v>
      </c>
      <c r="AD40" s="45" t="s">
        <v>1038</v>
      </c>
    </row>
    <row r="41" spans="1:30" x14ac:dyDescent="0.25">
      <c r="A41" s="45">
        <f t="shared" si="0"/>
        <v>39</v>
      </c>
      <c r="B41" s="45" t="s">
        <v>108</v>
      </c>
      <c r="C41" s="45">
        <v>2025</v>
      </c>
      <c r="D41" s="45" t="s">
        <v>4</v>
      </c>
      <c r="E41" s="45" t="s">
        <v>4</v>
      </c>
      <c r="F41" s="77">
        <f>Mod_CL[[#This Row],[Date]]-DAY(Mod_CL[[#This Row],[Date]])+1</f>
        <v>45778</v>
      </c>
      <c r="G41" s="2">
        <f>DAY(EOMONTH(Mod_CL[[#This Row],[Month Year]],0))</f>
        <v>31</v>
      </c>
      <c r="H41" s="51">
        <v>45783</v>
      </c>
      <c r="I41" s="45">
        <v>2</v>
      </c>
      <c r="J41" s="46">
        <v>2</v>
      </c>
      <c r="K41" s="46">
        <v>0</v>
      </c>
      <c r="L41" s="46">
        <v>0</v>
      </c>
      <c r="M41" s="46">
        <v>0</v>
      </c>
      <c r="N41" s="46">
        <v>0</v>
      </c>
      <c r="O41" s="46">
        <v>2160</v>
      </c>
      <c r="P41" s="46">
        <v>1800</v>
      </c>
      <c r="Q41" s="46">
        <v>2160</v>
      </c>
      <c r="R41" s="46">
        <v>1440</v>
      </c>
      <c r="S41" s="46">
        <v>0</v>
      </c>
      <c r="T41" s="46">
        <v>0</v>
      </c>
      <c r="U41" s="46">
        <v>0</v>
      </c>
      <c r="V41" s="46">
        <v>0</v>
      </c>
      <c r="W41" s="2">
        <f>SUM(Mod_CL[[#This Row],[Inv 1 (630kw) unit 1]:[Inv 3 (630kw) unit 4]])</f>
        <v>7560</v>
      </c>
      <c r="X41" s="83">
        <v>0.39583333333333331</v>
      </c>
      <c r="Y41" s="46">
        <v>0</v>
      </c>
      <c r="Z41" s="46">
        <v>0</v>
      </c>
      <c r="AA41" s="83">
        <v>0.5625</v>
      </c>
      <c r="AB41" s="46">
        <v>0</v>
      </c>
      <c r="AC41" s="46">
        <v>0</v>
      </c>
      <c r="AD41" s="46" t="s">
        <v>1038</v>
      </c>
    </row>
    <row r="42" spans="1:30" x14ac:dyDescent="0.25">
      <c r="A42" s="45">
        <f t="shared" si="0"/>
        <v>40</v>
      </c>
      <c r="B42" s="45" t="s">
        <v>108</v>
      </c>
      <c r="C42" s="45">
        <v>2025</v>
      </c>
      <c r="D42" s="45" t="s">
        <v>4</v>
      </c>
      <c r="E42" s="45" t="s">
        <v>4</v>
      </c>
      <c r="F42" s="77">
        <f>Mod_CL[[#This Row],[Date]]-DAY(Mod_CL[[#This Row],[Date]])+1</f>
        <v>45778</v>
      </c>
      <c r="G42" s="2">
        <f>DAY(EOMONTH(Mod_CL[[#This Row],[Month Year]],0))</f>
        <v>31</v>
      </c>
      <c r="H42" s="51">
        <v>45784</v>
      </c>
      <c r="I42" s="45">
        <v>2</v>
      </c>
      <c r="J42" s="45">
        <v>3</v>
      </c>
      <c r="K42" s="45">
        <v>0</v>
      </c>
      <c r="L42" s="45">
        <v>0</v>
      </c>
      <c r="M42" s="45">
        <v>0</v>
      </c>
      <c r="N42" s="45">
        <v>0</v>
      </c>
      <c r="O42" s="45">
        <v>0</v>
      </c>
      <c r="P42" s="45">
        <v>0</v>
      </c>
      <c r="Q42" s="45">
        <v>0</v>
      </c>
      <c r="R42" s="45">
        <v>0</v>
      </c>
      <c r="S42" s="45">
        <v>1800</v>
      </c>
      <c r="T42" s="45">
        <v>2160</v>
      </c>
      <c r="U42" s="45">
        <v>1440</v>
      </c>
      <c r="V42" s="45">
        <v>2160</v>
      </c>
      <c r="W42" s="2">
        <f>SUM(Mod_CL[[#This Row],[Inv 1 (630kw) unit 1]:[Inv 3 (630kw) unit 4]])</f>
        <v>7560</v>
      </c>
      <c r="X42" s="83">
        <v>0.39583333333333331</v>
      </c>
      <c r="Y42" s="45">
        <v>0</v>
      </c>
      <c r="Z42" s="45">
        <v>0</v>
      </c>
      <c r="AA42" s="83">
        <v>0.5625</v>
      </c>
      <c r="AB42" s="45">
        <v>0</v>
      </c>
      <c r="AC42" s="45">
        <v>0</v>
      </c>
      <c r="AD42" s="45" t="s">
        <v>1038</v>
      </c>
    </row>
    <row r="43" spans="1:30" x14ac:dyDescent="0.25">
      <c r="A43" s="45">
        <f t="shared" si="0"/>
        <v>41</v>
      </c>
      <c r="B43" s="45" t="s">
        <v>108</v>
      </c>
      <c r="C43" s="45">
        <v>2025</v>
      </c>
      <c r="D43" s="45" t="s">
        <v>4</v>
      </c>
      <c r="E43" s="45" t="s">
        <v>4</v>
      </c>
      <c r="F43" s="77">
        <f>Mod_CL[[#This Row],[Date]]-DAY(Mod_CL[[#This Row],[Date]])+1</f>
        <v>45778</v>
      </c>
      <c r="G43" s="2">
        <f>DAY(EOMONTH(Mod_CL[[#This Row],[Month Year]],0))</f>
        <v>31</v>
      </c>
      <c r="H43" s="51">
        <v>45785</v>
      </c>
      <c r="I43" s="45">
        <v>2</v>
      </c>
      <c r="J43" s="45">
        <v>1</v>
      </c>
      <c r="K43" s="45">
        <v>1800</v>
      </c>
      <c r="L43" s="45">
        <v>2160</v>
      </c>
      <c r="M43" s="45">
        <v>1800</v>
      </c>
      <c r="N43" s="45">
        <v>1800</v>
      </c>
      <c r="O43" s="45">
        <v>0</v>
      </c>
      <c r="P43" s="45">
        <v>0</v>
      </c>
      <c r="Q43" s="45">
        <v>0</v>
      </c>
      <c r="R43" s="45">
        <v>0</v>
      </c>
      <c r="S43" s="45">
        <v>0</v>
      </c>
      <c r="T43" s="45">
        <v>0</v>
      </c>
      <c r="U43" s="45">
        <v>0</v>
      </c>
      <c r="V43" s="45">
        <v>0</v>
      </c>
      <c r="W43" s="2">
        <f>SUM(Mod_CL[[#This Row],[Inv 1 (630kw) unit 1]:[Inv 3 (630kw) unit 4]])</f>
        <v>7560</v>
      </c>
      <c r="X43" s="83">
        <v>0.39583333333333331</v>
      </c>
      <c r="Y43" s="45">
        <v>0</v>
      </c>
      <c r="Z43" s="45">
        <v>0</v>
      </c>
      <c r="AA43" s="83">
        <v>0.5625</v>
      </c>
      <c r="AB43" s="45">
        <v>0</v>
      </c>
      <c r="AC43" s="45">
        <v>0</v>
      </c>
      <c r="AD43" s="45" t="s">
        <v>1038</v>
      </c>
    </row>
    <row r="44" spans="1:30" x14ac:dyDescent="0.25">
      <c r="A44" s="45">
        <f t="shared" si="0"/>
        <v>42</v>
      </c>
      <c r="B44" s="45" t="s">
        <v>108</v>
      </c>
      <c r="C44" s="45">
        <v>2025</v>
      </c>
      <c r="D44" s="45" t="s">
        <v>4</v>
      </c>
      <c r="E44" s="45" t="s">
        <v>4</v>
      </c>
      <c r="F44" s="77">
        <f>Mod_CL[[#This Row],[Date]]-DAY(Mod_CL[[#This Row],[Date]])+1</f>
        <v>45778</v>
      </c>
      <c r="G44" s="2">
        <f>DAY(EOMONTH(Mod_CL[[#This Row],[Month Year]],0))</f>
        <v>31</v>
      </c>
      <c r="H44" s="51">
        <v>45786</v>
      </c>
      <c r="I44" s="45">
        <v>3</v>
      </c>
      <c r="J44" s="46">
        <v>2</v>
      </c>
      <c r="K44" s="46">
        <v>0</v>
      </c>
      <c r="L44" s="46">
        <v>0</v>
      </c>
      <c r="M44" s="46">
        <v>0</v>
      </c>
      <c r="N44" s="46">
        <v>0</v>
      </c>
      <c r="O44" s="46">
        <v>2160</v>
      </c>
      <c r="P44" s="46">
        <v>1800</v>
      </c>
      <c r="Q44" s="46">
        <v>2160</v>
      </c>
      <c r="R44" s="46">
        <v>1440</v>
      </c>
      <c r="S44" s="46">
        <v>0</v>
      </c>
      <c r="T44" s="46">
        <v>0</v>
      </c>
      <c r="U44" s="46">
        <v>0</v>
      </c>
      <c r="V44" s="46">
        <v>0</v>
      </c>
      <c r="W44" s="2">
        <f>SUM(Mod_CL[[#This Row],[Inv 1 (630kw) unit 1]:[Inv 3 (630kw) unit 4]])</f>
        <v>7560</v>
      </c>
      <c r="X44" s="83">
        <v>0.39583333333333331</v>
      </c>
      <c r="Y44" s="46">
        <v>0</v>
      </c>
      <c r="Z44" s="46">
        <v>0</v>
      </c>
      <c r="AA44" s="83">
        <v>0.5625</v>
      </c>
      <c r="AB44" s="46">
        <v>0</v>
      </c>
      <c r="AC44" s="46">
        <v>0</v>
      </c>
      <c r="AD44" s="46" t="s">
        <v>1038</v>
      </c>
    </row>
    <row r="45" spans="1:30" x14ac:dyDescent="0.25">
      <c r="A45" s="45">
        <f t="shared" si="0"/>
        <v>43</v>
      </c>
      <c r="B45" s="45" t="s">
        <v>108</v>
      </c>
      <c r="C45" s="45">
        <v>2025</v>
      </c>
      <c r="D45" s="45" t="s">
        <v>4</v>
      </c>
      <c r="E45" s="45" t="s">
        <v>4</v>
      </c>
      <c r="F45" s="77">
        <f>Mod_CL[[#This Row],[Date]]-DAY(Mod_CL[[#This Row],[Date]])+1</f>
        <v>45778</v>
      </c>
      <c r="G45" s="2">
        <f>DAY(EOMONTH(Mod_CL[[#This Row],[Month Year]],0))</f>
        <v>31</v>
      </c>
      <c r="H45" s="51">
        <v>45787</v>
      </c>
      <c r="I45" s="45">
        <v>3</v>
      </c>
      <c r="J45" s="45">
        <v>3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1800</v>
      </c>
      <c r="T45" s="45">
        <v>2160</v>
      </c>
      <c r="U45" s="45">
        <v>1440</v>
      </c>
      <c r="V45" s="45">
        <v>2160</v>
      </c>
      <c r="W45" s="2">
        <f>SUM(Mod_CL[[#This Row],[Inv 1 (630kw) unit 1]:[Inv 3 (630kw) unit 4]])</f>
        <v>7560</v>
      </c>
      <c r="X45" s="83">
        <v>0.39583333333333331</v>
      </c>
      <c r="Y45" s="45">
        <v>0</v>
      </c>
      <c r="Z45" s="45">
        <v>0</v>
      </c>
      <c r="AA45" s="83">
        <v>0.5625</v>
      </c>
      <c r="AB45" s="45">
        <v>0</v>
      </c>
      <c r="AC45" s="45">
        <v>0</v>
      </c>
      <c r="AD45" s="45" t="s">
        <v>1038</v>
      </c>
    </row>
    <row r="46" spans="1:30" x14ac:dyDescent="0.25">
      <c r="A46" s="45">
        <f t="shared" si="0"/>
        <v>44</v>
      </c>
      <c r="B46" s="45" t="s">
        <v>108</v>
      </c>
      <c r="C46" s="45">
        <v>2025</v>
      </c>
      <c r="D46" s="45" t="s">
        <v>4</v>
      </c>
      <c r="E46" s="45" t="s">
        <v>4</v>
      </c>
      <c r="F46" s="77">
        <f>Mod_CL[[#This Row],[Date]]-DAY(Mod_CL[[#This Row],[Date]])+1</f>
        <v>45778</v>
      </c>
      <c r="G46" s="2">
        <f>DAY(EOMONTH(Mod_CL[[#This Row],[Month Year]],0))</f>
        <v>31</v>
      </c>
      <c r="H46" s="51">
        <v>45788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45">
        <v>0</v>
      </c>
      <c r="O46" s="45">
        <v>0</v>
      </c>
      <c r="P46" s="45">
        <v>0</v>
      </c>
      <c r="Q46" s="45">
        <v>0</v>
      </c>
      <c r="R46" s="45">
        <v>0</v>
      </c>
      <c r="S46" s="45">
        <v>0</v>
      </c>
      <c r="T46" s="45">
        <v>0</v>
      </c>
      <c r="U46" s="45">
        <v>0</v>
      </c>
      <c r="V46" s="45">
        <v>0</v>
      </c>
      <c r="W46" s="2">
        <f>SUM(Mod_CL[[#This Row],[Inv 1 (630kw) unit 1]:[Inv 3 (630kw) unit 4]])</f>
        <v>0</v>
      </c>
      <c r="X46" s="83">
        <v>0</v>
      </c>
      <c r="Y46" s="45">
        <v>0</v>
      </c>
      <c r="Z46" s="45">
        <v>0</v>
      </c>
      <c r="AA46" s="83">
        <v>0</v>
      </c>
      <c r="AB46" s="45">
        <v>0</v>
      </c>
      <c r="AC46" s="45">
        <v>0</v>
      </c>
      <c r="AD46" s="45" t="s">
        <v>1039</v>
      </c>
    </row>
    <row r="47" spans="1:30" x14ac:dyDescent="0.25">
      <c r="A47" s="45">
        <f t="shared" si="0"/>
        <v>45</v>
      </c>
      <c r="B47" s="45" t="s">
        <v>108</v>
      </c>
      <c r="C47" s="45">
        <v>2025</v>
      </c>
      <c r="D47" s="45" t="s">
        <v>4</v>
      </c>
      <c r="E47" s="45" t="s">
        <v>4</v>
      </c>
      <c r="F47" s="77">
        <f>Mod_CL[[#This Row],[Date]]-DAY(Mod_CL[[#This Row],[Date]])+1</f>
        <v>45778</v>
      </c>
      <c r="G47" s="2">
        <f>DAY(EOMONTH(Mod_CL[[#This Row],[Month Year]],0))</f>
        <v>31</v>
      </c>
      <c r="H47" s="51">
        <v>45789</v>
      </c>
      <c r="I47" s="45">
        <v>3</v>
      </c>
      <c r="J47" s="46">
        <v>2</v>
      </c>
      <c r="K47" s="46">
        <v>0</v>
      </c>
      <c r="L47" s="46">
        <v>0</v>
      </c>
      <c r="M47" s="46">
        <v>0</v>
      </c>
      <c r="N47" s="46">
        <v>0</v>
      </c>
      <c r="O47" s="46">
        <v>2160</v>
      </c>
      <c r="P47" s="46">
        <v>1800</v>
      </c>
      <c r="Q47" s="46">
        <v>2160</v>
      </c>
      <c r="R47" s="46">
        <v>1440</v>
      </c>
      <c r="S47" s="46">
        <v>0</v>
      </c>
      <c r="T47" s="46">
        <v>0</v>
      </c>
      <c r="U47" s="46">
        <v>0</v>
      </c>
      <c r="V47" s="46">
        <v>0</v>
      </c>
      <c r="W47" s="2">
        <f>SUM(Mod_CL[[#This Row],[Inv 1 (630kw) unit 1]:[Inv 3 (630kw) unit 4]])</f>
        <v>7560</v>
      </c>
      <c r="X47" s="83">
        <v>0.39583333333333331</v>
      </c>
      <c r="Y47" s="46">
        <v>0</v>
      </c>
      <c r="Z47" s="46">
        <v>0</v>
      </c>
      <c r="AA47" s="83">
        <v>0.5625</v>
      </c>
      <c r="AB47" s="46">
        <v>0</v>
      </c>
      <c r="AC47" s="46">
        <v>0</v>
      </c>
      <c r="AD47" s="46" t="s">
        <v>1038</v>
      </c>
    </row>
    <row r="48" spans="1:30" x14ac:dyDescent="0.25">
      <c r="A48" s="45">
        <f t="shared" si="0"/>
        <v>46</v>
      </c>
      <c r="B48" s="45" t="s">
        <v>108</v>
      </c>
      <c r="C48" s="45">
        <v>2025</v>
      </c>
      <c r="D48" s="45" t="s">
        <v>4</v>
      </c>
      <c r="E48" s="45" t="s">
        <v>4</v>
      </c>
      <c r="F48" s="77">
        <f>Mod_CL[[#This Row],[Date]]-DAY(Mod_CL[[#This Row],[Date]])+1</f>
        <v>45778</v>
      </c>
      <c r="G48" s="2">
        <f>DAY(EOMONTH(Mod_CL[[#This Row],[Month Year]],0))</f>
        <v>31</v>
      </c>
      <c r="H48" s="51">
        <v>45790</v>
      </c>
      <c r="I48" s="45">
        <v>4</v>
      </c>
      <c r="J48" s="45">
        <v>1</v>
      </c>
      <c r="K48" s="45">
        <v>1800</v>
      </c>
      <c r="L48" s="45">
        <v>2160</v>
      </c>
      <c r="M48" s="45">
        <v>1800</v>
      </c>
      <c r="N48" s="45">
        <v>1800</v>
      </c>
      <c r="O48" s="45">
        <v>0</v>
      </c>
      <c r="P48" s="45">
        <v>0</v>
      </c>
      <c r="Q48" s="45">
        <v>0</v>
      </c>
      <c r="R48" s="45">
        <v>0</v>
      </c>
      <c r="S48" s="45">
        <v>0</v>
      </c>
      <c r="T48" s="45">
        <v>0</v>
      </c>
      <c r="U48" s="45">
        <v>0</v>
      </c>
      <c r="V48" s="45">
        <v>0</v>
      </c>
      <c r="W48" s="2">
        <f>SUM(Mod_CL[[#This Row],[Inv 1 (630kw) unit 1]:[Inv 3 (630kw) unit 4]])</f>
        <v>7560</v>
      </c>
      <c r="X48" s="83">
        <v>0.39583333333333331</v>
      </c>
      <c r="Y48" s="45">
        <v>0</v>
      </c>
      <c r="Z48" s="45">
        <v>0</v>
      </c>
      <c r="AA48" s="83">
        <v>0.5625</v>
      </c>
      <c r="AB48" s="45">
        <v>0</v>
      </c>
      <c r="AC48" s="45">
        <v>0</v>
      </c>
      <c r="AD48" s="45" t="s">
        <v>1038</v>
      </c>
    </row>
    <row r="49" spans="1:30" x14ac:dyDescent="0.25">
      <c r="A49" s="45">
        <f t="shared" si="0"/>
        <v>47</v>
      </c>
      <c r="B49" s="45" t="s">
        <v>108</v>
      </c>
      <c r="C49" s="45">
        <v>2025</v>
      </c>
      <c r="D49" s="45" t="s">
        <v>4</v>
      </c>
      <c r="E49" s="45" t="s">
        <v>4</v>
      </c>
      <c r="F49" s="77">
        <f>Mod_CL[[#This Row],[Date]]-DAY(Mod_CL[[#This Row],[Date]])+1</f>
        <v>45778</v>
      </c>
      <c r="G49" s="2">
        <f>DAY(EOMONTH(Mod_CL[[#This Row],[Month Year]],0))</f>
        <v>31</v>
      </c>
      <c r="H49" s="51">
        <v>45791</v>
      </c>
      <c r="I49" s="45">
        <v>4</v>
      </c>
      <c r="J49" s="45">
        <v>3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1800</v>
      </c>
      <c r="T49" s="45">
        <v>2160</v>
      </c>
      <c r="U49" s="45">
        <v>1440</v>
      </c>
      <c r="V49" s="45">
        <v>2160</v>
      </c>
      <c r="W49" s="2">
        <f>SUM(Mod_CL[[#This Row],[Inv 1 (630kw) unit 1]:[Inv 3 (630kw) unit 4]])</f>
        <v>7560</v>
      </c>
      <c r="X49" s="83">
        <v>0.39583333333333331</v>
      </c>
      <c r="Y49" s="45">
        <v>0</v>
      </c>
      <c r="Z49" s="45">
        <v>0</v>
      </c>
      <c r="AA49" s="83">
        <v>0.5625</v>
      </c>
      <c r="AB49" s="45">
        <v>0</v>
      </c>
      <c r="AC49" s="45">
        <v>0</v>
      </c>
      <c r="AD49" s="45" t="s">
        <v>1038</v>
      </c>
    </row>
    <row r="50" spans="1:30" x14ac:dyDescent="0.25">
      <c r="A50" s="45">
        <f t="shared" si="0"/>
        <v>48</v>
      </c>
      <c r="B50" s="45" t="s">
        <v>108</v>
      </c>
      <c r="C50" s="45">
        <v>2025</v>
      </c>
      <c r="D50" s="45" t="s">
        <v>4</v>
      </c>
      <c r="E50" s="45" t="s">
        <v>4</v>
      </c>
      <c r="F50" s="77">
        <f>Mod_CL[[#This Row],[Date]]-DAY(Mod_CL[[#This Row],[Date]])+1</f>
        <v>45778</v>
      </c>
      <c r="G50" s="2">
        <f>DAY(EOMONTH(Mod_CL[[#This Row],[Month Year]],0))</f>
        <v>31</v>
      </c>
      <c r="H50" s="51">
        <v>45792</v>
      </c>
      <c r="I50" s="45">
        <v>4</v>
      </c>
      <c r="J50" s="46">
        <v>2</v>
      </c>
      <c r="K50" s="46">
        <v>0</v>
      </c>
      <c r="L50" s="46">
        <v>0</v>
      </c>
      <c r="M50" s="46">
        <v>0</v>
      </c>
      <c r="N50" s="46">
        <v>0</v>
      </c>
      <c r="O50" s="46">
        <v>2160</v>
      </c>
      <c r="P50" s="46">
        <v>1800</v>
      </c>
      <c r="Q50" s="46">
        <v>2160</v>
      </c>
      <c r="R50" s="46">
        <v>1440</v>
      </c>
      <c r="S50" s="46">
        <v>0</v>
      </c>
      <c r="T50" s="46">
        <v>0</v>
      </c>
      <c r="U50" s="46">
        <v>0</v>
      </c>
      <c r="V50" s="46">
        <v>0</v>
      </c>
      <c r="W50" s="2">
        <f>SUM(Mod_CL[[#This Row],[Inv 1 (630kw) unit 1]:[Inv 3 (630kw) unit 4]])</f>
        <v>7560</v>
      </c>
      <c r="X50" s="83">
        <v>0.39583333333333331</v>
      </c>
      <c r="Y50" s="46">
        <v>0</v>
      </c>
      <c r="Z50" s="46">
        <v>0</v>
      </c>
      <c r="AA50" s="83">
        <v>0.5625</v>
      </c>
      <c r="AB50" s="46">
        <v>0</v>
      </c>
      <c r="AC50" s="46">
        <v>0</v>
      </c>
      <c r="AD50" s="46" t="s">
        <v>1038</v>
      </c>
    </row>
    <row r="51" spans="1:30" x14ac:dyDescent="0.25">
      <c r="A51" s="45">
        <f t="shared" si="0"/>
        <v>49</v>
      </c>
      <c r="B51" s="45" t="s">
        <v>108</v>
      </c>
      <c r="C51" s="45">
        <v>2025</v>
      </c>
      <c r="D51" s="45" t="s">
        <v>4</v>
      </c>
      <c r="E51" s="45" t="s">
        <v>4</v>
      </c>
      <c r="F51" s="77">
        <f>Mod_CL[[#This Row],[Date]]-DAY(Mod_CL[[#This Row],[Date]])+1</f>
        <v>45778</v>
      </c>
      <c r="G51" s="2">
        <f>DAY(EOMONTH(Mod_CL[[#This Row],[Month Year]],0))</f>
        <v>31</v>
      </c>
      <c r="H51" s="51">
        <v>45793</v>
      </c>
      <c r="I51" s="45">
        <v>5</v>
      </c>
      <c r="J51" s="45">
        <v>1</v>
      </c>
      <c r="K51" s="45">
        <v>1800</v>
      </c>
      <c r="L51" s="45">
        <v>2160</v>
      </c>
      <c r="M51" s="45">
        <v>1800</v>
      </c>
      <c r="N51" s="45">
        <v>1800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5">
        <v>0</v>
      </c>
      <c r="U51" s="45">
        <v>0</v>
      </c>
      <c r="V51" s="45">
        <v>0</v>
      </c>
      <c r="W51" s="2">
        <f>SUM(Mod_CL[[#This Row],[Inv 1 (630kw) unit 1]:[Inv 3 (630kw) unit 4]])</f>
        <v>7560</v>
      </c>
      <c r="X51" s="83">
        <v>0.39583333333333331</v>
      </c>
      <c r="Y51" s="45">
        <v>0</v>
      </c>
      <c r="Z51" s="45">
        <v>0</v>
      </c>
      <c r="AA51" s="83">
        <v>0.5625</v>
      </c>
      <c r="AB51" s="45">
        <v>0</v>
      </c>
      <c r="AC51" s="45">
        <v>0</v>
      </c>
      <c r="AD51" s="45" t="s">
        <v>1038</v>
      </c>
    </row>
    <row r="52" spans="1:30" x14ac:dyDescent="0.25">
      <c r="A52" s="45">
        <f t="shared" si="0"/>
        <v>50</v>
      </c>
      <c r="B52" s="45" t="s">
        <v>108</v>
      </c>
      <c r="C52" s="45">
        <v>2025</v>
      </c>
      <c r="D52" s="45" t="s">
        <v>4</v>
      </c>
      <c r="E52" s="45" t="s">
        <v>4</v>
      </c>
      <c r="F52" s="77">
        <f>Mod_CL[[#This Row],[Date]]-DAY(Mod_CL[[#This Row],[Date]])+1</f>
        <v>45778</v>
      </c>
      <c r="G52" s="2">
        <f>DAY(EOMONTH(Mod_CL[[#This Row],[Month Year]],0))</f>
        <v>31</v>
      </c>
      <c r="H52" s="51">
        <v>45794</v>
      </c>
      <c r="I52" s="45">
        <v>5</v>
      </c>
      <c r="J52" s="46">
        <v>2</v>
      </c>
      <c r="K52" s="46">
        <v>0</v>
      </c>
      <c r="L52" s="46">
        <v>0</v>
      </c>
      <c r="M52" s="46">
        <v>0</v>
      </c>
      <c r="N52" s="46">
        <v>0</v>
      </c>
      <c r="O52" s="46">
        <v>2160</v>
      </c>
      <c r="P52" s="46">
        <v>1800</v>
      </c>
      <c r="Q52" s="46">
        <v>2160</v>
      </c>
      <c r="R52" s="46">
        <v>1440</v>
      </c>
      <c r="S52" s="46">
        <v>0</v>
      </c>
      <c r="T52" s="46">
        <v>0</v>
      </c>
      <c r="U52" s="46">
        <v>0</v>
      </c>
      <c r="V52" s="46">
        <v>0</v>
      </c>
      <c r="W52" s="2">
        <f>SUM(Mod_CL[[#This Row],[Inv 1 (630kw) unit 1]:[Inv 3 (630kw) unit 4]])</f>
        <v>7560</v>
      </c>
      <c r="X52" s="83">
        <v>0.39583333333333331</v>
      </c>
      <c r="Y52" s="46">
        <v>0</v>
      </c>
      <c r="Z52" s="46">
        <v>0</v>
      </c>
      <c r="AA52" s="83">
        <v>0.5625</v>
      </c>
      <c r="AB52" s="46">
        <v>0</v>
      </c>
      <c r="AC52" s="46">
        <v>0</v>
      </c>
      <c r="AD52" s="46" t="s">
        <v>1038</v>
      </c>
    </row>
    <row r="53" spans="1:30" x14ac:dyDescent="0.25">
      <c r="A53" s="45">
        <f t="shared" si="0"/>
        <v>51</v>
      </c>
      <c r="B53" s="45" t="s">
        <v>108</v>
      </c>
      <c r="C53" s="45">
        <v>2025</v>
      </c>
      <c r="D53" s="45" t="s">
        <v>4</v>
      </c>
      <c r="E53" s="45" t="s">
        <v>4</v>
      </c>
      <c r="F53" s="77">
        <f>Mod_CL[[#This Row],[Date]]-DAY(Mod_CL[[#This Row],[Date]])+1</f>
        <v>45778</v>
      </c>
      <c r="G53" s="2">
        <f>DAY(EOMONTH(Mod_CL[[#This Row],[Month Year]],0))</f>
        <v>31</v>
      </c>
      <c r="H53" s="51">
        <v>45795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45">
        <v>0</v>
      </c>
      <c r="O53" s="45">
        <v>0</v>
      </c>
      <c r="P53" s="45">
        <v>0</v>
      </c>
      <c r="Q53" s="45">
        <v>0</v>
      </c>
      <c r="R53" s="45">
        <v>0</v>
      </c>
      <c r="S53" s="45">
        <v>0</v>
      </c>
      <c r="T53" s="45">
        <v>0</v>
      </c>
      <c r="U53" s="45">
        <v>0</v>
      </c>
      <c r="V53" s="45">
        <v>0</v>
      </c>
      <c r="W53" s="2">
        <f>SUM(Mod_CL[[#This Row],[Inv 1 (630kw) unit 1]:[Inv 3 (630kw) unit 4]])</f>
        <v>0</v>
      </c>
      <c r="X53" s="83">
        <v>0</v>
      </c>
      <c r="Y53" s="45">
        <v>0</v>
      </c>
      <c r="Z53" s="45">
        <v>0</v>
      </c>
      <c r="AA53" s="83">
        <v>0</v>
      </c>
      <c r="AB53" s="45">
        <v>0</v>
      </c>
      <c r="AC53" s="45">
        <v>0</v>
      </c>
      <c r="AD53" s="45" t="s">
        <v>1039</v>
      </c>
    </row>
    <row r="54" spans="1:30" x14ac:dyDescent="0.25">
      <c r="A54" s="45">
        <f t="shared" si="0"/>
        <v>52</v>
      </c>
      <c r="B54" s="45" t="s">
        <v>108</v>
      </c>
      <c r="C54" s="45">
        <v>2025</v>
      </c>
      <c r="D54" s="45" t="s">
        <v>4</v>
      </c>
      <c r="E54" s="45" t="s">
        <v>4</v>
      </c>
      <c r="F54" s="77">
        <f>Mod_CL[[#This Row],[Date]]-DAY(Mod_CL[[#This Row],[Date]])+1</f>
        <v>45778</v>
      </c>
      <c r="G54" s="2">
        <f>DAY(EOMONTH(Mod_CL[[#This Row],[Month Year]],0))</f>
        <v>31</v>
      </c>
      <c r="H54" s="51">
        <v>45796</v>
      </c>
      <c r="I54" s="45">
        <v>5</v>
      </c>
      <c r="J54" s="45">
        <v>3</v>
      </c>
      <c r="K54" s="45">
        <v>0</v>
      </c>
      <c r="L54" s="45">
        <v>0</v>
      </c>
      <c r="M54" s="45">
        <v>0</v>
      </c>
      <c r="N54" s="45">
        <v>0</v>
      </c>
      <c r="O54" s="45">
        <v>0</v>
      </c>
      <c r="P54" s="45">
        <v>0</v>
      </c>
      <c r="Q54" s="45">
        <v>0</v>
      </c>
      <c r="R54" s="45">
        <v>0</v>
      </c>
      <c r="S54" s="45">
        <v>1800</v>
      </c>
      <c r="T54" s="45">
        <v>2160</v>
      </c>
      <c r="U54" s="45">
        <v>1440</v>
      </c>
      <c r="V54" s="45">
        <v>2160</v>
      </c>
      <c r="W54" s="2">
        <f>SUM(Mod_CL[[#This Row],[Inv 1 (630kw) unit 1]:[Inv 3 (630kw) unit 4]])</f>
        <v>7560</v>
      </c>
      <c r="X54" s="83">
        <v>0.39583333333333331</v>
      </c>
      <c r="Y54" s="45">
        <v>0</v>
      </c>
      <c r="Z54" s="45">
        <v>0</v>
      </c>
      <c r="AA54" s="83">
        <v>0.5625</v>
      </c>
      <c r="AB54" s="45">
        <v>0</v>
      </c>
      <c r="AC54" s="45">
        <v>0</v>
      </c>
      <c r="AD54" s="45" t="s">
        <v>1038</v>
      </c>
    </row>
    <row r="55" spans="1:30" x14ac:dyDescent="0.25">
      <c r="A55" s="45">
        <f t="shared" si="0"/>
        <v>53</v>
      </c>
      <c r="B55" s="45" t="s">
        <v>108</v>
      </c>
      <c r="C55" s="45">
        <v>2025</v>
      </c>
      <c r="D55" s="45" t="s">
        <v>4</v>
      </c>
      <c r="E55" s="45" t="s">
        <v>4</v>
      </c>
      <c r="F55" s="77">
        <f>Mod_CL[[#This Row],[Date]]-DAY(Mod_CL[[#This Row],[Date]])+1</f>
        <v>45778</v>
      </c>
      <c r="G55" s="2">
        <f>DAY(EOMONTH(Mod_CL[[#This Row],[Month Year]],0))</f>
        <v>31</v>
      </c>
      <c r="H55" s="51">
        <v>45797</v>
      </c>
      <c r="I55" s="45">
        <v>6</v>
      </c>
      <c r="J55" s="45">
        <v>1</v>
      </c>
      <c r="K55" s="45">
        <v>1800</v>
      </c>
      <c r="L55" s="45">
        <v>2160</v>
      </c>
      <c r="M55" s="45">
        <v>1800</v>
      </c>
      <c r="N55" s="45">
        <v>1800</v>
      </c>
      <c r="O55" s="45">
        <v>0</v>
      </c>
      <c r="P55" s="45">
        <v>0</v>
      </c>
      <c r="Q55" s="45">
        <v>0</v>
      </c>
      <c r="R55" s="45">
        <v>0</v>
      </c>
      <c r="S55" s="45">
        <v>0</v>
      </c>
      <c r="T55" s="45">
        <v>0</v>
      </c>
      <c r="U55" s="45">
        <v>0</v>
      </c>
      <c r="V55" s="45">
        <v>0</v>
      </c>
      <c r="W55" s="2">
        <f>SUM(Mod_CL[[#This Row],[Inv 1 (630kw) unit 1]:[Inv 3 (630kw) unit 4]])</f>
        <v>7560</v>
      </c>
      <c r="X55" s="83">
        <v>0.39583333333333331</v>
      </c>
      <c r="Y55" s="45">
        <v>0</v>
      </c>
      <c r="Z55" s="45">
        <v>0</v>
      </c>
      <c r="AA55" s="83">
        <v>0.5625</v>
      </c>
      <c r="AB55" s="45">
        <v>0</v>
      </c>
      <c r="AC55" s="45">
        <v>0</v>
      </c>
      <c r="AD55" s="45" t="s">
        <v>1038</v>
      </c>
    </row>
    <row r="56" spans="1:30" x14ac:dyDescent="0.25">
      <c r="A56" s="45">
        <f t="shared" si="0"/>
        <v>54</v>
      </c>
      <c r="B56" s="45" t="s">
        <v>108</v>
      </c>
      <c r="C56" s="45">
        <v>2025</v>
      </c>
      <c r="D56" s="45" t="s">
        <v>4</v>
      </c>
      <c r="E56" s="45" t="s">
        <v>4</v>
      </c>
      <c r="F56" s="77">
        <f>Mod_CL[[#This Row],[Date]]-DAY(Mod_CL[[#This Row],[Date]])+1</f>
        <v>45778</v>
      </c>
      <c r="G56" s="2">
        <f>DAY(EOMONTH(Mod_CL[[#This Row],[Month Year]],0))</f>
        <v>31</v>
      </c>
      <c r="H56" s="51">
        <v>45798</v>
      </c>
      <c r="I56" s="45">
        <v>0</v>
      </c>
      <c r="J56" s="45">
        <v>0</v>
      </c>
      <c r="K56" s="45">
        <v>0</v>
      </c>
      <c r="L56" s="45">
        <v>0</v>
      </c>
      <c r="M56" s="45">
        <v>0</v>
      </c>
      <c r="N56" s="45">
        <v>0</v>
      </c>
      <c r="O56" s="45">
        <v>0</v>
      </c>
      <c r="P56" s="45">
        <v>0</v>
      </c>
      <c r="Q56" s="45">
        <v>0</v>
      </c>
      <c r="R56" s="45">
        <v>0</v>
      </c>
      <c r="S56" s="45">
        <v>0</v>
      </c>
      <c r="T56" s="45">
        <v>0</v>
      </c>
      <c r="U56" s="45">
        <v>0</v>
      </c>
      <c r="V56" s="45">
        <v>0</v>
      </c>
      <c r="W56" s="2">
        <f>SUM(Mod_CL[[#This Row],[Inv 1 (630kw) unit 1]:[Inv 3 (630kw) unit 4]])</f>
        <v>0</v>
      </c>
      <c r="X56" s="83">
        <v>0</v>
      </c>
      <c r="Y56" s="45">
        <v>0</v>
      </c>
      <c r="Z56" s="45">
        <v>0</v>
      </c>
      <c r="AA56" s="83">
        <v>0</v>
      </c>
      <c r="AB56" s="45">
        <v>0</v>
      </c>
      <c r="AC56" s="45">
        <v>0</v>
      </c>
      <c r="AD56" s="45" t="s">
        <v>1014</v>
      </c>
    </row>
    <row r="57" spans="1:30" x14ac:dyDescent="0.25">
      <c r="A57" s="45">
        <f t="shared" si="0"/>
        <v>55</v>
      </c>
      <c r="B57" s="45" t="s">
        <v>108</v>
      </c>
      <c r="C57" s="45">
        <v>2025</v>
      </c>
      <c r="D57" s="45" t="s">
        <v>4</v>
      </c>
      <c r="E57" s="45" t="s">
        <v>4</v>
      </c>
      <c r="F57" s="77">
        <f>Mod_CL[[#This Row],[Date]]-DAY(Mod_CL[[#This Row],[Date]])+1</f>
        <v>45778</v>
      </c>
      <c r="G57" s="2">
        <f>DAY(EOMONTH(Mod_CL[[#This Row],[Month Year]],0))</f>
        <v>31</v>
      </c>
      <c r="H57" s="51">
        <v>45799</v>
      </c>
      <c r="I57" s="45">
        <v>0</v>
      </c>
      <c r="J57" s="45">
        <v>0</v>
      </c>
      <c r="K57" s="45">
        <v>0</v>
      </c>
      <c r="L57" s="45">
        <v>0</v>
      </c>
      <c r="M57" s="45">
        <v>0</v>
      </c>
      <c r="N57" s="45">
        <v>0</v>
      </c>
      <c r="O57" s="45">
        <v>0</v>
      </c>
      <c r="P57" s="45">
        <v>0</v>
      </c>
      <c r="Q57" s="45">
        <v>0</v>
      </c>
      <c r="R57" s="45">
        <v>0</v>
      </c>
      <c r="S57" s="45">
        <v>0</v>
      </c>
      <c r="T57" s="45">
        <v>0</v>
      </c>
      <c r="U57" s="45">
        <v>0</v>
      </c>
      <c r="V57" s="45">
        <v>0</v>
      </c>
      <c r="W57" s="2">
        <f>SUM(Mod_CL[[#This Row],[Inv 1 (630kw) unit 1]:[Inv 3 (630kw) unit 4]])</f>
        <v>0</v>
      </c>
      <c r="X57" s="83">
        <v>0</v>
      </c>
      <c r="Y57" s="45">
        <v>0</v>
      </c>
      <c r="Z57" s="45">
        <v>0</v>
      </c>
      <c r="AA57" s="83">
        <v>0</v>
      </c>
      <c r="AB57" s="45">
        <v>0</v>
      </c>
      <c r="AC57" s="45">
        <v>0</v>
      </c>
      <c r="AD57" s="45" t="s">
        <v>1014</v>
      </c>
    </row>
    <row r="58" spans="1:30" x14ac:dyDescent="0.25">
      <c r="A58" s="45">
        <f t="shared" si="0"/>
        <v>56</v>
      </c>
      <c r="B58" s="45" t="s">
        <v>108</v>
      </c>
      <c r="C58" s="45">
        <v>2025</v>
      </c>
      <c r="D58" s="45" t="s">
        <v>4</v>
      </c>
      <c r="E58" s="45" t="s">
        <v>4</v>
      </c>
      <c r="F58" s="77">
        <f>Mod_CL[[#This Row],[Date]]-DAY(Mod_CL[[#This Row],[Date]])+1</f>
        <v>45778</v>
      </c>
      <c r="G58" s="2">
        <f>DAY(EOMONTH(Mod_CL[[#This Row],[Month Year]],0))</f>
        <v>31</v>
      </c>
      <c r="H58" s="51">
        <v>45800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45">
        <v>0</v>
      </c>
      <c r="Q58" s="45">
        <v>0</v>
      </c>
      <c r="R58" s="45">
        <v>0</v>
      </c>
      <c r="S58" s="45">
        <v>0</v>
      </c>
      <c r="T58" s="45">
        <v>0</v>
      </c>
      <c r="U58" s="45">
        <v>0</v>
      </c>
      <c r="V58" s="45">
        <v>0</v>
      </c>
      <c r="W58" s="2">
        <f>SUM(Mod_CL[[#This Row],[Inv 1 (630kw) unit 1]:[Inv 3 (630kw) unit 4]])</f>
        <v>0</v>
      </c>
      <c r="X58" s="83">
        <v>0</v>
      </c>
      <c r="Y58" s="45">
        <v>0</v>
      </c>
      <c r="Z58" s="45">
        <v>0</v>
      </c>
      <c r="AA58" s="83">
        <v>0</v>
      </c>
      <c r="AB58" s="45">
        <v>0</v>
      </c>
      <c r="AC58" s="45">
        <v>0</v>
      </c>
      <c r="AD58" s="45" t="s">
        <v>1014</v>
      </c>
    </row>
    <row r="59" spans="1:30" x14ac:dyDescent="0.25">
      <c r="A59" s="45">
        <f t="shared" si="0"/>
        <v>57</v>
      </c>
      <c r="B59" s="45" t="s">
        <v>108</v>
      </c>
      <c r="C59" s="45">
        <v>2025</v>
      </c>
      <c r="D59" s="45" t="s">
        <v>4</v>
      </c>
      <c r="E59" s="45" t="s">
        <v>4</v>
      </c>
      <c r="F59" s="77">
        <f>Mod_CL[[#This Row],[Date]]-DAY(Mod_CL[[#This Row],[Date]])+1</f>
        <v>45778</v>
      </c>
      <c r="G59" s="2">
        <f>DAY(EOMONTH(Mod_CL[[#This Row],[Month Year]],0))</f>
        <v>31</v>
      </c>
      <c r="H59" s="51">
        <v>45801</v>
      </c>
      <c r="I59" s="45">
        <v>0</v>
      </c>
      <c r="J59" s="45">
        <v>0</v>
      </c>
      <c r="K59" s="45">
        <v>0</v>
      </c>
      <c r="L59" s="45">
        <v>0</v>
      </c>
      <c r="M59" s="45">
        <v>0</v>
      </c>
      <c r="N59" s="45">
        <v>0</v>
      </c>
      <c r="O59" s="45">
        <v>0</v>
      </c>
      <c r="P59" s="45">
        <v>0</v>
      </c>
      <c r="Q59" s="45">
        <v>0</v>
      </c>
      <c r="R59" s="45">
        <v>0</v>
      </c>
      <c r="S59" s="45">
        <v>0</v>
      </c>
      <c r="T59" s="45">
        <v>0</v>
      </c>
      <c r="U59" s="45">
        <v>0</v>
      </c>
      <c r="V59" s="45">
        <v>0</v>
      </c>
      <c r="W59" s="2">
        <f>SUM(Mod_CL[[#This Row],[Inv 1 (630kw) unit 1]:[Inv 3 (630kw) unit 4]])</f>
        <v>0</v>
      </c>
      <c r="X59" s="83">
        <v>0</v>
      </c>
      <c r="Y59" s="45">
        <v>0</v>
      </c>
      <c r="Z59" s="45">
        <v>0</v>
      </c>
      <c r="AA59" s="83">
        <v>0</v>
      </c>
      <c r="AB59" s="45">
        <v>0</v>
      </c>
      <c r="AC59" s="45">
        <v>0</v>
      </c>
      <c r="AD59" s="45" t="s">
        <v>1014</v>
      </c>
    </row>
    <row r="60" spans="1:30" x14ac:dyDescent="0.25">
      <c r="A60" s="45">
        <f t="shared" si="0"/>
        <v>58</v>
      </c>
      <c r="B60" s="45" t="s">
        <v>108</v>
      </c>
      <c r="C60" s="45">
        <v>2025</v>
      </c>
      <c r="D60" s="45" t="s">
        <v>4</v>
      </c>
      <c r="E60" s="45" t="s">
        <v>4</v>
      </c>
      <c r="F60" s="77">
        <f>Mod_CL[[#This Row],[Date]]-DAY(Mod_CL[[#This Row],[Date]])+1</f>
        <v>45778</v>
      </c>
      <c r="G60" s="2">
        <f>DAY(EOMONTH(Mod_CL[[#This Row],[Month Year]],0))</f>
        <v>31</v>
      </c>
      <c r="H60" s="51">
        <v>45802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45">
        <v>0</v>
      </c>
      <c r="O60" s="45">
        <v>0</v>
      </c>
      <c r="P60" s="45">
        <v>0</v>
      </c>
      <c r="Q60" s="45">
        <v>0</v>
      </c>
      <c r="R60" s="45">
        <v>0</v>
      </c>
      <c r="S60" s="45">
        <v>0</v>
      </c>
      <c r="T60" s="45">
        <v>0</v>
      </c>
      <c r="U60" s="45">
        <v>0</v>
      </c>
      <c r="V60" s="45">
        <v>0</v>
      </c>
      <c r="W60" s="2">
        <f>SUM(Mod_CL[[#This Row],[Inv 1 (630kw) unit 1]:[Inv 3 (630kw) unit 4]])</f>
        <v>0</v>
      </c>
      <c r="X60" s="83">
        <v>0</v>
      </c>
      <c r="Y60" s="45">
        <v>0</v>
      </c>
      <c r="Z60" s="45">
        <v>0</v>
      </c>
      <c r="AA60" s="83">
        <v>0</v>
      </c>
      <c r="AB60" s="45">
        <v>0</v>
      </c>
      <c r="AC60" s="45">
        <v>0</v>
      </c>
      <c r="AD60" s="45" t="s">
        <v>1037</v>
      </c>
    </row>
    <row r="61" spans="1:30" x14ac:dyDescent="0.25">
      <c r="A61" s="45">
        <f t="shared" si="0"/>
        <v>59</v>
      </c>
      <c r="B61" s="45" t="s">
        <v>108</v>
      </c>
      <c r="C61" s="45">
        <v>2025</v>
      </c>
      <c r="D61" s="45" t="s">
        <v>4</v>
      </c>
      <c r="E61" s="45" t="s">
        <v>4</v>
      </c>
      <c r="F61" s="77">
        <f>Mod_CL[[#This Row],[Date]]-DAY(Mod_CL[[#This Row],[Date]])+1</f>
        <v>45778</v>
      </c>
      <c r="G61" s="2">
        <f>DAY(EOMONTH(Mod_CL[[#This Row],[Month Year]],0))</f>
        <v>31</v>
      </c>
      <c r="H61" s="51">
        <v>45803</v>
      </c>
      <c r="I61" s="45">
        <v>0</v>
      </c>
      <c r="J61" s="45">
        <v>0</v>
      </c>
      <c r="K61" s="45">
        <v>0</v>
      </c>
      <c r="L61" s="45">
        <v>0</v>
      </c>
      <c r="M61" s="45">
        <v>0</v>
      </c>
      <c r="N61" s="45">
        <v>0</v>
      </c>
      <c r="O61" s="45">
        <v>0</v>
      </c>
      <c r="P61" s="45">
        <v>0</v>
      </c>
      <c r="Q61" s="45">
        <v>0</v>
      </c>
      <c r="R61" s="45">
        <v>0</v>
      </c>
      <c r="S61" s="45">
        <v>0</v>
      </c>
      <c r="T61" s="45">
        <v>0</v>
      </c>
      <c r="U61" s="45">
        <v>0</v>
      </c>
      <c r="V61" s="45">
        <v>0</v>
      </c>
      <c r="W61" s="2">
        <f>SUM(Mod_CL[[#This Row],[Inv 1 (630kw) unit 1]:[Inv 3 (630kw) unit 4]])</f>
        <v>0</v>
      </c>
      <c r="X61" s="83">
        <v>0</v>
      </c>
      <c r="Y61" s="45">
        <v>0</v>
      </c>
      <c r="Z61" s="45">
        <v>0</v>
      </c>
      <c r="AA61" s="83">
        <v>0</v>
      </c>
      <c r="AB61" s="45">
        <v>0</v>
      </c>
      <c r="AC61" s="45">
        <v>0</v>
      </c>
      <c r="AD61" s="45" t="s">
        <v>1014</v>
      </c>
    </row>
    <row r="62" spans="1:30" x14ac:dyDescent="0.25">
      <c r="A62" s="45">
        <f t="shared" si="0"/>
        <v>60</v>
      </c>
      <c r="B62" s="45" t="s">
        <v>108</v>
      </c>
      <c r="C62" s="45">
        <v>2025</v>
      </c>
      <c r="D62" s="45" t="s">
        <v>4</v>
      </c>
      <c r="E62" s="45" t="s">
        <v>4</v>
      </c>
      <c r="F62" s="77">
        <f>Mod_CL[[#This Row],[Date]]-DAY(Mod_CL[[#This Row],[Date]])+1</f>
        <v>45778</v>
      </c>
      <c r="G62" s="2">
        <f>DAY(EOMONTH(Mod_CL[[#This Row],[Month Year]],0))</f>
        <v>31</v>
      </c>
      <c r="H62" s="51">
        <v>45804</v>
      </c>
      <c r="I62" s="45">
        <v>0</v>
      </c>
      <c r="J62" s="45">
        <v>0</v>
      </c>
      <c r="K62" s="45">
        <v>0</v>
      </c>
      <c r="L62" s="45">
        <v>0</v>
      </c>
      <c r="M62" s="45">
        <v>0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45">
        <v>0</v>
      </c>
      <c r="T62" s="45">
        <v>0</v>
      </c>
      <c r="U62" s="45">
        <v>0</v>
      </c>
      <c r="V62" s="45">
        <v>0</v>
      </c>
      <c r="W62" s="2">
        <f>SUM(Mod_CL[[#This Row],[Inv 1 (630kw) unit 1]:[Inv 3 (630kw) unit 4]])</f>
        <v>0</v>
      </c>
      <c r="X62" s="83">
        <v>0</v>
      </c>
      <c r="Y62" s="45">
        <v>0</v>
      </c>
      <c r="Z62" s="45">
        <v>0</v>
      </c>
      <c r="AA62" s="83">
        <v>0</v>
      </c>
      <c r="AB62" s="45">
        <v>0</v>
      </c>
      <c r="AC62" s="45">
        <v>0</v>
      </c>
      <c r="AD62" s="45" t="s">
        <v>1014</v>
      </c>
    </row>
    <row r="63" spans="1:30" x14ac:dyDescent="0.25">
      <c r="A63" s="45">
        <f t="shared" si="0"/>
        <v>61</v>
      </c>
      <c r="B63" s="45" t="s">
        <v>108</v>
      </c>
      <c r="C63" s="45">
        <v>2025</v>
      </c>
      <c r="D63" s="45" t="s">
        <v>4</v>
      </c>
      <c r="E63" s="45" t="s">
        <v>4</v>
      </c>
      <c r="F63" s="77">
        <f>Mod_CL[[#This Row],[Date]]-DAY(Mod_CL[[#This Row],[Date]])+1</f>
        <v>45778</v>
      </c>
      <c r="G63" s="2">
        <f>DAY(EOMONTH(Mod_CL[[#This Row],[Month Year]],0))</f>
        <v>31</v>
      </c>
      <c r="H63" s="51">
        <v>45805</v>
      </c>
      <c r="I63" s="45">
        <v>0</v>
      </c>
      <c r="J63" s="45">
        <v>0</v>
      </c>
      <c r="K63" s="45">
        <v>0</v>
      </c>
      <c r="L63" s="45">
        <v>0</v>
      </c>
      <c r="M63" s="45">
        <v>0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45">
        <v>0</v>
      </c>
      <c r="T63" s="45">
        <v>0</v>
      </c>
      <c r="U63" s="45">
        <v>0</v>
      </c>
      <c r="V63" s="45">
        <v>0</v>
      </c>
      <c r="W63" s="2">
        <f>SUM(Mod_CL[[#This Row],[Inv 1 (630kw) unit 1]:[Inv 3 (630kw) unit 4]])</f>
        <v>0</v>
      </c>
      <c r="X63" s="83">
        <v>0</v>
      </c>
      <c r="Y63" s="45">
        <v>0</v>
      </c>
      <c r="Z63" s="45">
        <v>0</v>
      </c>
      <c r="AA63" s="83">
        <v>0</v>
      </c>
      <c r="AB63" s="45">
        <v>0</v>
      </c>
      <c r="AC63" s="45">
        <v>0</v>
      </c>
      <c r="AD63" s="45" t="s">
        <v>1014</v>
      </c>
    </row>
    <row r="64" spans="1:30" x14ac:dyDescent="0.25">
      <c r="A64" s="45">
        <f t="shared" si="0"/>
        <v>62</v>
      </c>
      <c r="B64" s="45" t="s">
        <v>108</v>
      </c>
      <c r="C64" s="45">
        <v>2025</v>
      </c>
      <c r="D64" s="45" t="s">
        <v>4</v>
      </c>
      <c r="E64" s="45" t="s">
        <v>4</v>
      </c>
      <c r="F64" s="77">
        <f>Mod_CL[[#This Row],[Date]]-DAY(Mod_CL[[#This Row],[Date]])+1</f>
        <v>45778</v>
      </c>
      <c r="G64" s="2">
        <f>DAY(EOMONTH(Mod_CL[[#This Row],[Month Year]],0))</f>
        <v>31</v>
      </c>
      <c r="H64" s="51">
        <v>45806</v>
      </c>
      <c r="I64" s="45">
        <v>0</v>
      </c>
      <c r="J64" s="45">
        <v>0</v>
      </c>
      <c r="K64" s="45">
        <v>0</v>
      </c>
      <c r="L64" s="45">
        <v>0</v>
      </c>
      <c r="M64" s="45">
        <v>0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45">
        <v>0</v>
      </c>
      <c r="T64" s="45">
        <v>0</v>
      </c>
      <c r="U64" s="45">
        <v>0</v>
      </c>
      <c r="V64" s="45">
        <v>0</v>
      </c>
      <c r="W64" s="2">
        <f>SUM(Mod_CL[[#This Row],[Inv 1 (630kw) unit 1]:[Inv 3 (630kw) unit 4]])</f>
        <v>0</v>
      </c>
      <c r="X64" s="83">
        <v>0</v>
      </c>
      <c r="Y64" s="45">
        <v>0</v>
      </c>
      <c r="Z64" s="45">
        <v>0</v>
      </c>
      <c r="AA64" s="83">
        <v>0</v>
      </c>
      <c r="AB64" s="45">
        <v>0</v>
      </c>
      <c r="AC64" s="45">
        <v>0</v>
      </c>
      <c r="AD64" s="45" t="s">
        <v>1014</v>
      </c>
    </row>
    <row r="65" spans="1:30" x14ac:dyDescent="0.25">
      <c r="A65" s="45">
        <f t="shared" si="0"/>
        <v>63</v>
      </c>
      <c r="B65" s="45" t="s">
        <v>108</v>
      </c>
      <c r="C65" s="45">
        <v>2025</v>
      </c>
      <c r="D65" s="45" t="s">
        <v>4</v>
      </c>
      <c r="E65" s="45" t="s">
        <v>4</v>
      </c>
      <c r="F65" s="77">
        <f>Mod_CL[[#This Row],[Date]]-DAY(Mod_CL[[#This Row],[Date]])+1</f>
        <v>45778</v>
      </c>
      <c r="G65" s="2">
        <f>DAY(EOMONTH(Mod_CL[[#This Row],[Month Year]],0))</f>
        <v>31</v>
      </c>
      <c r="H65" s="51">
        <v>45807</v>
      </c>
      <c r="I65" s="45">
        <v>0</v>
      </c>
      <c r="J65" s="45">
        <v>0</v>
      </c>
      <c r="K65" s="45">
        <v>0</v>
      </c>
      <c r="L65" s="45">
        <v>0</v>
      </c>
      <c r="M65" s="45">
        <v>0</v>
      </c>
      <c r="N65" s="45">
        <v>0</v>
      </c>
      <c r="O65" s="45">
        <v>0</v>
      </c>
      <c r="P65" s="45">
        <v>0</v>
      </c>
      <c r="Q65" s="45">
        <v>0</v>
      </c>
      <c r="R65" s="45">
        <v>0</v>
      </c>
      <c r="S65" s="45">
        <v>0</v>
      </c>
      <c r="T65" s="45">
        <v>0</v>
      </c>
      <c r="U65" s="45">
        <v>0</v>
      </c>
      <c r="V65" s="45">
        <v>0</v>
      </c>
      <c r="W65" s="2">
        <f>SUM(Mod_CL[[#This Row],[Inv 1 (630kw) unit 1]:[Inv 3 (630kw) unit 4]])</f>
        <v>0</v>
      </c>
      <c r="X65" s="83">
        <v>0</v>
      </c>
      <c r="Y65" s="45">
        <v>0</v>
      </c>
      <c r="Z65" s="45">
        <v>0</v>
      </c>
      <c r="AA65" s="83">
        <v>0</v>
      </c>
      <c r="AB65" s="45">
        <v>0</v>
      </c>
      <c r="AC65" s="45">
        <v>0</v>
      </c>
      <c r="AD65" s="45" t="s">
        <v>1014</v>
      </c>
    </row>
    <row r="66" spans="1:30" x14ac:dyDescent="0.25">
      <c r="A66" s="45">
        <f t="shared" si="0"/>
        <v>64</v>
      </c>
      <c r="B66" s="45" t="s">
        <v>108</v>
      </c>
      <c r="C66" s="45">
        <v>2025</v>
      </c>
      <c r="D66" s="45" t="s">
        <v>4</v>
      </c>
      <c r="E66" s="45" t="s">
        <v>4</v>
      </c>
      <c r="F66" s="77">
        <f>Mod_CL[[#This Row],[Date]]-DAY(Mod_CL[[#This Row],[Date]])+1</f>
        <v>45778</v>
      </c>
      <c r="G66" s="2">
        <f>DAY(EOMONTH(Mod_CL[[#This Row],[Month Year]],0))</f>
        <v>31</v>
      </c>
      <c r="H66" s="51">
        <v>45808</v>
      </c>
      <c r="I66" s="45">
        <v>0</v>
      </c>
      <c r="J66" s="45">
        <v>0</v>
      </c>
      <c r="K66" s="45">
        <v>0</v>
      </c>
      <c r="L66" s="45">
        <v>0</v>
      </c>
      <c r="M66" s="45">
        <v>0</v>
      </c>
      <c r="N66" s="45">
        <v>0</v>
      </c>
      <c r="O66" s="45">
        <v>0</v>
      </c>
      <c r="P66" s="45">
        <v>0</v>
      </c>
      <c r="Q66" s="45">
        <v>0</v>
      </c>
      <c r="R66" s="45">
        <v>0</v>
      </c>
      <c r="S66" s="45">
        <v>0</v>
      </c>
      <c r="T66" s="45">
        <v>0</v>
      </c>
      <c r="U66" s="45">
        <v>0</v>
      </c>
      <c r="V66" s="45">
        <v>0</v>
      </c>
      <c r="W66" s="2">
        <f>SUM(Mod_CL[[#This Row],[Inv 1 (630kw) unit 1]:[Inv 3 (630kw) unit 4]])</f>
        <v>0</v>
      </c>
      <c r="X66" s="83">
        <v>0</v>
      </c>
      <c r="Y66" s="45">
        <v>0</v>
      </c>
      <c r="Z66" s="45">
        <v>0</v>
      </c>
      <c r="AA66" s="83">
        <v>0</v>
      </c>
      <c r="AB66" s="45">
        <v>0</v>
      </c>
      <c r="AC66" s="45">
        <v>0</v>
      </c>
      <c r="AD66" s="45" t="s">
        <v>1014</v>
      </c>
    </row>
    <row r="67" spans="1:30" x14ac:dyDescent="0.25">
      <c r="A67" s="45">
        <f t="shared" si="0"/>
        <v>65</v>
      </c>
      <c r="B67" s="45" t="s">
        <v>108</v>
      </c>
      <c r="C67" s="45">
        <v>2025</v>
      </c>
      <c r="D67" s="45" t="s">
        <v>4</v>
      </c>
      <c r="E67" s="45" t="s">
        <v>4</v>
      </c>
      <c r="F67" s="77">
        <f>Mod_CL[[#This Row],[Date]]-DAY(Mod_CL[[#This Row],[Date]])+1</f>
        <v>45809</v>
      </c>
      <c r="G67" s="2">
        <f>DAY(EOMONTH(Mod_CL[[#This Row],[Month Year]],0))</f>
        <v>30</v>
      </c>
      <c r="H67" s="51">
        <v>45809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45">
        <v>0</v>
      </c>
      <c r="T67" s="45">
        <v>0</v>
      </c>
      <c r="U67" s="45">
        <v>0</v>
      </c>
      <c r="V67" s="45">
        <v>0</v>
      </c>
      <c r="W67" s="2">
        <f>SUM(Mod_CL[[#This Row],[Inv 1 (630kw) unit 1]:[Inv 3 (630kw) unit 4]])</f>
        <v>0</v>
      </c>
      <c r="X67" s="83">
        <v>0</v>
      </c>
      <c r="Y67" s="45">
        <v>0</v>
      </c>
      <c r="Z67" s="45">
        <v>0</v>
      </c>
      <c r="AA67" s="83">
        <v>0</v>
      </c>
      <c r="AB67" s="45">
        <v>0</v>
      </c>
      <c r="AC67" s="45">
        <v>0</v>
      </c>
      <c r="AD67" s="45" t="s">
        <v>1037</v>
      </c>
    </row>
    <row r="68" spans="1:30" x14ac:dyDescent="0.25">
      <c r="A68" s="45">
        <f t="shared" si="0"/>
        <v>66</v>
      </c>
      <c r="B68" s="45" t="s">
        <v>108</v>
      </c>
      <c r="C68" s="45">
        <v>2025</v>
      </c>
      <c r="D68" s="45" t="s">
        <v>4</v>
      </c>
      <c r="E68" s="45" t="s">
        <v>4</v>
      </c>
      <c r="F68" s="77">
        <f>Mod_CL[[#This Row],[Date]]-DAY(Mod_CL[[#This Row],[Date]])+1</f>
        <v>45809</v>
      </c>
      <c r="G68" s="2">
        <f>DAY(EOMONTH(Mod_CL[[#This Row],[Month Year]],0))</f>
        <v>30</v>
      </c>
      <c r="H68" s="51">
        <v>45810</v>
      </c>
      <c r="I68" s="45">
        <v>0</v>
      </c>
      <c r="J68" s="45">
        <v>0</v>
      </c>
      <c r="K68" s="45">
        <v>0</v>
      </c>
      <c r="L68" s="45">
        <v>0</v>
      </c>
      <c r="M68" s="45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45">
        <v>0</v>
      </c>
      <c r="T68" s="45">
        <v>0</v>
      </c>
      <c r="U68" s="45">
        <v>0</v>
      </c>
      <c r="V68" s="45">
        <v>0</v>
      </c>
      <c r="W68" s="2">
        <f>SUM(Mod_CL[[#This Row],[Inv 1 (630kw) unit 1]:[Inv 3 (630kw) unit 4]])</f>
        <v>0</v>
      </c>
      <c r="X68" s="83">
        <v>0</v>
      </c>
      <c r="Y68" s="45">
        <v>0</v>
      </c>
      <c r="Z68" s="45">
        <v>0</v>
      </c>
      <c r="AA68" s="83">
        <v>0</v>
      </c>
      <c r="AB68" s="45">
        <v>0</v>
      </c>
      <c r="AC68" s="45">
        <v>0</v>
      </c>
      <c r="AD68" s="45" t="s">
        <v>1014</v>
      </c>
    </row>
    <row r="69" spans="1:30" x14ac:dyDescent="0.25">
      <c r="A69" s="45">
        <f t="shared" ref="A69:A132" si="1">A68+1</f>
        <v>67</v>
      </c>
      <c r="B69" s="45" t="s">
        <v>108</v>
      </c>
      <c r="C69" s="45">
        <v>2025</v>
      </c>
      <c r="D69" s="45" t="s">
        <v>4</v>
      </c>
      <c r="E69" s="45" t="s">
        <v>4</v>
      </c>
      <c r="F69" s="77">
        <f>Mod_CL[[#This Row],[Date]]-DAY(Mod_CL[[#This Row],[Date]])+1</f>
        <v>45809</v>
      </c>
      <c r="G69" s="2">
        <f>DAY(EOMONTH(Mod_CL[[#This Row],[Month Year]],0))</f>
        <v>30</v>
      </c>
      <c r="H69" s="51">
        <v>45811</v>
      </c>
      <c r="I69" s="45">
        <v>1</v>
      </c>
      <c r="J69" s="45">
        <v>3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45">
        <v>1800</v>
      </c>
      <c r="T69" s="45">
        <v>2160</v>
      </c>
      <c r="U69" s="45">
        <v>1440</v>
      </c>
      <c r="V69" s="45">
        <v>2160</v>
      </c>
      <c r="W69" s="2">
        <f>SUM(Mod_CL[[#This Row],[Inv 1 (630kw) unit 1]:[Inv 3 (630kw) unit 4]])</f>
        <v>7560</v>
      </c>
      <c r="X69" s="83">
        <v>0.41666666666666669</v>
      </c>
      <c r="Y69" s="45">
        <v>0</v>
      </c>
      <c r="Z69" s="45">
        <v>0</v>
      </c>
      <c r="AA69" s="83">
        <v>0.66666666666666663</v>
      </c>
      <c r="AB69" s="45">
        <v>0</v>
      </c>
      <c r="AC69" s="45">
        <v>0</v>
      </c>
      <c r="AD69" s="45" t="s">
        <v>1038</v>
      </c>
    </row>
    <row r="70" spans="1:30" x14ac:dyDescent="0.25">
      <c r="A70" s="45">
        <f t="shared" si="1"/>
        <v>68</v>
      </c>
      <c r="B70" s="45" t="s">
        <v>108</v>
      </c>
      <c r="C70" s="45">
        <v>2025</v>
      </c>
      <c r="D70" s="45" t="s">
        <v>4</v>
      </c>
      <c r="E70" s="45" t="s">
        <v>4</v>
      </c>
      <c r="F70" s="77">
        <f>Mod_CL[[#This Row],[Date]]-DAY(Mod_CL[[#This Row],[Date]])+1</f>
        <v>45809</v>
      </c>
      <c r="G70" s="2">
        <f>DAY(EOMONTH(Mod_CL[[#This Row],[Month Year]],0))</f>
        <v>30</v>
      </c>
      <c r="H70" s="51">
        <v>45812</v>
      </c>
      <c r="I70" s="46">
        <v>1</v>
      </c>
      <c r="J70" s="46">
        <v>1</v>
      </c>
      <c r="K70" s="46">
        <v>1800</v>
      </c>
      <c r="L70" s="46">
        <v>2160</v>
      </c>
      <c r="M70" s="46">
        <v>1800</v>
      </c>
      <c r="N70" s="46">
        <v>1800</v>
      </c>
      <c r="O70" s="46">
        <v>0</v>
      </c>
      <c r="P70" s="46">
        <v>0</v>
      </c>
      <c r="Q70" s="46">
        <v>0</v>
      </c>
      <c r="R70" s="46">
        <v>0</v>
      </c>
      <c r="S70" s="46">
        <v>0</v>
      </c>
      <c r="T70" s="46">
        <v>0</v>
      </c>
      <c r="U70" s="46">
        <v>0</v>
      </c>
      <c r="V70" s="46">
        <v>0</v>
      </c>
      <c r="W70" s="2">
        <f>SUM(Mod_CL[[#This Row],[Inv 1 (630kw) unit 1]:[Inv 3 (630kw) unit 4]])</f>
        <v>7560</v>
      </c>
      <c r="X70" s="83">
        <v>0.41666666666666669</v>
      </c>
      <c r="Y70" s="46">
        <v>0</v>
      </c>
      <c r="Z70" s="46">
        <v>0</v>
      </c>
      <c r="AA70" s="83">
        <v>0.66666666666666663</v>
      </c>
      <c r="AB70" s="46">
        <v>0</v>
      </c>
      <c r="AC70" s="46">
        <v>0</v>
      </c>
      <c r="AD70" s="46" t="s">
        <v>1038</v>
      </c>
    </row>
    <row r="71" spans="1:30" x14ac:dyDescent="0.25">
      <c r="A71" s="45">
        <f t="shared" si="1"/>
        <v>69</v>
      </c>
      <c r="B71" s="45" t="s">
        <v>108</v>
      </c>
      <c r="C71" s="45">
        <v>2025</v>
      </c>
      <c r="D71" s="45" t="s">
        <v>4</v>
      </c>
      <c r="E71" s="45" t="s">
        <v>4</v>
      </c>
      <c r="F71" s="77">
        <f>Mod_CL[[#This Row],[Date]]-DAY(Mod_CL[[#This Row],[Date]])+1</f>
        <v>45809</v>
      </c>
      <c r="G71" s="2">
        <f>DAY(EOMONTH(Mod_CL[[#This Row],[Month Year]],0))</f>
        <v>30</v>
      </c>
      <c r="H71" s="51">
        <v>45813</v>
      </c>
      <c r="I71" s="45">
        <v>1</v>
      </c>
      <c r="J71" s="46">
        <v>2</v>
      </c>
      <c r="K71" s="46">
        <v>0</v>
      </c>
      <c r="L71" s="46">
        <v>0</v>
      </c>
      <c r="M71" s="46">
        <v>0</v>
      </c>
      <c r="N71" s="46">
        <v>0</v>
      </c>
      <c r="O71" s="46">
        <v>2160</v>
      </c>
      <c r="P71" s="46">
        <v>1800</v>
      </c>
      <c r="Q71" s="46">
        <v>2160</v>
      </c>
      <c r="R71" s="46">
        <v>1440</v>
      </c>
      <c r="S71" s="46">
        <v>0</v>
      </c>
      <c r="T71" s="46">
        <v>0</v>
      </c>
      <c r="U71" s="46">
        <v>0</v>
      </c>
      <c r="V71" s="46">
        <v>0</v>
      </c>
      <c r="W71" s="2">
        <f>SUM(Mod_CL[[#This Row],[Inv 1 (630kw) unit 1]:[Inv 3 (630kw) unit 4]])</f>
        <v>7560</v>
      </c>
      <c r="X71" s="83">
        <v>0.39583333333333331</v>
      </c>
      <c r="Y71" s="46">
        <v>0</v>
      </c>
      <c r="Z71" s="46">
        <v>0</v>
      </c>
      <c r="AA71" s="83">
        <v>0.5625</v>
      </c>
      <c r="AB71" s="46">
        <v>0</v>
      </c>
      <c r="AC71" s="46">
        <v>0</v>
      </c>
      <c r="AD71" s="46" t="s">
        <v>1038</v>
      </c>
    </row>
    <row r="72" spans="1:30" x14ac:dyDescent="0.25">
      <c r="A72" s="45">
        <f t="shared" si="1"/>
        <v>70</v>
      </c>
      <c r="B72" s="45" t="s">
        <v>108</v>
      </c>
      <c r="C72" s="45">
        <v>2025</v>
      </c>
      <c r="D72" s="45" t="s">
        <v>4</v>
      </c>
      <c r="E72" s="45" t="s">
        <v>4</v>
      </c>
      <c r="F72" s="77">
        <f>Mod_CL[[#This Row],[Date]]-DAY(Mod_CL[[#This Row],[Date]])+1</f>
        <v>45809</v>
      </c>
      <c r="G72" s="2">
        <f>DAY(EOMONTH(Mod_CL[[#This Row],[Month Year]],0))</f>
        <v>30</v>
      </c>
      <c r="H72" s="51">
        <v>45814</v>
      </c>
      <c r="I72" s="45">
        <v>2</v>
      </c>
      <c r="J72" s="45">
        <v>3</v>
      </c>
      <c r="K72" s="45">
        <v>0</v>
      </c>
      <c r="L72" s="45">
        <v>0</v>
      </c>
      <c r="M72" s="45">
        <v>0</v>
      </c>
      <c r="N72" s="45">
        <v>0</v>
      </c>
      <c r="O72" s="45">
        <v>0</v>
      </c>
      <c r="P72" s="45">
        <v>0</v>
      </c>
      <c r="Q72" s="45">
        <v>0</v>
      </c>
      <c r="R72" s="45">
        <v>0</v>
      </c>
      <c r="S72" s="45">
        <v>1800</v>
      </c>
      <c r="T72" s="45">
        <v>2160</v>
      </c>
      <c r="U72" s="45">
        <v>1440</v>
      </c>
      <c r="V72" s="45">
        <v>2160</v>
      </c>
      <c r="W72" s="2">
        <f>SUM(Mod_CL[[#This Row],[Inv 1 (630kw) unit 1]:[Inv 3 (630kw) unit 4]])</f>
        <v>7560</v>
      </c>
      <c r="X72" s="83">
        <v>0.41666666666666669</v>
      </c>
      <c r="Y72" s="45">
        <v>0</v>
      </c>
      <c r="Z72" s="45">
        <v>0</v>
      </c>
      <c r="AA72" s="83">
        <v>0.66666666666666663</v>
      </c>
      <c r="AB72" s="45">
        <v>0</v>
      </c>
      <c r="AC72" s="45">
        <v>0</v>
      </c>
      <c r="AD72" s="45" t="s">
        <v>1038</v>
      </c>
    </row>
    <row r="73" spans="1:30" x14ac:dyDescent="0.25">
      <c r="A73" s="45">
        <f t="shared" si="1"/>
        <v>71</v>
      </c>
      <c r="B73" s="45" t="s">
        <v>108</v>
      </c>
      <c r="C73" s="45">
        <v>2025</v>
      </c>
      <c r="D73" s="45" t="s">
        <v>4</v>
      </c>
      <c r="E73" s="45" t="s">
        <v>4</v>
      </c>
      <c r="F73" s="77">
        <f>Mod_CL[[#This Row],[Date]]-DAY(Mod_CL[[#This Row],[Date]])+1</f>
        <v>45809</v>
      </c>
      <c r="G73" s="2">
        <f>DAY(EOMONTH(Mod_CL[[#This Row],[Month Year]],0))</f>
        <v>30</v>
      </c>
      <c r="H73" s="51">
        <v>45815</v>
      </c>
      <c r="I73" s="45">
        <v>2</v>
      </c>
      <c r="J73" s="46">
        <v>1</v>
      </c>
      <c r="K73" s="46">
        <v>1800</v>
      </c>
      <c r="L73" s="46">
        <v>2160</v>
      </c>
      <c r="M73" s="46">
        <v>1800</v>
      </c>
      <c r="N73" s="46">
        <v>1800</v>
      </c>
      <c r="O73" s="46">
        <v>0</v>
      </c>
      <c r="P73" s="46">
        <v>0</v>
      </c>
      <c r="Q73" s="46">
        <v>0</v>
      </c>
      <c r="R73" s="46">
        <v>0</v>
      </c>
      <c r="S73" s="46">
        <v>0</v>
      </c>
      <c r="T73" s="46">
        <v>0</v>
      </c>
      <c r="U73" s="46">
        <v>0</v>
      </c>
      <c r="V73" s="46">
        <v>0</v>
      </c>
      <c r="W73" s="2">
        <f>SUM(Mod_CL[[#This Row],[Inv 1 (630kw) unit 1]:[Inv 3 (630kw) unit 4]])</f>
        <v>7560</v>
      </c>
      <c r="X73" s="83">
        <v>0.41666666666666669</v>
      </c>
      <c r="Y73" s="46">
        <v>0</v>
      </c>
      <c r="Z73" s="46">
        <v>0</v>
      </c>
      <c r="AA73" s="83">
        <v>0.66666666666666663</v>
      </c>
      <c r="AB73" s="46">
        <v>0</v>
      </c>
      <c r="AC73" s="46">
        <v>0</v>
      </c>
      <c r="AD73" s="46" t="s">
        <v>1038</v>
      </c>
    </row>
    <row r="74" spans="1:30" x14ac:dyDescent="0.25">
      <c r="A74" s="45">
        <f t="shared" si="1"/>
        <v>72</v>
      </c>
      <c r="B74" s="45" t="s">
        <v>108</v>
      </c>
      <c r="C74" s="45">
        <v>2025</v>
      </c>
      <c r="D74" s="45" t="s">
        <v>4</v>
      </c>
      <c r="E74" s="45" t="s">
        <v>4</v>
      </c>
      <c r="F74" s="77">
        <f>Mod_CL[[#This Row],[Date]]-DAY(Mod_CL[[#This Row],[Date]])+1</f>
        <v>45809</v>
      </c>
      <c r="G74" s="2">
        <f>DAY(EOMONTH(Mod_CL[[#This Row],[Month Year]],0))</f>
        <v>30</v>
      </c>
      <c r="H74" s="51">
        <v>45816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45">
        <v>0</v>
      </c>
      <c r="O74" s="45">
        <v>0</v>
      </c>
      <c r="P74" s="45">
        <v>0</v>
      </c>
      <c r="Q74" s="45">
        <v>0</v>
      </c>
      <c r="R74" s="45">
        <v>0</v>
      </c>
      <c r="S74" s="45">
        <v>0</v>
      </c>
      <c r="T74" s="45">
        <v>0</v>
      </c>
      <c r="U74" s="45">
        <v>0</v>
      </c>
      <c r="V74" s="45">
        <v>0</v>
      </c>
      <c r="W74" s="2">
        <f>SUM(Mod_CL[[#This Row],[Inv 1 (630kw) unit 1]:[Inv 3 (630kw) unit 4]])</f>
        <v>0</v>
      </c>
      <c r="X74" s="83">
        <v>0</v>
      </c>
      <c r="Y74" s="45">
        <v>0</v>
      </c>
      <c r="Z74" s="45">
        <v>0</v>
      </c>
      <c r="AA74" s="83">
        <v>0</v>
      </c>
      <c r="AB74" s="45">
        <v>0</v>
      </c>
      <c r="AC74" s="45">
        <v>0</v>
      </c>
      <c r="AD74" s="45" t="s">
        <v>1037</v>
      </c>
    </row>
    <row r="75" spans="1:30" x14ac:dyDescent="0.25">
      <c r="A75" s="45">
        <f t="shared" si="1"/>
        <v>73</v>
      </c>
      <c r="B75" s="45" t="s">
        <v>108</v>
      </c>
      <c r="C75" s="45">
        <v>2025</v>
      </c>
      <c r="D75" s="45" t="s">
        <v>4</v>
      </c>
      <c r="E75" s="45" t="s">
        <v>4</v>
      </c>
      <c r="F75" s="77">
        <f>Mod_CL[[#This Row],[Date]]-DAY(Mod_CL[[#This Row],[Date]])+1</f>
        <v>45809</v>
      </c>
      <c r="G75" s="2">
        <f>DAY(EOMONTH(Mod_CL[[#This Row],[Month Year]],0))</f>
        <v>30</v>
      </c>
      <c r="H75" s="51">
        <v>45817</v>
      </c>
      <c r="I75" s="45">
        <v>2</v>
      </c>
      <c r="J75" s="46">
        <v>2</v>
      </c>
      <c r="K75" s="46">
        <v>0</v>
      </c>
      <c r="L75" s="46">
        <v>0</v>
      </c>
      <c r="M75" s="46">
        <v>0</v>
      </c>
      <c r="N75" s="46">
        <v>0</v>
      </c>
      <c r="O75" s="46">
        <v>2160</v>
      </c>
      <c r="P75" s="46">
        <v>1800</v>
      </c>
      <c r="Q75" s="46">
        <v>2160</v>
      </c>
      <c r="R75" s="46">
        <v>1440</v>
      </c>
      <c r="S75" s="46">
        <v>0</v>
      </c>
      <c r="T75" s="46">
        <v>0</v>
      </c>
      <c r="U75" s="46">
        <v>0</v>
      </c>
      <c r="V75" s="46">
        <v>0</v>
      </c>
      <c r="W75" s="2">
        <f>SUM(Mod_CL[[#This Row],[Inv 1 (630kw) unit 1]:[Inv 3 (630kw) unit 4]])</f>
        <v>7560</v>
      </c>
      <c r="X75" s="83">
        <v>0.39583333333333331</v>
      </c>
      <c r="Y75" s="46">
        <v>0</v>
      </c>
      <c r="Z75" s="46">
        <v>0</v>
      </c>
      <c r="AA75" s="83">
        <v>0.5625</v>
      </c>
      <c r="AB75" s="46">
        <v>0</v>
      </c>
      <c r="AC75" s="46">
        <v>0</v>
      </c>
      <c r="AD75" s="46" t="s">
        <v>1038</v>
      </c>
    </row>
    <row r="76" spans="1:30" x14ac:dyDescent="0.25">
      <c r="A76" s="45">
        <f t="shared" si="1"/>
        <v>74</v>
      </c>
      <c r="B76" s="45" t="s">
        <v>108</v>
      </c>
      <c r="C76" s="45">
        <v>2025</v>
      </c>
      <c r="D76" s="45" t="s">
        <v>4</v>
      </c>
      <c r="E76" s="45" t="s">
        <v>4</v>
      </c>
      <c r="F76" s="77">
        <f>Mod_CL[[#This Row],[Date]]-DAY(Mod_CL[[#This Row],[Date]])+1</f>
        <v>45809</v>
      </c>
      <c r="G76" s="2">
        <f>DAY(EOMONTH(Mod_CL[[#This Row],[Month Year]],0))</f>
        <v>30</v>
      </c>
      <c r="H76" s="51">
        <v>45818</v>
      </c>
      <c r="I76" s="45">
        <v>3</v>
      </c>
      <c r="J76" s="45">
        <v>3</v>
      </c>
      <c r="K76" s="45">
        <v>0</v>
      </c>
      <c r="L76" s="45">
        <v>0</v>
      </c>
      <c r="M76" s="45">
        <v>0</v>
      </c>
      <c r="N76" s="45">
        <v>0</v>
      </c>
      <c r="O76" s="45">
        <v>0</v>
      </c>
      <c r="P76" s="45">
        <v>0</v>
      </c>
      <c r="Q76" s="45">
        <v>0</v>
      </c>
      <c r="R76" s="45">
        <v>0</v>
      </c>
      <c r="S76" s="45">
        <v>1800</v>
      </c>
      <c r="T76" s="45">
        <v>2160</v>
      </c>
      <c r="U76" s="45">
        <v>1440</v>
      </c>
      <c r="V76" s="45">
        <v>2160</v>
      </c>
      <c r="W76" s="2">
        <f>SUM(Mod_CL[[#This Row],[Inv 1 (630kw) unit 1]:[Inv 3 (630kw) unit 4]])</f>
        <v>7560</v>
      </c>
      <c r="X76" s="83">
        <v>0.41666666666666669</v>
      </c>
      <c r="Y76" s="45">
        <v>0</v>
      </c>
      <c r="Z76" s="45">
        <v>0</v>
      </c>
      <c r="AA76" s="83">
        <v>0.66666666666666663</v>
      </c>
      <c r="AB76" s="45">
        <v>0</v>
      </c>
      <c r="AC76" s="45">
        <v>0</v>
      </c>
      <c r="AD76" s="45" t="s">
        <v>1038</v>
      </c>
    </row>
    <row r="77" spans="1:30" x14ac:dyDescent="0.25">
      <c r="A77" s="45">
        <f t="shared" si="1"/>
        <v>75</v>
      </c>
      <c r="B77" s="45" t="s">
        <v>108</v>
      </c>
      <c r="C77" s="45">
        <v>2025</v>
      </c>
      <c r="D77" s="45" t="s">
        <v>4</v>
      </c>
      <c r="E77" s="45" t="s">
        <v>4</v>
      </c>
      <c r="F77" s="77">
        <f>Mod_CL[[#This Row],[Date]]-DAY(Mod_CL[[#This Row],[Date]])+1</f>
        <v>45809</v>
      </c>
      <c r="G77" s="2">
        <f>DAY(EOMONTH(Mod_CL[[#This Row],[Month Year]],0))</f>
        <v>30</v>
      </c>
      <c r="H77" s="51">
        <v>45819</v>
      </c>
      <c r="I77" s="45">
        <v>3</v>
      </c>
      <c r="J77" s="46">
        <v>1</v>
      </c>
      <c r="K77" s="46">
        <v>1800</v>
      </c>
      <c r="L77" s="46">
        <v>2160</v>
      </c>
      <c r="M77" s="46">
        <v>1800</v>
      </c>
      <c r="N77" s="46">
        <v>1800</v>
      </c>
      <c r="O77" s="46">
        <v>0</v>
      </c>
      <c r="P77" s="46">
        <v>0</v>
      </c>
      <c r="Q77" s="46">
        <v>0</v>
      </c>
      <c r="R77" s="46">
        <v>0</v>
      </c>
      <c r="S77" s="46">
        <v>0</v>
      </c>
      <c r="T77" s="46">
        <v>0</v>
      </c>
      <c r="U77" s="46">
        <v>0</v>
      </c>
      <c r="V77" s="46">
        <v>0</v>
      </c>
      <c r="W77" s="2">
        <f>SUM(Mod_CL[[#This Row],[Inv 1 (630kw) unit 1]:[Inv 3 (630kw) unit 4]])</f>
        <v>7560</v>
      </c>
      <c r="X77" s="83">
        <v>0.41666666666666669</v>
      </c>
      <c r="Y77" s="46">
        <v>0</v>
      </c>
      <c r="Z77" s="46">
        <v>0</v>
      </c>
      <c r="AA77" s="83">
        <v>0.66666666666666663</v>
      </c>
      <c r="AB77" s="46">
        <v>0</v>
      </c>
      <c r="AC77" s="46">
        <v>0</v>
      </c>
      <c r="AD77" s="46" t="s">
        <v>1038</v>
      </c>
    </row>
    <row r="78" spans="1:30" x14ac:dyDescent="0.25">
      <c r="A78" s="45">
        <f t="shared" si="1"/>
        <v>76</v>
      </c>
      <c r="B78" s="45" t="s">
        <v>108</v>
      </c>
      <c r="C78" s="45">
        <v>2025</v>
      </c>
      <c r="D78" s="45" t="s">
        <v>4</v>
      </c>
      <c r="E78" s="45" t="s">
        <v>4</v>
      </c>
      <c r="F78" s="77">
        <f>Mod_CL[[#This Row],[Date]]-DAY(Mod_CL[[#This Row],[Date]])+1</f>
        <v>45809</v>
      </c>
      <c r="G78" s="2">
        <f>DAY(EOMONTH(Mod_CL[[#This Row],[Month Year]],0))</f>
        <v>30</v>
      </c>
      <c r="H78" s="51">
        <v>45820</v>
      </c>
      <c r="I78" s="45">
        <v>0</v>
      </c>
      <c r="J78" s="45">
        <v>0</v>
      </c>
      <c r="K78" s="45">
        <v>0</v>
      </c>
      <c r="L78" s="45">
        <v>0</v>
      </c>
      <c r="M78" s="45">
        <v>0</v>
      </c>
      <c r="N78" s="45">
        <v>0</v>
      </c>
      <c r="O78" s="45">
        <v>0</v>
      </c>
      <c r="P78" s="45">
        <v>0</v>
      </c>
      <c r="Q78" s="45">
        <v>0</v>
      </c>
      <c r="R78" s="45">
        <v>0</v>
      </c>
      <c r="S78" s="45">
        <v>0</v>
      </c>
      <c r="T78" s="45">
        <v>0</v>
      </c>
      <c r="U78" s="45">
        <v>0</v>
      </c>
      <c r="V78" s="45">
        <v>0</v>
      </c>
      <c r="W78" s="2">
        <f>SUM(Mod_CL[[#This Row],[Inv 1 (630kw) unit 1]:[Inv 3 (630kw) unit 4]])</f>
        <v>0</v>
      </c>
      <c r="X78" s="83">
        <v>0</v>
      </c>
      <c r="Y78" s="45">
        <v>0</v>
      </c>
      <c r="Z78" s="45">
        <v>0</v>
      </c>
      <c r="AA78" s="83">
        <v>0</v>
      </c>
      <c r="AB78" s="45">
        <v>0</v>
      </c>
      <c r="AC78" s="45">
        <v>0</v>
      </c>
      <c r="AD78" s="45" t="s">
        <v>1014</v>
      </c>
    </row>
    <row r="79" spans="1:30" x14ac:dyDescent="0.25">
      <c r="A79" s="45">
        <f t="shared" si="1"/>
        <v>77</v>
      </c>
      <c r="B79" s="45" t="s">
        <v>108</v>
      </c>
      <c r="C79" s="45">
        <v>2025</v>
      </c>
      <c r="D79" s="45" t="s">
        <v>4</v>
      </c>
      <c r="E79" s="45" t="s">
        <v>4</v>
      </c>
      <c r="F79" s="77">
        <f>Mod_CL[[#This Row],[Date]]-DAY(Mod_CL[[#This Row],[Date]])+1</f>
        <v>45809</v>
      </c>
      <c r="G79" s="2">
        <f>DAY(EOMONTH(Mod_CL[[#This Row],[Month Year]],0))</f>
        <v>30</v>
      </c>
      <c r="H79" s="51">
        <v>45821</v>
      </c>
      <c r="I79" s="45">
        <v>0</v>
      </c>
      <c r="J79" s="45">
        <v>0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>
        <v>0</v>
      </c>
      <c r="Q79" s="45">
        <v>0</v>
      </c>
      <c r="R79" s="45">
        <v>0</v>
      </c>
      <c r="S79" s="45">
        <v>0</v>
      </c>
      <c r="T79" s="45">
        <v>0</v>
      </c>
      <c r="U79" s="45">
        <v>0</v>
      </c>
      <c r="V79" s="45">
        <v>0</v>
      </c>
      <c r="W79" s="2">
        <f>SUM(Mod_CL[[#This Row],[Inv 1 (630kw) unit 1]:[Inv 3 (630kw) unit 4]])</f>
        <v>0</v>
      </c>
      <c r="X79" s="83">
        <v>0</v>
      </c>
      <c r="Y79" s="45">
        <v>0</v>
      </c>
      <c r="Z79" s="45">
        <v>0</v>
      </c>
      <c r="AA79" s="83">
        <v>0</v>
      </c>
      <c r="AB79" s="45">
        <v>0</v>
      </c>
      <c r="AC79" s="45">
        <v>0</v>
      </c>
      <c r="AD79" s="45" t="s">
        <v>1014</v>
      </c>
    </row>
    <row r="80" spans="1:30" x14ac:dyDescent="0.25">
      <c r="A80" s="45">
        <f t="shared" si="1"/>
        <v>78</v>
      </c>
      <c r="B80" s="45" t="s">
        <v>108</v>
      </c>
      <c r="C80" s="45">
        <v>2025</v>
      </c>
      <c r="D80" s="45" t="s">
        <v>4</v>
      </c>
      <c r="E80" s="45" t="s">
        <v>4</v>
      </c>
      <c r="F80" s="77">
        <f>Mod_CL[[#This Row],[Date]]-DAY(Mod_CL[[#This Row],[Date]])+1</f>
        <v>45809</v>
      </c>
      <c r="G80" s="2">
        <f>DAY(EOMONTH(Mod_CL[[#This Row],[Month Year]],0))</f>
        <v>30</v>
      </c>
      <c r="H80" s="51">
        <v>45822</v>
      </c>
      <c r="I80" s="45">
        <v>3</v>
      </c>
      <c r="J80" s="46">
        <v>2</v>
      </c>
      <c r="K80" s="46">
        <v>0</v>
      </c>
      <c r="L80" s="46">
        <v>0</v>
      </c>
      <c r="M80" s="46">
        <v>0</v>
      </c>
      <c r="N80" s="46">
        <v>0</v>
      </c>
      <c r="O80" s="46">
        <v>2160</v>
      </c>
      <c r="P80" s="46">
        <v>1800</v>
      </c>
      <c r="Q80" s="46">
        <v>2160</v>
      </c>
      <c r="R80" s="46">
        <v>1440</v>
      </c>
      <c r="S80" s="46">
        <v>0</v>
      </c>
      <c r="T80" s="46">
        <v>0</v>
      </c>
      <c r="U80" s="46">
        <v>0</v>
      </c>
      <c r="V80" s="46">
        <v>0</v>
      </c>
      <c r="W80" s="2">
        <f>SUM(Mod_CL[[#This Row],[Inv 1 (630kw) unit 1]:[Inv 3 (630kw) unit 4]])</f>
        <v>7560</v>
      </c>
      <c r="X80" s="83">
        <v>0.39583333333333331</v>
      </c>
      <c r="Y80" s="46">
        <v>0</v>
      </c>
      <c r="Z80" s="46">
        <v>0</v>
      </c>
      <c r="AA80" s="83">
        <v>0.5625</v>
      </c>
      <c r="AB80" s="46">
        <v>0</v>
      </c>
      <c r="AC80" s="46">
        <v>0</v>
      </c>
      <c r="AD80" s="46" t="s">
        <v>1038</v>
      </c>
    </row>
    <row r="81" spans="1:30" x14ac:dyDescent="0.25">
      <c r="A81" s="45">
        <f t="shared" si="1"/>
        <v>79</v>
      </c>
      <c r="B81" s="45" t="s">
        <v>108</v>
      </c>
      <c r="C81" s="45">
        <v>2025</v>
      </c>
      <c r="D81" s="45" t="s">
        <v>4</v>
      </c>
      <c r="E81" s="45" t="s">
        <v>4</v>
      </c>
      <c r="F81" s="77">
        <f>Mod_CL[[#This Row],[Date]]-DAY(Mod_CL[[#This Row],[Date]])+1</f>
        <v>45809</v>
      </c>
      <c r="G81" s="2">
        <f>DAY(EOMONTH(Mod_CL[[#This Row],[Month Year]],0))</f>
        <v>30</v>
      </c>
      <c r="H81" s="51">
        <v>45823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5">
        <v>0</v>
      </c>
      <c r="U81" s="45">
        <v>0</v>
      </c>
      <c r="V81" s="45">
        <v>0</v>
      </c>
      <c r="W81" s="2">
        <f>SUM(Mod_CL[[#This Row],[Inv 1 (630kw) unit 1]:[Inv 3 (630kw) unit 4]])</f>
        <v>0</v>
      </c>
      <c r="X81" s="83">
        <v>0</v>
      </c>
      <c r="Y81" s="45">
        <v>0</v>
      </c>
      <c r="Z81" s="45">
        <v>0</v>
      </c>
      <c r="AA81" s="83">
        <v>0</v>
      </c>
      <c r="AB81" s="45">
        <v>0</v>
      </c>
      <c r="AC81" s="45">
        <v>0</v>
      </c>
      <c r="AD81" s="45" t="s">
        <v>1037</v>
      </c>
    </row>
    <row r="82" spans="1:30" x14ac:dyDescent="0.25">
      <c r="A82" s="45">
        <f t="shared" si="1"/>
        <v>80</v>
      </c>
      <c r="B82" s="45" t="s">
        <v>108</v>
      </c>
      <c r="C82" s="45">
        <v>2025</v>
      </c>
      <c r="D82" s="45" t="s">
        <v>4</v>
      </c>
      <c r="E82" s="45" t="s">
        <v>4</v>
      </c>
      <c r="F82" s="77">
        <f>Mod_CL[[#This Row],[Date]]-DAY(Mod_CL[[#This Row],[Date]])+1</f>
        <v>45809</v>
      </c>
      <c r="G82" s="2">
        <f>DAY(EOMONTH(Mod_CL[[#This Row],[Month Year]],0))</f>
        <v>30</v>
      </c>
      <c r="H82" s="51">
        <v>45824</v>
      </c>
      <c r="I82" s="45">
        <v>4</v>
      </c>
      <c r="J82" s="45">
        <v>3</v>
      </c>
      <c r="K82" s="45">
        <v>0</v>
      </c>
      <c r="L82" s="45">
        <v>0</v>
      </c>
      <c r="M82" s="45">
        <v>0</v>
      </c>
      <c r="N82" s="45">
        <v>0</v>
      </c>
      <c r="O82" s="45">
        <v>0</v>
      </c>
      <c r="P82" s="45">
        <v>0</v>
      </c>
      <c r="Q82" s="45">
        <v>0</v>
      </c>
      <c r="R82" s="45">
        <v>0</v>
      </c>
      <c r="S82" s="45">
        <v>1800</v>
      </c>
      <c r="T82" s="45">
        <v>2160</v>
      </c>
      <c r="U82" s="45">
        <v>1440</v>
      </c>
      <c r="V82" s="45">
        <v>2160</v>
      </c>
      <c r="W82" s="2">
        <f>SUM(Mod_CL[[#This Row],[Inv 1 (630kw) unit 1]:[Inv 3 (630kw) unit 4]])</f>
        <v>7560</v>
      </c>
      <c r="X82" s="83">
        <v>0.41666666666666669</v>
      </c>
      <c r="Y82" s="45">
        <v>0</v>
      </c>
      <c r="Z82" s="45">
        <v>0</v>
      </c>
      <c r="AA82" s="83">
        <v>0.66666666666666663</v>
      </c>
      <c r="AB82" s="45">
        <v>0</v>
      </c>
      <c r="AC82" s="45">
        <v>0</v>
      </c>
      <c r="AD82" s="45" t="s">
        <v>1038</v>
      </c>
    </row>
    <row r="83" spans="1:30" x14ac:dyDescent="0.25">
      <c r="A83" s="45">
        <f t="shared" si="1"/>
        <v>81</v>
      </c>
      <c r="B83" s="45" t="s">
        <v>108</v>
      </c>
      <c r="C83" s="45">
        <v>2025</v>
      </c>
      <c r="D83" s="45" t="s">
        <v>4</v>
      </c>
      <c r="E83" s="45" t="s">
        <v>4</v>
      </c>
      <c r="F83" s="77">
        <f>Mod_CL[[#This Row],[Date]]-DAY(Mod_CL[[#This Row],[Date]])+1</f>
        <v>45809</v>
      </c>
      <c r="G83" s="2">
        <f>DAY(EOMONTH(Mod_CL[[#This Row],[Month Year]],0))</f>
        <v>30</v>
      </c>
      <c r="H83" s="51">
        <v>45825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  <c r="Q83" s="45">
        <v>0</v>
      </c>
      <c r="R83" s="45">
        <v>0</v>
      </c>
      <c r="S83" s="45">
        <v>0</v>
      </c>
      <c r="T83" s="45">
        <v>0</v>
      </c>
      <c r="U83" s="45">
        <v>0</v>
      </c>
      <c r="V83" s="45">
        <v>0</v>
      </c>
      <c r="W83" s="2">
        <f>SUM(Mod_CL[[#This Row],[Inv 1 (630kw) unit 1]:[Inv 3 (630kw) unit 4]])</f>
        <v>0</v>
      </c>
      <c r="X83" s="83">
        <v>0</v>
      </c>
      <c r="Y83" s="45">
        <v>0</v>
      </c>
      <c r="Z83" s="45">
        <v>0</v>
      </c>
      <c r="AA83" s="83">
        <v>0</v>
      </c>
      <c r="AB83" s="45">
        <v>0</v>
      </c>
      <c r="AC83" s="45">
        <v>0</v>
      </c>
      <c r="AD83" s="45" t="s">
        <v>1014</v>
      </c>
    </row>
    <row r="84" spans="1:30" x14ac:dyDescent="0.25">
      <c r="A84" s="45">
        <f t="shared" si="1"/>
        <v>82</v>
      </c>
      <c r="B84" s="45" t="s">
        <v>108</v>
      </c>
      <c r="C84" s="45">
        <v>2025</v>
      </c>
      <c r="D84" s="45" t="s">
        <v>4</v>
      </c>
      <c r="E84" s="45" t="s">
        <v>4</v>
      </c>
      <c r="F84" s="77">
        <f>Mod_CL[[#This Row],[Date]]-DAY(Mod_CL[[#This Row],[Date]])+1</f>
        <v>45809</v>
      </c>
      <c r="G84" s="2">
        <f>DAY(EOMONTH(Mod_CL[[#This Row],[Month Year]],0))</f>
        <v>30</v>
      </c>
      <c r="H84" s="51">
        <v>45826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  <c r="Q84" s="45">
        <v>0</v>
      </c>
      <c r="R84" s="45">
        <v>0</v>
      </c>
      <c r="S84" s="45">
        <v>0</v>
      </c>
      <c r="T84" s="45">
        <v>0</v>
      </c>
      <c r="U84" s="45">
        <v>0</v>
      </c>
      <c r="V84" s="45">
        <v>0</v>
      </c>
      <c r="W84" s="2">
        <f>SUM(Mod_CL[[#This Row],[Inv 1 (630kw) unit 1]:[Inv 3 (630kw) unit 4]])</f>
        <v>0</v>
      </c>
      <c r="X84" s="83">
        <v>0</v>
      </c>
      <c r="Y84" s="45">
        <v>0</v>
      </c>
      <c r="Z84" s="45">
        <v>0</v>
      </c>
      <c r="AA84" s="83">
        <v>0</v>
      </c>
      <c r="AB84" s="45">
        <v>0</v>
      </c>
      <c r="AC84" s="45">
        <v>0</v>
      </c>
      <c r="AD84" s="45" t="s">
        <v>1014</v>
      </c>
    </row>
    <row r="85" spans="1:30" x14ac:dyDescent="0.25">
      <c r="A85" s="45">
        <f t="shared" si="1"/>
        <v>83</v>
      </c>
      <c r="B85" s="45" t="s">
        <v>108</v>
      </c>
      <c r="C85" s="45">
        <v>2025</v>
      </c>
      <c r="D85" s="45" t="s">
        <v>4</v>
      </c>
      <c r="E85" s="45" t="s">
        <v>4</v>
      </c>
      <c r="F85" s="77">
        <f>Mod_CL[[#This Row],[Date]]-DAY(Mod_CL[[#This Row],[Date]])+1</f>
        <v>45809</v>
      </c>
      <c r="G85" s="2">
        <f>DAY(EOMONTH(Mod_CL[[#This Row],[Month Year]],0))</f>
        <v>30</v>
      </c>
      <c r="H85" s="51">
        <v>45827</v>
      </c>
      <c r="I85" s="45">
        <v>4</v>
      </c>
      <c r="J85" s="45">
        <v>3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  <c r="Q85" s="45">
        <v>0</v>
      </c>
      <c r="R85" s="45">
        <v>0</v>
      </c>
      <c r="S85" s="45">
        <v>1800</v>
      </c>
      <c r="T85" s="45">
        <v>2160</v>
      </c>
      <c r="U85" s="45">
        <v>1440</v>
      </c>
      <c r="V85" s="45">
        <v>2160</v>
      </c>
      <c r="W85" s="2">
        <f>SUM(Mod_CL[[#This Row],[Inv 1 (630kw) unit 1]:[Inv 3 (630kw) unit 4]])</f>
        <v>7560</v>
      </c>
      <c r="X85" s="83">
        <v>0.41666666666666669</v>
      </c>
      <c r="Y85" s="45">
        <v>0</v>
      </c>
      <c r="Z85" s="45">
        <v>0</v>
      </c>
      <c r="AA85" s="83">
        <v>0.66666666666666663</v>
      </c>
      <c r="AB85" s="45">
        <v>0</v>
      </c>
      <c r="AC85" s="45">
        <v>0</v>
      </c>
      <c r="AD85" s="45" t="s">
        <v>1038</v>
      </c>
    </row>
    <row r="86" spans="1:30" x14ac:dyDescent="0.25">
      <c r="A86" s="45">
        <f t="shared" si="1"/>
        <v>84</v>
      </c>
      <c r="B86" s="45" t="s">
        <v>108</v>
      </c>
      <c r="C86" s="45">
        <v>2025</v>
      </c>
      <c r="D86" s="45" t="s">
        <v>4</v>
      </c>
      <c r="E86" s="45" t="s">
        <v>4</v>
      </c>
      <c r="F86" s="77">
        <f>Mod_CL[[#This Row],[Date]]-DAY(Mod_CL[[#This Row],[Date]])+1</f>
        <v>45809</v>
      </c>
      <c r="G86" s="2">
        <f>DAY(EOMONTH(Mod_CL[[#This Row],[Month Year]],0))</f>
        <v>30</v>
      </c>
      <c r="H86" s="51">
        <v>45828</v>
      </c>
      <c r="I86" s="45">
        <v>4</v>
      </c>
      <c r="J86" s="46">
        <v>2</v>
      </c>
      <c r="K86" s="46">
        <v>0</v>
      </c>
      <c r="L86" s="46">
        <v>0</v>
      </c>
      <c r="M86" s="46">
        <v>0</v>
      </c>
      <c r="N86" s="46">
        <v>0</v>
      </c>
      <c r="O86" s="46">
        <v>2160</v>
      </c>
      <c r="P86" s="46">
        <v>1800</v>
      </c>
      <c r="Q86" s="46">
        <v>2160</v>
      </c>
      <c r="R86" s="46">
        <v>1440</v>
      </c>
      <c r="S86" s="46">
        <v>0</v>
      </c>
      <c r="T86" s="46">
        <v>0</v>
      </c>
      <c r="U86" s="46">
        <v>0</v>
      </c>
      <c r="V86" s="46">
        <v>0</v>
      </c>
      <c r="W86" s="2">
        <f>SUM(Mod_CL[[#This Row],[Inv 1 (630kw) unit 1]:[Inv 3 (630kw) unit 4]])</f>
        <v>7560</v>
      </c>
      <c r="X86" s="83">
        <v>0.39583333333333331</v>
      </c>
      <c r="Y86" s="46">
        <v>0</v>
      </c>
      <c r="Z86" s="46">
        <v>0</v>
      </c>
      <c r="AA86" s="83">
        <v>0.5625</v>
      </c>
      <c r="AB86" s="46">
        <v>0</v>
      </c>
      <c r="AC86" s="46">
        <v>0</v>
      </c>
      <c r="AD86" s="46" t="s">
        <v>1038</v>
      </c>
    </row>
    <row r="87" spans="1:30" x14ac:dyDescent="0.25">
      <c r="A87" s="45">
        <f t="shared" si="1"/>
        <v>85</v>
      </c>
      <c r="B87" s="45" t="s">
        <v>108</v>
      </c>
      <c r="C87" s="45">
        <v>2025</v>
      </c>
      <c r="D87" s="45" t="s">
        <v>4</v>
      </c>
      <c r="E87" s="45" t="s">
        <v>4</v>
      </c>
      <c r="F87" s="77">
        <f>Mod_CL[[#This Row],[Date]]-DAY(Mod_CL[[#This Row],[Date]])+1</f>
        <v>45809</v>
      </c>
      <c r="G87" s="2">
        <f>DAY(EOMONTH(Mod_CL[[#This Row],[Month Year]],0))</f>
        <v>30</v>
      </c>
      <c r="H87" s="51">
        <v>45829</v>
      </c>
      <c r="I87" s="45">
        <v>5</v>
      </c>
      <c r="J87" s="46">
        <v>1</v>
      </c>
      <c r="K87" s="46">
        <v>1800</v>
      </c>
      <c r="L87" s="46">
        <v>2160</v>
      </c>
      <c r="M87" s="46">
        <v>1800</v>
      </c>
      <c r="N87" s="46">
        <v>1800</v>
      </c>
      <c r="O87" s="46">
        <v>0</v>
      </c>
      <c r="P87" s="46">
        <v>0</v>
      </c>
      <c r="Q87" s="46">
        <v>0</v>
      </c>
      <c r="R87" s="46">
        <v>0</v>
      </c>
      <c r="S87" s="46">
        <v>0</v>
      </c>
      <c r="T87" s="46">
        <v>0</v>
      </c>
      <c r="U87" s="46">
        <v>0</v>
      </c>
      <c r="V87" s="46">
        <v>0</v>
      </c>
      <c r="W87" s="2">
        <f>SUM(Mod_CL[[#This Row],[Inv 1 (630kw) unit 1]:[Inv 3 (630kw) unit 4]])</f>
        <v>7560</v>
      </c>
      <c r="X87" s="83">
        <v>0.41666666666666669</v>
      </c>
      <c r="Y87" s="46">
        <v>0</v>
      </c>
      <c r="Z87" s="46">
        <v>0</v>
      </c>
      <c r="AA87" s="83">
        <v>0.66666666666666663</v>
      </c>
      <c r="AB87" s="46">
        <v>0</v>
      </c>
      <c r="AC87" s="46">
        <v>0</v>
      </c>
      <c r="AD87" s="46" t="s">
        <v>1038</v>
      </c>
    </row>
    <row r="88" spans="1:30" x14ac:dyDescent="0.25">
      <c r="A88" s="45">
        <f t="shared" si="1"/>
        <v>86</v>
      </c>
      <c r="B88" s="45" t="s">
        <v>108</v>
      </c>
      <c r="C88" s="45">
        <v>2025</v>
      </c>
      <c r="D88" s="45" t="s">
        <v>4</v>
      </c>
      <c r="E88" s="45" t="s">
        <v>4</v>
      </c>
      <c r="F88" s="77">
        <f>Mod_CL[[#This Row],[Date]]-DAY(Mod_CL[[#This Row],[Date]])+1</f>
        <v>45809</v>
      </c>
      <c r="G88" s="2">
        <f>DAY(EOMONTH(Mod_CL[[#This Row],[Month Year]],0))</f>
        <v>30</v>
      </c>
      <c r="H88" s="51">
        <v>45830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45">
        <v>0</v>
      </c>
      <c r="O88" s="45">
        <v>0</v>
      </c>
      <c r="P88" s="45">
        <v>0</v>
      </c>
      <c r="Q88" s="45">
        <v>0</v>
      </c>
      <c r="R88" s="45">
        <v>0</v>
      </c>
      <c r="S88" s="45">
        <v>0</v>
      </c>
      <c r="T88" s="45">
        <v>0</v>
      </c>
      <c r="U88" s="45">
        <v>0</v>
      </c>
      <c r="V88" s="45">
        <v>0</v>
      </c>
      <c r="W88" s="2">
        <f>SUM(Mod_CL[[#This Row],[Inv 1 (630kw) unit 1]:[Inv 3 (630kw) unit 4]])</f>
        <v>0</v>
      </c>
      <c r="X88" s="83">
        <v>0</v>
      </c>
      <c r="Y88" s="45">
        <v>0</v>
      </c>
      <c r="Z88" s="45">
        <v>0</v>
      </c>
      <c r="AA88" s="83">
        <v>0</v>
      </c>
      <c r="AB88" s="45">
        <v>0</v>
      </c>
      <c r="AC88" s="45">
        <v>0</v>
      </c>
      <c r="AD88" s="45" t="s">
        <v>1037</v>
      </c>
    </row>
    <row r="89" spans="1:30" x14ac:dyDescent="0.25">
      <c r="A89" s="45">
        <f t="shared" si="1"/>
        <v>87</v>
      </c>
      <c r="B89" s="45" t="s">
        <v>108</v>
      </c>
      <c r="C89" s="45">
        <v>2025</v>
      </c>
      <c r="D89" s="45" t="s">
        <v>4</v>
      </c>
      <c r="E89" s="45" t="s">
        <v>4</v>
      </c>
      <c r="F89" s="77">
        <f>Mod_CL[[#This Row],[Date]]-DAY(Mod_CL[[#This Row],[Date]])+1</f>
        <v>45809</v>
      </c>
      <c r="G89" s="2">
        <f>DAY(EOMONTH(Mod_CL[[#This Row],[Month Year]],0))</f>
        <v>30</v>
      </c>
      <c r="H89" s="51">
        <v>45831</v>
      </c>
      <c r="I89" s="46">
        <v>5</v>
      </c>
      <c r="J89" s="46">
        <v>2</v>
      </c>
      <c r="K89" s="46">
        <v>0</v>
      </c>
      <c r="L89" s="46">
        <v>0</v>
      </c>
      <c r="M89" s="46">
        <v>0</v>
      </c>
      <c r="N89" s="46">
        <v>0</v>
      </c>
      <c r="O89" s="46">
        <v>2160</v>
      </c>
      <c r="P89" s="46">
        <v>1800</v>
      </c>
      <c r="Q89" s="46">
        <v>2160</v>
      </c>
      <c r="R89" s="46">
        <v>1440</v>
      </c>
      <c r="S89" s="46">
        <v>0</v>
      </c>
      <c r="T89" s="46">
        <v>0</v>
      </c>
      <c r="U89" s="46">
        <v>0</v>
      </c>
      <c r="V89" s="46">
        <v>0</v>
      </c>
      <c r="W89" s="2">
        <f>SUM(Mod_CL[[#This Row],[Inv 1 (630kw) unit 1]:[Inv 3 (630kw) unit 4]])</f>
        <v>7560</v>
      </c>
      <c r="X89" s="83">
        <v>0.39583333333333331</v>
      </c>
      <c r="Y89" s="46">
        <v>0</v>
      </c>
      <c r="Z89" s="46">
        <v>0</v>
      </c>
      <c r="AA89" s="83">
        <v>0.5625</v>
      </c>
      <c r="AB89" s="46">
        <v>0</v>
      </c>
      <c r="AC89" s="46">
        <v>0</v>
      </c>
      <c r="AD89" s="46" t="s">
        <v>1038</v>
      </c>
    </row>
    <row r="90" spans="1:30" x14ac:dyDescent="0.25">
      <c r="A90" s="45">
        <f t="shared" si="1"/>
        <v>88</v>
      </c>
      <c r="B90" s="45" t="s">
        <v>108</v>
      </c>
      <c r="C90" s="45">
        <v>2025</v>
      </c>
      <c r="D90" s="45" t="s">
        <v>4</v>
      </c>
      <c r="E90" s="45" t="s">
        <v>4</v>
      </c>
      <c r="F90" s="77">
        <f>Mod_CL[[#This Row],[Date]]-DAY(Mod_CL[[#This Row],[Date]])+1</f>
        <v>45809</v>
      </c>
      <c r="G90" s="2">
        <f>DAY(EOMONTH(Mod_CL[[#This Row],[Month Year]],0))</f>
        <v>30</v>
      </c>
      <c r="H90" s="51">
        <v>45832</v>
      </c>
      <c r="I90" s="45">
        <v>5</v>
      </c>
      <c r="J90" s="46">
        <v>1</v>
      </c>
      <c r="K90" s="46">
        <v>1800</v>
      </c>
      <c r="L90" s="46">
        <v>2160</v>
      </c>
      <c r="M90" s="46">
        <v>1800</v>
      </c>
      <c r="N90" s="46">
        <v>1800</v>
      </c>
      <c r="O90" s="46">
        <v>0</v>
      </c>
      <c r="P90" s="46">
        <v>0</v>
      </c>
      <c r="Q90" s="46">
        <v>0</v>
      </c>
      <c r="R90" s="46">
        <v>0</v>
      </c>
      <c r="S90" s="46">
        <v>0</v>
      </c>
      <c r="T90" s="46">
        <v>0</v>
      </c>
      <c r="U90" s="46">
        <v>0</v>
      </c>
      <c r="V90" s="46">
        <v>0</v>
      </c>
      <c r="W90" s="2">
        <f>SUM(Mod_CL[[#This Row],[Inv 1 (630kw) unit 1]:[Inv 3 (630kw) unit 4]])</f>
        <v>7560</v>
      </c>
      <c r="X90" s="83">
        <v>0.41666666666666669</v>
      </c>
      <c r="Y90" s="46">
        <v>0</v>
      </c>
      <c r="Z90" s="46">
        <v>0</v>
      </c>
      <c r="AA90" s="83">
        <v>0.66666666666666663</v>
      </c>
      <c r="AB90" s="46">
        <v>0</v>
      </c>
      <c r="AC90" s="46">
        <v>0</v>
      </c>
      <c r="AD90" s="46" t="s">
        <v>1038</v>
      </c>
    </row>
    <row r="91" spans="1:30" x14ac:dyDescent="0.25">
      <c r="A91" s="45">
        <f t="shared" si="1"/>
        <v>89</v>
      </c>
      <c r="B91" s="45" t="s">
        <v>108</v>
      </c>
      <c r="C91" s="45">
        <v>2025</v>
      </c>
      <c r="D91" s="45" t="s">
        <v>4</v>
      </c>
      <c r="E91" s="45" t="s">
        <v>4</v>
      </c>
      <c r="F91" s="77">
        <f>Mod_CL[[#This Row],[Date]]-DAY(Mod_CL[[#This Row],[Date]])+1</f>
        <v>45809</v>
      </c>
      <c r="G91" s="2">
        <f>DAY(EOMONTH(Mod_CL[[#This Row],[Month Year]],0))</f>
        <v>30</v>
      </c>
      <c r="H91" s="51">
        <v>45833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>
        <v>0</v>
      </c>
      <c r="Q91" s="45">
        <v>0</v>
      </c>
      <c r="R91" s="45">
        <v>0</v>
      </c>
      <c r="S91" s="45">
        <v>0</v>
      </c>
      <c r="T91" s="45">
        <v>0</v>
      </c>
      <c r="U91" s="45">
        <v>0</v>
      </c>
      <c r="V91" s="45">
        <v>0</v>
      </c>
      <c r="W91" s="2">
        <f>SUM(Mod_CL[[#This Row],[Inv 1 (630kw) unit 1]:[Inv 3 (630kw) unit 4]])</f>
        <v>0</v>
      </c>
      <c r="X91" s="83">
        <v>0</v>
      </c>
      <c r="Y91" s="45">
        <v>0</v>
      </c>
      <c r="Z91" s="45">
        <v>0</v>
      </c>
      <c r="AA91" s="83">
        <v>0</v>
      </c>
      <c r="AB91" s="45">
        <v>0</v>
      </c>
      <c r="AC91" s="45">
        <v>0</v>
      </c>
      <c r="AD91" s="45" t="s">
        <v>1014</v>
      </c>
    </row>
    <row r="92" spans="1:30" x14ac:dyDescent="0.25">
      <c r="A92" s="45">
        <f t="shared" si="1"/>
        <v>90</v>
      </c>
      <c r="B92" s="45" t="s">
        <v>108</v>
      </c>
      <c r="C92" s="45">
        <v>2025</v>
      </c>
      <c r="D92" s="45" t="s">
        <v>4</v>
      </c>
      <c r="E92" s="45" t="s">
        <v>4</v>
      </c>
      <c r="F92" s="77">
        <f>Mod_CL[[#This Row],[Date]]-DAY(Mod_CL[[#This Row],[Date]])+1</f>
        <v>45809</v>
      </c>
      <c r="G92" s="2">
        <f>DAY(EOMONTH(Mod_CL[[#This Row],[Month Year]],0))</f>
        <v>30</v>
      </c>
      <c r="H92" s="51">
        <v>45834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45">
        <v>0</v>
      </c>
      <c r="O92" s="45">
        <v>0</v>
      </c>
      <c r="P92" s="45">
        <v>0</v>
      </c>
      <c r="Q92" s="45">
        <v>0</v>
      </c>
      <c r="R92" s="45">
        <v>0</v>
      </c>
      <c r="S92" s="45">
        <v>0</v>
      </c>
      <c r="T92" s="45">
        <v>0</v>
      </c>
      <c r="U92" s="45">
        <v>0</v>
      </c>
      <c r="V92" s="45">
        <v>0</v>
      </c>
      <c r="W92" s="2">
        <f>SUM(Mod_CL[[#This Row],[Inv 1 (630kw) unit 1]:[Inv 3 (630kw) unit 4]])</f>
        <v>0</v>
      </c>
      <c r="X92" s="83">
        <v>0</v>
      </c>
      <c r="Y92" s="45">
        <v>0</v>
      </c>
      <c r="Z92" s="45">
        <v>0</v>
      </c>
      <c r="AA92" s="83">
        <v>0</v>
      </c>
      <c r="AB92" s="45">
        <v>0</v>
      </c>
      <c r="AC92" s="45">
        <v>0</v>
      </c>
      <c r="AD92" s="45" t="s">
        <v>1014</v>
      </c>
    </row>
    <row r="93" spans="1:30" x14ac:dyDescent="0.25">
      <c r="A93" s="45">
        <f t="shared" si="1"/>
        <v>91</v>
      </c>
      <c r="B93" s="45" t="s">
        <v>108</v>
      </c>
      <c r="C93" s="45">
        <v>2025</v>
      </c>
      <c r="D93" s="45" t="s">
        <v>4</v>
      </c>
      <c r="E93" s="45" t="s">
        <v>4</v>
      </c>
      <c r="F93" s="77">
        <f>Mod_CL[[#This Row],[Date]]-DAY(Mod_CL[[#This Row],[Date]])+1</f>
        <v>45809</v>
      </c>
      <c r="G93" s="2">
        <f>DAY(EOMONTH(Mod_CL[[#This Row],[Month Year]],0))</f>
        <v>30</v>
      </c>
      <c r="H93" s="51">
        <v>45835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45">
        <v>0</v>
      </c>
      <c r="O93" s="45">
        <v>0</v>
      </c>
      <c r="P93" s="45">
        <v>0</v>
      </c>
      <c r="Q93" s="45">
        <v>0</v>
      </c>
      <c r="R93" s="45">
        <v>0</v>
      </c>
      <c r="S93" s="45">
        <v>0</v>
      </c>
      <c r="T93" s="45">
        <v>0</v>
      </c>
      <c r="U93" s="45">
        <v>0</v>
      </c>
      <c r="V93" s="45">
        <v>0</v>
      </c>
      <c r="W93" s="2">
        <f>SUM(Mod_CL[[#This Row],[Inv 1 (630kw) unit 1]:[Inv 3 (630kw) unit 4]])</f>
        <v>0</v>
      </c>
      <c r="X93" s="83">
        <v>0</v>
      </c>
      <c r="Y93" s="45">
        <v>0</v>
      </c>
      <c r="Z93" s="45">
        <v>0</v>
      </c>
      <c r="AA93" s="83">
        <v>0</v>
      </c>
      <c r="AB93" s="45">
        <v>0</v>
      </c>
      <c r="AC93" s="45">
        <v>0</v>
      </c>
      <c r="AD93" s="45" t="s">
        <v>1014</v>
      </c>
    </row>
    <row r="94" spans="1:30" x14ac:dyDescent="0.25">
      <c r="A94" s="45">
        <f t="shared" si="1"/>
        <v>92</v>
      </c>
      <c r="B94" s="45" t="s">
        <v>108</v>
      </c>
      <c r="C94" s="45">
        <v>2025</v>
      </c>
      <c r="D94" s="45" t="s">
        <v>4</v>
      </c>
      <c r="E94" s="45" t="s">
        <v>4</v>
      </c>
      <c r="F94" s="77">
        <f>Mod_CL[[#This Row],[Date]]-DAY(Mod_CL[[#This Row],[Date]])+1</f>
        <v>45809</v>
      </c>
      <c r="G94" s="2">
        <f>DAY(EOMONTH(Mod_CL[[#This Row],[Month Year]],0))</f>
        <v>30</v>
      </c>
      <c r="H94" s="51">
        <v>45836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45">
        <v>0</v>
      </c>
      <c r="O94" s="45">
        <v>0</v>
      </c>
      <c r="P94" s="45">
        <v>0</v>
      </c>
      <c r="Q94" s="45">
        <v>0</v>
      </c>
      <c r="R94" s="45">
        <v>0</v>
      </c>
      <c r="S94" s="45">
        <v>0</v>
      </c>
      <c r="T94" s="45">
        <v>0</v>
      </c>
      <c r="U94" s="45">
        <v>0</v>
      </c>
      <c r="V94" s="45">
        <v>0</v>
      </c>
      <c r="W94" s="2">
        <f>SUM(Mod_CL[[#This Row],[Inv 1 (630kw) unit 1]:[Inv 3 (630kw) unit 4]])</f>
        <v>0</v>
      </c>
      <c r="X94" s="83">
        <v>0</v>
      </c>
      <c r="Y94" s="45">
        <v>0</v>
      </c>
      <c r="Z94" s="45">
        <v>0</v>
      </c>
      <c r="AA94" s="83">
        <v>0</v>
      </c>
      <c r="AB94" s="45">
        <v>0</v>
      </c>
      <c r="AC94" s="45">
        <v>0</v>
      </c>
      <c r="AD94" s="45" t="s">
        <v>1014</v>
      </c>
    </row>
    <row r="95" spans="1:30" x14ac:dyDescent="0.25">
      <c r="A95" s="45">
        <f t="shared" si="1"/>
        <v>93</v>
      </c>
      <c r="B95" s="45" t="s">
        <v>108</v>
      </c>
      <c r="C95" s="45">
        <v>2025</v>
      </c>
      <c r="D95" s="45" t="s">
        <v>4</v>
      </c>
      <c r="E95" s="45" t="s">
        <v>4</v>
      </c>
      <c r="F95" s="77">
        <f>Mod_CL[[#This Row],[Date]]-DAY(Mod_CL[[#This Row],[Date]])+1</f>
        <v>45809</v>
      </c>
      <c r="G95" s="2">
        <f>DAY(EOMONTH(Mod_CL[[#This Row],[Month Year]],0))</f>
        <v>30</v>
      </c>
      <c r="H95" s="51">
        <v>45837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45">
        <v>0</v>
      </c>
      <c r="O95" s="45">
        <v>0</v>
      </c>
      <c r="P95" s="45">
        <v>0</v>
      </c>
      <c r="Q95" s="45">
        <v>0</v>
      </c>
      <c r="R95" s="45">
        <v>0</v>
      </c>
      <c r="S95" s="45">
        <v>0</v>
      </c>
      <c r="T95" s="45">
        <v>0</v>
      </c>
      <c r="U95" s="45">
        <v>0</v>
      </c>
      <c r="V95" s="45">
        <v>0</v>
      </c>
      <c r="W95" s="2">
        <f>SUM(Mod_CL[[#This Row],[Inv 1 (630kw) unit 1]:[Inv 3 (630kw) unit 4]])</f>
        <v>0</v>
      </c>
      <c r="X95" s="83">
        <v>0</v>
      </c>
      <c r="Y95" s="45">
        <v>0</v>
      </c>
      <c r="Z95" s="45">
        <v>0</v>
      </c>
      <c r="AA95" s="83">
        <v>0</v>
      </c>
      <c r="AB95" s="45">
        <v>0</v>
      </c>
      <c r="AC95" s="45">
        <v>0</v>
      </c>
      <c r="AD95" s="45" t="s">
        <v>1037</v>
      </c>
    </row>
    <row r="96" spans="1:30" x14ac:dyDescent="0.25">
      <c r="A96" s="45">
        <f t="shared" si="1"/>
        <v>94</v>
      </c>
      <c r="B96" s="45" t="s">
        <v>108</v>
      </c>
      <c r="C96" s="45">
        <v>2025</v>
      </c>
      <c r="D96" s="45" t="s">
        <v>4</v>
      </c>
      <c r="E96" s="45" t="s">
        <v>4</v>
      </c>
      <c r="F96" s="77">
        <f>Mod_CL[[#This Row],[Date]]-DAY(Mod_CL[[#This Row],[Date]])+1</f>
        <v>45809</v>
      </c>
      <c r="G96" s="2">
        <f>DAY(EOMONTH(Mod_CL[[#This Row],[Month Year]],0))</f>
        <v>30</v>
      </c>
      <c r="H96" s="51">
        <v>45838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45">
        <v>0</v>
      </c>
      <c r="O96" s="45">
        <v>0</v>
      </c>
      <c r="P96" s="45">
        <v>0</v>
      </c>
      <c r="Q96" s="45">
        <v>0</v>
      </c>
      <c r="R96" s="45">
        <v>0</v>
      </c>
      <c r="S96" s="45">
        <v>0</v>
      </c>
      <c r="T96" s="45">
        <v>0</v>
      </c>
      <c r="U96" s="45">
        <v>0</v>
      </c>
      <c r="V96" s="45">
        <v>0</v>
      </c>
      <c r="W96" s="2">
        <f>SUM(Mod_CL[[#This Row],[Inv 1 (630kw) unit 1]:[Inv 3 (630kw) unit 4]])</f>
        <v>0</v>
      </c>
      <c r="X96" s="83">
        <v>0</v>
      </c>
      <c r="Y96" s="45">
        <v>0</v>
      </c>
      <c r="Z96" s="45">
        <v>0</v>
      </c>
      <c r="AA96" s="83">
        <v>0</v>
      </c>
      <c r="AB96" s="45">
        <v>0</v>
      </c>
      <c r="AC96" s="45">
        <v>0</v>
      </c>
      <c r="AD96" s="45" t="s">
        <v>1014</v>
      </c>
    </row>
    <row r="97" spans="1:30" x14ac:dyDescent="0.25">
      <c r="A97" s="45">
        <f t="shared" si="1"/>
        <v>95</v>
      </c>
      <c r="B97" s="45" t="s">
        <v>108</v>
      </c>
      <c r="C97" s="45">
        <v>2025</v>
      </c>
      <c r="D97" s="45" t="s">
        <v>4</v>
      </c>
      <c r="E97" s="45" t="s">
        <v>4</v>
      </c>
      <c r="F97" s="77">
        <f>Mod_CL[[#This Row],[Date]]-DAY(Mod_CL[[#This Row],[Date]])+1</f>
        <v>45839</v>
      </c>
      <c r="G97" s="2">
        <f>DAY(EOMONTH(Mod_CL[[#This Row],[Month Year]],0))</f>
        <v>31</v>
      </c>
      <c r="H97" s="51">
        <v>45839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45">
        <v>0</v>
      </c>
      <c r="O97" s="45">
        <v>0</v>
      </c>
      <c r="P97" s="45">
        <v>0</v>
      </c>
      <c r="Q97" s="45">
        <v>0</v>
      </c>
      <c r="R97" s="45">
        <v>0</v>
      </c>
      <c r="S97" s="45">
        <v>0</v>
      </c>
      <c r="T97" s="45">
        <v>0</v>
      </c>
      <c r="U97" s="45">
        <v>0</v>
      </c>
      <c r="V97" s="45">
        <v>0</v>
      </c>
      <c r="W97" s="2">
        <f>SUM(Mod_CL[[#This Row],[Inv 1 (630kw) unit 1]:[Inv 3 (630kw) unit 4]])</f>
        <v>0</v>
      </c>
      <c r="X97" s="83">
        <v>0</v>
      </c>
      <c r="Y97" s="45">
        <v>0</v>
      </c>
      <c r="Z97" s="45">
        <v>0</v>
      </c>
      <c r="AA97" s="83">
        <v>0</v>
      </c>
      <c r="AB97" s="45">
        <v>0</v>
      </c>
      <c r="AC97" s="45">
        <v>0</v>
      </c>
      <c r="AD97" s="45" t="s">
        <v>1014</v>
      </c>
    </row>
    <row r="98" spans="1:30" x14ac:dyDescent="0.25">
      <c r="A98" s="45">
        <f t="shared" si="1"/>
        <v>96</v>
      </c>
      <c r="B98" s="45" t="s">
        <v>108</v>
      </c>
      <c r="C98" s="45">
        <v>2025</v>
      </c>
      <c r="D98" s="45" t="s">
        <v>4</v>
      </c>
      <c r="E98" s="45" t="s">
        <v>4</v>
      </c>
      <c r="F98" s="77">
        <f>Mod_CL[[#This Row],[Date]]-DAY(Mod_CL[[#This Row],[Date]])+1</f>
        <v>45839</v>
      </c>
      <c r="G98" s="2">
        <f>DAY(EOMONTH(Mod_CL[[#This Row],[Month Year]],0))</f>
        <v>31</v>
      </c>
      <c r="H98" s="51">
        <v>45840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45">
        <v>0</v>
      </c>
      <c r="O98" s="45">
        <v>0</v>
      </c>
      <c r="P98" s="45">
        <v>0</v>
      </c>
      <c r="Q98" s="45">
        <v>0</v>
      </c>
      <c r="R98" s="45">
        <v>0</v>
      </c>
      <c r="S98" s="45">
        <v>0</v>
      </c>
      <c r="T98" s="45">
        <v>0</v>
      </c>
      <c r="U98" s="45">
        <v>0</v>
      </c>
      <c r="V98" s="45">
        <v>0</v>
      </c>
      <c r="W98" s="2">
        <f>SUM(Mod_CL[[#This Row],[Inv 1 (630kw) unit 1]:[Inv 3 (630kw) unit 4]])</f>
        <v>0</v>
      </c>
      <c r="X98" s="83">
        <v>0</v>
      </c>
      <c r="Y98" s="45">
        <v>0</v>
      </c>
      <c r="Z98" s="45">
        <v>0</v>
      </c>
      <c r="AA98" s="83">
        <v>0</v>
      </c>
      <c r="AB98" s="45">
        <v>0</v>
      </c>
      <c r="AC98" s="45">
        <v>0</v>
      </c>
      <c r="AD98" s="45" t="s">
        <v>1014</v>
      </c>
    </row>
    <row r="99" spans="1:30" x14ac:dyDescent="0.25">
      <c r="A99" s="45">
        <f t="shared" si="1"/>
        <v>97</v>
      </c>
      <c r="B99" s="45" t="s">
        <v>108</v>
      </c>
      <c r="C99" s="45">
        <v>2025</v>
      </c>
      <c r="D99" s="45" t="s">
        <v>4</v>
      </c>
      <c r="E99" s="45" t="s">
        <v>4</v>
      </c>
      <c r="F99" s="77">
        <f>Mod_CL[[#This Row],[Date]]-DAY(Mod_CL[[#This Row],[Date]])+1</f>
        <v>45839</v>
      </c>
      <c r="G99" s="2">
        <f>DAY(EOMONTH(Mod_CL[[#This Row],[Month Year]],0))</f>
        <v>31</v>
      </c>
      <c r="H99" s="51">
        <v>45841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45">
        <v>0</v>
      </c>
      <c r="O99" s="45">
        <v>0</v>
      </c>
      <c r="P99" s="45">
        <v>0</v>
      </c>
      <c r="Q99" s="45">
        <v>0</v>
      </c>
      <c r="R99" s="45">
        <v>0</v>
      </c>
      <c r="S99" s="45">
        <v>0</v>
      </c>
      <c r="T99" s="45">
        <v>0</v>
      </c>
      <c r="U99" s="45">
        <v>0</v>
      </c>
      <c r="V99" s="45">
        <v>0</v>
      </c>
      <c r="W99" s="2">
        <f>SUM(Mod_CL[[#This Row],[Inv 1 (630kw) unit 1]:[Inv 3 (630kw) unit 4]])</f>
        <v>0</v>
      </c>
      <c r="X99" s="83">
        <v>0</v>
      </c>
      <c r="Y99" s="45">
        <v>0</v>
      </c>
      <c r="Z99" s="45">
        <v>0</v>
      </c>
      <c r="AA99" s="83">
        <v>0</v>
      </c>
      <c r="AB99" s="45">
        <v>0</v>
      </c>
      <c r="AC99" s="45">
        <v>0</v>
      </c>
      <c r="AD99" s="45" t="s">
        <v>1014</v>
      </c>
    </row>
    <row r="100" spans="1:30" x14ac:dyDescent="0.25">
      <c r="A100" s="45">
        <f t="shared" si="1"/>
        <v>98</v>
      </c>
      <c r="B100" s="45" t="s">
        <v>108</v>
      </c>
      <c r="C100" s="45">
        <v>2025</v>
      </c>
      <c r="D100" s="45" t="s">
        <v>4</v>
      </c>
      <c r="E100" s="45" t="s">
        <v>4</v>
      </c>
      <c r="F100" s="77">
        <f>Mod_CL[[#This Row],[Date]]-DAY(Mod_CL[[#This Row],[Date]])+1</f>
        <v>45839</v>
      </c>
      <c r="G100" s="2">
        <f>DAY(EOMONTH(Mod_CL[[#This Row],[Month Year]],0))</f>
        <v>31</v>
      </c>
      <c r="H100" s="51">
        <v>45842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45">
        <v>0</v>
      </c>
      <c r="O100" s="45">
        <v>0</v>
      </c>
      <c r="P100" s="45">
        <v>0</v>
      </c>
      <c r="Q100" s="45">
        <v>0</v>
      </c>
      <c r="R100" s="45">
        <v>0</v>
      </c>
      <c r="S100" s="45">
        <v>0</v>
      </c>
      <c r="T100" s="45">
        <v>0</v>
      </c>
      <c r="U100" s="45">
        <v>0</v>
      </c>
      <c r="V100" s="45">
        <v>0</v>
      </c>
      <c r="W100" s="2">
        <f>SUM(Mod_CL[[#This Row],[Inv 1 (630kw) unit 1]:[Inv 3 (630kw) unit 4]])</f>
        <v>0</v>
      </c>
      <c r="X100" s="83">
        <v>0</v>
      </c>
      <c r="Y100" s="45">
        <v>0</v>
      </c>
      <c r="Z100" s="45">
        <v>0</v>
      </c>
      <c r="AA100" s="83">
        <v>0</v>
      </c>
      <c r="AB100" s="45">
        <v>0</v>
      </c>
      <c r="AC100" s="45">
        <v>0</v>
      </c>
      <c r="AD100" s="45" t="s">
        <v>1014</v>
      </c>
    </row>
    <row r="101" spans="1:30" x14ac:dyDescent="0.25">
      <c r="A101" s="45">
        <f t="shared" si="1"/>
        <v>99</v>
      </c>
      <c r="B101" s="45" t="s">
        <v>108</v>
      </c>
      <c r="C101" s="45">
        <v>2025</v>
      </c>
      <c r="D101" s="45" t="s">
        <v>4</v>
      </c>
      <c r="E101" s="45" t="s">
        <v>4</v>
      </c>
      <c r="F101" s="77">
        <f>Mod_CL[[#This Row],[Date]]-DAY(Mod_CL[[#This Row],[Date]])+1</f>
        <v>45839</v>
      </c>
      <c r="G101" s="2">
        <f>DAY(EOMONTH(Mod_CL[[#This Row],[Month Year]],0))</f>
        <v>31</v>
      </c>
      <c r="H101" s="51">
        <v>45843</v>
      </c>
      <c r="I101" s="45">
        <v>0</v>
      </c>
      <c r="J101" s="45">
        <v>0</v>
      </c>
      <c r="K101" s="45">
        <v>0</v>
      </c>
      <c r="L101" s="45">
        <v>0</v>
      </c>
      <c r="M101" s="45">
        <v>0</v>
      </c>
      <c r="N101" s="45">
        <v>0</v>
      </c>
      <c r="O101" s="45">
        <v>0</v>
      </c>
      <c r="P101" s="45">
        <v>0</v>
      </c>
      <c r="Q101" s="45">
        <v>0</v>
      </c>
      <c r="R101" s="45">
        <v>0</v>
      </c>
      <c r="S101" s="45">
        <v>0</v>
      </c>
      <c r="T101" s="45">
        <v>0</v>
      </c>
      <c r="U101" s="45">
        <v>0</v>
      </c>
      <c r="V101" s="45">
        <v>0</v>
      </c>
      <c r="W101" s="2">
        <f>SUM(Mod_CL[[#This Row],[Inv 1 (630kw) unit 1]:[Inv 3 (630kw) unit 4]])</f>
        <v>0</v>
      </c>
      <c r="X101" s="83">
        <v>0</v>
      </c>
      <c r="Y101" s="45">
        <v>0</v>
      </c>
      <c r="Z101" s="45">
        <v>0</v>
      </c>
      <c r="AA101" s="83">
        <v>0</v>
      </c>
      <c r="AB101" s="45">
        <v>0</v>
      </c>
      <c r="AC101" s="45">
        <v>0</v>
      </c>
      <c r="AD101" s="45" t="s">
        <v>1014</v>
      </c>
    </row>
    <row r="102" spans="1:30" x14ac:dyDescent="0.25">
      <c r="A102" s="45">
        <f t="shared" si="1"/>
        <v>100</v>
      </c>
      <c r="B102" s="45" t="s">
        <v>108</v>
      </c>
      <c r="C102" s="45">
        <v>2025</v>
      </c>
      <c r="D102" s="45" t="s">
        <v>4</v>
      </c>
      <c r="E102" s="45" t="s">
        <v>4</v>
      </c>
      <c r="F102" s="77">
        <f>Mod_CL[[#This Row],[Date]]-DAY(Mod_CL[[#This Row],[Date]])+1</f>
        <v>45839</v>
      </c>
      <c r="G102" s="2">
        <f>DAY(EOMONTH(Mod_CL[[#This Row],[Month Year]],0))</f>
        <v>31</v>
      </c>
      <c r="H102" s="51">
        <v>45844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45">
        <v>0</v>
      </c>
      <c r="O102" s="45">
        <v>0</v>
      </c>
      <c r="P102" s="45">
        <v>0</v>
      </c>
      <c r="Q102" s="45">
        <v>0</v>
      </c>
      <c r="R102" s="45">
        <v>0</v>
      </c>
      <c r="S102" s="45">
        <v>0</v>
      </c>
      <c r="T102" s="45">
        <v>0</v>
      </c>
      <c r="U102" s="45">
        <v>0</v>
      </c>
      <c r="V102" s="45">
        <v>0</v>
      </c>
      <c r="W102" s="2">
        <f>SUM(Mod_CL[[#This Row],[Inv 1 (630kw) unit 1]:[Inv 3 (630kw) unit 4]])</f>
        <v>0</v>
      </c>
      <c r="X102" s="83">
        <v>0</v>
      </c>
      <c r="Y102" s="45">
        <v>0</v>
      </c>
      <c r="Z102" s="45">
        <v>0</v>
      </c>
      <c r="AA102" s="83">
        <v>0</v>
      </c>
      <c r="AB102" s="45">
        <v>0</v>
      </c>
      <c r="AC102" s="45">
        <v>0</v>
      </c>
      <c r="AD102" s="45" t="s">
        <v>1014</v>
      </c>
    </row>
    <row r="103" spans="1:30" x14ac:dyDescent="0.25">
      <c r="A103" s="45">
        <f t="shared" si="1"/>
        <v>101</v>
      </c>
      <c r="B103" s="45" t="s">
        <v>108</v>
      </c>
      <c r="C103" s="45">
        <v>2025</v>
      </c>
      <c r="D103" s="45" t="s">
        <v>4</v>
      </c>
      <c r="E103" s="45" t="s">
        <v>4</v>
      </c>
      <c r="F103" s="77">
        <f>Mod_CL[[#This Row],[Date]]-DAY(Mod_CL[[#This Row],[Date]])+1</f>
        <v>45839</v>
      </c>
      <c r="G103" s="2">
        <f>DAY(EOMONTH(Mod_CL[[#This Row],[Month Year]],0))</f>
        <v>31</v>
      </c>
      <c r="H103" s="51">
        <v>45845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45">
        <v>0</v>
      </c>
      <c r="O103" s="45">
        <v>0</v>
      </c>
      <c r="P103" s="45">
        <v>0</v>
      </c>
      <c r="Q103" s="45">
        <v>0</v>
      </c>
      <c r="R103" s="45">
        <v>0</v>
      </c>
      <c r="S103" s="45">
        <v>0</v>
      </c>
      <c r="T103" s="45">
        <v>0</v>
      </c>
      <c r="U103" s="45">
        <v>0</v>
      </c>
      <c r="V103" s="45">
        <v>0</v>
      </c>
      <c r="W103" s="2">
        <f>SUM(Mod_CL[[#This Row],[Inv 1 (630kw) unit 1]:[Inv 3 (630kw) unit 4]])</f>
        <v>0</v>
      </c>
      <c r="X103" s="83">
        <v>0</v>
      </c>
      <c r="Y103" s="45">
        <v>0</v>
      </c>
      <c r="Z103" s="45">
        <v>0</v>
      </c>
      <c r="AA103" s="83">
        <v>0</v>
      </c>
      <c r="AB103" s="45">
        <v>0</v>
      </c>
      <c r="AC103" s="45">
        <v>0</v>
      </c>
      <c r="AD103" s="45" t="s">
        <v>1014</v>
      </c>
    </row>
    <row r="104" spans="1:30" x14ac:dyDescent="0.25">
      <c r="A104" s="45">
        <f t="shared" si="1"/>
        <v>102</v>
      </c>
      <c r="B104" s="45" t="s">
        <v>108</v>
      </c>
      <c r="C104" s="45">
        <v>2025</v>
      </c>
      <c r="D104" s="45" t="s">
        <v>4</v>
      </c>
      <c r="E104" s="45" t="s">
        <v>4</v>
      </c>
      <c r="F104" s="77">
        <f>Mod_CL[[#This Row],[Date]]-DAY(Mod_CL[[#This Row],[Date]])+1</f>
        <v>45839</v>
      </c>
      <c r="G104" s="2">
        <f>DAY(EOMONTH(Mod_CL[[#This Row],[Month Year]],0))</f>
        <v>31</v>
      </c>
      <c r="H104" s="51">
        <v>45846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45">
        <v>0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5">
        <v>0</v>
      </c>
      <c r="U104" s="45">
        <v>0</v>
      </c>
      <c r="V104" s="45">
        <v>0</v>
      </c>
      <c r="W104" s="2">
        <f>SUM(Mod_CL[[#This Row],[Inv 1 (630kw) unit 1]:[Inv 3 (630kw) unit 4]])</f>
        <v>0</v>
      </c>
      <c r="X104" s="83">
        <v>0</v>
      </c>
      <c r="Y104" s="45">
        <v>0</v>
      </c>
      <c r="Z104" s="45">
        <v>0</v>
      </c>
      <c r="AA104" s="83">
        <v>0</v>
      </c>
      <c r="AB104" s="45">
        <v>0</v>
      </c>
      <c r="AC104" s="45">
        <v>0</v>
      </c>
      <c r="AD104" s="45" t="s">
        <v>1014</v>
      </c>
    </row>
    <row r="105" spans="1:30" x14ac:dyDescent="0.25">
      <c r="A105" s="45">
        <f t="shared" si="1"/>
        <v>103</v>
      </c>
      <c r="B105" s="45" t="s">
        <v>108</v>
      </c>
      <c r="C105" s="45">
        <v>2025</v>
      </c>
      <c r="D105" s="45" t="s">
        <v>4</v>
      </c>
      <c r="E105" s="45" t="s">
        <v>4</v>
      </c>
      <c r="F105" s="77">
        <f>Mod_CL[[#This Row],[Date]]-DAY(Mod_CL[[#This Row],[Date]])+1</f>
        <v>45839</v>
      </c>
      <c r="G105" s="2">
        <f>DAY(EOMONTH(Mod_CL[[#This Row],[Month Year]],0))</f>
        <v>31</v>
      </c>
      <c r="H105" s="51">
        <v>45847</v>
      </c>
      <c r="I105" s="45">
        <v>0</v>
      </c>
      <c r="J105" s="45">
        <v>0</v>
      </c>
      <c r="K105" s="45">
        <v>0</v>
      </c>
      <c r="L105" s="45">
        <v>0</v>
      </c>
      <c r="M105" s="45">
        <v>0</v>
      </c>
      <c r="N105" s="45">
        <v>0</v>
      </c>
      <c r="O105" s="45">
        <v>0</v>
      </c>
      <c r="P105" s="45">
        <v>0</v>
      </c>
      <c r="Q105" s="45">
        <v>0</v>
      </c>
      <c r="R105" s="45">
        <v>0</v>
      </c>
      <c r="S105" s="45">
        <v>0</v>
      </c>
      <c r="T105" s="45">
        <v>0</v>
      </c>
      <c r="U105" s="45">
        <v>0</v>
      </c>
      <c r="V105" s="45">
        <v>0</v>
      </c>
      <c r="W105" s="2">
        <f>SUM(Mod_CL[[#This Row],[Inv 1 (630kw) unit 1]:[Inv 3 (630kw) unit 4]])</f>
        <v>0</v>
      </c>
      <c r="X105" s="83">
        <v>0</v>
      </c>
      <c r="Y105" s="45">
        <v>0</v>
      </c>
      <c r="Z105" s="45">
        <v>0</v>
      </c>
      <c r="AA105" s="83">
        <v>0</v>
      </c>
      <c r="AB105" s="45">
        <v>0</v>
      </c>
      <c r="AC105" s="45">
        <v>0</v>
      </c>
      <c r="AD105" s="45" t="s">
        <v>1014</v>
      </c>
    </row>
    <row r="106" spans="1:30" x14ac:dyDescent="0.25">
      <c r="A106" s="45">
        <f t="shared" si="1"/>
        <v>104</v>
      </c>
      <c r="B106" s="45" t="s">
        <v>108</v>
      </c>
      <c r="C106" s="45">
        <v>2025</v>
      </c>
      <c r="D106" s="45" t="s">
        <v>4</v>
      </c>
      <c r="E106" s="45" t="s">
        <v>4</v>
      </c>
      <c r="F106" s="77">
        <f>Mod_CL[[#This Row],[Date]]-DAY(Mod_CL[[#This Row],[Date]])+1</f>
        <v>45839</v>
      </c>
      <c r="G106" s="2">
        <f>DAY(EOMONTH(Mod_CL[[#This Row],[Month Year]],0))</f>
        <v>31</v>
      </c>
      <c r="H106" s="51">
        <v>45848</v>
      </c>
      <c r="I106" s="45">
        <v>0</v>
      </c>
      <c r="J106" s="45">
        <v>0</v>
      </c>
      <c r="K106" s="45">
        <v>0</v>
      </c>
      <c r="L106" s="45">
        <v>0</v>
      </c>
      <c r="M106" s="45">
        <v>0</v>
      </c>
      <c r="N106" s="45">
        <v>0</v>
      </c>
      <c r="O106" s="45">
        <v>0</v>
      </c>
      <c r="P106" s="45">
        <v>0</v>
      </c>
      <c r="Q106" s="45">
        <v>0</v>
      </c>
      <c r="R106" s="45">
        <v>0</v>
      </c>
      <c r="S106" s="45">
        <v>0</v>
      </c>
      <c r="T106" s="45">
        <v>0</v>
      </c>
      <c r="U106" s="45">
        <v>0</v>
      </c>
      <c r="V106" s="45">
        <v>0</v>
      </c>
      <c r="W106" s="2">
        <f>SUM(Mod_CL[[#This Row],[Inv 1 (630kw) unit 1]:[Inv 3 (630kw) unit 4]])</f>
        <v>0</v>
      </c>
      <c r="X106" s="83">
        <v>0</v>
      </c>
      <c r="Y106" s="45">
        <v>0</v>
      </c>
      <c r="Z106" s="45">
        <v>0</v>
      </c>
      <c r="AA106" s="83">
        <v>0</v>
      </c>
      <c r="AB106" s="45">
        <v>0</v>
      </c>
      <c r="AC106" s="45">
        <v>0</v>
      </c>
      <c r="AD106" s="45" t="s">
        <v>1014</v>
      </c>
    </row>
    <row r="107" spans="1:30" x14ac:dyDescent="0.25">
      <c r="A107" s="45">
        <f t="shared" si="1"/>
        <v>105</v>
      </c>
      <c r="B107" s="45" t="s">
        <v>108</v>
      </c>
      <c r="C107" s="45">
        <v>2025</v>
      </c>
      <c r="D107" s="45" t="s">
        <v>4</v>
      </c>
      <c r="E107" s="45" t="s">
        <v>4</v>
      </c>
      <c r="F107" s="77">
        <f>Mod_CL[[#This Row],[Date]]-DAY(Mod_CL[[#This Row],[Date]])+1</f>
        <v>45839</v>
      </c>
      <c r="G107" s="2">
        <f>DAY(EOMONTH(Mod_CL[[#This Row],[Month Year]],0))</f>
        <v>31</v>
      </c>
      <c r="H107" s="51">
        <v>45849</v>
      </c>
      <c r="I107" s="45">
        <v>0</v>
      </c>
      <c r="J107" s="45">
        <v>0</v>
      </c>
      <c r="K107" s="45">
        <v>0</v>
      </c>
      <c r="L107" s="45">
        <v>0</v>
      </c>
      <c r="M107" s="45">
        <v>0</v>
      </c>
      <c r="N107" s="45">
        <v>0</v>
      </c>
      <c r="O107" s="45">
        <v>0</v>
      </c>
      <c r="P107" s="45">
        <v>0</v>
      </c>
      <c r="Q107" s="45">
        <v>0</v>
      </c>
      <c r="R107" s="45">
        <v>0</v>
      </c>
      <c r="S107" s="45">
        <v>0</v>
      </c>
      <c r="T107" s="45">
        <v>0</v>
      </c>
      <c r="U107" s="45">
        <v>0</v>
      </c>
      <c r="V107" s="45">
        <v>0</v>
      </c>
      <c r="W107" s="2">
        <f>SUM(Mod_CL[[#This Row],[Inv 1 (630kw) unit 1]:[Inv 3 (630kw) unit 4]])</f>
        <v>0</v>
      </c>
      <c r="X107" s="83">
        <v>0</v>
      </c>
      <c r="Y107" s="45">
        <v>0</v>
      </c>
      <c r="Z107" s="45">
        <v>0</v>
      </c>
      <c r="AA107" s="83">
        <v>0</v>
      </c>
      <c r="AB107" s="45">
        <v>0</v>
      </c>
      <c r="AC107" s="45">
        <v>0</v>
      </c>
      <c r="AD107" s="45" t="s">
        <v>1014</v>
      </c>
    </row>
    <row r="108" spans="1:30" x14ac:dyDescent="0.25">
      <c r="A108" s="45">
        <f t="shared" si="1"/>
        <v>106</v>
      </c>
      <c r="B108" s="45" t="s">
        <v>108</v>
      </c>
      <c r="C108" s="45">
        <v>2025</v>
      </c>
      <c r="D108" s="45" t="s">
        <v>4</v>
      </c>
      <c r="E108" s="45" t="s">
        <v>4</v>
      </c>
      <c r="F108" s="77">
        <f>Mod_CL[[#This Row],[Date]]-DAY(Mod_CL[[#This Row],[Date]])+1</f>
        <v>45839</v>
      </c>
      <c r="G108" s="2">
        <f>DAY(EOMONTH(Mod_CL[[#This Row],[Month Year]],0))</f>
        <v>31</v>
      </c>
      <c r="H108" s="51">
        <v>45850</v>
      </c>
      <c r="I108" s="45">
        <v>0</v>
      </c>
      <c r="J108" s="45">
        <v>0</v>
      </c>
      <c r="K108" s="45">
        <v>0</v>
      </c>
      <c r="L108" s="45">
        <v>0</v>
      </c>
      <c r="M108" s="45">
        <v>0</v>
      </c>
      <c r="N108" s="45">
        <v>0</v>
      </c>
      <c r="O108" s="45">
        <v>0</v>
      </c>
      <c r="P108" s="45">
        <v>0</v>
      </c>
      <c r="Q108" s="45">
        <v>0</v>
      </c>
      <c r="R108" s="45">
        <v>0</v>
      </c>
      <c r="S108" s="45">
        <v>0</v>
      </c>
      <c r="T108" s="45">
        <v>0</v>
      </c>
      <c r="U108" s="45">
        <v>0</v>
      </c>
      <c r="V108" s="45">
        <v>0</v>
      </c>
      <c r="W108" s="2">
        <f>SUM(Mod_CL[[#This Row],[Inv 1 (630kw) unit 1]:[Inv 3 (630kw) unit 4]])</f>
        <v>0</v>
      </c>
      <c r="X108" s="83">
        <v>0</v>
      </c>
      <c r="Y108" s="45">
        <v>0</v>
      </c>
      <c r="Z108" s="45">
        <v>0</v>
      </c>
      <c r="AA108" s="83">
        <v>0</v>
      </c>
      <c r="AB108" s="45">
        <v>0</v>
      </c>
      <c r="AC108" s="45">
        <v>0</v>
      </c>
      <c r="AD108" s="45" t="s">
        <v>1014</v>
      </c>
    </row>
    <row r="109" spans="1:30" x14ac:dyDescent="0.25">
      <c r="A109" s="45">
        <f t="shared" si="1"/>
        <v>107</v>
      </c>
      <c r="B109" s="45" t="s">
        <v>108</v>
      </c>
      <c r="C109" s="45">
        <v>2025</v>
      </c>
      <c r="D109" s="45" t="s">
        <v>4</v>
      </c>
      <c r="E109" s="45" t="s">
        <v>4</v>
      </c>
      <c r="F109" s="77">
        <f>Mod_CL[[#This Row],[Date]]-DAY(Mod_CL[[#This Row],[Date]])+1</f>
        <v>45839</v>
      </c>
      <c r="G109" s="2">
        <f>DAY(EOMONTH(Mod_CL[[#This Row],[Month Year]],0))</f>
        <v>31</v>
      </c>
      <c r="H109" s="51">
        <v>45851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45">
        <v>0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5">
        <v>0</v>
      </c>
      <c r="U109" s="45">
        <v>0</v>
      </c>
      <c r="V109" s="45">
        <v>0</v>
      </c>
      <c r="W109" s="2">
        <f>SUM(Mod_CL[[#This Row],[Inv 1 (630kw) unit 1]:[Inv 3 (630kw) unit 4]])</f>
        <v>0</v>
      </c>
      <c r="X109" s="83">
        <v>0</v>
      </c>
      <c r="Y109" s="45">
        <v>0</v>
      </c>
      <c r="Z109" s="45">
        <v>0</v>
      </c>
      <c r="AA109" s="83">
        <v>0</v>
      </c>
      <c r="AB109" s="45">
        <v>0</v>
      </c>
      <c r="AC109" s="45">
        <v>0</v>
      </c>
      <c r="AD109" s="45" t="s">
        <v>1014</v>
      </c>
    </row>
    <row r="110" spans="1:30" x14ac:dyDescent="0.25">
      <c r="A110" s="45">
        <f t="shared" si="1"/>
        <v>108</v>
      </c>
      <c r="B110" s="45" t="s">
        <v>108</v>
      </c>
      <c r="C110" s="45">
        <v>2025</v>
      </c>
      <c r="D110" s="45" t="s">
        <v>4</v>
      </c>
      <c r="E110" s="45" t="s">
        <v>4</v>
      </c>
      <c r="F110" s="77">
        <f>Mod_CL[[#This Row],[Date]]-DAY(Mod_CL[[#This Row],[Date]])+1</f>
        <v>45839</v>
      </c>
      <c r="G110" s="2">
        <f>DAY(EOMONTH(Mod_CL[[#This Row],[Month Year]],0))</f>
        <v>31</v>
      </c>
      <c r="H110" s="51">
        <v>45852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45">
        <v>0</v>
      </c>
      <c r="O110" s="45">
        <v>0</v>
      </c>
      <c r="P110" s="45">
        <v>0</v>
      </c>
      <c r="Q110" s="45">
        <v>0</v>
      </c>
      <c r="R110" s="45">
        <v>0</v>
      </c>
      <c r="S110" s="45">
        <v>0</v>
      </c>
      <c r="T110" s="45">
        <v>0</v>
      </c>
      <c r="U110" s="45">
        <v>0</v>
      </c>
      <c r="V110" s="45">
        <v>0</v>
      </c>
      <c r="W110" s="2">
        <f>SUM(Mod_CL[[#This Row],[Inv 1 (630kw) unit 1]:[Inv 3 (630kw) unit 4]])</f>
        <v>0</v>
      </c>
      <c r="X110" s="83">
        <v>0</v>
      </c>
      <c r="Y110" s="45">
        <v>0</v>
      </c>
      <c r="Z110" s="45">
        <v>0</v>
      </c>
      <c r="AA110" s="83">
        <v>0</v>
      </c>
      <c r="AB110" s="45">
        <v>0</v>
      </c>
      <c r="AC110" s="45">
        <v>0</v>
      </c>
      <c r="AD110" s="45" t="s">
        <v>1014</v>
      </c>
    </row>
    <row r="111" spans="1:30" x14ac:dyDescent="0.25">
      <c r="A111" s="45">
        <f t="shared" si="1"/>
        <v>109</v>
      </c>
      <c r="B111" s="45" t="s">
        <v>108</v>
      </c>
      <c r="C111" s="45">
        <v>2025</v>
      </c>
      <c r="D111" s="45" t="s">
        <v>4</v>
      </c>
      <c r="E111" s="45" t="s">
        <v>4</v>
      </c>
      <c r="F111" s="77">
        <f>Mod_CL[[#This Row],[Date]]-DAY(Mod_CL[[#This Row],[Date]])+1</f>
        <v>45839</v>
      </c>
      <c r="G111" s="2">
        <f>DAY(EOMONTH(Mod_CL[[#This Row],[Month Year]],0))</f>
        <v>31</v>
      </c>
      <c r="H111" s="51">
        <v>45853</v>
      </c>
      <c r="I111" s="45">
        <v>0</v>
      </c>
      <c r="J111" s="45">
        <v>0</v>
      </c>
      <c r="K111" s="45">
        <v>0</v>
      </c>
      <c r="L111" s="45">
        <v>0</v>
      </c>
      <c r="M111" s="45">
        <v>0</v>
      </c>
      <c r="N111" s="45">
        <v>0</v>
      </c>
      <c r="O111" s="45">
        <v>0</v>
      </c>
      <c r="P111" s="45">
        <v>0</v>
      </c>
      <c r="Q111" s="45">
        <v>0</v>
      </c>
      <c r="R111" s="45">
        <v>0</v>
      </c>
      <c r="S111" s="45">
        <v>0</v>
      </c>
      <c r="T111" s="45">
        <v>0</v>
      </c>
      <c r="U111" s="45">
        <v>0</v>
      </c>
      <c r="V111" s="45">
        <v>0</v>
      </c>
      <c r="W111" s="2">
        <f>SUM(Mod_CL[[#This Row],[Inv 1 (630kw) unit 1]:[Inv 3 (630kw) unit 4]])</f>
        <v>0</v>
      </c>
      <c r="X111" s="83">
        <v>0</v>
      </c>
      <c r="Y111" s="45">
        <v>0</v>
      </c>
      <c r="Z111" s="45">
        <v>0</v>
      </c>
      <c r="AA111" s="83">
        <v>0</v>
      </c>
      <c r="AB111" s="45">
        <v>0</v>
      </c>
      <c r="AC111" s="45">
        <v>0</v>
      </c>
      <c r="AD111" s="45" t="s">
        <v>1014</v>
      </c>
    </row>
    <row r="112" spans="1:30" x14ac:dyDescent="0.25">
      <c r="A112" s="45">
        <f t="shared" si="1"/>
        <v>110</v>
      </c>
      <c r="B112" s="45" t="s">
        <v>108</v>
      </c>
      <c r="C112" s="45">
        <v>2025</v>
      </c>
      <c r="D112" s="45" t="s">
        <v>4</v>
      </c>
      <c r="E112" s="45" t="s">
        <v>4</v>
      </c>
      <c r="F112" s="77">
        <f>Mod_CL[[#This Row],[Date]]-DAY(Mod_CL[[#This Row],[Date]])+1</f>
        <v>45839</v>
      </c>
      <c r="G112" s="2">
        <f>DAY(EOMONTH(Mod_CL[[#This Row],[Month Year]],0))</f>
        <v>31</v>
      </c>
      <c r="H112" s="51">
        <v>45854</v>
      </c>
      <c r="I112" s="45">
        <v>0</v>
      </c>
      <c r="J112" s="45">
        <v>0</v>
      </c>
      <c r="K112" s="45">
        <v>0</v>
      </c>
      <c r="L112" s="45">
        <v>0</v>
      </c>
      <c r="M112" s="45">
        <v>0</v>
      </c>
      <c r="N112" s="45">
        <v>0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5">
        <v>0</v>
      </c>
      <c r="U112" s="45">
        <v>0</v>
      </c>
      <c r="V112" s="45">
        <v>0</v>
      </c>
      <c r="W112" s="2">
        <f>SUM(Mod_CL[[#This Row],[Inv 1 (630kw) unit 1]:[Inv 3 (630kw) unit 4]])</f>
        <v>0</v>
      </c>
      <c r="X112" s="83">
        <v>0</v>
      </c>
      <c r="Y112" s="45">
        <v>0</v>
      </c>
      <c r="Z112" s="45">
        <v>0</v>
      </c>
      <c r="AA112" s="83">
        <v>0</v>
      </c>
      <c r="AB112" s="45">
        <v>0</v>
      </c>
      <c r="AC112" s="45">
        <v>0</v>
      </c>
      <c r="AD112" s="45" t="s">
        <v>1014</v>
      </c>
    </row>
    <row r="113" spans="1:30" x14ac:dyDescent="0.25">
      <c r="A113" s="45">
        <f t="shared" si="1"/>
        <v>111</v>
      </c>
      <c r="B113" s="45" t="s">
        <v>108</v>
      </c>
      <c r="C113" s="45">
        <v>2025</v>
      </c>
      <c r="D113" s="45" t="s">
        <v>4</v>
      </c>
      <c r="E113" s="45" t="s">
        <v>4</v>
      </c>
      <c r="F113" s="77">
        <f>Mod_CL[[#This Row],[Date]]-DAY(Mod_CL[[#This Row],[Date]])+1</f>
        <v>45839</v>
      </c>
      <c r="G113" s="2">
        <f>DAY(EOMONTH(Mod_CL[[#This Row],[Month Year]],0))</f>
        <v>31</v>
      </c>
      <c r="H113" s="51">
        <v>45855</v>
      </c>
      <c r="I113" s="45">
        <v>0</v>
      </c>
      <c r="J113" s="45">
        <v>0</v>
      </c>
      <c r="K113" s="45">
        <v>0</v>
      </c>
      <c r="L113" s="45">
        <v>0</v>
      </c>
      <c r="M113" s="45">
        <v>0</v>
      </c>
      <c r="N113" s="45">
        <v>0</v>
      </c>
      <c r="O113" s="45">
        <v>0</v>
      </c>
      <c r="P113" s="45">
        <v>0</v>
      </c>
      <c r="Q113" s="45">
        <v>0</v>
      </c>
      <c r="R113" s="45">
        <v>0</v>
      </c>
      <c r="S113" s="45">
        <v>0</v>
      </c>
      <c r="T113" s="45">
        <v>0</v>
      </c>
      <c r="U113" s="45">
        <v>0</v>
      </c>
      <c r="V113" s="45">
        <v>0</v>
      </c>
      <c r="W113" s="2">
        <f>SUM(Mod_CL[[#This Row],[Inv 1 (630kw) unit 1]:[Inv 3 (630kw) unit 4]])</f>
        <v>0</v>
      </c>
      <c r="X113" s="83">
        <v>0</v>
      </c>
      <c r="Y113" s="45">
        <v>0</v>
      </c>
      <c r="Z113" s="45">
        <v>0</v>
      </c>
      <c r="AA113" s="83">
        <v>0</v>
      </c>
      <c r="AB113" s="45">
        <v>0</v>
      </c>
      <c r="AC113" s="45">
        <v>0</v>
      </c>
      <c r="AD113" s="45" t="s">
        <v>1014</v>
      </c>
    </row>
    <row r="114" spans="1:30" x14ac:dyDescent="0.25">
      <c r="A114" s="45">
        <f t="shared" si="1"/>
        <v>112</v>
      </c>
      <c r="B114" s="45" t="s">
        <v>108</v>
      </c>
      <c r="C114" s="45">
        <v>2025</v>
      </c>
      <c r="D114" s="45" t="s">
        <v>4</v>
      </c>
      <c r="E114" s="45" t="s">
        <v>4</v>
      </c>
      <c r="F114" s="77">
        <f>Mod_CL[[#This Row],[Date]]-DAY(Mod_CL[[#This Row],[Date]])+1</f>
        <v>45839</v>
      </c>
      <c r="G114" s="2">
        <f>DAY(EOMONTH(Mod_CL[[#This Row],[Month Year]],0))</f>
        <v>31</v>
      </c>
      <c r="H114" s="51">
        <v>45856</v>
      </c>
      <c r="I114" s="45">
        <v>0</v>
      </c>
      <c r="J114" s="45">
        <v>0</v>
      </c>
      <c r="K114" s="45">
        <v>0</v>
      </c>
      <c r="L114" s="45">
        <v>0</v>
      </c>
      <c r="M114" s="45">
        <v>0</v>
      </c>
      <c r="N114" s="45">
        <v>0</v>
      </c>
      <c r="O114" s="45">
        <v>0</v>
      </c>
      <c r="P114" s="45">
        <v>0</v>
      </c>
      <c r="Q114" s="45">
        <v>0</v>
      </c>
      <c r="R114" s="45">
        <v>0</v>
      </c>
      <c r="S114" s="45">
        <v>0</v>
      </c>
      <c r="T114" s="45">
        <v>0</v>
      </c>
      <c r="U114" s="45">
        <v>0</v>
      </c>
      <c r="V114" s="45">
        <v>0</v>
      </c>
      <c r="W114" s="2">
        <f>SUM(Mod_CL[[#This Row],[Inv 1 (630kw) unit 1]:[Inv 3 (630kw) unit 4]])</f>
        <v>0</v>
      </c>
      <c r="X114" s="83">
        <v>0</v>
      </c>
      <c r="Y114" s="45">
        <v>0</v>
      </c>
      <c r="Z114" s="45">
        <v>0</v>
      </c>
      <c r="AA114" s="83">
        <v>0</v>
      </c>
      <c r="AB114" s="45">
        <v>0</v>
      </c>
      <c r="AC114" s="45">
        <v>0</v>
      </c>
      <c r="AD114" s="45" t="s">
        <v>1014</v>
      </c>
    </row>
    <row r="115" spans="1:30" x14ac:dyDescent="0.25">
      <c r="A115" s="45">
        <f t="shared" si="1"/>
        <v>113</v>
      </c>
      <c r="B115" s="45" t="s">
        <v>108</v>
      </c>
      <c r="C115" s="45">
        <v>2025</v>
      </c>
      <c r="D115" s="45" t="s">
        <v>4</v>
      </c>
      <c r="E115" s="45" t="s">
        <v>4</v>
      </c>
      <c r="F115" s="77">
        <f>Mod_CL[[#This Row],[Date]]-DAY(Mod_CL[[#This Row],[Date]])+1</f>
        <v>45839</v>
      </c>
      <c r="G115" s="2">
        <f>DAY(EOMONTH(Mod_CL[[#This Row],[Month Year]],0))</f>
        <v>31</v>
      </c>
      <c r="H115" s="51">
        <v>45857</v>
      </c>
      <c r="I115" s="45">
        <v>0</v>
      </c>
      <c r="J115" s="45">
        <v>0</v>
      </c>
      <c r="K115" s="45">
        <v>0</v>
      </c>
      <c r="L115" s="45">
        <v>0</v>
      </c>
      <c r="M115" s="45">
        <v>0</v>
      </c>
      <c r="N115" s="45">
        <v>0</v>
      </c>
      <c r="O115" s="45">
        <v>0</v>
      </c>
      <c r="P115" s="45">
        <v>0</v>
      </c>
      <c r="Q115" s="45">
        <v>0</v>
      </c>
      <c r="R115" s="45">
        <v>0</v>
      </c>
      <c r="S115" s="45">
        <v>0</v>
      </c>
      <c r="T115" s="45">
        <v>0</v>
      </c>
      <c r="U115" s="45">
        <v>0</v>
      </c>
      <c r="V115" s="45">
        <v>0</v>
      </c>
      <c r="W115" s="2">
        <f>SUM(Mod_CL[[#This Row],[Inv 1 (630kw) unit 1]:[Inv 3 (630kw) unit 4]])</f>
        <v>0</v>
      </c>
      <c r="X115" s="83">
        <v>0</v>
      </c>
      <c r="Y115" s="45">
        <v>0</v>
      </c>
      <c r="Z115" s="45">
        <v>0</v>
      </c>
      <c r="AA115" s="83">
        <v>0</v>
      </c>
      <c r="AB115" s="45">
        <v>0</v>
      </c>
      <c r="AC115" s="45">
        <v>0</v>
      </c>
      <c r="AD115" s="45" t="s">
        <v>1014</v>
      </c>
    </row>
    <row r="116" spans="1:30" x14ac:dyDescent="0.25">
      <c r="A116" s="45">
        <f t="shared" si="1"/>
        <v>114</v>
      </c>
      <c r="B116" s="45" t="s">
        <v>108</v>
      </c>
      <c r="C116" s="45">
        <v>2025</v>
      </c>
      <c r="D116" s="45" t="s">
        <v>4</v>
      </c>
      <c r="E116" s="45" t="s">
        <v>4</v>
      </c>
      <c r="F116" s="77">
        <f>Mod_CL[[#This Row],[Date]]-DAY(Mod_CL[[#This Row],[Date]])+1</f>
        <v>45839</v>
      </c>
      <c r="G116" s="2">
        <f>DAY(EOMONTH(Mod_CL[[#This Row],[Month Year]],0))</f>
        <v>31</v>
      </c>
      <c r="H116" s="51">
        <v>45858</v>
      </c>
      <c r="I116" s="45">
        <v>0</v>
      </c>
      <c r="J116" s="45">
        <v>0</v>
      </c>
      <c r="K116" s="45">
        <v>0</v>
      </c>
      <c r="L116" s="45">
        <v>0</v>
      </c>
      <c r="M116" s="45">
        <v>0</v>
      </c>
      <c r="N116" s="45">
        <v>0</v>
      </c>
      <c r="O116" s="45">
        <v>0</v>
      </c>
      <c r="P116" s="45">
        <v>0</v>
      </c>
      <c r="Q116" s="45">
        <v>0</v>
      </c>
      <c r="R116" s="45">
        <v>0</v>
      </c>
      <c r="S116" s="45">
        <v>0</v>
      </c>
      <c r="T116" s="45">
        <v>0</v>
      </c>
      <c r="U116" s="45">
        <v>0</v>
      </c>
      <c r="V116" s="45">
        <v>0</v>
      </c>
      <c r="W116" s="2">
        <f>SUM(Mod_CL[[#This Row],[Inv 1 (630kw) unit 1]:[Inv 3 (630kw) unit 4]])</f>
        <v>0</v>
      </c>
      <c r="X116" s="83">
        <v>0</v>
      </c>
      <c r="Y116" s="45">
        <v>0</v>
      </c>
      <c r="Z116" s="45">
        <v>0</v>
      </c>
      <c r="AA116" s="83">
        <v>0</v>
      </c>
      <c r="AB116" s="45">
        <v>0</v>
      </c>
      <c r="AC116" s="45">
        <v>0</v>
      </c>
      <c r="AD116" s="45" t="s">
        <v>1037</v>
      </c>
    </row>
    <row r="117" spans="1:30" x14ac:dyDescent="0.25">
      <c r="A117" s="45">
        <f t="shared" si="1"/>
        <v>115</v>
      </c>
      <c r="B117" s="45" t="s">
        <v>108</v>
      </c>
      <c r="C117" s="45">
        <v>2025</v>
      </c>
      <c r="D117" s="45" t="s">
        <v>4</v>
      </c>
      <c r="E117" s="45" t="s">
        <v>4</v>
      </c>
      <c r="F117" s="77">
        <f>Mod_CL[[#This Row],[Date]]-DAY(Mod_CL[[#This Row],[Date]])+1</f>
        <v>45839</v>
      </c>
      <c r="G117" s="2">
        <f>DAY(EOMONTH(Mod_CL[[#This Row],[Month Year]],0))</f>
        <v>31</v>
      </c>
      <c r="H117" s="51">
        <v>45859</v>
      </c>
      <c r="I117" s="45">
        <v>0</v>
      </c>
      <c r="J117" s="45">
        <v>0</v>
      </c>
      <c r="K117" s="45">
        <v>0</v>
      </c>
      <c r="L117" s="45">
        <v>0</v>
      </c>
      <c r="M117" s="45">
        <v>0</v>
      </c>
      <c r="N117" s="45">
        <v>0</v>
      </c>
      <c r="O117" s="45">
        <v>0</v>
      </c>
      <c r="P117" s="45">
        <v>0</v>
      </c>
      <c r="Q117" s="45">
        <v>0</v>
      </c>
      <c r="R117" s="45">
        <v>0</v>
      </c>
      <c r="S117" s="45">
        <v>0</v>
      </c>
      <c r="T117" s="45">
        <v>0</v>
      </c>
      <c r="U117" s="45">
        <v>0</v>
      </c>
      <c r="V117" s="45">
        <v>0</v>
      </c>
      <c r="W117" s="2">
        <f>SUM(Mod_CL[[#This Row],[Inv 1 (630kw) unit 1]:[Inv 3 (630kw) unit 4]])</f>
        <v>0</v>
      </c>
      <c r="X117" s="83">
        <v>0</v>
      </c>
      <c r="Y117" s="45">
        <v>0</v>
      </c>
      <c r="Z117" s="45">
        <v>0</v>
      </c>
      <c r="AA117" s="83">
        <v>0</v>
      </c>
      <c r="AB117" s="45">
        <v>0</v>
      </c>
      <c r="AC117" s="45">
        <v>0</v>
      </c>
      <c r="AD117" s="45" t="s">
        <v>1014</v>
      </c>
    </row>
    <row r="118" spans="1:30" x14ac:dyDescent="0.25">
      <c r="A118" s="45">
        <f t="shared" si="1"/>
        <v>116</v>
      </c>
      <c r="B118" s="45" t="s">
        <v>108</v>
      </c>
      <c r="C118" s="45">
        <v>2025</v>
      </c>
      <c r="D118" s="45" t="s">
        <v>4</v>
      </c>
      <c r="E118" s="45" t="s">
        <v>4</v>
      </c>
      <c r="F118" s="77">
        <f>Mod_CL[[#This Row],[Date]]-DAY(Mod_CL[[#This Row],[Date]])+1</f>
        <v>45839</v>
      </c>
      <c r="G118" s="2">
        <f>DAY(EOMONTH(Mod_CL[[#This Row],[Month Year]],0))</f>
        <v>31</v>
      </c>
      <c r="H118" s="51">
        <v>45860</v>
      </c>
      <c r="I118" s="45">
        <v>0</v>
      </c>
      <c r="J118" s="45">
        <v>0</v>
      </c>
      <c r="K118" s="45">
        <v>0</v>
      </c>
      <c r="L118" s="45">
        <v>0</v>
      </c>
      <c r="M118" s="45">
        <v>0</v>
      </c>
      <c r="N118" s="45">
        <v>0</v>
      </c>
      <c r="O118" s="45">
        <v>0</v>
      </c>
      <c r="P118" s="45">
        <v>0</v>
      </c>
      <c r="Q118" s="45">
        <v>0</v>
      </c>
      <c r="R118" s="45">
        <v>0</v>
      </c>
      <c r="S118" s="45">
        <v>0</v>
      </c>
      <c r="T118" s="45">
        <v>0</v>
      </c>
      <c r="U118" s="45">
        <v>0</v>
      </c>
      <c r="V118" s="45">
        <v>0</v>
      </c>
      <c r="W118" s="2">
        <f>SUM(Mod_CL[[#This Row],[Inv 1 (630kw) unit 1]:[Inv 3 (630kw) unit 4]])</f>
        <v>0</v>
      </c>
      <c r="X118" s="83">
        <v>0</v>
      </c>
      <c r="Y118" s="45">
        <v>0</v>
      </c>
      <c r="Z118" s="45">
        <v>0</v>
      </c>
      <c r="AA118" s="83">
        <v>0</v>
      </c>
      <c r="AB118" s="45">
        <v>0</v>
      </c>
      <c r="AC118" s="45">
        <v>0</v>
      </c>
      <c r="AD118" s="45" t="s">
        <v>1014</v>
      </c>
    </row>
    <row r="119" spans="1:30" x14ac:dyDescent="0.25">
      <c r="A119" s="45">
        <f t="shared" si="1"/>
        <v>117</v>
      </c>
      <c r="B119" s="45" t="s">
        <v>108</v>
      </c>
      <c r="C119" s="45">
        <v>2025</v>
      </c>
      <c r="D119" s="45" t="s">
        <v>4</v>
      </c>
      <c r="E119" s="45" t="s">
        <v>4</v>
      </c>
      <c r="F119" s="77">
        <f>Mod_CL[[#This Row],[Date]]-DAY(Mod_CL[[#This Row],[Date]])+1</f>
        <v>45839</v>
      </c>
      <c r="G119" s="2">
        <f>DAY(EOMONTH(Mod_CL[[#This Row],[Month Year]],0))</f>
        <v>31</v>
      </c>
      <c r="H119" s="51">
        <v>45861</v>
      </c>
      <c r="I119" s="45">
        <v>0</v>
      </c>
      <c r="J119" s="45">
        <v>0</v>
      </c>
      <c r="K119" s="45">
        <v>0</v>
      </c>
      <c r="L119" s="45">
        <v>0</v>
      </c>
      <c r="M119" s="45">
        <v>0</v>
      </c>
      <c r="N119" s="45">
        <v>0</v>
      </c>
      <c r="O119" s="45">
        <v>0</v>
      </c>
      <c r="P119" s="45">
        <v>0</v>
      </c>
      <c r="Q119" s="45">
        <v>0</v>
      </c>
      <c r="R119" s="45">
        <v>0</v>
      </c>
      <c r="S119" s="45">
        <v>0</v>
      </c>
      <c r="T119" s="45">
        <v>0</v>
      </c>
      <c r="U119" s="45">
        <v>0</v>
      </c>
      <c r="V119" s="45">
        <v>0</v>
      </c>
      <c r="W119" s="2">
        <f>SUM(Mod_CL[[#This Row],[Inv 1 (630kw) unit 1]:[Inv 3 (630kw) unit 4]])</f>
        <v>0</v>
      </c>
      <c r="X119" s="83">
        <v>0</v>
      </c>
      <c r="Y119" s="45">
        <v>0</v>
      </c>
      <c r="Z119" s="45">
        <v>0</v>
      </c>
      <c r="AA119" s="83">
        <v>0</v>
      </c>
      <c r="AB119" s="45">
        <v>0</v>
      </c>
      <c r="AC119" s="45">
        <v>0</v>
      </c>
      <c r="AD119" s="45" t="s">
        <v>1014</v>
      </c>
    </row>
    <row r="120" spans="1:30" x14ac:dyDescent="0.25">
      <c r="A120" s="45">
        <f t="shared" si="1"/>
        <v>118</v>
      </c>
      <c r="B120" s="45" t="s">
        <v>108</v>
      </c>
      <c r="C120" s="45">
        <v>2025</v>
      </c>
      <c r="D120" s="45" t="s">
        <v>4</v>
      </c>
      <c r="E120" s="45" t="s">
        <v>4</v>
      </c>
      <c r="F120" s="77">
        <f>Mod_CL[[#This Row],[Date]]-DAY(Mod_CL[[#This Row],[Date]])+1</f>
        <v>45839</v>
      </c>
      <c r="G120" s="2">
        <f>DAY(EOMONTH(Mod_CL[[#This Row],[Month Year]],0))</f>
        <v>31</v>
      </c>
      <c r="H120" s="51">
        <v>45862</v>
      </c>
      <c r="I120" s="45">
        <v>0</v>
      </c>
      <c r="J120" s="45">
        <v>0</v>
      </c>
      <c r="K120" s="45">
        <v>0</v>
      </c>
      <c r="L120" s="45">
        <v>0</v>
      </c>
      <c r="M120" s="45">
        <v>0</v>
      </c>
      <c r="N120" s="45">
        <v>0</v>
      </c>
      <c r="O120" s="45">
        <v>0</v>
      </c>
      <c r="P120" s="45">
        <v>0</v>
      </c>
      <c r="Q120" s="45">
        <v>0</v>
      </c>
      <c r="R120" s="45">
        <v>0</v>
      </c>
      <c r="S120" s="45">
        <v>0</v>
      </c>
      <c r="T120" s="45">
        <v>0</v>
      </c>
      <c r="U120" s="45">
        <v>0</v>
      </c>
      <c r="V120" s="45">
        <v>0</v>
      </c>
      <c r="W120" s="2">
        <f>SUM(Mod_CL[[#This Row],[Inv 1 (630kw) unit 1]:[Inv 3 (630kw) unit 4]])</f>
        <v>0</v>
      </c>
      <c r="X120" s="83">
        <v>0</v>
      </c>
      <c r="Y120" s="45">
        <v>0</v>
      </c>
      <c r="Z120" s="45">
        <v>0</v>
      </c>
      <c r="AA120" s="83">
        <v>0</v>
      </c>
      <c r="AB120" s="45">
        <v>0</v>
      </c>
      <c r="AC120" s="45">
        <v>0</v>
      </c>
      <c r="AD120" s="45" t="s">
        <v>1014</v>
      </c>
    </row>
    <row r="121" spans="1:30" x14ac:dyDescent="0.25">
      <c r="A121" s="45">
        <f t="shared" si="1"/>
        <v>119</v>
      </c>
      <c r="B121" s="45" t="s">
        <v>108</v>
      </c>
      <c r="C121" s="45">
        <v>2025</v>
      </c>
      <c r="D121" s="45" t="s">
        <v>4</v>
      </c>
      <c r="E121" s="45" t="s">
        <v>4</v>
      </c>
      <c r="F121" s="77">
        <f>Mod_CL[[#This Row],[Date]]-DAY(Mod_CL[[#This Row],[Date]])+1</f>
        <v>45839</v>
      </c>
      <c r="G121" s="2">
        <f>DAY(EOMONTH(Mod_CL[[#This Row],[Month Year]],0))</f>
        <v>31</v>
      </c>
      <c r="H121" s="51">
        <v>45863</v>
      </c>
      <c r="I121" s="45">
        <v>0</v>
      </c>
      <c r="J121" s="45">
        <v>0</v>
      </c>
      <c r="K121" s="45">
        <v>0</v>
      </c>
      <c r="L121" s="45">
        <v>0</v>
      </c>
      <c r="M121" s="45">
        <v>0</v>
      </c>
      <c r="N121" s="45">
        <v>0</v>
      </c>
      <c r="O121" s="45">
        <v>0</v>
      </c>
      <c r="P121" s="45">
        <v>0</v>
      </c>
      <c r="Q121" s="45">
        <v>0</v>
      </c>
      <c r="R121" s="45">
        <v>0</v>
      </c>
      <c r="S121" s="45">
        <v>0</v>
      </c>
      <c r="T121" s="45">
        <v>0</v>
      </c>
      <c r="U121" s="45">
        <v>0</v>
      </c>
      <c r="V121" s="45">
        <v>0</v>
      </c>
      <c r="W121" s="2">
        <f>SUM(Mod_CL[[#This Row],[Inv 1 (630kw) unit 1]:[Inv 3 (630kw) unit 4]])</f>
        <v>0</v>
      </c>
      <c r="X121" s="83">
        <v>0</v>
      </c>
      <c r="Y121" s="45">
        <v>0</v>
      </c>
      <c r="Z121" s="45">
        <v>0</v>
      </c>
      <c r="AA121" s="83">
        <v>0</v>
      </c>
      <c r="AB121" s="45">
        <v>0</v>
      </c>
      <c r="AC121" s="45">
        <v>0</v>
      </c>
      <c r="AD121" s="45" t="s">
        <v>1014</v>
      </c>
    </row>
    <row r="122" spans="1:30" x14ac:dyDescent="0.25">
      <c r="A122" s="45">
        <f t="shared" si="1"/>
        <v>120</v>
      </c>
      <c r="B122" s="45" t="s">
        <v>108</v>
      </c>
      <c r="C122" s="45">
        <v>2025</v>
      </c>
      <c r="D122" s="45" t="s">
        <v>4</v>
      </c>
      <c r="E122" s="45" t="s">
        <v>4</v>
      </c>
      <c r="F122" s="77">
        <f>Mod_CL[[#This Row],[Date]]-DAY(Mod_CL[[#This Row],[Date]])+1</f>
        <v>45839</v>
      </c>
      <c r="G122" s="2">
        <f>DAY(EOMONTH(Mod_CL[[#This Row],[Month Year]],0))</f>
        <v>31</v>
      </c>
      <c r="H122" s="51">
        <v>45864</v>
      </c>
      <c r="I122" s="45">
        <v>0</v>
      </c>
      <c r="J122" s="45">
        <v>0</v>
      </c>
      <c r="K122" s="45">
        <v>0</v>
      </c>
      <c r="L122" s="45">
        <v>0</v>
      </c>
      <c r="M122" s="45">
        <v>0</v>
      </c>
      <c r="N122" s="45">
        <v>0</v>
      </c>
      <c r="O122" s="45">
        <v>0</v>
      </c>
      <c r="P122" s="45">
        <v>0</v>
      </c>
      <c r="Q122" s="45">
        <v>0</v>
      </c>
      <c r="R122" s="45">
        <v>0</v>
      </c>
      <c r="S122" s="45">
        <v>0</v>
      </c>
      <c r="T122" s="45">
        <v>0</v>
      </c>
      <c r="U122" s="45">
        <v>0</v>
      </c>
      <c r="V122" s="45">
        <v>0</v>
      </c>
      <c r="W122" s="2">
        <f>SUM(Mod_CL[[#This Row],[Inv 1 (630kw) unit 1]:[Inv 3 (630kw) unit 4]])</f>
        <v>0</v>
      </c>
      <c r="X122" s="83">
        <v>0</v>
      </c>
      <c r="Y122" s="45">
        <v>0</v>
      </c>
      <c r="Z122" s="45">
        <v>0</v>
      </c>
      <c r="AA122" s="83">
        <v>0</v>
      </c>
      <c r="AB122" s="45">
        <v>0</v>
      </c>
      <c r="AC122" s="45">
        <v>0</v>
      </c>
      <c r="AD122" s="45" t="s">
        <v>1014</v>
      </c>
    </row>
    <row r="123" spans="1:30" x14ac:dyDescent="0.25">
      <c r="A123" s="45">
        <f t="shared" si="1"/>
        <v>121</v>
      </c>
      <c r="B123" s="45" t="s">
        <v>108</v>
      </c>
      <c r="C123" s="45">
        <v>2025</v>
      </c>
      <c r="D123" s="45" t="s">
        <v>4</v>
      </c>
      <c r="E123" s="45" t="s">
        <v>4</v>
      </c>
      <c r="F123" s="77">
        <f>Mod_CL[[#This Row],[Date]]-DAY(Mod_CL[[#This Row],[Date]])+1</f>
        <v>45839</v>
      </c>
      <c r="G123" s="2">
        <f>DAY(EOMONTH(Mod_CL[[#This Row],[Month Year]],0))</f>
        <v>31</v>
      </c>
      <c r="H123" s="51">
        <v>45865</v>
      </c>
      <c r="I123" s="45">
        <v>0</v>
      </c>
      <c r="J123" s="45">
        <v>0</v>
      </c>
      <c r="K123" s="45">
        <v>0</v>
      </c>
      <c r="L123" s="45">
        <v>0</v>
      </c>
      <c r="M123" s="45">
        <v>0</v>
      </c>
      <c r="N123" s="45">
        <v>0</v>
      </c>
      <c r="O123" s="45">
        <v>0</v>
      </c>
      <c r="P123" s="45">
        <v>0</v>
      </c>
      <c r="Q123" s="45">
        <v>0</v>
      </c>
      <c r="R123" s="45">
        <v>0</v>
      </c>
      <c r="S123" s="45">
        <v>0</v>
      </c>
      <c r="T123" s="45">
        <v>0</v>
      </c>
      <c r="U123" s="45">
        <v>0</v>
      </c>
      <c r="V123" s="45">
        <v>0</v>
      </c>
      <c r="W123" s="2">
        <f>SUM(Mod_CL[[#This Row],[Inv 1 (630kw) unit 1]:[Inv 3 (630kw) unit 4]])</f>
        <v>0</v>
      </c>
      <c r="X123" s="83">
        <v>0</v>
      </c>
      <c r="Y123" s="45">
        <v>0</v>
      </c>
      <c r="Z123" s="45">
        <v>0</v>
      </c>
      <c r="AA123" s="83">
        <v>0</v>
      </c>
      <c r="AB123" s="45">
        <v>0</v>
      </c>
      <c r="AC123" s="45">
        <v>0</v>
      </c>
      <c r="AD123" s="45" t="s">
        <v>1014</v>
      </c>
    </row>
    <row r="124" spans="1:30" x14ac:dyDescent="0.25">
      <c r="A124" s="45">
        <f t="shared" si="1"/>
        <v>122</v>
      </c>
      <c r="B124" s="45" t="s">
        <v>108</v>
      </c>
      <c r="C124" s="45">
        <v>2025</v>
      </c>
      <c r="D124" s="45" t="s">
        <v>4</v>
      </c>
      <c r="E124" s="45" t="s">
        <v>4</v>
      </c>
      <c r="F124" s="77">
        <f>Mod_CL[[#This Row],[Date]]-DAY(Mod_CL[[#This Row],[Date]])+1</f>
        <v>45839</v>
      </c>
      <c r="G124" s="2">
        <f>DAY(EOMONTH(Mod_CL[[#This Row],[Month Year]],0))</f>
        <v>31</v>
      </c>
      <c r="H124" s="51">
        <v>45866</v>
      </c>
      <c r="I124" s="45">
        <v>0</v>
      </c>
      <c r="J124" s="45">
        <v>0</v>
      </c>
      <c r="K124" s="45">
        <v>0</v>
      </c>
      <c r="L124" s="45">
        <v>0</v>
      </c>
      <c r="M124" s="45">
        <v>0</v>
      </c>
      <c r="N124" s="45">
        <v>0</v>
      </c>
      <c r="O124" s="45">
        <v>0</v>
      </c>
      <c r="P124" s="45">
        <v>0</v>
      </c>
      <c r="Q124" s="45">
        <v>0</v>
      </c>
      <c r="R124" s="45">
        <v>0</v>
      </c>
      <c r="S124" s="45">
        <v>0</v>
      </c>
      <c r="T124" s="45">
        <v>0</v>
      </c>
      <c r="U124" s="45">
        <v>0</v>
      </c>
      <c r="V124" s="45">
        <v>0</v>
      </c>
      <c r="W124" s="2">
        <f>SUM(Mod_CL[[#This Row],[Inv 1 (630kw) unit 1]:[Inv 3 (630kw) unit 4]])</f>
        <v>0</v>
      </c>
      <c r="X124" s="83">
        <v>0</v>
      </c>
      <c r="Y124" s="45">
        <v>0</v>
      </c>
      <c r="Z124" s="45">
        <v>0</v>
      </c>
      <c r="AA124" s="83">
        <v>0</v>
      </c>
      <c r="AB124" s="45">
        <v>0</v>
      </c>
      <c r="AC124" s="45">
        <v>0</v>
      </c>
      <c r="AD124" s="45" t="s">
        <v>1014</v>
      </c>
    </row>
    <row r="125" spans="1:30" x14ac:dyDescent="0.25">
      <c r="A125" s="45">
        <f t="shared" si="1"/>
        <v>123</v>
      </c>
      <c r="B125" s="45" t="s">
        <v>108</v>
      </c>
      <c r="C125" s="45">
        <v>2025</v>
      </c>
      <c r="D125" s="45" t="s">
        <v>4</v>
      </c>
      <c r="E125" s="45" t="s">
        <v>4</v>
      </c>
      <c r="F125" s="77">
        <f>Mod_CL[[#This Row],[Date]]-DAY(Mod_CL[[#This Row],[Date]])+1</f>
        <v>45839</v>
      </c>
      <c r="G125" s="2">
        <f>DAY(EOMONTH(Mod_CL[[#This Row],[Month Year]],0))</f>
        <v>31</v>
      </c>
      <c r="H125" s="51">
        <v>45867</v>
      </c>
      <c r="I125" s="45">
        <v>0</v>
      </c>
      <c r="J125" s="45">
        <v>0</v>
      </c>
      <c r="K125" s="45">
        <v>0</v>
      </c>
      <c r="L125" s="45">
        <v>0</v>
      </c>
      <c r="M125" s="45">
        <v>0</v>
      </c>
      <c r="N125" s="45">
        <v>0</v>
      </c>
      <c r="O125" s="45">
        <v>0</v>
      </c>
      <c r="P125" s="45">
        <v>0</v>
      </c>
      <c r="Q125" s="45">
        <v>0</v>
      </c>
      <c r="R125" s="45">
        <v>0</v>
      </c>
      <c r="S125" s="45">
        <v>0</v>
      </c>
      <c r="T125" s="45">
        <v>0</v>
      </c>
      <c r="U125" s="45">
        <v>0</v>
      </c>
      <c r="V125" s="45">
        <v>0</v>
      </c>
      <c r="W125" s="2">
        <f>SUM(Mod_CL[[#This Row],[Inv 1 (630kw) unit 1]:[Inv 3 (630kw) unit 4]])</f>
        <v>0</v>
      </c>
      <c r="X125" s="83">
        <v>0</v>
      </c>
      <c r="Y125" s="45">
        <v>0</v>
      </c>
      <c r="Z125" s="45">
        <v>0</v>
      </c>
      <c r="AA125" s="83">
        <v>0</v>
      </c>
      <c r="AB125" s="45">
        <v>0</v>
      </c>
      <c r="AC125" s="45">
        <v>0</v>
      </c>
      <c r="AD125" s="45" t="s">
        <v>1014</v>
      </c>
    </row>
    <row r="126" spans="1:30" x14ac:dyDescent="0.25">
      <c r="A126" s="45">
        <f t="shared" si="1"/>
        <v>124</v>
      </c>
      <c r="B126" s="45" t="s">
        <v>108</v>
      </c>
      <c r="C126" s="45">
        <v>2025</v>
      </c>
      <c r="D126" s="45" t="s">
        <v>4</v>
      </c>
      <c r="E126" s="45" t="s">
        <v>4</v>
      </c>
      <c r="F126" s="77">
        <f>Mod_CL[[#This Row],[Date]]-DAY(Mod_CL[[#This Row],[Date]])+1</f>
        <v>45839</v>
      </c>
      <c r="G126" s="2">
        <f>DAY(EOMONTH(Mod_CL[[#This Row],[Month Year]],0))</f>
        <v>31</v>
      </c>
      <c r="H126" s="51">
        <v>45868</v>
      </c>
      <c r="I126" s="45">
        <v>0</v>
      </c>
      <c r="J126" s="45">
        <v>0</v>
      </c>
      <c r="K126" s="45">
        <v>0</v>
      </c>
      <c r="L126" s="45">
        <v>0</v>
      </c>
      <c r="M126" s="45">
        <v>0</v>
      </c>
      <c r="N126" s="45">
        <v>0</v>
      </c>
      <c r="O126" s="45">
        <v>0</v>
      </c>
      <c r="P126" s="45">
        <v>0</v>
      </c>
      <c r="Q126" s="45">
        <v>0</v>
      </c>
      <c r="R126" s="45">
        <v>0</v>
      </c>
      <c r="S126" s="45">
        <v>0</v>
      </c>
      <c r="T126" s="45">
        <v>0</v>
      </c>
      <c r="U126" s="45">
        <v>0</v>
      </c>
      <c r="V126" s="45">
        <v>0</v>
      </c>
      <c r="W126" s="2">
        <f>SUM(Mod_CL[[#This Row],[Inv 1 (630kw) unit 1]:[Inv 3 (630kw) unit 4]])</f>
        <v>0</v>
      </c>
      <c r="X126" s="83">
        <v>0</v>
      </c>
      <c r="Y126" s="45">
        <v>0</v>
      </c>
      <c r="Z126" s="45">
        <v>0</v>
      </c>
      <c r="AA126" s="83">
        <v>0</v>
      </c>
      <c r="AB126" s="45">
        <v>0</v>
      </c>
      <c r="AC126" s="45">
        <v>0</v>
      </c>
      <c r="AD126" s="45" t="s">
        <v>1014</v>
      </c>
    </row>
    <row r="127" spans="1:30" x14ac:dyDescent="0.25">
      <c r="A127" s="45">
        <f t="shared" si="1"/>
        <v>125</v>
      </c>
      <c r="B127" s="45" t="s">
        <v>108</v>
      </c>
      <c r="C127" s="45">
        <v>2025</v>
      </c>
      <c r="D127" s="45" t="s">
        <v>4</v>
      </c>
      <c r="E127" s="45" t="s">
        <v>4</v>
      </c>
      <c r="F127" s="77">
        <f>Mod_CL[[#This Row],[Date]]-DAY(Mod_CL[[#This Row],[Date]])+1</f>
        <v>45839</v>
      </c>
      <c r="G127" s="2">
        <f>DAY(EOMONTH(Mod_CL[[#This Row],[Month Year]],0))</f>
        <v>31</v>
      </c>
      <c r="H127" s="51">
        <v>45869</v>
      </c>
      <c r="I127" s="45">
        <v>0</v>
      </c>
      <c r="J127" s="45">
        <v>0</v>
      </c>
      <c r="K127" s="45">
        <v>0</v>
      </c>
      <c r="L127" s="45">
        <v>0</v>
      </c>
      <c r="M127" s="45">
        <v>0</v>
      </c>
      <c r="N127" s="45">
        <v>0</v>
      </c>
      <c r="O127" s="45">
        <v>0</v>
      </c>
      <c r="P127" s="45">
        <v>0</v>
      </c>
      <c r="Q127" s="45">
        <v>0</v>
      </c>
      <c r="R127" s="45">
        <v>0</v>
      </c>
      <c r="S127" s="45">
        <v>0</v>
      </c>
      <c r="T127" s="45">
        <v>0</v>
      </c>
      <c r="U127" s="45">
        <v>0</v>
      </c>
      <c r="V127" s="45">
        <v>0</v>
      </c>
      <c r="W127" s="2">
        <f>SUM(Mod_CL[[#This Row],[Inv 1 (630kw) unit 1]:[Inv 3 (630kw) unit 4]])</f>
        <v>0</v>
      </c>
      <c r="X127" s="83">
        <v>0</v>
      </c>
      <c r="Y127" s="45">
        <v>0</v>
      </c>
      <c r="Z127" s="45">
        <v>0</v>
      </c>
      <c r="AA127" s="83">
        <v>0</v>
      </c>
      <c r="AB127" s="45">
        <v>0</v>
      </c>
      <c r="AC127" s="45">
        <v>0</v>
      </c>
      <c r="AD127" s="45" t="s">
        <v>1014</v>
      </c>
    </row>
    <row r="128" spans="1:30" x14ac:dyDescent="0.25">
      <c r="A128" s="45">
        <f t="shared" si="1"/>
        <v>126</v>
      </c>
      <c r="B128" s="45" t="s">
        <v>108</v>
      </c>
      <c r="C128" s="45">
        <v>2025</v>
      </c>
      <c r="D128" s="45" t="s">
        <v>4</v>
      </c>
      <c r="E128" s="45" t="s">
        <v>4</v>
      </c>
      <c r="F128" s="77">
        <f>Mod_CL[[#This Row],[Date]]-DAY(Mod_CL[[#This Row],[Date]])+1</f>
        <v>45870</v>
      </c>
      <c r="G128" s="2">
        <f>DAY(EOMONTH(Mod_CL[[#This Row],[Month Year]],0))</f>
        <v>31</v>
      </c>
      <c r="H128" s="51">
        <v>45870</v>
      </c>
      <c r="I128" s="45">
        <v>0</v>
      </c>
      <c r="J128" s="45">
        <v>0</v>
      </c>
      <c r="K128" s="45">
        <v>0</v>
      </c>
      <c r="L128" s="45">
        <v>0</v>
      </c>
      <c r="M128" s="45">
        <v>0</v>
      </c>
      <c r="N128" s="45">
        <v>0</v>
      </c>
      <c r="O128" s="45">
        <v>0</v>
      </c>
      <c r="P128" s="45">
        <v>0</v>
      </c>
      <c r="Q128" s="45">
        <v>0</v>
      </c>
      <c r="R128" s="45">
        <v>0</v>
      </c>
      <c r="S128" s="45">
        <v>0</v>
      </c>
      <c r="T128" s="45">
        <v>0</v>
      </c>
      <c r="U128" s="45">
        <v>0</v>
      </c>
      <c r="V128" s="45">
        <v>0</v>
      </c>
      <c r="W128" s="2">
        <f>SUM(Mod_CL[[#This Row],[Inv 1 (630kw) unit 1]:[Inv 3 (630kw) unit 4]])</f>
        <v>0</v>
      </c>
      <c r="X128" s="83">
        <v>0</v>
      </c>
      <c r="Y128" s="45">
        <v>0</v>
      </c>
      <c r="Z128" s="45">
        <v>0</v>
      </c>
      <c r="AA128" s="83">
        <v>0</v>
      </c>
      <c r="AB128" s="45">
        <v>0</v>
      </c>
      <c r="AC128" s="45">
        <v>0</v>
      </c>
      <c r="AD128" s="45" t="s">
        <v>1014</v>
      </c>
    </row>
    <row r="129" spans="1:30" x14ac:dyDescent="0.25">
      <c r="A129" s="45">
        <f t="shared" si="1"/>
        <v>127</v>
      </c>
      <c r="B129" s="45" t="s">
        <v>108</v>
      </c>
      <c r="C129" s="45">
        <v>2025</v>
      </c>
      <c r="D129" s="45" t="s">
        <v>4</v>
      </c>
      <c r="E129" s="45" t="s">
        <v>4</v>
      </c>
      <c r="F129" s="77">
        <f>Mod_CL[[#This Row],[Date]]-DAY(Mod_CL[[#This Row],[Date]])+1</f>
        <v>45870</v>
      </c>
      <c r="G129" s="2">
        <f>DAY(EOMONTH(Mod_CL[[#This Row],[Month Year]],0))</f>
        <v>31</v>
      </c>
      <c r="H129" s="51">
        <v>45871</v>
      </c>
      <c r="I129" s="45">
        <v>0</v>
      </c>
      <c r="J129" s="45">
        <v>0</v>
      </c>
      <c r="K129" s="45">
        <v>0</v>
      </c>
      <c r="L129" s="45">
        <v>0</v>
      </c>
      <c r="M129" s="45">
        <v>0</v>
      </c>
      <c r="N129" s="45">
        <v>0</v>
      </c>
      <c r="O129" s="45">
        <v>0</v>
      </c>
      <c r="P129" s="45">
        <v>0</v>
      </c>
      <c r="Q129" s="45">
        <v>0</v>
      </c>
      <c r="R129" s="45">
        <v>0</v>
      </c>
      <c r="S129" s="45">
        <v>0</v>
      </c>
      <c r="T129" s="45">
        <v>0</v>
      </c>
      <c r="U129" s="45">
        <v>0</v>
      </c>
      <c r="V129" s="45">
        <v>0</v>
      </c>
      <c r="W129" s="2">
        <f>SUM(Mod_CL[[#This Row],[Inv 1 (630kw) unit 1]:[Inv 3 (630kw) unit 4]])</f>
        <v>0</v>
      </c>
      <c r="X129" s="83">
        <v>0</v>
      </c>
      <c r="Y129" s="45">
        <v>0</v>
      </c>
      <c r="Z129" s="45">
        <v>0</v>
      </c>
      <c r="AA129" s="83">
        <v>0</v>
      </c>
      <c r="AB129" s="45">
        <v>0</v>
      </c>
      <c r="AC129" s="45">
        <v>0</v>
      </c>
      <c r="AD129" s="45" t="s">
        <v>1014</v>
      </c>
    </row>
    <row r="130" spans="1:30" x14ac:dyDescent="0.25">
      <c r="A130" s="45">
        <f t="shared" si="1"/>
        <v>128</v>
      </c>
      <c r="B130" s="45" t="s">
        <v>108</v>
      </c>
      <c r="C130" s="45">
        <v>2025</v>
      </c>
      <c r="D130" s="45" t="s">
        <v>4</v>
      </c>
      <c r="E130" s="45" t="s">
        <v>4</v>
      </c>
      <c r="F130" s="77">
        <f>Mod_CL[[#This Row],[Date]]-DAY(Mod_CL[[#This Row],[Date]])+1</f>
        <v>45870</v>
      </c>
      <c r="G130" s="2">
        <f>DAY(EOMONTH(Mod_CL[[#This Row],[Month Year]],0))</f>
        <v>31</v>
      </c>
      <c r="H130" s="51">
        <v>45872</v>
      </c>
      <c r="I130" s="45">
        <v>0</v>
      </c>
      <c r="J130" s="45">
        <v>0</v>
      </c>
      <c r="K130" s="45">
        <v>0</v>
      </c>
      <c r="L130" s="45">
        <v>0</v>
      </c>
      <c r="M130" s="45">
        <v>0</v>
      </c>
      <c r="N130" s="45">
        <v>0</v>
      </c>
      <c r="O130" s="45">
        <v>0</v>
      </c>
      <c r="P130" s="45">
        <v>0</v>
      </c>
      <c r="Q130" s="45">
        <v>0</v>
      </c>
      <c r="R130" s="45">
        <v>0</v>
      </c>
      <c r="S130" s="45">
        <v>0</v>
      </c>
      <c r="T130" s="45">
        <v>0</v>
      </c>
      <c r="U130" s="45">
        <v>0</v>
      </c>
      <c r="V130" s="45">
        <v>0</v>
      </c>
      <c r="W130" s="2">
        <f>SUM(Mod_CL[[#This Row],[Inv 1 (630kw) unit 1]:[Inv 3 (630kw) unit 4]])</f>
        <v>0</v>
      </c>
      <c r="X130" s="83">
        <v>0</v>
      </c>
      <c r="Y130" s="45">
        <v>0</v>
      </c>
      <c r="Z130" s="45">
        <v>0</v>
      </c>
      <c r="AA130" s="83">
        <v>0</v>
      </c>
      <c r="AB130" s="45">
        <v>0</v>
      </c>
      <c r="AC130" s="45">
        <v>0</v>
      </c>
      <c r="AD130" s="45" t="s">
        <v>1037</v>
      </c>
    </row>
    <row r="131" spans="1:30" x14ac:dyDescent="0.25">
      <c r="A131" s="45">
        <f t="shared" si="1"/>
        <v>129</v>
      </c>
      <c r="B131" s="45" t="s">
        <v>108</v>
      </c>
      <c r="C131" s="45">
        <v>2025</v>
      </c>
      <c r="D131" s="45" t="s">
        <v>4</v>
      </c>
      <c r="E131" s="45" t="s">
        <v>4</v>
      </c>
      <c r="F131" s="77">
        <f>Mod_CL[[#This Row],[Date]]-DAY(Mod_CL[[#This Row],[Date]])+1</f>
        <v>45870</v>
      </c>
      <c r="G131" s="2">
        <f>DAY(EOMONTH(Mod_CL[[#This Row],[Month Year]],0))</f>
        <v>31</v>
      </c>
      <c r="H131" s="51">
        <v>45873</v>
      </c>
      <c r="I131" s="45">
        <v>0</v>
      </c>
      <c r="J131" s="45">
        <v>0</v>
      </c>
      <c r="K131" s="45">
        <v>0</v>
      </c>
      <c r="L131" s="45">
        <v>0</v>
      </c>
      <c r="M131" s="45">
        <v>0</v>
      </c>
      <c r="N131" s="45">
        <v>0</v>
      </c>
      <c r="O131" s="45">
        <v>0</v>
      </c>
      <c r="P131" s="45">
        <v>0</v>
      </c>
      <c r="Q131" s="45">
        <v>0</v>
      </c>
      <c r="R131" s="45">
        <v>0</v>
      </c>
      <c r="S131" s="45">
        <v>0</v>
      </c>
      <c r="T131" s="45">
        <v>0</v>
      </c>
      <c r="U131" s="45">
        <v>0</v>
      </c>
      <c r="V131" s="45">
        <v>0</v>
      </c>
      <c r="W131" s="2">
        <f>SUM(Mod_CL[[#This Row],[Inv 1 (630kw) unit 1]:[Inv 3 (630kw) unit 4]])</f>
        <v>0</v>
      </c>
      <c r="X131" s="83">
        <v>0</v>
      </c>
      <c r="Y131" s="45">
        <v>0</v>
      </c>
      <c r="Z131" s="45">
        <v>0</v>
      </c>
      <c r="AA131" s="83">
        <v>0</v>
      </c>
      <c r="AB131" s="45">
        <v>0</v>
      </c>
      <c r="AC131" s="45">
        <v>0</v>
      </c>
      <c r="AD131" s="45" t="s">
        <v>1014</v>
      </c>
    </row>
    <row r="132" spans="1:30" x14ac:dyDescent="0.25">
      <c r="A132" s="45">
        <f t="shared" si="1"/>
        <v>130</v>
      </c>
      <c r="B132" s="45" t="s">
        <v>108</v>
      </c>
      <c r="C132" s="45">
        <v>2025</v>
      </c>
      <c r="D132" s="45" t="s">
        <v>4</v>
      </c>
      <c r="E132" s="45" t="s">
        <v>4</v>
      </c>
      <c r="F132" s="77">
        <f>Mod_CL[[#This Row],[Date]]-DAY(Mod_CL[[#This Row],[Date]])+1</f>
        <v>45870</v>
      </c>
      <c r="G132" s="2">
        <f>DAY(EOMONTH(Mod_CL[[#This Row],[Month Year]],0))</f>
        <v>31</v>
      </c>
      <c r="H132" s="51">
        <v>45874</v>
      </c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2">
        <f>SUM(Mod_CL[[#This Row],[Inv 1 (630kw) unit 1]:[Inv 3 (630kw) unit 4]])</f>
        <v>0</v>
      </c>
      <c r="X132" s="45"/>
      <c r="Y132" s="45"/>
      <c r="Z132" s="45"/>
      <c r="AA132" s="45"/>
      <c r="AB132" s="45"/>
      <c r="AC132" s="45"/>
      <c r="AD132" s="45"/>
    </row>
    <row r="133" spans="1:30" x14ac:dyDescent="0.25">
      <c r="A133" s="45">
        <f t="shared" ref="A133:A134" si="2">A132+1</f>
        <v>131</v>
      </c>
      <c r="B133" s="45" t="s">
        <v>108</v>
      </c>
      <c r="C133" s="45">
        <v>2025</v>
      </c>
      <c r="D133" s="45" t="s">
        <v>4</v>
      </c>
      <c r="E133" s="45" t="s">
        <v>4</v>
      </c>
      <c r="F133" s="77">
        <f>Mod_CL[[#This Row],[Date]]-DAY(Mod_CL[[#This Row],[Date]])+1</f>
        <v>45870</v>
      </c>
      <c r="G133" s="2">
        <f>DAY(EOMONTH(Mod_CL[[#This Row],[Month Year]],0))</f>
        <v>31</v>
      </c>
      <c r="H133" s="51">
        <v>45875</v>
      </c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2">
        <f>SUM(Mod_CL[[#This Row],[Inv 1 (630kw) unit 1]:[Inv 3 (630kw) unit 4]])</f>
        <v>0</v>
      </c>
      <c r="X133" s="45"/>
      <c r="Y133" s="45"/>
      <c r="Z133" s="45"/>
      <c r="AA133" s="45"/>
      <c r="AB133" s="45"/>
      <c r="AC133" s="45"/>
      <c r="AD133" s="45"/>
    </row>
    <row r="134" spans="1:30" x14ac:dyDescent="0.25">
      <c r="A134" s="45">
        <f t="shared" si="2"/>
        <v>132</v>
      </c>
      <c r="B134" s="45" t="s">
        <v>108</v>
      </c>
      <c r="C134" s="45">
        <v>2025</v>
      </c>
      <c r="D134" s="45" t="s">
        <v>4</v>
      </c>
      <c r="E134" s="45" t="s">
        <v>4</v>
      </c>
      <c r="F134" s="77">
        <f>Mod_CL[[#This Row],[Date]]-DAY(Mod_CL[[#This Row],[Date]])+1</f>
        <v>45870</v>
      </c>
      <c r="G134" s="2">
        <f>DAY(EOMONTH(Mod_CL[[#This Row],[Month Year]],0))</f>
        <v>31</v>
      </c>
      <c r="H134" s="51">
        <v>45876</v>
      </c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2">
        <f>SUM(Mod_CL[[#This Row],[Inv 1 (630kw) unit 1]:[Inv 3 (630kw) unit 4]])</f>
        <v>0</v>
      </c>
      <c r="X134" s="45"/>
      <c r="Y134" s="45"/>
      <c r="Z134" s="45"/>
      <c r="AA134" s="45"/>
      <c r="AB134" s="45"/>
      <c r="AC134" s="45"/>
      <c r="AD134" s="45"/>
    </row>
    <row r="135" spans="1:30" x14ac:dyDescent="0.25">
      <c r="A135" s="45"/>
      <c r="B135" s="45"/>
      <c r="C135" s="45"/>
      <c r="D135" s="45"/>
      <c r="E135" s="45"/>
      <c r="F135" s="77">
        <f>Mod_CL[[#This Row],[Date]]-DAY(Mod_CL[[#This Row],[Date]])+1</f>
        <v>45870</v>
      </c>
      <c r="G135" s="2">
        <f>DAY(EOMONTH(Mod_CL[[#This Row],[Month Year]],0))</f>
        <v>31</v>
      </c>
      <c r="H135" s="51">
        <v>45877</v>
      </c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2">
        <f>SUM(Mod_CL[[#This Row],[Inv 1 (630kw) unit 1]:[Inv 3 (630kw) unit 4]])</f>
        <v>0</v>
      </c>
      <c r="X135" s="45"/>
      <c r="Y135" s="45"/>
      <c r="Z135" s="45"/>
      <c r="AA135" s="45"/>
      <c r="AB135" s="45"/>
      <c r="AC135" s="45"/>
      <c r="AD135" s="45"/>
    </row>
    <row r="136" spans="1:30" x14ac:dyDescent="0.25">
      <c r="A136" s="45"/>
      <c r="B136" s="45"/>
      <c r="C136" s="45"/>
      <c r="D136" s="45"/>
      <c r="E136" s="45"/>
      <c r="F136" s="77">
        <f>Mod_CL[[#This Row],[Date]]-DAY(Mod_CL[[#This Row],[Date]])+1</f>
        <v>45870</v>
      </c>
      <c r="G136" s="2">
        <f>DAY(EOMONTH(Mod_CL[[#This Row],[Month Year]],0))</f>
        <v>31</v>
      </c>
      <c r="H136" s="51">
        <v>45878</v>
      </c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2">
        <f>SUM(Mod_CL[[#This Row],[Inv 1 (630kw) unit 1]:[Inv 3 (630kw) unit 4]])</f>
        <v>0</v>
      </c>
      <c r="X136" s="45"/>
      <c r="Y136" s="45"/>
      <c r="Z136" s="45"/>
      <c r="AA136" s="45"/>
      <c r="AB136" s="45"/>
      <c r="AC136" s="45"/>
      <c r="AD136" s="45"/>
    </row>
    <row r="137" spans="1:30" x14ac:dyDescent="0.25">
      <c r="A137" s="45"/>
      <c r="B137" s="45"/>
      <c r="C137" s="45"/>
      <c r="D137" s="45"/>
      <c r="E137" s="45"/>
      <c r="F137" s="77">
        <f>Mod_CL[[#This Row],[Date]]-DAY(Mod_CL[[#This Row],[Date]])+1</f>
        <v>45870</v>
      </c>
      <c r="G137" s="2">
        <f>DAY(EOMONTH(Mod_CL[[#This Row],[Month Year]],0))</f>
        <v>31</v>
      </c>
      <c r="H137" s="51">
        <v>45879</v>
      </c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2">
        <f>SUM(Mod_CL[[#This Row],[Inv 1 (630kw) unit 1]:[Inv 3 (630kw) unit 4]])</f>
        <v>0</v>
      </c>
      <c r="X137" s="45"/>
      <c r="Y137" s="45"/>
      <c r="Z137" s="45"/>
      <c r="AA137" s="45"/>
      <c r="AB137" s="45"/>
      <c r="AC137" s="45"/>
      <c r="AD137" s="45"/>
    </row>
    <row r="138" spans="1:30" x14ac:dyDescent="0.25">
      <c r="A138" s="45"/>
      <c r="B138" s="45"/>
      <c r="C138" s="45"/>
      <c r="D138" s="45"/>
      <c r="E138" s="45"/>
      <c r="F138" s="77">
        <f>Mod_CL[[#This Row],[Date]]-DAY(Mod_CL[[#This Row],[Date]])+1</f>
        <v>45870</v>
      </c>
      <c r="G138" s="2">
        <f>DAY(EOMONTH(Mod_CL[[#This Row],[Month Year]],0))</f>
        <v>31</v>
      </c>
      <c r="H138" s="51">
        <v>45880</v>
      </c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2">
        <f>SUM(Mod_CL[[#This Row],[Inv 1 (630kw) unit 1]:[Inv 3 (630kw) unit 4]])</f>
        <v>0</v>
      </c>
      <c r="X138" s="45"/>
      <c r="Y138" s="45"/>
      <c r="Z138" s="45"/>
      <c r="AA138" s="45"/>
      <c r="AB138" s="45"/>
      <c r="AC138" s="45"/>
      <c r="AD138" s="45"/>
    </row>
    <row r="139" spans="1:30" x14ac:dyDescent="0.25">
      <c r="A139" s="45"/>
      <c r="B139" s="45"/>
      <c r="C139" s="45"/>
      <c r="D139" s="45"/>
      <c r="E139" s="45"/>
      <c r="F139" s="77">
        <f>Mod_CL[[#This Row],[Date]]-DAY(Mod_CL[[#This Row],[Date]])+1</f>
        <v>45870</v>
      </c>
      <c r="G139" s="2">
        <f>DAY(EOMONTH(Mod_CL[[#This Row],[Month Year]],0))</f>
        <v>31</v>
      </c>
      <c r="H139" s="51">
        <v>45881</v>
      </c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2">
        <f>SUM(Mod_CL[[#This Row],[Inv 1 (630kw) unit 1]:[Inv 3 (630kw) unit 4]])</f>
        <v>0</v>
      </c>
      <c r="X139" s="45"/>
      <c r="Y139" s="45"/>
      <c r="Z139" s="45"/>
      <c r="AA139" s="45"/>
      <c r="AB139" s="45"/>
      <c r="AC139" s="45"/>
      <c r="AD139" s="45"/>
    </row>
    <row r="140" spans="1:30" x14ac:dyDescent="0.25">
      <c r="A140" s="45"/>
      <c r="B140" s="45"/>
      <c r="C140" s="45"/>
      <c r="D140" s="45"/>
      <c r="E140" s="45"/>
      <c r="F140" s="77">
        <f>Mod_CL[[#This Row],[Date]]-DAY(Mod_CL[[#This Row],[Date]])+1</f>
        <v>45870</v>
      </c>
      <c r="G140" s="2">
        <f>DAY(EOMONTH(Mod_CL[[#This Row],[Month Year]],0))</f>
        <v>31</v>
      </c>
      <c r="H140" s="51">
        <v>45882</v>
      </c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2">
        <f>SUM(Mod_CL[[#This Row],[Inv 1 (630kw) unit 1]:[Inv 3 (630kw) unit 4]])</f>
        <v>0</v>
      </c>
      <c r="X140" s="45"/>
      <c r="Y140" s="45"/>
      <c r="Z140" s="45"/>
      <c r="AA140" s="45"/>
      <c r="AB140" s="45"/>
      <c r="AC140" s="45"/>
      <c r="AD140" s="45"/>
    </row>
    <row r="141" spans="1:30" x14ac:dyDescent="0.25">
      <c r="A141" s="45"/>
      <c r="B141" s="45"/>
      <c r="C141" s="45"/>
      <c r="D141" s="45"/>
      <c r="E141" s="45"/>
      <c r="F141" s="77">
        <f>Mod_CL[[#This Row],[Date]]-DAY(Mod_CL[[#This Row],[Date]])+1</f>
        <v>45870</v>
      </c>
      <c r="G141" s="2">
        <f>DAY(EOMONTH(Mod_CL[[#This Row],[Month Year]],0))</f>
        <v>31</v>
      </c>
      <c r="H141" s="51">
        <v>45883</v>
      </c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2">
        <f>SUM(Mod_CL[[#This Row],[Inv 1 (630kw) unit 1]:[Inv 3 (630kw) unit 4]])</f>
        <v>0</v>
      </c>
      <c r="X141" s="45"/>
      <c r="Y141" s="45"/>
      <c r="Z141" s="45"/>
      <c r="AA141" s="45"/>
      <c r="AB141" s="45"/>
      <c r="AC141" s="45"/>
      <c r="AD141" s="45"/>
    </row>
    <row r="142" spans="1:30" x14ac:dyDescent="0.25">
      <c r="A142" s="45"/>
      <c r="B142" s="45"/>
      <c r="C142" s="45"/>
      <c r="D142" s="45"/>
      <c r="E142" s="45"/>
      <c r="F142" s="77">
        <f>Mod_CL[[#This Row],[Date]]-DAY(Mod_CL[[#This Row],[Date]])+1</f>
        <v>45870</v>
      </c>
      <c r="G142" s="2">
        <f>DAY(EOMONTH(Mod_CL[[#This Row],[Month Year]],0))</f>
        <v>31</v>
      </c>
      <c r="H142" s="51">
        <v>45884</v>
      </c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2">
        <f>SUM(Mod_CL[[#This Row],[Inv 1 (630kw) unit 1]:[Inv 3 (630kw) unit 4]])</f>
        <v>0</v>
      </c>
      <c r="X142" s="45"/>
      <c r="Y142" s="45"/>
      <c r="Z142" s="45"/>
      <c r="AA142" s="45"/>
      <c r="AB142" s="45"/>
      <c r="AC142" s="45"/>
      <c r="AD142" s="45"/>
    </row>
    <row r="143" spans="1:30" x14ac:dyDescent="0.25">
      <c r="A143" s="45"/>
      <c r="B143" s="45"/>
      <c r="C143" s="45"/>
      <c r="D143" s="45"/>
      <c r="E143" s="45"/>
      <c r="F143" s="77">
        <f>Mod_CL[[#This Row],[Date]]-DAY(Mod_CL[[#This Row],[Date]])+1</f>
        <v>45870</v>
      </c>
      <c r="G143" s="2">
        <f>DAY(EOMONTH(Mod_CL[[#This Row],[Month Year]],0))</f>
        <v>31</v>
      </c>
      <c r="H143" s="51">
        <v>45885</v>
      </c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2">
        <f>SUM(Mod_CL[[#This Row],[Inv 1 (630kw) unit 1]:[Inv 3 (630kw) unit 4]])</f>
        <v>0</v>
      </c>
      <c r="X143" s="45"/>
      <c r="Y143" s="45"/>
      <c r="Z143" s="45"/>
      <c r="AA143" s="45"/>
      <c r="AB143" s="45"/>
      <c r="AC143" s="45"/>
      <c r="AD143" s="45"/>
    </row>
    <row r="144" spans="1:30" x14ac:dyDescent="0.25">
      <c r="A144" s="45"/>
      <c r="B144" s="45"/>
      <c r="C144" s="45"/>
      <c r="D144" s="45"/>
      <c r="E144" s="45"/>
      <c r="F144" s="77">
        <f>Mod_CL[[#This Row],[Date]]-DAY(Mod_CL[[#This Row],[Date]])+1</f>
        <v>45870</v>
      </c>
      <c r="G144" s="2">
        <f>DAY(EOMONTH(Mod_CL[[#This Row],[Month Year]],0))</f>
        <v>31</v>
      </c>
      <c r="H144" s="51">
        <v>45886</v>
      </c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2">
        <f>SUM(Mod_CL[[#This Row],[Inv 1 (630kw) unit 1]:[Inv 3 (630kw) unit 4]])</f>
        <v>0</v>
      </c>
      <c r="X144" s="45"/>
      <c r="Y144" s="45"/>
      <c r="Z144" s="45"/>
      <c r="AA144" s="45"/>
      <c r="AB144" s="45"/>
      <c r="AC144" s="45"/>
      <c r="AD144" s="45"/>
    </row>
    <row r="145" spans="1:30" x14ac:dyDescent="0.25">
      <c r="A145" s="45"/>
      <c r="B145" s="45"/>
      <c r="C145" s="45"/>
      <c r="D145" s="45"/>
      <c r="E145" s="45"/>
      <c r="F145" s="77">
        <f>Mod_CL[[#This Row],[Date]]-DAY(Mod_CL[[#This Row],[Date]])+1</f>
        <v>45870</v>
      </c>
      <c r="G145" s="2">
        <f>DAY(EOMONTH(Mod_CL[[#This Row],[Month Year]],0))</f>
        <v>31</v>
      </c>
      <c r="H145" s="51">
        <v>45887</v>
      </c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2">
        <f>SUM(Mod_CL[[#This Row],[Inv 1 (630kw) unit 1]:[Inv 3 (630kw) unit 4]])</f>
        <v>0</v>
      </c>
      <c r="X145" s="45"/>
      <c r="Y145" s="45"/>
      <c r="Z145" s="45"/>
      <c r="AA145" s="45"/>
      <c r="AB145" s="45"/>
      <c r="AC145" s="45"/>
      <c r="AD145" s="45"/>
    </row>
    <row r="146" spans="1:30" x14ac:dyDescent="0.25">
      <c r="A146" s="45"/>
      <c r="B146" s="45"/>
      <c r="C146" s="45"/>
      <c r="D146" s="45"/>
      <c r="E146" s="45"/>
      <c r="F146" s="77">
        <f>Mod_CL[[#This Row],[Date]]-DAY(Mod_CL[[#This Row],[Date]])+1</f>
        <v>45870</v>
      </c>
      <c r="G146" s="2">
        <f>DAY(EOMONTH(Mod_CL[[#This Row],[Month Year]],0))</f>
        <v>31</v>
      </c>
      <c r="H146" s="51">
        <v>45888</v>
      </c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2">
        <f>SUM(Mod_CL[[#This Row],[Inv 1 (630kw) unit 1]:[Inv 3 (630kw) unit 4]])</f>
        <v>0</v>
      </c>
      <c r="X146" s="45"/>
      <c r="Y146" s="45"/>
      <c r="Z146" s="45"/>
      <c r="AA146" s="45"/>
      <c r="AB146" s="45"/>
      <c r="AC146" s="45"/>
      <c r="AD146" s="45"/>
    </row>
    <row r="147" spans="1:30" x14ac:dyDescent="0.25">
      <c r="A147" s="45"/>
      <c r="B147" s="45"/>
      <c r="C147" s="45"/>
      <c r="D147" s="45"/>
      <c r="E147" s="45"/>
      <c r="H147" s="47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X147" s="45"/>
      <c r="Y147" s="45"/>
      <c r="Z147" s="45"/>
      <c r="AA147" s="45"/>
      <c r="AB147" s="45"/>
      <c r="AC147" s="45"/>
      <c r="AD147" s="45"/>
    </row>
    <row r="148" spans="1:30" x14ac:dyDescent="0.25">
      <c r="A148" s="45"/>
      <c r="B148" s="45"/>
      <c r="C148" s="45"/>
      <c r="D148" s="45"/>
      <c r="E148" s="45"/>
      <c r="H148" s="47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X148" s="45"/>
      <c r="Y148" s="45"/>
      <c r="Z148" s="45"/>
      <c r="AA148" s="45"/>
      <c r="AB148" s="45"/>
      <c r="AC148" s="45"/>
      <c r="AD148" s="45"/>
    </row>
    <row r="149" spans="1:30" x14ac:dyDescent="0.25">
      <c r="A149" s="45"/>
      <c r="B149" s="45"/>
      <c r="C149" s="45"/>
      <c r="D149" s="45"/>
      <c r="E149" s="45"/>
      <c r="H149" s="47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X149" s="45"/>
      <c r="Y149" s="45"/>
      <c r="Z149" s="45"/>
      <c r="AA149" s="45"/>
      <c r="AB149" s="45"/>
      <c r="AC149" s="45"/>
      <c r="AD149" s="45"/>
    </row>
    <row r="150" spans="1:30" x14ac:dyDescent="0.25">
      <c r="A150" s="45"/>
      <c r="B150" s="45"/>
      <c r="C150" s="45"/>
      <c r="D150" s="45"/>
      <c r="E150" s="45"/>
      <c r="H150" s="47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X150" s="45"/>
      <c r="Y150" s="45"/>
      <c r="Z150" s="45"/>
      <c r="AA150" s="45"/>
      <c r="AB150" s="45"/>
      <c r="AC150" s="45"/>
      <c r="AD150" s="45"/>
    </row>
    <row r="151" spans="1:30" x14ac:dyDescent="0.25">
      <c r="A151" s="45"/>
      <c r="B151" s="45"/>
      <c r="C151" s="45"/>
      <c r="D151" s="45"/>
      <c r="E151" s="45"/>
      <c r="H151" s="47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X151" s="45"/>
      <c r="Y151" s="45"/>
      <c r="Z151" s="45"/>
      <c r="AA151" s="45"/>
      <c r="AB151" s="45"/>
      <c r="AC151" s="45"/>
      <c r="AD151" s="45"/>
    </row>
    <row r="152" spans="1:30" x14ac:dyDescent="0.25">
      <c r="A152" s="45"/>
      <c r="B152" s="45"/>
      <c r="C152" s="45"/>
      <c r="D152" s="45"/>
      <c r="E152" s="45"/>
      <c r="H152" s="47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X152" s="45"/>
      <c r="Y152" s="45"/>
      <c r="Z152" s="45"/>
      <c r="AA152" s="45"/>
      <c r="AB152" s="45"/>
      <c r="AC152" s="45"/>
      <c r="AD152" s="45"/>
    </row>
    <row r="153" spans="1:30" x14ac:dyDescent="0.25">
      <c r="A153" s="45"/>
      <c r="B153" s="45"/>
      <c r="C153" s="45"/>
      <c r="D153" s="45"/>
      <c r="E153" s="45"/>
      <c r="H153" s="47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X153" s="45"/>
      <c r="Y153" s="45"/>
      <c r="Z153" s="45"/>
      <c r="AA153" s="45"/>
      <c r="AB153" s="45"/>
      <c r="AC153" s="45"/>
      <c r="AD153" s="45"/>
    </row>
    <row r="154" spans="1:30" x14ac:dyDescent="0.25">
      <c r="A154" s="45"/>
      <c r="B154" s="45"/>
      <c r="C154" s="45"/>
      <c r="D154" s="45"/>
      <c r="E154" s="45"/>
      <c r="H154" s="47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X154" s="45"/>
      <c r="Y154" s="45"/>
      <c r="Z154" s="45"/>
      <c r="AA154" s="45"/>
      <c r="AB154" s="45"/>
      <c r="AC154" s="45"/>
      <c r="AD154" s="45"/>
    </row>
    <row r="155" spans="1:30" x14ac:dyDescent="0.25">
      <c r="A155" s="45"/>
      <c r="B155" s="45"/>
      <c r="C155" s="45"/>
      <c r="D155" s="45"/>
      <c r="E155" s="45"/>
      <c r="H155" s="47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X155" s="45"/>
      <c r="Y155" s="45"/>
      <c r="Z155" s="45"/>
      <c r="AA155" s="45"/>
      <c r="AB155" s="45"/>
      <c r="AC155" s="45"/>
      <c r="AD155" s="45"/>
    </row>
    <row r="156" spans="1:30" x14ac:dyDescent="0.25">
      <c r="A156" s="45"/>
      <c r="B156" s="45"/>
      <c r="C156" s="45"/>
      <c r="D156" s="45"/>
      <c r="E156" s="45"/>
      <c r="H156" s="47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X156" s="45"/>
      <c r="Y156" s="45"/>
      <c r="Z156" s="45"/>
      <c r="AA156" s="45"/>
      <c r="AB156" s="45"/>
      <c r="AC156" s="45"/>
      <c r="AD156" s="45"/>
    </row>
    <row r="157" spans="1:30" x14ac:dyDescent="0.25">
      <c r="A157" s="45"/>
      <c r="B157" s="45"/>
      <c r="C157" s="45"/>
      <c r="D157" s="45"/>
      <c r="E157" s="45"/>
      <c r="H157" s="47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X157" s="45"/>
      <c r="Y157" s="45"/>
      <c r="Z157" s="45"/>
      <c r="AA157" s="45"/>
      <c r="AB157" s="45"/>
      <c r="AC157" s="45"/>
      <c r="AD157" s="45"/>
    </row>
    <row r="158" spans="1:30" x14ac:dyDescent="0.25">
      <c r="A158" s="45"/>
      <c r="B158" s="45"/>
      <c r="C158" s="45"/>
      <c r="D158" s="45"/>
      <c r="E158" s="45"/>
      <c r="H158" s="47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X158" s="45"/>
      <c r="Y158" s="45"/>
      <c r="Z158" s="45"/>
      <c r="AA158" s="45"/>
      <c r="AB158" s="45"/>
      <c r="AC158" s="45"/>
      <c r="AD158" s="45"/>
    </row>
    <row r="159" spans="1:30" x14ac:dyDescent="0.25">
      <c r="A159" s="45"/>
      <c r="B159" s="45"/>
      <c r="C159" s="45"/>
      <c r="D159" s="45"/>
      <c r="E159" s="45"/>
      <c r="H159" s="47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X159" s="45"/>
      <c r="Y159" s="45"/>
      <c r="Z159" s="45"/>
      <c r="AA159" s="45"/>
      <c r="AB159" s="45"/>
      <c r="AC159" s="45"/>
      <c r="AD159" s="45"/>
    </row>
    <row r="160" spans="1:30" x14ac:dyDescent="0.25">
      <c r="A160" s="45"/>
      <c r="B160" s="45"/>
      <c r="C160" s="45"/>
      <c r="D160" s="45"/>
      <c r="E160" s="45"/>
      <c r="H160" s="47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X160" s="45"/>
      <c r="Y160" s="45"/>
      <c r="Z160" s="45"/>
      <c r="AA160" s="45"/>
      <c r="AB160" s="45"/>
      <c r="AC160" s="45"/>
      <c r="AD160" s="45"/>
    </row>
    <row r="161" spans="1:30" x14ac:dyDescent="0.25">
      <c r="A161" s="45"/>
      <c r="B161" s="45"/>
      <c r="C161" s="45"/>
      <c r="D161" s="45"/>
      <c r="E161" s="45"/>
      <c r="H161" s="47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X161" s="45"/>
      <c r="Y161" s="45"/>
      <c r="Z161" s="45"/>
      <c r="AA161" s="45"/>
      <c r="AB161" s="45"/>
      <c r="AC161" s="45"/>
      <c r="AD161" s="45"/>
    </row>
    <row r="162" spans="1:30" x14ac:dyDescent="0.25">
      <c r="A162" s="45"/>
      <c r="B162" s="45"/>
      <c r="C162" s="45"/>
      <c r="D162" s="45"/>
      <c r="E162" s="45"/>
      <c r="H162" s="47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X162" s="45"/>
      <c r="Y162" s="45"/>
      <c r="Z162" s="45"/>
      <c r="AA162" s="45"/>
      <c r="AB162" s="45"/>
      <c r="AC162" s="45"/>
      <c r="AD162" s="45"/>
    </row>
    <row r="163" spans="1:30" x14ac:dyDescent="0.25">
      <c r="A163" s="45"/>
      <c r="B163" s="45"/>
      <c r="C163" s="45"/>
      <c r="D163" s="45"/>
      <c r="E163" s="45"/>
      <c r="H163" s="47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X163" s="45"/>
      <c r="Y163" s="45"/>
      <c r="Z163" s="45"/>
      <c r="AA163" s="45"/>
      <c r="AB163" s="45"/>
      <c r="AC163" s="45"/>
      <c r="AD163" s="45"/>
    </row>
    <row r="164" spans="1:30" x14ac:dyDescent="0.25">
      <c r="A164" s="45"/>
      <c r="B164" s="45"/>
      <c r="C164" s="45"/>
      <c r="D164" s="45"/>
      <c r="E164" s="45"/>
      <c r="H164" s="47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X164" s="45"/>
      <c r="Y164" s="45"/>
      <c r="Z164" s="45"/>
      <c r="AA164" s="45"/>
      <c r="AB164" s="45"/>
      <c r="AC164" s="45"/>
      <c r="AD164" s="45"/>
    </row>
    <row r="165" spans="1:30" x14ac:dyDescent="0.25">
      <c r="A165" s="45"/>
      <c r="B165" s="45"/>
      <c r="C165" s="45"/>
      <c r="D165" s="45"/>
      <c r="E165" s="45"/>
      <c r="H165" s="47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X165" s="45"/>
      <c r="Y165" s="45"/>
      <c r="Z165" s="45"/>
      <c r="AA165" s="45"/>
      <c r="AB165" s="45"/>
      <c r="AC165" s="45"/>
      <c r="AD165" s="45"/>
    </row>
    <row r="166" spans="1:30" x14ac:dyDescent="0.25">
      <c r="A166" s="45"/>
      <c r="B166" s="45"/>
      <c r="C166" s="45"/>
      <c r="D166" s="45"/>
      <c r="E166" s="45"/>
      <c r="H166" s="47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X166" s="45"/>
      <c r="Y166" s="45"/>
      <c r="Z166" s="45"/>
      <c r="AA166" s="45"/>
      <c r="AB166" s="45"/>
      <c r="AC166" s="45"/>
      <c r="AD166" s="45"/>
    </row>
    <row r="167" spans="1:30" x14ac:dyDescent="0.25">
      <c r="A167" s="45"/>
      <c r="B167" s="45"/>
      <c r="C167" s="45"/>
      <c r="D167" s="45"/>
      <c r="E167" s="45"/>
      <c r="H167" s="47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X167" s="45"/>
      <c r="Y167" s="45"/>
      <c r="Z167" s="45"/>
      <c r="AA167" s="45"/>
      <c r="AB167" s="45"/>
      <c r="AC167" s="45"/>
      <c r="AD167" s="45"/>
    </row>
    <row r="168" spans="1:30" x14ac:dyDescent="0.25">
      <c r="A168" s="45"/>
      <c r="B168" s="45"/>
      <c r="C168" s="45"/>
      <c r="D168" s="45"/>
      <c r="E168" s="45"/>
      <c r="H168" s="47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X168" s="45"/>
      <c r="Y168" s="45"/>
      <c r="Z168" s="45"/>
      <c r="AA168" s="45"/>
      <c r="AB168" s="45"/>
      <c r="AC168" s="45"/>
      <c r="AD168" s="45"/>
    </row>
    <row r="169" spans="1:30" x14ac:dyDescent="0.25">
      <c r="A169" s="45"/>
      <c r="B169" s="45"/>
      <c r="C169" s="45"/>
      <c r="D169" s="45"/>
      <c r="E169" s="45"/>
      <c r="H169" s="47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X169" s="45"/>
      <c r="Y169" s="45"/>
      <c r="Z169" s="45"/>
      <c r="AA169" s="45"/>
      <c r="AB169" s="45"/>
      <c r="AC169" s="45"/>
      <c r="AD169" s="45"/>
    </row>
    <row r="170" spans="1:30" x14ac:dyDescent="0.25">
      <c r="A170" s="45"/>
      <c r="B170" s="45"/>
      <c r="C170" s="45"/>
      <c r="D170" s="45"/>
      <c r="E170" s="45"/>
      <c r="H170" s="47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X170" s="45"/>
      <c r="Y170" s="45"/>
      <c r="Z170" s="45"/>
      <c r="AA170" s="45"/>
      <c r="AB170" s="45"/>
      <c r="AC170" s="45"/>
      <c r="AD170" s="45"/>
    </row>
    <row r="171" spans="1:30" x14ac:dyDescent="0.25">
      <c r="A171" s="45"/>
      <c r="B171" s="45"/>
      <c r="C171" s="45"/>
      <c r="D171" s="45"/>
      <c r="E171" s="45"/>
      <c r="H171" s="47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X171" s="45"/>
      <c r="Y171" s="45"/>
      <c r="Z171" s="45"/>
      <c r="AA171" s="45"/>
      <c r="AB171" s="45"/>
      <c r="AC171" s="45"/>
      <c r="AD171" s="45"/>
    </row>
    <row r="172" spans="1:30" x14ac:dyDescent="0.25">
      <c r="A172" s="45"/>
      <c r="B172" s="45"/>
      <c r="C172" s="45"/>
      <c r="D172" s="45"/>
      <c r="E172" s="45"/>
      <c r="H172" s="47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X172" s="45"/>
      <c r="Y172" s="45"/>
      <c r="Z172" s="45"/>
      <c r="AA172" s="45"/>
      <c r="AB172" s="45"/>
      <c r="AC172" s="45"/>
      <c r="AD172" s="45"/>
    </row>
    <row r="173" spans="1:30" x14ac:dyDescent="0.25">
      <c r="A173" s="45"/>
      <c r="B173" s="45"/>
      <c r="C173" s="45"/>
      <c r="D173" s="45"/>
      <c r="E173" s="45"/>
      <c r="H173" s="47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X173" s="45"/>
      <c r="Y173" s="45"/>
      <c r="Z173" s="45"/>
      <c r="AA173" s="45"/>
      <c r="AB173" s="45"/>
      <c r="AC173" s="45"/>
      <c r="AD173" s="45"/>
    </row>
    <row r="174" spans="1:30" x14ac:dyDescent="0.25">
      <c r="A174" s="45"/>
      <c r="B174" s="45"/>
      <c r="C174" s="45"/>
      <c r="D174" s="45"/>
      <c r="E174" s="45"/>
      <c r="H174" s="47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X174" s="45"/>
      <c r="Y174" s="45"/>
      <c r="Z174" s="45"/>
      <c r="AA174" s="45"/>
      <c r="AB174" s="45"/>
      <c r="AC174" s="45"/>
      <c r="AD174" s="45"/>
    </row>
    <row r="175" spans="1:30" x14ac:dyDescent="0.25">
      <c r="A175" s="45"/>
      <c r="B175" s="45"/>
      <c r="C175" s="45"/>
      <c r="D175" s="45"/>
      <c r="E175" s="45"/>
      <c r="H175" s="47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X175" s="45"/>
      <c r="Y175" s="45"/>
      <c r="Z175" s="45"/>
      <c r="AA175" s="45"/>
      <c r="AB175" s="45"/>
      <c r="AC175" s="45"/>
      <c r="AD175" s="45"/>
    </row>
    <row r="176" spans="1:30" x14ac:dyDescent="0.25">
      <c r="A176" s="45"/>
      <c r="B176" s="45"/>
      <c r="C176" s="45"/>
      <c r="D176" s="45"/>
      <c r="E176" s="45"/>
      <c r="H176" s="47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X176" s="45"/>
      <c r="Y176" s="45"/>
      <c r="Z176" s="45"/>
      <c r="AA176" s="45"/>
      <c r="AB176" s="45"/>
      <c r="AC176" s="45"/>
      <c r="AD176" s="45"/>
    </row>
    <row r="177" spans="1:30" x14ac:dyDescent="0.25">
      <c r="A177" s="45"/>
      <c r="B177" s="45"/>
      <c r="C177" s="45"/>
      <c r="D177" s="45"/>
      <c r="E177" s="45"/>
      <c r="H177" s="47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X177" s="45"/>
      <c r="Y177" s="45"/>
      <c r="Z177" s="45"/>
      <c r="AA177" s="45"/>
      <c r="AB177" s="45"/>
      <c r="AC177" s="45"/>
      <c r="AD177" s="45"/>
    </row>
    <row r="178" spans="1:30" x14ac:dyDescent="0.25">
      <c r="A178" s="45"/>
      <c r="B178" s="45"/>
      <c r="C178" s="45"/>
      <c r="D178" s="45"/>
      <c r="E178" s="45"/>
      <c r="H178" s="47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X178" s="45"/>
      <c r="Y178" s="45"/>
      <c r="Z178" s="45"/>
      <c r="AA178" s="45"/>
      <c r="AB178" s="45"/>
      <c r="AC178" s="45"/>
      <c r="AD178" s="45"/>
    </row>
    <row r="179" spans="1:30" x14ac:dyDescent="0.25">
      <c r="A179" s="45"/>
      <c r="B179" s="45"/>
      <c r="C179" s="45"/>
      <c r="D179" s="45"/>
      <c r="E179" s="45"/>
      <c r="H179" s="47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X179" s="45"/>
      <c r="Y179" s="45"/>
      <c r="Z179" s="45"/>
      <c r="AA179" s="45"/>
      <c r="AB179" s="45"/>
      <c r="AC179" s="45"/>
      <c r="AD179" s="45"/>
    </row>
    <row r="180" spans="1:30" x14ac:dyDescent="0.25">
      <c r="A180" s="45"/>
      <c r="B180" s="45"/>
      <c r="C180" s="45"/>
      <c r="D180" s="45"/>
      <c r="E180" s="45"/>
      <c r="H180" s="47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X180" s="45"/>
      <c r="Y180" s="45"/>
      <c r="Z180" s="45"/>
      <c r="AA180" s="45"/>
      <c r="AB180" s="45"/>
      <c r="AC180" s="45"/>
      <c r="AD180" s="45"/>
    </row>
    <row r="181" spans="1:30" x14ac:dyDescent="0.25">
      <c r="A181" s="45"/>
      <c r="B181" s="45"/>
      <c r="C181" s="45"/>
      <c r="D181" s="45"/>
      <c r="E181" s="45"/>
      <c r="H181" s="47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X181" s="45"/>
      <c r="Y181" s="45"/>
      <c r="Z181" s="45"/>
      <c r="AA181" s="45"/>
      <c r="AB181" s="45"/>
      <c r="AC181" s="45"/>
      <c r="AD181" s="45"/>
    </row>
    <row r="182" spans="1:30" x14ac:dyDescent="0.25">
      <c r="A182" s="45"/>
      <c r="B182" s="45"/>
      <c r="C182" s="45"/>
      <c r="D182" s="45"/>
      <c r="E182" s="45"/>
      <c r="H182" s="47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X182" s="45"/>
      <c r="Y182" s="45"/>
      <c r="Z182" s="45"/>
      <c r="AA182" s="45"/>
      <c r="AB182" s="45"/>
      <c r="AC182" s="45"/>
      <c r="AD182" s="45"/>
    </row>
    <row r="183" spans="1:30" x14ac:dyDescent="0.25">
      <c r="A183" s="45"/>
      <c r="B183" s="45"/>
      <c r="C183" s="45"/>
      <c r="D183" s="45"/>
      <c r="E183" s="45"/>
      <c r="H183" s="47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X183" s="45"/>
      <c r="Y183" s="45"/>
      <c r="Z183" s="45"/>
      <c r="AA183" s="45"/>
      <c r="AB183" s="45"/>
      <c r="AC183" s="45"/>
      <c r="AD183" s="45"/>
    </row>
    <row r="184" spans="1:30" x14ac:dyDescent="0.25">
      <c r="A184" s="45"/>
      <c r="B184" s="45"/>
      <c r="C184" s="45"/>
      <c r="D184" s="45"/>
      <c r="E184" s="45"/>
      <c r="H184" s="47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X184" s="45"/>
      <c r="Y184" s="45"/>
      <c r="Z184" s="45"/>
      <c r="AA184" s="45"/>
      <c r="AB184" s="45"/>
      <c r="AC184" s="45"/>
      <c r="AD184" s="45"/>
    </row>
    <row r="185" spans="1:30" x14ac:dyDescent="0.25">
      <c r="A185" s="45"/>
      <c r="B185" s="45"/>
      <c r="C185" s="45"/>
      <c r="D185" s="45"/>
      <c r="E185" s="45"/>
      <c r="H185" s="47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X185" s="45"/>
      <c r="Y185" s="45"/>
      <c r="Z185" s="45"/>
      <c r="AA185" s="45"/>
      <c r="AB185" s="45"/>
      <c r="AC185" s="45"/>
      <c r="AD185" s="45"/>
    </row>
    <row r="186" spans="1:30" x14ac:dyDescent="0.25">
      <c r="A186" s="45"/>
      <c r="B186" s="45"/>
      <c r="C186" s="45"/>
      <c r="D186" s="45"/>
      <c r="E186" s="45"/>
      <c r="H186" s="47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X186" s="45"/>
      <c r="Y186" s="45"/>
      <c r="Z186" s="45"/>
      <c r="AA186" s="45"/>
      <c r="AB186" s="45"/>
      <c r="AC186" s="45"/>
      <c r="AD186" s="45"/>
    </row>
    <row r="187" spans="1:30" x14ac:dyDescent="0.25">
      <c r="A187" s="45"/>
      <c r="B187" s="45"/>
      <c r="C187" s="45"/>
      <c r="D187" s="45"/>
      <c r="E187" s="45"/>
      <c r="H187" s="47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X187" s="45"/>
      <c r="Y187" s="45"/>
      <c r="Z187" s="45"/>
      <c r="AA187" s="45"/>
      <c r="AB187" s="45"/>
      <c r="AC187" s="45"/>
      <c r="AD187" s="45"/>
    </row>
    <row r="188" spans="1:30" x14ac:dyDescent="0.25">
      <c r="A188" s="45"/>
      <c r="B188" s="45"/>
      <c r="C188" s="45"/>
      <c r="D188" s="45"/>
      <c r="E188" s="45"/>
      <c r="H188" s="47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X188" s="45"/>
      <c r="Y188" s="45"/>
      <c r="Z188" s="45"/>
      <c r="AA188" s="45"/>
      <c r="AB188" s="45"/>
      <c r="AC188" s="45"/>
      <c r="AD188" s="45"/>
    </row>
    <row r="189" spans="1:30" x14ac:dyDescent="0.25">
      <c r="A189" s="45"/>
      <c r="B189" s="45"/>
      <c r="C189" s="45"/>
      <c r="D189" s="45"/>
      <c r="E189" s="45"/>
      <c r="H189" s="47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X189" s="45"/>
      <c r="Y189" s="45"/>
      <c r="Z189" s="45"/>
      <c r="AA189" s="45"/>
      <c r="AB189" s="45"/>
      <c r="AC189" s="45"/>
      <c r="AD189" s="45"/>
    </row>
    <row r="190" spans="1:30" x14ac:dyDescent="0.25">
      <c r="A190" s="45"/>
      <c r="B190" s="45"/>
      <c r="C190" s="45"/>
      <c r="D190" s="45"/>
      <c r="E190" s="45"/>
      <c r="H190" s="47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X190" s="45"/>
      <c r="Y190" s="45"/>
      <c r="Z190" s="45"/>
      <c r="AA190" s="45"/>
      <c r="AB190" s="45"/>
      <c r="AC190" s="45"/>
      <c r="AD190" s="45"/>
    </row>
    <row r="191" spans="1:30" x14ac:dyDescent="0.25">
      <c r="A191" s="45"/>
      <c r="B191" s="45"/>
      <c r="C191" s="45"/>
      <c r="D191" s="45"/>
      <c r="E191" s="45"/>
      <c r="H191" s="47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X191" s="45"/>
      <c r="Y191" s="45"/>
      <c r="Z191" s="45"/>
      <c r="AA191" s="45"/>
      <c r="AB191" s="45"/>
      <c r="AC191" s="45"/>
      <c r="AD191" s="45"/>
    </row>
    <row r="192" spans="1:30" x14ac:dyDescent="0.25">
      <c r="A192" s="45"/>
      <c r="B192" s="45"/>
      <c r="C192" s="45"/>
      <c r="D192" s="45"/>
      <c r="E192" s="45"/>
      <c r="H192" s="47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X192" s="45"/>
      <c r="Y192" s="45"/>
      <c r="Z192" s="45"/>
      <c r="AA192" s="45"/>
      <c r="AB192" s="45"/>
      <c r="AC192" s="45"/>
      <c r="AD192" s="45"/>
    </row>
    <row r="193" spans="1:30" x14ac:dyDescent="0.25">
      <c r="A193" s="45"/>
      <c r="B193" s="45"/>
      <c r="C193" s="45"/>
      <c r="D193" s="45"/>
      <c r="E193" s="45"/>
      <c r="H193" s="47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X193" s="45"/>
      <c r="Y193" s="45"/>
      <c r="Z193" s="45"/>
      <c r="AA193" s="45"/>
      <c r="AB193" s="45"/>
      <c r="AC193" s="45"/>
      <c r="AD193" s="45"/>
    </row>
    <row r="194" spans="1:30" x14ac:dyDescent="0.25">
      <c r="A194" s="45"/>
      <c r="B194" s="45"/>
      <c r="C194" s="45"/>
      <c r="D194" s="45"/>
      <c r="E194" s="45"/>
      <c r="H194" s="47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X194" s="45"/>
      <c r="Y194" s="45"/>
      <c r="Z194" s="45"/>
      <c r="AA194" s="45"/>
      <c r="AB194" s="45"/>
      <c r="AC194" s="45"/>
      <c r="AD194" s="45"/>
    </row>
    <row r="195" spans="1:30" x14ac:dyDescent="0.25">
      <c r="A195" s="45"/>
      <c r="B195" s="45"/>
      <c r="C195" s="45"/>
      <c r="D195" s="45"/>
      <c r="E195" s="45"/>
      <c r="H195" s="47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X195" s="45"/>
      <c r="Y195" s="45"/>
      <c r="Z195" s="45"/>
      <c r="AA195" s="45"/>
      <c r="AB195" s="45"/>
      <c r="AC195" s="45"/>
      <c r="AD195" s="45"/>
    </row>
    <row r="196" spans="1:30" x14ac:dyDescent="0.25">
      <c r="A196" s="45"/>
      <c r="B196" s="45"/>
      <c r="C196" s="45"/>
      <c r="D196" s="45"/>
      <c r="E196" s="45"/>
      <c r="H196" s="47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X196" s="45"/>
      <c r="Y196" s="45"/>
      <c r="Z196" s="45"/>
      <c r="AA196" s="45"/>
      <c r="AB196" s="45"/>
      <c r="AC196" s="45"/>
      <c r="AD196" s="45"/>
    </row>
    <row r="197" spans="1:30" x14ac:dyDescent="0.25">
      <c r="A197" s="45"/>
      <c r="B197" s="45"/>
      <c r="C197" s="45"/>
      <c r="D197" s="45"/>
      <c r="E197" s="45"/>
      <c r="H197" s="47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X197" s="45"/>
      <c r="Y197" s="45"/>
      <c r="Z197" s="45"/>
      <c r="AA197" s="45"/>
      <c r="AB197" s="45"/>
      <c r="AC197" s="45"/>
      <c r="AD197" s="45"/>
    </row>
    <row r="198" spans="1:30" x14ac:dyDescent="0.25">
      <c r="A198" s="45"/>
      <c r="B198" s="45"/>
      <c r="C198" s="45"/>
      <c r="D198" s="45"/>
      <c r="E198" s="45"/>
      <c r="H198" s="47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X198" s="45"/>
      <c r="Y198" s="45"/>
      <c r="Z198" s="45"/>
      <c r="AA198" s="45"/>
      <c r="AB198" s="45"/>
      <c r="AC198" s="45"/>
      <c r="AD198" s="45"/>
    </row>
    <row r="199" spans="1:30" x14ac:dyDescent="0.25">
      <c r="A199" s="45"/>
      <c r="B199" s="45"/>
      <c r="C199" s="45"/>
      <c r="D199" s="45"/>
      <c r="E199" s="45"/>
      <c r="H199" s="47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X199" s="45"/>
      <c r="Y199" s="45"/>
      <c r="Z199" s="45"/>
      <c r="AA199" s="45"/>
      <c r="AB199" s="45"/>
      <c r="AC199" s="45"/>
      <c r="AD199" s="45"/>
    </row>
    <row r="200" spans="1:30" x14ac:dyDescent="0.25">
      <c r="A200" s="45"/>
      <c r="B200" s="45"/>
      <c r="C200" s="45"/>
      <c r="D200" s="45"/>
      <c r="E200" s="45"/>
      <c r="H200" s="47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X200" s="45"/>
      <c r="Y200" s="45"/>
      <c r="Z200" s="45"/>
      <c r="AA200" s="45"/>
      <c r="AB200" s="45"/>
      <c r="AC200" s="45"/>
      <c r="AD200" s="45"/>
    </row>
    <row r="201" spans="1:30" x14ac:dyDescent="0.25">
      <c r="A201" s="45"/>
      <c r="B201" s="45"/>
      <c r="C201" s="45"/>
      <c r="D201" s="45"/>
      <c r="E201" s="45"/>
      <c r="H201" s="47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X201" s="45"/>
      <c r="Y201" s="45"/>
      <c r="Z201" s="45"/>
      <c r="AA201" s="45"/>
      <c r="AB201" s="45"/>
      <c r="AC201" s="45"/>
      <c r="AD201" s="45"/>
    </row>
    <row r="202" spans="1:30" x14ac:dyDescent="0.25">
      <c r="A202" s="45"/>
      <c r="B202" s="45"/>
      <c r="C202" s="45"/>
      <c r="D202" s="45"/>
      <c r="E202" s="45"/>
      <c r="H202" s="47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X202" s="45"/>
      <c r="Y202" s="45"/>
      <c r="Z202" s="45"/>
      <c r="AA202" s="45"/>
      <c r="AB202" s="45"/>
      <c r="AC202" s="45"/>
      <c r="AD202" s="45"/>
    </row>
    <row r="203" spans="1:30" x14ac:dyDescent="0.25">
      <c r="A203" s="45"/>
      <c r="B203" s="45"/>
      <c r="C203" s="45"/>
      <c r="D203" s="45"/>
      <c r="E203" s="45"/>
      <c r="H203" s="47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X203" s="45"/>
      <c r="Y203" s="45"/>
      <c r="Z203" s="45"/>
      <c r="AA203" s="45"/>
      <c r="AB203" s="45"/>
      <c r="AC203" s="45"/>
      <c r="AD203" s="45"/>
    </row>
    <row r="204" spans="1:30" x14ac:dyDescent="0.25">
      <c r="A204" s="45"/>
      <c r="B204" s="45"/>
      <c r="C204" s="45"/>
      <c r="D204" s="45"/>
      <c r="E204" s="45"/>
      <c r="H204" s="47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X204" s="45"/>
      <c r="Y204" s="45"/>
      <c r="Z204" s="45"/>
      <c r="AA204" s="45"/>
      <c r="AB204" s="45"/>
      <c r="AC204" s="45"/>
      <c r="AD204" s="45"/>
    </row>
    <row r="205" spans="1:30" x14ac:dyDescent="0.25">
      <c r="A205" s="45"/>
      <c r="B205" s="45"/>
      <c r="C205" s="45"/>
      <c r="D205" s="45"/>
      <c r="E205" s="45"/>
      <c r="H205" s="47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X205" s="45"/>
      <c r="Y205" s="45"/>
      <c r="Z205" s="45"/>
      <c r="AA205" s="45"/>
      <c r="AB205" s="45"/>
      <c r="AC205" s="45"/>
      <c r="AD205" s="45"/>
    </row>
    <row r="206" spans="1:30" x14ac:dyDescent="0.25">
      <c r="A206" s="45"/>
      <c r="B206" s="45"/>
      <c r="C206" s="45"/>
      <c r="D206" s="45"/>
      <c r="E206" s="45"/>
      <c r="H206" s="47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X206" s="45"/>
      <c r="Y206" s="45"/>
      <c r="Z206" s="45"/>
      <c r="AA206" s="45"/>
      <c r="AB206" s="45"/>
      <c r="AC206" s="45"/>
      <c r="AD206" s="45"/>
    </row>
    <row r="207" spans="1:30" x14ac:dyDescent="0.25">
      <c r="A207" s="45"/>
      <c r="B207" s="45"/>
      <c r="C207" s="45"/>
      <c r="D207" s="45"/>
      <c r="E207" s="45"/>
      <c r="H207" s="47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X207" s="45"/>
      <c r="Y207" s="45"/>
      <c r="Z207" s="45"/>
      <c r="AA207" s="45"/>
      <c r="AB207" s="45"/>
      <c r="AC207" s="45"/>
      <c r="AD207" s="45"/>
    </row>
    <row r="208" spans="1:30" x14ac:dyDescent="0.25">
      <c r="A208" s="45"/>
      <c r="B208" s="45"/>
      <c r="C208" s="45"/>
      <c r="D208" s="45"/>
      <c r="E208" s="45"/>
      <c r="H208" s="47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X208" s="45"/>
      <c r="Y208" s="45"/>
      <c r="Z208" s="45"/>
      <c r="AA208" s="45"/>
      <c r="AB208" s="45"/>
      <c r="AC208" s="45"/>
      <c r="AD208" s="45"/>
    </row>
    <row r="209" spans="1:30" x14ac:dyDescent="0.25">
      <c r="A209" s="45"/>
      <c r="B209" s="45"/>
      <c r="C209" s="45"/>
      <c r="D209" s="45"/>
      <c r="E209" s="45"/>
      <c r="H209" s="47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X209" s="45"/>
      <c r="Y209" s="45"/>
      <c r="Z209" s="45"/>
      <c r="AA209" s="45"/>
      <c r="AB209" s="45"/>
      <c r="AC209" s="45"/>
      <c r="AD209" s="45"/>
    </row>
    <row r="210" spans="1:30" x14ac:dyDescent="0.25">
      <c r="A210" s="45"/>
      <c r="B210" s="45"/>
      <c r="C210" s="45"/>
      <c r="D210" s="45"/>
      <c r="E210" s="45"/>
      <c r="H210" s="47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X210" s="45"/>
      <c r="Y210" s="45"/>
      <c r="Z210" s="45"/>
      <c r="AA210" s="45"/>
      <c r="AB210" s="45"/>
      <c r="AC210" s="45"/>
      <c r="AD210" s="45"/>
    </row>
    <row r="211" spans="1:30" x14ac:dyDescent="0.25">
      <c r="A211" s="45"/>
      <c r="B211" s="45"/>
      <c r="C211" s="45"/>
      <c r="D211" s="45"/>
      <c r="E211" s="45"/>
      <c r="H211" s="47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X211" s="45"/>
      <c r="Y211" s="45"/>
      <c r="Z211" s="45"/>
      <c r="AA211" s="45"/>
      <c r="AB211" s="45"/>
      <c r="AC211" s="45"/>
      <c r="AD211" s="45"/>
    </row>
    <row r="212" spans="1:30" x14ac:dyDescent="0.25">
      <c r="A212" s="45"/>
      <c r="B212" s="45"/>
      <c r="C212" s="45"/>
      <c r="D212" s="45"/>
      <c r="E212" s="45"/>
      <c r="H212" s="47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X212" s="45"/>
      <c r="Y212" s="45"/>
      <c r="Z212" s="45"/>
      <c r="AA212" s="45"/>
      <c r="AB212" s="45"/>
      <c r="AC212" s="45"/>
      <c r="AD212" s="45"/>
    </row>
    <row r="213" spans="1:30" x14ac:dyDescent="0.25">
      <c r="A213" s="45"/>
      <c r="B213" s="45"/>
      <c r="C213" s="45"/>
      <c r="D213" s="45"/>
      <c r="E213" s="45"/>
      <c r="H213" s="47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X213" s="45"/>
      <c r="Y213" s="45"/>
      <c r="Z213" s="45"/>
      <c r="AA213" s="45"/>
      <c r="AB213" s="45"/>
      <c r="AC213" s="45"/>
      <c r="AD213" s="45"/>
    </row>
    <row r="214" spans="1:30" x14ac:dyDescent="0.25">
      <c r="A214" s="45"/>
      <c r="B214" s="45"/>
      <c r="C214" s="45"/>
      <c r="D214" s="45"/>
      <c r="E214" s="45"/>
      <c r="H214" s="47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X214" s="45"/>
      <c r="Y214" s="45"/>
      <c r="Z214" s="45"/>
      <c r="AA214" s="45"/>
      <c r="AB214" s="45"/>
      <c r="AC214" s="45"/>
      <c r="AD214" s="45"/>
    </row>
    <row r="215" spans="1:30" x14ac:dyDescent="0.25">
      <c r="A215" s="45"/>
      <c r="B215" s="45"/>
      <c r="C215" s="45"/>
      <c r="D215" s="45"/>
      <c r="E215" s="45"/>
      <c r="H215" s="47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X215" s="45"/>
      <c r="Y215" s="45"/>
      <c r="Z215" s="45"/>
      <c r="AA215" s="45"/>
      <c r="AB215" s="45"/>
      <c r="AC215" s="45"/>
      <c r="AD215" s="45"/>
    </row>
    <row r="216" spans="1:30" x14ac:dyDescent="0.25">
      <c r="A216" s="45"/>
      <c r="B216" s="45"/>
      <c r="C216" s="45"/>
      <c r="D216" s="45"/>
      <c r="E216" s="45"/>
      <c r="H216" s="47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X216" s="45"/>
      <c r="Y216" s="45"/>
      <c r="Z216" s="45"/>
      <c r="AA216" s="45"/>
      <c r="AB216" s="45"/>
      <c r="AC216" s="45"/>
      <c r="AD216" s="45"/>
    </row>
    <row r="217" spans="1:30" x14ac:dyDescent="0.25">
      <c r="A217" s="45"/>
      <c r="B217" s="45"/>
      <c r="C217" s="45"/>
      <c r="D217" s="45"/>
      <c r="E217" s="45"/>
      <c r="H217" s="47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X217" s="45"/>
      <c r="Y217" s="45"/>
      <c r="Z217" s="45"/>
      <c r="AA217" s="45"/>
      <c r="AB217" s="45"/>
      <c r="AC217" s="45"/>
      <c r="AD217" s="45"/>
    </row>
    <row r="218" spans="1:30" x14ac:dyDescent="0.25">
      <c r="A218" s="45"/>
      <c r="B218" s="45"/>
      <c r="C218" s="45"/>
      <c r="D218" s="45"/>
      <c r="E218" s="45"/>
      <c r="H218" s="47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X218" s="45"/>
      <c r="Y218" s="45"/>
      <c r="Z218" s="45"/>
      <c r="AA218" s="45"/>
      <c r="AB218" s="45"/>
      <c r="AC218" s="45"/>
      <c r="AD218" s="45"/>
    </row>
    <row r="219" spans="1:30" x14ac:dyDescent="0.25">
      <c r="A219" s="45"/>
      <c r="B219" s="45"/>
      <c r="C219" s="45"/>
      <c r="D219" s="45"/>
      <c r="E219" s="45"/>
      <c r="H219" s="47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X219" s="45"/>
      <c r="Y219" s="45"/>
      <c r="Z219" s="45"/>
      <c r="AA219" s="45"/>
      <c r="AB219" s="45"/>
      <c r="AC219" s="45"/>
      <c r="AD219" s="45"/>
    </row>
    <row r="220" spans="1:30" x14ac:dyDescent="0.25">
      <c r="A220" s="45"/>
      <c r="B220" s="45"/>
      <c r="C220" s="45"/>
      <c r="D220" s="45"/>
      <c r="E220" s="45"/>
      <c r="H220" s="47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X220" s="45"/>
      <c r="Y220" s="45"/>
      <c r="Z220" s="45"/>
      <c r="AA220" s="45"/>
      <c r="AB220" s="45"/>
      <c r="AC220" s="45"/>
      <c r="AD220" s="45"/>
    </row>
    <row r="221" spans="1:30" x14ac:dyDescent="0.25">
      <c r="A221" s="45"/>
      <c r="B221" s="45"/>
      <c r="C221" s="45"/>
      <c r="D221" s="45"/>
      <c r="E221" s="45"/>
      <c r="H221" s="47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X221" s="45"/>
      <c r="Y221" s="45"/>
      <c r="Z221" s="45"/>
      <c r="AA221" s="45"/>
      <c r="AB221" s="45"/>
      <c r="AC221" s="45"/>
      <c r="AD221" s="45"/>
    </row>
    <row r="222" spans="1:30" x14ac:dyDescent="0.25">
      <c r="A222" s="45"/>
      <c r="B222" s="45"/>
      <c r="C222" s="45"/>
      <c r="D222" s="45"/>
      <c r="E222" s="45"/>
      <c r="H222" s="47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X222" s="45"/>
      <c r="Y222" s="45"/>
      <c r="Z222" s="45"/>
      <c r="AA222" s="45"/>
      <c r="AB222" s="45"/>
      <c r="AC222" s="45"/>
      <c r="AD222" s="45"/>
    </row>
    <row r="223" spans="1:30" x14ac:dyDescent="0.25">
      <c r="A223" s="45"/>
      <c r="B223" s="45"/>
      <c r="C223" s="45"/>
      <c r="D223" s="45"/>
      <c r="E223" s="45"/>
      <c r="H223" s="47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X223" s="45"/>
      <c r="Y223" s="45"/>
      <c r="Z223" s="45"/>
      <c r="AA223" s="45"/>
      <c r="AB223" s="45"/>
      <c r="AC223" s="45"/>
      <c r="AD223" s="45"/>
    </row>
    <row r="224" spans="1:30" x14ac:dyDescent="0.25">
      <c r="A224" s="45"/>
      <c r="B224" s="45"/>
      <c r="C224" s="45"/>
      <c r="D224" s="45"/>
      <c r="E224" s="45"/>
      <c r="H224" s="47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X224" s="45"/>
      <c r="Y224" s="45"/>
      <c r="Z224" s="45"/>
      <c r="AA224" s="45"/>
      <c r="AB224" s="45"/>
      <c r="AC224" s="45"/>
      <c r="AD224" s="45"/>
    </row>
    <row r="225" spans="1:30" x14ac:dyDescent="0.25">
      <c r="A225" s="45"/>
      <c r="B225" s="45"/>
      <c r="C225" s="45"/>
      <c r="D225" s="45"/>
      <c r="E225" s="45"/>
      <c r="H225" s="47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X225" s="45"/>
      <c r="Y225" s="45"/>
      <c r="Z225" s="45"/>
      <c r="AA225" s="45"/>
      <c r="AB225" s="45"/>
      <c r="AC225" s="45"/>
      <c r="AD225" s="45"/>
    </row>
    <row r="226" spans="1:30" x14ac:dyDescent="0.25">
      <c r="A226" s="45"/>
      <c r="B226" s="45"/>
      <c r="C226" s="45"/>
      <c r="D226" s="45"/>
      <c r="E226" s="45"/>
      <c r="H226" s="47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X226" s="45"/>
      <c r="Y226" s="45"/>
      <c r="Z226" s="45"/>
      <c r="AA226" s="45"/>
      <c r="AB226" s="45"/>
      <c r="AC226" s="45"/>
      <c r="AD226" s="45"/>
    </row>
    <row r="227" spans="1:30" x14ac:dyDescent="0.25">
      <c r="A227" s="45"/>
      <c r="B227" s="45"/>
      <c r="C227" s="45"/>
      <c r="D227" s="45"/>
      <c r="E227" s="45"/>
      <c r="H227" s="47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X227" s="45"/>
      <c r="Y227" s="45"/>
      <c r="Z227" s="45"/>
      <c r="AA227" s="45"/>
      <c r="AB227" s="45"/>
      <c r="AC227" s="45"/>
      <c r="AD227" s="45"/>
    </row>
    <row r="228" spans="1:30" x14ac:dyDescent="0.25">
      <c r="A228" s="45"/>
      <c r="B228" s="45"/>
      <c r="C228" s="45"/>
      <c r="D228" s="45"/>
      <c r="E228" s="45"/>
      <c r="H228" s="47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X228" s="45"/>
      <c r="Y228" s="45"/>
      <c r="Z228" s="45"/>
      <c r="AA228" s="45"/>
      <c r="AB228" s="45"/>
      <c r="AC228" s="45"/>
      <c r="AD228" s="45"/>
    </row>
    <row r="229" spans="1:30" x14ac:dyDescent="0.25">
      <c r="A229" s="45"/>
      <c r="B229" s="45"/>
      <c r="C229" s="45"/>
      <c r="D229" s="45"/>
      <c r="E229" s="45"/>
      <c r="H229" s="47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X229" s="45"/>
      <c r="Y229" s="45"/>
      <c r="Z229" s="45"/>
      <c r="AA229" s="45"/>
      <c r="AB229" s="45"/>
      <c r="AC229" s="45"/>
      <c r="AD229" s="45"/>
    </row>
    <row r="230" spans="1:30" x14ac:dyDescent="0.25">
      <c r="A230" s="45"/>
      <c r="B230" s="45"/>
      <c r="C230" s="45"/>
      <c r="D230" s="45"/>
      <c r="E230" s="45"/>
      <c r="H230" s="47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X230" s="45"/>
      <c r="Y230" s="45"/>
      <c r="Z230" s="45"/>
      <c r="AA230" s="45"/>
      <c r="AB230" s="45"/>
      <c r="AC230" s="45"/>
      <c r="AD230" s="45"/>
    </row>
    <row r="231" spans="1:30" x14ac:dyDescent="0.25">
      <c r="A231" s="45"/>
      <c r="B231" s="45"/>
      <c r="C231" s="45"/>
      <c r="D231" s="45"/>
      <c r="E231" s="45"/>
      <c r="H231" s="47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X231" s="45"/>
      <c r="Y231" s="45"/>
      <c r="Z231" s="45"/>
      <c r="AA231" s="45"/>
      <c r="AB231" s="45"/>
      <c r="AC231" s="45"/>
      <c r="AD231" s="45"/>
    </row>
    <row r="232" spans="1:30" x14ac:dyDescent="0.25">
      <c r="A232" s="45"/>
      <c r="B232" s="45"/>
      <c r="C232" s="45"/>
      <c r="D232" s="45"/>
      <c r="E232" s="45"/>
      <c r="H232" s="47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X232" s="45"/>
      <c r="Y232" s="45"/>
      <c r="Z232" s="45"/>
      <c r="AA232" s="45"/>
      <c r="AB232" s="45"/>
      <c r="AC232" s="45"/>
      <c r="AD232" s="45"/>
    </row>
    <row r="233" spans="1:30" x14ac:dyDescent="0.25">
      <c r="A233" s="45"/>
      <c r="B233" s="45"/>
      <c r="C233" s="45"/>
      <c r="D233" s="45"/>
      <c r="E233" s="45"/>
      <c r="H233" s="47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X233" s="45"/>
      <c r="Y233" s="45"/>
      <c r="Z233" s="45"/>
      <c r="AA233" s="45"/>
      <c r="AB233" s="45"/>
      <c r="AC233" s="45"/>
      <c r="AD233" s="45"/>
    </row>
    <row r="234" spans="1:30" x14ac:dyDescent="0.25">
      <c r="A234" s="45"/>
      <c r="B234" s="45"/>
      <c r="C234" s="45"/>
      <c r="D234" s="45"/>
      <c r="E234" s="45"/>
      <c r="H234" s="47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X234" s="45"/>
      <c r="Y234" s="45"/>
      <c r="Z234" s="45"/>
      <c r="AA234" s="45"/>
      <c r="AB234" s="45"/>
      <c r="AC234" s="45"/>
      <c r="AD234" s="45"/>
    </row>
    <row r="235" spans="1:30" x14ac:dyDescent="0.25">
      <c r="A235" s="45"/>
      <c r="B235" s="45"/>
      <c r="C235" s="45"/>
      <c r="D235" s="45"/>
      <c r="E235" s="45"/>
      <c r="H235" s="47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X235" s="45"/>
      <c r="Y235" s="45"/>
      <c r="Z235" s="45"/>
      <c r="AA235" s="45"/>
      <c r="AB235" s="45"/>
      <c r="AC235" s="45"/>
      <c r="AD235" s="45"/>
    </row>
    <row r="236" spans="1:30" x14ac:dyDescent="0.25">
      <c r="A236" s="45"/>
      <c r="B236" s="45"/>
      <c r="C236" s="45"/>
      <c r="D236" s="45"/>
      <c r="E236" s="45"/>
      <c r="H236" s="47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X236" s="45"/>
      <c r="Y236" s="45"/>
      <c r="Z236" s="45"/>
      <c r="AA236" s="45"/>
      <c r="AB236" s="45"/>
      <c r="AC236" s="45"/>
      <c r="AD236" s="45"/>
    </row>
    <row r="237" spans="1:30" x14ac:dyDescent="0.25">
      <c r="A237" s="45"/>
      <c r="B237" s="45"/>
      <c r="C237" s="45"/>
      <c r="D237" s="45"/>
      <c r="E237" s="45"/>
      <c r="H237" s="47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X237" s="45"/>
      <c r="Y237" s="45"/>
      <c r="Z237" s="45"/>
      <c r="AA237" s="45"/>
      <c r="AB237" s="45"/>
      <c r="AC237" s="45"/>
      <c r="AD237" s="45"/>
    </row>
    <row r="238" spans="1:30" x14ac:dyDescent="0.25">
      <c r="A238" s="45"/>
      <c r="B238" s="45"/>
      <c r="C238" s="45"/>
      <c r="D238" s="45"/>
      <c r="E238" s="45"/>
      <c r="H238" s="47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X238" s="45"/>
      <c r="Y238" s="45"/>
      <c r="Z238" s="45"/>
      <c r="AA238" s="45"/>
      <c r="AB238" s="45"/>
      <c r="AC238" s="45"/>
      <c r="AD238" s="45"/>
    </row>
    <row r="239" spans="1:30" x14ac:dyDescent="0.25">
      <c r="A239" s="45"/>
      <c r="B239" s="45"/>
      <c r="C239" s="45"/>
      <c r="D239" s="45"/>
      <c r="E239" s="45"/>
      <c r="H239" s="47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X239" s="45"/>
      <c r="Y239" s="45"/>
      <c r="Z239" s="45"/>
      <c r="AA239" s="45"/>
      <c r="AB239" s="45"/>
      <c r="AC239" s="45"/>
      <c r="AD239" s="45"/>
    </row>
    <row r="240" spans="1:30" x14ac:dyDescent="0.25">
      <c r="A240" s="45"/>
      <c r="B240" s="45"/>
      <c r="C240" s="45"/>
      <c r="D240" s="45"/>
      <c r="E240" s="45"/>
      <c r="H240" s="47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X240" s="45"/>
      <c r="Y240" s="45"/>
      <c r="Z240" s="45"/>
      <c r="AA240" s="45"/>
      <c r="AB240" s="45"/>
      <c r="AC240" s="45"/>
      <c r="AD240" s="45"/>
    </row>
    <row r="241" spans="1:30" x14ac:dyDescent="0.25">
      <c r="A241" s="45"/>
      <c r="B241" s="45"/>
      <c r="C241" s="45"/>
      <c r="D241" s="45"/>
      <c r="E241" s="45"/>
      <c r="H241" s="47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X241" s="45"/>
      <c r="Y241" s="45"/>
      <c r="Z241" s="45"/>
      <c r="AA241" s="45"/>
      <c r="AB241" s="45"/>
      <c r="AC241" s="45"/>
      <c r="AD241" s="45"/>
    </row>
    <row r="242" spans="1:30" x14ac:dyDescent="0.25">
      <c r="A242" s="45"/>
      <c r="B242" s="45"/>
      <c r="C242" s="45"/>
      <c r="D242" s="45"/>
      <c r="E242" s="45"/>
      <c r="H242" s="47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X242" s="45"/>
      <c r="Y242" s="45"/>
      <c r="Z242" s="45"/>
      <c r="AA242" s="45"/>
      <c r="AB242" s="45"/>
      <c r="AC242" s="45"/>
      <c r="AD242" s="45"/>
    </row>
    <row r="243" spans="1:30" x14ac:dyDescent="0.25">
      <c r="A243" s="45"/>
      <c r="B243" s="45"/>
      <c r="C243" s="45"/>
      <c r="D243" s="45"/>
      <c r="E243" s="45"/>
      <c r="H243" s="47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X243" s="45"/>
      <c r="Y243" s="45"/>
      <c r="Z243" s="45"/>
      <c r="AA243" s="45"/>
      <c r="AB243" s="45"/>
      <c r="AC243" s="45"/>
      <c r="AD243" s="45"/>
    </row>
    <row r="244" spans="1:30" x14ac:dyDescent="0.25">
      <c r="A244" s="45"/>
      <c r="B244" s="45"/>
      <c r="C244" s="45"/>
      <c r="D244" s="45"/>
      <c r="E244" s="45"/>
      <c r="H244" s="47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X244" s="45"/>
      <c r="Y244" s="45"/>
      <c r="Z244" s="45"/>
      <c r="AA244" s="45"/>
      <c r="AB244" s="45"/>
      <c r="AC244" s="45"/>
      <c r="AD244" s="45"/>
    </row>
    <row r="245" spans="1:30" x14ac:dyDescent="0.25">
      <c r="A245" s="45"/>
      <c r="B245" s="45"/>
      <c r="C245" s="45"/>
      <c r="D245" s="45"/>
      <c r="E245" s="45"/>
      <c r="H245" s="47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X245" s="45"/>
      <c r="Y245" s="45"/>
      <c r="Z245" s="45"/>
      <c r="AA245" s="45"/>
      <c r="AB245" s="45"/>
      <c r="AC245" s="45"/>
      <c r="AD245" s="45"/>
    </row>
    <row r="246" spans="1:30" x14ac:dyDescent="0.25">
      <c r="A246" s="45"/>
      <c r="B246" s="45"/>
      <c r="C246" s="45"/>
      <c r="D246" s="45"/>
      <c r="E246" s="45"/>
      <c r="H246" s="47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X246" s="45"/>
      <c r="Y246" s="45"/>
      <c r="Z246" s="45"/>
      <c r="AA246" s="45"/>
      <c r="AB246" s="45"/>
      <c r="AC246" s="45"/>
      <c r="AD246" s="45"/>
    </row>
    <row r="247" spans="1:30" x14ac:dyDescent="0.25">
      <c r="A247" s="45"/>
      <c r="B247" s="45"/>
      <c r="C247" s="45"/>
      <c r="D247" s="45"/>
      <c r="E247" s="45"/>
      <c r="H247" s="47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X247" s="45"/>
      <c r="Y247" s="45"/>
      <c r="Z247" s="45"/>
      <c r="AA247" s="45"/>
      <c r="AB247" s="45"/>
      <c r="AC247" s="45"/>
      <c r="AD247" s="45"/>
    </row>
    <row r="248" spans="1:30" x14ac:dyDescent="0.25">
      <c r="A248" s="45"/>
      <c r="B248" s="45"/>
      <c r="C248" s="45"/>
      <c r="D248" s="45"/>
      <c r="E248" s="45"/>
      <c r="H248" s="47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X248" s="45"/>
      <c r="Y248" s="45"/>
      <c r="Z248" s="45"/>
      <c r="AA248" s="45"/>
      <c r="AB248" s="45"/>
      <c r="AC248" s="45"/>
      <c r="AD248" s="45"/>
    </row>
    <row r="249" spans="1:30" x14ac:dyDescent="0.25">
      <c r="A249" s="45"/>
      <c r="B249" s="45"/>
      <c r="C249" s="45"/>
      <c r="D249" s="45"/>
      <c r="E249" s="45"/>
      <c r="H249" s="47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X249" s="45"/>
      <c r="Y249" s="45"/>
      <c r="Z249" s="45"/>
      <c r="AA249" s="45"/>
      <c r="AB249" s="45"/>
      <c r="AC249" s="45"/>
      <c r="AD249" s="45"/>
    </row>
    <row r="250" spans="1:30" x14ac:dyDescent="0.25">
      <c r="A250" s="45"/>
      <c r="B250" s="45"/>
      <c r="C250" s="45"/>
      <c r="D250" s="45"/>
      <c r="E250" s="45"/>
      <c r="H250" s="47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X250" s="45"/>
      <c r="Y250" s="45"/>
      <c r="Z250" s="45"/>
      <c r="AA250" s="45"/>
      <c r="AB250" s="45"/>
      <c r="AC250" s="45"/>
      <c r="AD250" s="45"/>
    </row>
    <row r="251" spans="1:30" x14ac:dyDescent="0.25">
      <c r="A251" s="45"/>
      <c r="B251" s="45"/>
      <c r="C251" s="45"/>
      <c r="D251" s="45"/>
      <c r="E251" s="45"/>
      <c r="H251" s="47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X251" s="45"/>
      <c r="Y251" s="45"/>
      <c r="Z251" s="45"/>
      <c r="AA251" s="45"/>
      <c r="AB251" s="45"/>
      <c r="AC251" s="45"/>
      <c r="AD251" s="45"/>
    </row>
    <row r="252" spans="1:30" x14ac:dyDescent="0.25">
      <c r="A252" s="45"/>
      <c r="B252" s="45"/>
      <c r="C252" s="45"/>
      <c r="D252" s="45"/>
      <c r="E252" s="45"/>
      <c r="H252" s="47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X252" s="45"/>
      <c r="Y252" s="45"/>
      <c r="Z252" s="45"/>
      <c r="AA252" s="45"/>
      <c r="AB252" s="45"/>
      <c r="AC252" s="45"/>
      <c r="AD252" s="45"/>
    </row>
    <row r="253" spans="1:30" x14ac:dyDescent="0.25">
      <c r="A253" s="45"/>
      <c r="B253" s="45"/>
      <c r="C253" s="45"/>
      <c r="D253" s="45"/>
      <c r="E253" s="45"/>
      <c r="H253" s="47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X253" s="45"/>
      <c r="Y253" s="45"/>
      <c r="Z253" s="45"/>
      <c r="AA253" s="45"/>
      <c r="AB253" s="45"/>
      <c r="AC253" s="45"/>
      <c r="AD253" s="45"/>
    </row>
    <row r="254" spans="1:30" x14ac:dyDescent="0.25">
      <c r="A254" s="45"/>
      <c r="B254" s="45"/>
      <c r="C254" s="45"/>
      <c r="D254" s="45"/>
      <c r="E254" s="45"/>
      <c r="H254" s="47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X254" s="45"/>
      <c r="Y254" s="45"/>
      <c r="Z254" s="45"/>
      <c r="AA254" s="45"/>
      <c r="AB254" s="45"/>
      <c r="AC254" s="45"/>
      <c r="AD254" s="45"/>
    </row>
    <row r="255" spans="1:30" x14ac:dyDescent="0.25">
      <c r="A255" s="45"/>
      <c r="B255" s="45"/>
      <c r="C255" s="45"/>
      <c r="D255" s="45"/>
      <c r="E255" s="45"/>
      <c r="H255" s="47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X255" s="45"/>
      <c r="Y255" s="45"/>
      <c r="Z255" s="45"/>
      <c r="AA255" s="45"/>
      <c r="AB255" s="45"/>
      <c r="AC255" s="45"/>
      <c r="AD255" s="45"/>
    </row>
    <row r="256" spans="1:30" x14ac:dyDescent="0.25">
      <c r="A256" s="45"/>
      <c r="B256" s="45"/>
      <c r="C256" s="45"/>
      <c r="D256" s="45"/>
      <c r="E256" s="45"/>
      <c r="H256" s="47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X256" s="45"/>
      <c r="Y256" s="45"/>
      <c r="Z256" s="45"/>
      <c r="AA256" s="45"/>
      <c r="AB256" s="45"/>
      <c r="AC256" s="45"/>
      <c r="AD256" s="45"/>
    </row>
    <row r="257" spans="1:30" x14ac:dyDescent="0.25">
      <c r="A257" s="45"/>
      <c r="B257" s="45"/>
      <c r="C257" s="45"/>
      <c r="D257" s="45"/>
      <c r="E257" s="45"/>
      <c r="H257" s="47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X257" s="45"/>
      <c r="Y257" s="45"/>
      <c r="Z257" s="45"/>
      <c r="AA257" s="45"/>
      <c r="AB257" s="45"/>
      <c r="AC257" s="45"/>
      <c r="AD257" s="45"/>
    </row>
    <row r="258" spans="1:30" x14ac:dyDescent="0.25">
      <c r="A258" s="45"/>
      <c r="B258" s="45"/>
      <c r="C258" s="45"/>
      <c r="D258" s="45"/>
      <c r="E258" s="45"/>
      <c r="H258" s="47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X258" s="45"/>
      <c r="Y258" s="45"/>
      <c r="Z258" s="45"/>
      <c r="AA258" s="45"/>
      <c r="AB258" s="45"/>
      <c r="AC258" s="45"/>
      <c r="AD258" s="45"/>
    </row>
    <row r="259" spans="1:30" x14ac:dyDescent="0.25">
      <c r="A259" s="46"/>
      <c r="B259" s="46"/>
      <c r="C259" s="46"/>
      <c r="D259" s="46"/>
      <c r="E259" s="46"/>
      <c r="H259" s="48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X259" s="46"/>
      <c r="Y259" s="46"/>
      <c r="Z259" s="46"/>
      <c r="AA259" s="46"/>
      <c r="AB259" s="46"/>
      <c r="AC259" s="46"/>
      <c r="AD259" s="46"/>
    </row>
    <row r="260" spans="1:30" x14ac:dyDescent="0.25">
      <c r="A260" s="45"/>
      <c r="B260" s="45"/>
      <c r="C260" s="45"/>
      <c r="D260" s="45"/>
      <c r="E260" s="45"/>
      <c r="H260" s="47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X260" s="45"/>
      <c r="Y260" s="45"/>
      <c r="Z260" s="45"/>
      <c r="AA260" s="45"/>
      <c r="AB260" s="45"/>
      <c r="AC260" s="45"/>
      <c r="AD260" s="45"/>
    </row>
    <row r="261" spans="1:30" x14ac:dyDescent="0.25">
      <c r="A261" s="45"/>
      <c r="B261" s="45"/>
      <c r="C261" s="45"/>
      <c r="D261" s="45"/>
      <c r="E261" s="45"/>
      <c r="H261" s="47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X261" s="45"/>
      <c r="Y261" s="45"/>
      <c r="Z261" s="45"/>
      <c r="AA261" s="45"/>
      <c r="AB261" s="45"/>
      <c r="AC261" s="45"/>
      <c r="AD261" s="45"/>
    </row>
    <row r="262" spans="1:30" x14ac:dyDescent="0.25">
      <c r="A262" s="45"/>
      <c r="B262" s="45"/>
      <c r="C262" s="45"/>
      <c r="D262" s="45"/>
      <c r="E262" s="45"/>
      <c r="H262" s="47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X262" s="45"/>
      <c r="Y262" s="45"/>
      <c r="Z262" s="45"/>
      <c r="AA262" s="45"/>
      <c r="AB262" s="45"/>
      <c r="AC262" s="45"/>
      <c r="AD262" s="45"/>
    </row>
    <row r="263" spans="1:30" x14ac:dyDescent="0.25">
      <c r="A263" s="45"/>
      <c r="B263" s="45"/>
      <c r="C263" s="45"/>
      <c r="D263" s="45"/>
      <c r="E263" s="45"/>
      <c r="H263" s="47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X263" s="45"/>
      <c r="Y263" s="45"/>
      <c r="Z263" s="45"/>
      <c r="AA263" s="45"/>
      <c r="AB263" s="45"/>
      <c r="AC263" s="45"/>
      <c r="AD263" s="45"/>
    </row>
    <row r="264" spans="1:30" x14ac:dyDescent="0.25">
      <c r="A264" s="45"/>
      <c r="B264" s="45"/>
      <c r="C264" s="45"/>
      <c r="D264" s="45"/>
      <c r="E264" s="45"/>
      <c r="H264" s="47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X264" s="45"/>
      <c r="Y264" s="45"/>
      <c r="Z264" s="45"/>
      <c r="AA264" s="45"/>
      <c r="AB264" s="45"/>
      <c r="AC264" s="45"/>
      <c r="AD264" s="45"/>
    </row>
    <row r="265" spans="1:30" x14ac:dyDescent="0.25">
      <c r="A265" s="45"/>
      <c r="B265" s="45"/>
      <c r="C265" s="45"/>
      <c r="D265" s="45"/>
      <c r="E265" s="45"/>
      <c r="H265" s="47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X265" s="45"/>
      <c r="Y265" s="45"/>
      <c r="Z265" s="45"/>
      <c r="AA265" s="45"/>
      <c r="AB265" s="45"/>
      <c r="AC265" s="45"/>
      <c r="AD265" s="45"/>
    </row>
    <row r="266" spans="1:30" x14ac:dyDescent="0.25">
      <c r="A266" s="45"/>
      <c r="B266" s="45"/>
      <c r="C266" s="45"/>
      <c r="D266" s="45"/>
      <c r="E266" s="45"/>
      <c r="H266" s="47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X266" s="45"/>
      <c r="Y266" s="45"/>
      <c r="Z266" s="45"/>
      <c r="AA266" s="45"/>
      <c r="AB266" s="45"/>
      <c r="AC266" s="45"/>
      <c r="AD266" s="45"/>
    </row>
    <row r="267" spans="1:30" x14ac:dyDescent="0.25">
      <c r="A267" s="45"/>
      <c r="B267" s="45"/>
      <c r="C267" s="45"/>
      <c r="D267" s="45"/>
      <c r="E267" s="45"/>
      <c r="H267" s="47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X267" s="45"/>
      <c r="Y267" s="45"/>
      <c r="Z267" s="45"/>
      <c r="AA267" s="45"/>
      <c r="AB267" s="45"/>
      <c r="AC267" s="45"/>
      <c r="AD267" s="45"/>
    </row>
    <row r="268" spans="1:30" x14ac:dyDescent="0.25">
      <c r="A268" s="45"/>
      <c r="B268" s="45"/>
      <c r="C268" s="45"/>
      <c r="D268" s="45"/>
      <c r="E268" s="45"/>
      <c r="H268" s="47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X268" s="45"/>
      <c r="Y268" s="45"/>
      <c r="Z268" s="45"/>
      <c r="AA268" s="45"/>
      <c r="AB268" s="45"/>
      <c r="AC268" s="45"/>
      <c r="AD268" s="45"/>
    </row>
    <row r="269" spans="1:30" x14ac:dyDescent="0.25">
      <c r="A269" s="45"/>
      <c r="B269" s="45"/>
      <c r="C269" s="45"/>
      <c r="D269" s="45"/>
      <c r="E269" s="45"/>
      <c r="H269" s="47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X269" s="45"/>
      <c r="Y269" s="45"/>
      <c r="Z269" s="45"/>
      <c r="AA269" s="45"/>
      <c r="AB269" s="45"/>
      <c r="AC269" s="45"/>
      <c r="AD269" s="45"/>
    </row>
    <row r="270" spans="1:30" x14ac:dyDescent="0.25">
      <c r="A270" s="45"/>
      <c r="B270" s="45"/>
      <c r="C270" s="45"/>
      <c r="D270" s="45"/>
      <c r="E270" s="45"/>
      <c r="H270" s="47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X270" s="45"/>
      <c r="Y270" s="45"/>
      <c r="Z270" s="45"/>
      <c r="AA270" s="45"/>
      <c r="AB270" s="45"/>
      <c r="AC270" s="45"/>
      <c r="AD270" s="45"/>
    </row>
    <row r="271" spans="1:30" x14ac:dyDescent="0.25">
      <c r="A271" s="45"/>
      <c r="B271" s="45"/>
      <c r="C271" s="45"/>
      <c r="D271" s="45"/>
      <c r="E271" s="45"/>
      <c r="H271" s="47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X271" s="45"/>
      <c r="Y271" s="45"/>
      <c r="Z271" s="45"/>
      <c r="AA271" s="45"/>
      <c r="AB271" s="45"/>
      <c r="AC271" s="45"/>
      <c r="AD271" s="45"/>
    </row>
    <row r="272" spans="1:30" x14ac:dyDescent="0.25">
      <c r="A272" s="45"/>
      <c r="B272" s="45"/>
      <c r="C272" s="45"/>
      <c r="D272" s="45"/>
      <c r="E272" s="45"/>
      <c r="H272" s="47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X272" s="45"/>
      <c r="Y272" s="45"/>
      <c r="Z272" s="45"/>
      <c r="AA272" s="45"/>
      <c r="AB272" s="45"/>
      <c r="AC272" s="45"/>
      <c r="AD272" s="45"/>
    </row>
    <row r="273" spans="1:30" x14ac:dyDescent="0.25">
      <c r="A273" s="45"/>
      <c r="B273" s="45"/>
      <c r="C273" s="45"/>
      <c r="D273" s="45"/>
      <c r="E273" s="45"/>
      <c r="H273" s="47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X273" s="45"/>
      <c r="Y273" s="45"/>
      <c r="Z273" s="45"/>
      <c r="AA273" s="45"/>
      <c r="AB273" s="45"/>
      <c r="AC273" s="45"/>
      <c r="AD273" s="45"/>
    </row>
    <row r="274" spans="1:30" x14ac:dyDescent="0.25">
      <c r="A274" s="45"/>
      <c r="B274" s="45"/>
      <c r="C274" s="45"/>
      <c r="D274" s="45"/>
      <c r="E274" s="45"/>
      <c r="H274" s="47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X274" s="45"/>
      <c r="Y274" s="45"/>
      <c r="Z274" s="45"/>
      <c r="AA274" s="45"/>
      <c r="AB274" s="45"/>
      <c r="AC274" s="45"/>
      <c r="AD274" s="45"/>
    </row>
    <row r="275" spans="1:30" x14ac:dyDescent="0.25">
      <c r="A275" s="45"/>
      <c r="B275" s="45"/>
      <c r="C275" s="45"/>
      <c r="D275" s="45"/>
      <c r="E275" s="45"/>
      <c r="H275" s="47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X275" s="45"/>
      <c r="Y275" s="45"/>
      <c r="Z275" s="45"/>
      <c r="AA275" s="45"/>
      <c r="AB275" s="45"/>
      <c r="AC275" s="45"/>
      <c r="AD275" s="45"/>
    </row>
    <row r="276" spans="1:30" x14ac:dyDescent="0.25">
      <c r="A276" s="45"/>
      <c r="B276" s="45"/>
      <c r="C276" s="45"/>
      <c r="D276" s="45"/>
      <c r="E276" s="45"/>
      <c r="H276" s="47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X276" s="45"/>
      <c r="Y276" s="45"/>
      <c r="Z276" s="45"/>
      <c r="AA276" s="45"/>
      <c r="AB276" s="45"/>
      <c r="AC276" s="45"/>
      <c r="AD276" s="45"/>
    </row>
    <row r="277" spans="1:30" x14ac:dyDescent="0.25">
      <c r="A277" s="45"/>
      <c r="B277" s="45"/>
      <c r="C277" s="45"/>
      <c r="D277" s="45"/>
      <c r="E277" s="45"/>
      <c r="H277" s="47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X277" s="45"/>
      <c r="Y277" s="45"/>
      <c r="Z277" s="45"/>
      <c r="AA277" s="45"/>
      <c r="AB277" s="45"/>
      <c r="AC277" s="45"/>
      <c r="AD277" s="45"/>
    </row>
    <row r="278" spans="1:30" x14ac:dyDescent="0.25">
      <c r="A278" s="45"/>
      <c r="B278" s="45"/>
      <c r="C278" s="45"/>
      <c r="D278" s="45"/>
      <c r="E278" s="45"/>
      <c r="H278" s="47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X278" s="45"/>
      <c r="Y278" s="45"/>
      <c r="Z278" s="45"/>
      <c r="AA278" s="45"/>
      <c r="AB278" s="45"/>
      <c r="AC278" s="45"/>
      <c r="AD278" s="45"/>
    </row>
    <row r="279" spans="1:30" x14ac:dyDescent="0.25">
      <c r="A279" s="45"/>
      <c r="B279" s="45"/>
      <c r="C279" s="45"/>
      <c r="D279" s="45"/>
      <c r="E279" s="45"/>
      <c r="H279" s="47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X279" s="45"/>
      <c r="Y279" s="45"/>
      <c r="Z279" s="45"/>
      <c r="AA279" s="45"/>
      <c r="AB279" s="45"/>
      <c r="AC279" s="45"/>
      <c r="AD279" s="45"/>
    </row>
    <row r="280" spans="1:30" x14ac:dyDescent="0.25">
      <c r="A280" s="45"/>
      <c r="B280" s="45"/>
      <c r="C280" s="45"/>
      <c r="D280" s="45"/>
      <c r="E280" s="45"/>
      <c r="H280" s="47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X280" s="45"/>
      <c r="Y280" s="45"/>
      <c r="Z280" s="45"/>
      <c r="AA280" s="45"/>
      <c r="AB280" s="45"/>
      <c r="AC280" s="45"/>
      <c r="AD280" s="45"/>
    </row>
    <row r="281" spans="1:30" x14ac:dyDescent="0.25">
      <c r="A281" s="45"/>
      <c r="B281" s="45"/>
      <c r="C281" s="45"/>
      <c r="D281" s="45"/>
      <c r="E281" s="45"/>
      <c r="H281" s="47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X281" s="45"/>
      <c r="Y281" s="45"/>
      <c r="Z281" s="45"/>
      <c r="AA281" s="45"/>
      <c r="AB281" s="45"/>
      <c r="AC281" s="45"/>
      <c r="AD281" s="45"/>
    </row>
    <row r="282" spans="1:30" x14ac:dyDescent="0.25">
      <c r="A282" s="45"/>
      <c r="B282" s="45"/>
      <c r="C282" s="45"/>
      <c r="D282" s="45"/>
      <c r="E282" s="45"/>
      <c r="H282" s="47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X282" s="45"/>
      <c r="Y282" s="45"/>
      <c r="Z282" s="45"/>
      <c r="AA282" s="45"/>
      <c r="AB282" s="45"/>
      <c r="AC282" s="45"/>
      <c r="AD282" s="45"/>
    </row>
    <row r="283" spans="1:30" x14ac:dyDescent="0.25">
      <c r="A283" s="45"/>
      <c r="B283" s="45"/>
      <c r="C283" s="45"/>
      <c r="D283" s="45"/>
      <c r="E283" s="45"/>
      <c r="H283" s="47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X283" s="45"/>
      <c r="Y283" s="45"/>
      <c r="Z283" s="45"/>
      <c r="AA283" s="45"/>
      <c r="AB283" s="45"/>
      <c r="AC283" s="45"/>
      <c r="AD283" s="45"/>
    </row>
    <row r="284" spans="1:30" x14ac:dyDescent="0.25">
      <c r="A284" s="45"/>
      <c r="B284" s="45"/>
      <c r="C284" s="45"/>
      <c r="D284" s="45"/>
      <c r="E284" s="45"/>
      <c r="H284" s="47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X284" s="45"/>
      <c r="Y284" s="45"/>
      <c r="Z284" s="45"/>
      <c r="AA284" s="45"/>
      <c r="AB284" s="45"/>
      <c r="AC284" s="45"/>
      <c r="AD284" s="45"/>
    </row>
    <row r="285" spans="1:30" x14ac:dyDescent="0.25">
      <c r="A285" s="45"/>
      <c r="B285" s="45"/>
      <c r="C285" s="45"/>
      <c r="D285" s="45"/>
      <c r="E285" s="45"/>
      <c r="H285" s="47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X285" s="45"/>
      <c r="Y285" s="45"/>
      <c r="Z285" s="45"/>
      <c r="AA285" s="45"/>
      <c r="AB285" s="45"/>
      <c r="AC285" s="45"/>
      <c r="AD285" s="45"/>
    </row>
    <row r="286" spans="1:30" x14ac:dyDescent="0.25">
      <c r="A286" s="45"/>
      <c r="B286" s="45"/>
      <c r="C286" s="45"/>
      <c r="D286" s="45"/>
      <c r="E286" s="45"/>
      <c r="H286" s="47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X286" s="45"/>
      <c r="Y286" s="45"/>
      <c r="Z286" s="45"/>
      <c r="AA286" s="45"/>
      <c r="AB286" s="45"/>
      <c r="AC286" s="45"/>
      <c r="AD286" s="45"/>
    </row>
    <row r="287" spans="1:30" x14ac:dyDescent="0.25">
      <c r="A287" s="45"/>
      <c r="B287" s="45"/>
      <c r="C287" s="45"/>
      <c r="D287" s="45"/>
      <c r="E287" s="45"/>
      <c r="H287" s="47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X287" s="45"/>
      <c r="Y287" s="45"/>
      <c r="Z287" s="45"/>
      <c r="AA287" s="45"/>
      <c r="AB287" s="45"/>
      <c r="AC287" s="45"/>
      <c r="AD287" s="45"/>
    </row>
    <row r="288" spans="1:30" x14ac:dyDescent="0.25">
      <c r="A288" s="45"/>
      <c r="B288" s="45"/>
      <c r="C288" s="45"/>
      <c r="D288" s="45"/>
      <c r="E288" s="45"/>
      <c r="H288" s="47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X288" s="45"/>
      <c r="Y288" s="45"/>
      <c r="Z288" s="45"/>
      <c r="AA288" s="45"/>
      <c r="AB288" s="45"/>
      <c r="AC288" s="45"/>
      <c r="AD288" s="45"/>
    </row>
    <row r="289" spans="1:30" x14ac:dyDescent="0.25">
      <c r="A289" s="45"/>
      <c r="B289" s="45"/>
      <c r="C289" s="45"/>
      <c r="D289" s="45"/>
      <c r="E289" s="45"/>
      <c r="H289" s="47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X289" s="45"/>
      <c r="Y289" s="45"/>
      <c r="Z289" s="45"/>
      <c r="AA289" s="45"/>
      <c r="AB289" s="45"/>
      <c r="AC289" s="45"/>
      <c r="AD289" s="45"/>
    </row>
    <row r="290" spans="1:30" x14ac:dyDescent="0.25">
      <c r="A290" s="45"/>
      <c r="B290" s="45"/>
      <c r="C290" s="45"/>
      <c r="D290" s="45"/>
      <c r="E290" s="45"/>
      <c r="H290" s="47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X290" s="45"/>
      <c r="Y290" s="45"/>
      <c r="Z290" s="45"/>
      <c r="AA290" s="45"/>
      <c r="AB290" s="45"/>
      <c r="AC290" s="45"/>
      <c r="AD290" s="45"/>
    </row>
    <row r="291" spans="1:30" x14ac:dyDescent="0.25">
      <c r="A291" s="45"/>
      <c r="B291" s="45"/>
      <c r="C291" s="45"/>
      <c r="D291" s="45"/>
      <c r="E291" s="45"/>
      <c r="H291" s="47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X291" s="45"/>
      <c r="Y291" s="45"/>
      <c r="Z291" s="45"/>
      <c r="AA291" s="45"/>
      <c r="AB291" s="45"/>
      <c r="AC291" s="45"/>
      <c r="AD291" s="45"/>
    </row>
    <row r="292" spans="1:30" x14ac:dyDescent="0.25">
      <c r="A292" s="45"/>
      <c r="B292" s="45"/>
      <c r="C292" s="45"/>
      <c r="D292" s="45"/>
      <c r="E292" s="45"/>
      <c r="H292" s="47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X292" s="45"/>
      <c r="Y292" s="45"/>
      <c r="Z292" s="45"/>
      <c r="AA292" s="45"/>
      <c r="AB292" s="45"/>
      <c r="AC292" s="45"/>
      <c r="AD292" s="45"/>
    </row>
    <row r="293" spans="1:30" x14ac:dyDescent="0.25">
      <c r="A293" s="45"/>
      <c r="B293" s="45"/>
      <c r="C293" s="45"/>
      <c r="D293" s="45"/>
      <c r="E293" s="45"/>
      <c r="H293" s="47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X293" s="45"/>
      <c r="Y293" s="45"/>
      <c r="Z293" s="45"/>
      <c r="AA293" s="45"/>
      <c r="AB293" s="45"/>
      <c r="AC293" s="45"/>
      <c r="AD293" s="45"/>
    </row>
    <row r="294" spans="1:30" x14ac:dyDescent="0.25">
      <c r="A294" s="45"/>
      <c r="B294" s="45"/>
      <c r="C294" s="45"/>
      <c r="D294" s="45"/>
      <c r="E294" s="45"/>
      <c r="H294" s="47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X294" s="45"/>
      <c r="Y294" s="45"/>
      <c r="Z294" s="45"/>
      <c r="AA294" s="45"/>
      <c r="AB294" s="45"/>
      <c r="AC294" s="45"/>
      <c r="AD294" s="45"/>
    </row>
    <row r="295" spans="1:30" x14ac:dyDescent="0.25">
      <c r="A295" s="45"/>
      <c r="B295" s="45"/>
      <c r="C295" s="45"/>
      <c r="D295" s="45"/>
      <c r="E295" s="45"/>
      <c r="H295" s="47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X295" s="45"/>
      <c r="Y295" s="45"/>
      <c r="Z295" s="45"/>
      <c r="AA295" s="45"/>
      <c r="AB295" s="45"/>
      <c r="AC295" s="45"/>
      <c r="AD295" s="45"/>
    </row>
    <row r="296" spans="1:30" x14ac:dyDescent="0.25">
      <c r="A296" s="45"/>
      <c r="B296" s="45"/>
      <c r="C296" s="45"/>
      <c r="D296" s="45"/>
      <c r="E296" s="45"/>
      <c r="H296" s="47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X296" s="45"/>
      <c r="Y296" s="45"/>
      <c r="Z296" s="45"/>
      <c r="AA296" s="45"/>
      <c r="AB296" s="45"/>
      <c r="AC296" s="45"/>
      <c r="AD296" s="45"/>
    </row>
    <row r="297" spans="1:30" x14ac:dyDescent="0.25">
      <c r="A297" s="45"/>
      <c r="B297" s="45"/>
      <c r="C297" s="45"/>
      <c r="D297" s="45"/>
      <c r="E297" s="45"/>
      <c r="H297" s="47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X297" s="45"/>
      <c r="Y297" s="45"/>
      <c r="Z297" s="45"/>
      <c r="AA297" s="45"/>
      <c r="AB297" s="45"/>
      <c r="AC297" s="45"/>
      <c r="AD297" s="45"/>
    </row>
    <row r="298" spans="1:30" x14ac:dyDescent="0.25">
      <c r="A298" s="45"/>
      <c r="B298" s="45"/>
      <c r="C298" s="45"/>
      <c r="D298" s="45"/>
      <c r="E298" s="45"/>
      <c r="H298" s="47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X298" s="45"/>
      <c r="Y298" s="45"/>
      <c r="Z298" s="45"/>
      <c r="AA298" s="45"/>
      <c r="AB298" s="45"/>
      <c r="AC298" s="45"/>
      <c r="AD298" s="45"/>
    </row>
    <row r="299" spans="1:30" x14ac:dyDescent="0.25">
      <c r="A299" s="45"/>
      <c r="B299" s="45"/>
      <c r="C299" s="45"/>
      <c r="D299" s="45"/>
      <c r="E299" s="45"/>
      <c r="H299" s="47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X299" s="45"/>
      <c r="Y299" s="45"/>
      <c r="Z299" s="45"/>
      <c r="AA299" s="45"/>
      <c r="AB299" s="45"/>
      <c r="AC299" s="45"/>
      <c r="AD299" s="45"/>
    </row>
    <row r="300" spans="1:30" x14ac:dyDescent="0.25">
      <c r="A300" s="45"/>
      <c r="B300" s="45"/>
      <c r="C300" s="45"/>
      <c r="D300" s="45"/>
      <c r="E300" s="45"/>
      <c r="H300" s="47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X300" s="45"/>
      <c r="Y300" s="45"/>
      <c r="Z300" s="45"/>
      <c r="AA300" s="45"/>
      <c r="AB300" s="45"/>
      <c r="AC300" s="45"/>
      <c r="AD300" s="45"/>
    </row>
    <row r="301" spans="1:30" x14ac:dyDescent="0.25">
      <c r="A301" s="45"/>
      <c r="B301" s="45"/>
      <c r="C301" s="45"/>
      <c r="D301" s="45"/>
      <c r="E301" s="45"/>
      <c r="H301" s="47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X301" s="45"/>
      <c r="Y301" s="45"/>
      <c r="Z301" s="45"/>
      <c r="AA301" s="45"/>
      <c r="AB301" s="45"/>
      <c r="AC301" s="45"/>
      <c r="AD301" s="45"/>
    </row>
    <row r="302" spans="1:30" x14ac:dyDescent="0.25">
      <c r="A302" s="45"/>
      <c r="B302" s="45"/>
      <c r="C302" s="45"/>
      <c r="D302" s="45"/>
      <c r="E302" s="45"/>
      <c r="H302" s="47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X302" s="45"/>
      <c r="Y302" s="45"/>
      <c r="Z302" s="45"/>
      <c r="AA302" s="45"/>
      <c r="AB302" s="45"/>
      <c r="AC302" s="45"/>
      <c r="AD302" s="45"/>
    </row>
    <row r="303" spans="1:30" x14ac:dyDescent="0.25">
      <c r="A303" s="45"/>
      <c r="B303" s="45"/>
      <c r="C303" s="45"/>
      <c r="D303" s="45"/>
      <c r="E303" s="45"/>
      <c r="H303" s="47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X303" s="45"/>
      <c r="Y303" s="45"/>
      <c r="Z303" s="45"/>
      <c r="AA303" s="45"/>
      <c r="AB303" s="45"/>
      <c r="AC303" s="45"/>
      <c r="AD303" s="45"/>
    </row>
    <row r="304" spans="1:30" x14ac:dyDescent="0.25">
      <c r="A304" s="45"/>
      <c r="B304" s="45"/>
      <c r="C304" s="45"/>
      <c r="D304" s="45"/>
      <c r="E304" s="45"/>
      <c r="H304" s="47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X304" s="45"/>
      <c r="Y304" s="45"/>
      <c r="Z304" s="45"/>
      <c r="AA304" s="45"/>
      <c r="AB304" s="45"/>
      <c r="AC304" s="45"/>
      <c r="AD304" s="45"/>
    </row>
    <row r="305" spans="1:30" x14ac:dyDescent="0.25">
      <c r="A305" s="45"/>
      <c r="B305" s="45"/>
      <c r="C305" s="45"/>
      <c r="D305" s="45"/>
      <c r="E305" s="45"/>
      <c r="H305" s="47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X305" s="45"/>
      <c r="Y305" s="45"/>
      <c r="Z305" s="45"/>
      <c r="AA305" s="45"/>
      <c r="AB305" s="45"/>
      <c r="AC305" s="45"/>
      <c r="AD305" s="45"/>
    </row>
    <row r="306" spans="1:30" x14ac:dyDescent="0.25">
      <c r="A306" s="45"/>
      <c r="B306" s="45"/>
      <c r="C306" s="45"/>
      <c r="D306" s="45"/>
      <c r="E306" s="45"/>
      <c r="H306" s="47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X306" s="45"/>
      <c r="Y306" s="45"/>
      <c r="Z306" s="45"/>
      <c r="AA306" s="45"/>
      <c r="AB306" s="45"/>
      <c r="AC306" s="45"/>
      <c r="AD306" s="45"/>
    </row>
    <row r="307" spans="1:30" x14ac:dyDescent="0.25">
      <c r="A307" s="45"/>
      <c r="B307" s="45"/>
      <c r="C307" s="45"/>
      <c r="D307" s="45"/>
      <c r="E307" s="45"/>
      <c r="H307" s="47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X307" s="45"/>
      <c r="Y307" s="45"/>
      <c r="Z307" s="45"/>
      <c r="AA307" s="45"/>
      <c r="AB307" s="45"/>
      <c r="AC307" s="45"/>
      <c r="AD307" s="45"/>
    </row>
    <row r="308" spans="1:30" x14ac:dyDescent="0.25">
      <c r="A308" s="45"/>
      <c r="B308" s="45"/>
      <c r="C308" s="45"/>
      <c r="D308" s="45"/>
      <c r="E308" s="45"/>
      <c r="H308" s="47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X308" s="45"/>
      <c r="Y308" s="45"/>
      <c r="Z308" s="45"/>
      <c r="AA308" s="45"/>
      <c r="AB308" s="45"/>
      <c r="AC308" s="45"/>
      <c r="AD308" s="45"/>
    </row>
    <row r="309" spans="1:30" x14ac:dyDescent="0.25">
      <c r="A309" s="45"/>
      <c r="B309" s="45"/>
      <c r="C309" s="45"/>
      <c r="D309" s="45"/>
      <c r="E309" s="45"/>
      <c r="H309" s="47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X309" s="45"/>
      <c r="Y309" s="45"/>
      <c r="Z309" s="45"/>
      <c r="AA309" s="45"/>
      <c r="AB309" s="45"/>
      <c r="AC309" s="45"/>
      <c r="AD309" s="45"/>
    </row>
    <row r="310" spans="1:30" x14ac:dyDescent="0.25">
      <c r="A310" s="45"/>
      <c r="B310" s="45"/>
      <c r="C310" s="45"/>
      <c r="D310" s="45"/>
      <c r="E310" s="45"/>
      <c r="H310" s="47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X310" s="45"/>
      <c r="Y310" s="45"/>
      <c r="Z310" s="45"/>
      <c r="AA310" s="45"/>
      <c r="AB310" s="45"/>
      <c r="AC310" s="45"/>
      <c r="AD310" s="45"/>
    </row>
    <row r="311" spans="1:30" x14ac:dyDescent="0.25">
      <c r="A311" s="45"/>
      <c r="B311" s="45"/>
      <c r="C311" s="45"/>
      <c r="D311" s="45"/>
      <c r="E311" s="45"/>
      <c r="H311" s="47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X311" s="45"/>
      <c r="Y311" s="45"/>
      <c r="Z311" s="45"/>
      <c r="AA311" s="45"/>
      <c r="AB311" s="45"/>
      <c r="AC311" s="45"/>
      <c r="AD311" s="45"/>
    </row>
    <row r="312" spans="1:30" x14ac:dyDescent="0.25">
      <c r="A312" s="45"/>
      <c r="B312" s="45"/>
      <c r="C312" s="45"/>
      <c r="D312" s="45"/>
      <c r="E312" s="45"/>
      <c r="H312" s="47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X312" s="45"/>
      <c r="Y312" s="45"/>
      <c r="Z312" s="45"/>
      <c r="AA312" s="45"/>
      <c r="AB312" s="45"/>
      <c r="AC312" s="45"/>
      <c r="AD312" s="45"/>
    </row>
    <row r="313" spans="1:30" x14ac:dyDescent="0.25">
      <c r="A313" s="45"/>
      <c r="B313" s="45"/>
      <c r="C313" s="45"/>
      <c r="D313" s="45"/>
      <c r="E313" s="45"/>
      <c r="H313" s="47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X313" s="45"/>
      <c r="Y313" s="45"/>
      <c r="Z313" s="45"/>
      <c r="AA313" s="45"/>
      <c r="AB313" s="45"/>
      <c r="AC313" s="45"/>
      <c r="AD313" s="45"/>
    </row>
    <row r="314" spans="1:30" x14ac:dyDescent="0.25">
      <c r="A314" s="45"/>
      <c r="B314" s="45"/>
      <c r="C314" s="45"/>
      <c r="D314" s="45"/>
      <c r="E314" s="45"/>
      <c r="H314" s="47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X314" s="45"/>
      <c r="Y314" s="45"/>
      <c r="Z314" s="45"/>
      <c r="AA314" s="45"/>
      <c r="AB314" s="45"/>
      <c r="AC314" s="45"/>
      <c r="AD314" s="45"/>
    </row>
    <row r="315" spans="1:30" x14ac:dyDescent="0.25">
      <c r="A315" s="45"/>
      <c r="B315" s="45"/>
      <c r="C315" s="45"/>
      <c r="D315" s="45"/>
      <c r="E315" s="45"/>
      <c r="H315" s="47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X315" s="45"/>
      <c r="Y315" s="45"/>
      <c r="Z315" s="45"/>
      <c r="AA315" s="45"/>
      <c r="AB315" s="45"/>
      <c r="AC315" s="45"/>
      <c r="AD315" s="45"/>
    </row>
    <row r="316" spans="1:30" x14ac:dyDescent="0.25">
      <c r="A316" s="45"/>
      <c r="B316" s="45"/>
      <c r="C316" s="45"/>
      <c r="D316" s="45"/>
      <c r="E316" s="45"/>
      <c r="H316" s="47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X316" s="45"/>
      <c r="Y316" s="45"/>
      <c r="Z316" s="45"/>
      <c r="AA316" s="45"/>
      <c r="AB316" s="45"/>
      <c r="AC316" s="45"/>
      <c r="AD316" s="45"/>
    </row>
    <row r="317" spans="1:30" x14ac:dyDescent="0.25">
      <c r="A317" s="45"/>
      <c r="B317" s="45"/>
      <c r="C317" s="45"/>
      <c r="D317" s="45"/>
      <c r="E317" s="45"/>
      <c r="H317" s="47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X317" s="45"/>
      <c r="Y317" s="45"/>
      <c r="Z317" s="45"/>
      <c r="AA317" s="45"/>
      <c r="AB317" s="45"/>
      <c r="AC317" s="45"/>
      <c r="AD317" s="45"/>
    </row>
    <row r="318" spans="1:30" x14ac:dyDescent="0.25">
      <c r="A318" s="45"/>
      <c r="B318" s="45"/>
      <c r="C318" s="45"/>
      <c r="D318" s="45"/>
      <c r="E318" s="45"/>
      <c r="H318" s="47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X318" s="45"/>
      <c r="Y318" s="45"/>
      <c r="Z318" s="45"/>
      <c r="AA318" s="45"/>
      <c r="AB318" s="45"/>
      <c r="AC318" s="45"/>
      <c r="AD318" s="45"/>
    </row>
    <row r="319" spans="1:30" x14ac:dyDescent="0.25">
      <c r="A319" s="45"/>
      <c r="B319" s="45"/>
      <c r="C319" s="45"/>
      <c r="D319" s="45"/>
      <c r="E319" s="45"/>
      <c r="H319" s="47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X319" s="45"/>
      <c r="Y319" s="45"/>
      <c r="Z319" s="45"/>
      <c r="AA319" s="45"/>
      <c r="AB319" s="45"/>
      <c r="AC319" s="45"/>
      <c r="AD319" s="45"/>
    </row>
    <row r="320" spans="1:30" x14ac:dyDescent="0.25">
      <c r="A320" s="45"/>
      <c r="B320" s="45"/>
      <c r="C320" s="45"/>
      <c r="D320" s="45"/>
      <c r="E320" s="45"/>
      <c r="H320" s="47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X320" s="45"/>
      <c r="Y320" s="45"/>
      <c r="Z320" s="45"/>
      <c r="AA320" s="45"/>
      <c r="AB320" s="45"/>
      <c r="AC320" s="45"/>
      <c r="AD320" s="45"/>
    </row>
    <row r="321" spans="1:30" x14ac:dyDescent="0.25">
      <c r="A321" s="45"/>
      <c r="B321" s="45"/>
      <c r="C321" s="45"/>
      <c r="D321" s="45"/>
      <c r="E321" s="45"/>
      <c r="H321" s="47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X321" s="45"/>
      <c r="Y321" s="45"/>
      <c r="Z321" s="45"/>
      <c r="AA321" s="45"/>
      <c r="AB321" s="45"/>
      <c r="AC321" s="45"/>
      <c r="AD321" s="45"/>
    </row>
    <row r="322" spans="1:30" x14ac:dyDescent="0.25">
      <c r="A322" s="45"/>
      <c r="B322" s="45"/>
      <c r="C322" s="45"/>
      <c r="D322" s="45"/>
      <c r="E322" s="45"/>
      <c r="H322" s="47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X322" s="45"/>
      <c r="Y322" s="45"/>
      <c r="Z322" s="45"/>
      <c r="AA322" s="45"/>
      <c r="AB322" s="45"/>
      <c r="AC322" s="45"/>
      <c r="AD322" s="45"/>
    </row>
    <row r="323" spans="1:30" x14ac:dyDescent="0.25">
      <c r="A323" s="45"/>
      <c r="B323" s="45"/>
      <c r="C323" s="45"/>
      <c r="D323" s="45"/>
      <c r="E323" s="45"/>
      <c r="H323" s="47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X323" s="45"/>
      <c r="Y323" s="45"/>
      <c r="Z323" s="45"/>
      <c r="AA323" s="45"/>
      <c r="AB323" s="45"/>
      <c r="AC323" s="45"/>
      <c r="AD323" s="45"/>
    </row>
    <row r="324" spans="1:30" x14ac:dyDescent="0.25">
      <c r="A324" s="45"/>
      <c r="B324" s="45"/>
      <c r="C324" s="45"/>
      <c r="D324" s="45"/>
      <c r="E324" s="45"/>
      <c r="H324" s="47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X324" s="45"/>
      <c r="Y324" s="45"/>
      <c r="Z324" s="45"/>
      <c r="AA324" s="45"/>
      <c r="AB324" s="45"/>
      <c r="AC324" s="45"/>
      <c r="AD324" s="45"/>
    </row>
    <row r="325" spans="1:30" x14ac:dyDescent="0.25">
      <c r="A325" s="45"/>
      <c r="B325" s="45"/>
      <c r="C325" s="45"/>
      <c r="D325" s="45"/>
      <c r="E325" s="45"/>
      <c r="H325" s="47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X325" s="45"/>
      <c r="Y325" s="45"/>
      <c r="Z325" s="45"/>
      <c r="AA325" s="45"/>
      <c r="AB325" s="45"/>
      <c r="AC325" s="45"/>
      <c r="AD325" s="45"/>
    </row>
    <row r="326" spans="1:30" x14ac:dyDescent="0.25">
      <c r="A326" s="45"/>
      <c r="B326" s="45"/>
      <c r="C326" s="45"/>
      <c r="D326" s="45"/>
      <c r="E326" s="45"/>
      <c r="H326" s="47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X326" s="45"/>
      <c r="Y326" s="45"/>
      <c r="Z326" s="45"/>
      <c r="AA326" s="45"/>
      <c r="AB326" s="45"/>
      <c r="AC326" s="45"/>
      <c r="AD326" s="45"/>
    </row>
    <row r="327" spans="1:30" x14ac:dyDescent="0.25">
      <c r="A327" s="45"/>
      <c r="B327" s="45"/>
      <c r="C327" s="45"/>
      <c r="D327" s="45"/>
      <c r="E327" s="45"/>
      <c r="H327" s="47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X327" s="45"/>
      <c r="Y327" s="45"/>
      <c r="Z327" s="45"/>
      <c r="AA327" s="45"/>
      <c r="AB327" s="45"/>
      <c r="AC327" s="45"/>
      <c r="AD327" s="45"/>
    </row>
    <row r="328" spans="1:30" x14ac:dyDescent="0.25">
      <c r="A328" s="45"/>
      <c r="B328" s="45"/>
      <c r="C328" s="45"/>
      <c r="D328" s="45"/>
      <c r="E328" s="45"/>
      <c r="H328" s="47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X328" s="45"/>
      <c r="Y328" s="45"/>
      <c r="Z328" s="45"/>
      <c r="AA328" s="45"/>
      <c r="AB328" s="45"/>
      <c r="AC328" s="45"/>
      <c r="AD328" s="45"/>
    </row>
    <row r="329" spans="1:30" x14ac:dyDescent="0.25">
      <c r="A329" s="45"/>
      <c r="B329" s="45"/>
      <c r="C329" s="45"/>
      <c r="D329" s="45"/>
      <c r="E329" s="45"/>
      <c r="H329" s="47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X329" s="45"/>
      <c r="Y329" s="45"/>
      <c r="Z329" s="45"/>
      <c r="AA329" s="45"/>
      <c r="AB329" s="45"/>
      <c r="AC329" s="45"/>
      <c r="AD329" s="45"/>
    </row>
    <row r="330" spans="1:30" x14ac:dyDescent="0.25">
      <c r="A330" s="45"/>
      <c r="B330" s="45"/>
      <c r="C330" s="45"/>
      <c r="D330" s="45"/>
      <c r="E330" s="45"/>
      <c r="H330" s="47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X330" s="45"/>
      <c r="Y330" s="45"/>
      <c r="Z330" s="45"/>
      <c r="AA330" s="45"/>
      <c r="AB330" s="45"/>
      <c r="AC330" s="45"/>
      <c r="AD330" s="45"/>
    </row>
    <row r="331" spans="1:30" x14ac:dyDescent="0.25">
      <c r="A331" s="45"/>
      <c r="B331" s="45"/>
      <c r="C331" s="45"/>
      <c r="D331" s="45"/>
      <c r="E331" s="45"/>
      <c r="H331" s="47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X331" s="45"/>
      <c r="Y331" s="45"/>
      <c r="Z331" s="45"/>
      <c r="AA331" s="45"/>
      <c r="AB331" s="45"/>
      <c r="AC331" s="45"/>
      <c r="AD331" s="45"/>
    </row>
    <row r="332" spans="1:30" x14ac:dyDescent="0.25">
      <c r="A332" s="45"/>
      <c r="B332" s="45"/>
      <c r="C332" s="45"/>
      <c r="D332" s="45"/>
      <c r="E332" s="45"/>
      <c r="H332" s="47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X332" s="45"/>
      <c r="Y332" s="45"/>
      <c r="Z332" s="45"/>
      <c r="AA332" s="45"/>
      <c r="AB332" s="45"/>
      <c r="AC332" s="45"/>
      <c r="AD332" s="45"/>
    </row>
    <row r="333" spans="1:30" x14ac:dyDescent="0.25">
      <c r="A333" s="45"/>
      <c r="B333" s="45"/>
      <c r="C333" s="45"/>
      <c r="D333" s="45"/>
      <c r="E333" s="45"/>
      <c r="H333" s="47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X333" s="45"/>
      <c r="Y333" s="45"/>
      <c r="Z333" s="45"/>
      <c r="AA333" s="45"/>
      <c r="AB333" s="45"/>
      <c r="AC333" s="45"/>
      <c r="AD333" s="45"/>
    </row>
    <row r="334" spans="1:30" x14ac:dyDescent="0.25">
      <c r="A334" s="45"/>
      <c r="B334" s="45"/>
      <c r="C334" s="45"/>
      <c r="D334" s="45"/>
      <c r="E334" s="45"/>
      <c r="H334" s="47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X334" s="45"/>
      <c r="Y334" s="45"/>
      <c r="Z334" s="45"/>
      <c r="AA334" s="45"/>
      <c r="AB334" s="45"/>
      <c r="AC334" s="45"/>
      <c r="AD334" s="45"/>
    </row>
    <row r="335" spans="1:30" x14ac:dyDescent="0.25">
      <c r="A335" s="45"/>
      <c r="B335" s="45"/>
      <c r="C335" s="45"/>
      <c r="D335" s="45"/>
      <c r="E335" s="45"/>
      <c r="H335" s="47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X335" s="45"/>
      <c r="Y335" s="45"/>
      <c r="Z335" s="45"/>
      <c r="AA335" s="45"/>
      <c r="AB335" s="45"/>
      <c r="AC335" s="45"/>
      <c r="AD335" s="45"/>
    </row>
    <row r="336" spans="1:30" x14ac:dyDescent="0.25">
      <c r="A336" s="45"/>
      <c r="B336" s="45"/>
      <c r="C336" s="45"/>
      <c r="D336" s="45"/>
      <c r="E336" s="45"/>
      <c r="H336" s="47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X336" s="45"/>
      <c r="Y336" s="45"/>
      <c r="Z336" s="45"/>
      <c r="AA336" s="45"/>
      <c r="AB336" s="45"/>
      <c r="AC336" s="45"/>
      <c r="AD336" s="45"/>
    </row>
    <row r="337" spans="1:30" x14ac:dyDescent="0.25">
      <c r="A337" s="45"/>
      <c r="B337" s="45"/>
      <c r="C337" s="45"/>
      <c r="D337" s="45"/>
      <c r="E337" s="45"/>
      <c r="H337" s="47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X337" s="45"/>
      <c r="Y337" s="45"/>
      <c r="Z337" s="45"/>
      <c r="AA337" s="45"/>
      <c r="AB337" s="45"/>
      <c r="AC337" s="45"/>
      <c r="AD337" s="45"/>
    </row>
    <row r="338" spans="1:30" x14ac:dyDescent="0.25">
      <c r="A338" s="45"/>
      <c r="B338" s="45"/>
      <c r="C338" s="45"/>
      <c r="D338" s="45"/>
      <c r="E338" s="45"/>
      <c r="H338" s="47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X338" s="45"/>
      <c r="Y338" s="45"/>
      <c r="Z338" s="45"/>
      <c r="AA338" s="45"/>
      <c r="AB338" s="45"/>
      <c r="AC338" s="45"/>
      <c r="AD338" s="45"/>
    </row>
    <row r="339" spans="1:30" x14ac:dyDescent="0.25">
      <c r="A339" s="45"/>
      <c r="B339" s="45"/>
      <c r="C339" s="45"/>
      <c r="D339" s="45"/>
      <c r="E339" s="45"/>
      <c r="H339" s="47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X339" s="45"/>
      <c r="Y339" s="45"/>
      <c r="Z339" s="45"/>
      <c r="AA339" s="45"/>
      <c r="AB339" s="45"/>
      <c r="AC339" s="45"/>
      <c r="AD339" s="45"/>
    </row>
    <row r="340" spans="1:30" x14ac:dyDescent="0.25">
      <c r="A340" s="45"/>
      <c r="B340" s="45"/>
      <c r="C340" s="45"/>
      <c r="D340" s="45"/>
      <c r="E340" s="45"/>
      <c r="H340" s="47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X340" s="45"/>
      <c r="Y340" s="45"/>
      <c r="Z340" s="45"/>
      <c r="AA340" s="45"/>
      <c r="AB340" s="45"/>
      <c r="AC340" s="45"/>
      <c r="AD340" s="45"/>
    </row>
    <row r="341" spans="1:30" x14ac:dyDescent="0.25">
      <c r="A341" s="45"/>
      <c r="B341" s="45"/>
      <c r="C341" s="45"/>
      <c r="D341" s="45"/>
      <c r="E341" s="45"/>
      <c r="H341" s="47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X341" s="45"/>
      <c r="Y341" s="45"/>
      <c r="Z341" s="45"/>
      <c r="AA341" s="45"/>
      <c r="AB341" s="45"/>
      <c r="AC341" s="45"/>
      <c r="AD341" s="45"/>
    </row>
    <row r="342" spans="1:30" x14ac:dyDescent="0.25">
      <c r="A342" s="45"/>
      <c r="B342" s="45"/>
      <c r="C342" s="45"/>
      <c r="D342" s="45"/>
      <c r="E342" s="45"/>
      <c r="H342" s="47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X342" s="45"/>
      <c r="Y342" s="45"/>
      <c r="Z342" s="45"/>
      <c r="AA342" s="45"/>
      <c r="AB342" s="45"/>
      <c r="AC342" s="45"/>
      <c r="AD342" s="45"/>
    </row>
    <row r="343" spans="1:30" x14ac:dyDescent="0.25">
      <c r="A343" s="45"/>
      <c r="B343" s="45"/>
      <c r="C343" s="45"/>
      <c r="D343" s="45"/>
      <c r="E343" s="45"/>
      <c r="H343" s="47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X343" s="45"/>
      <c r="Y343" s="45"/>
      <c r="Z343" s="45"/>
      <c r="AA343" s="45"/>
      <c r="AB343" s="45"/>
      <c r="AC343" s="45"/>
      <c r="AD343" s="45"/>
    </row>
    <row r="344" spans="1:30" x14ac:dyDescent="0.25">
      <c r="A344" s="45"/>
      <c r="B344" s="45"/>
      <c r="C344" s="45"/>
      <c r="D344" s="45"/>
      <c r="E344" s="45"/>
      <c r="H344" s="47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X344" s="45"/>
      <c r="Y344" s="45"/>
      <c r="Z344" s="45"/>
      <c r="AA344" s="45"/>
      <c r="AB344" s="45"/>
      <c r="AC344" s="45"/>
      <c r="AD344" s="45"/>
    </row>
    <row r="345" spans="1:30" x14ac:dyDescent="0.25">
      <c r="A345" s="45"/>
      <c r="B345" s="45"/>
      <c r="C345" s="45"/>
      <c r="D345" s="45"/>
      <c r="E345" s="45"/>
      <c r="H345" s="47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X345" s="45"/>
      <c r="Y345" s="45"/>
      <c r="Z345" s="45"/>
      <c r="AA345" s="45"/>
      <c r="AB345" s="45"/>
      <c r="AC345" s="45"/>
      <c r="AD345" s="45"/>
    </row>
    <row r="346" spans="1:30" x14ac:dyDescent="0.25">
      <c r="A346" s="45"/>
      <c r="B346" s="45"/>
      <c r="C346" s="45"/>
      <c r="D346" s="45"/>
      <c r="E346" s="45"/>
      <c r="H346" s="47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X346" s="45"/>
      <c r="Y346" s="45"/>
      <c r="Z346" s="45"/>
      <c r="AA346" s="45"/>
      <c r="AB346" s="45"/>
      <c r="AC346" s="45"/>
      <c r="AD346" s="45"/>
    </row>
    <row r="347" spans="1:30" x14ac:dyDescent="0.25">
      <c r="A347" s="45"/>
      <c r="B347" s="45"/>
      <c r="C347" s="45"/>
      <c r="D347" s="45"/>
      <c r="E347" s="45"/>
      <c r="H347" s="47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X347" s="45"/>
      <c r="Y347" s="45"/>
      <c r="Z347" s="45"/>
      <c r="AA347" s="45"/>
      <c r="AB347" s="45"/>
      <c r="AC347" s="45"/>
      <c r="AD347" s="45"/>
    </row>
    <row r="348" spans="1:30" x14ac:dyDescent="0.25">
      <c r="A348" s="45"/>
      <c r="B348" s="45"/>
      <c r="C348" s="45"/>
      <c r="D348" s="45"/>
      <c r="E348" s="45"/>
      <c r="H348" s="47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X348" s="45"/>
      <c r="Y348" s="45"/>
      <c r="Z348" s="45"/>
      <c r="AA348" s="45"/>
      <c r="AB348" s="45"/>
      <c r="AC348" s="45"/>
      <c r="AD348" s="45"/>
    </row>
    <row r="349" spans="1:30" x14ac:dyDescent="0.25">
      <c r="A349" s="45"/>
      <c r="B349" s="45"/>
      <c r="C349" s="45"/>
      <c r="D349" s="45"/>
      <c r="E349" s="45"/>
      <c r="H349" s="47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X349" s="45"/>
      <c r="Y349" s="45"/>
      <c r="Z349" s="45"/>
      <c r="AA349" s="45"/>
      <c r="AB349" s="45"/>
      <c r="AC349" s="45"/>
      <c r="AD349" s="45"/>
    </row>
    <row r="350" spans="1:30" x14ac:dyDescent="0.25">
      <c r="A350" s="45"/>
      <c r="B350" s="45"/>
      <c r="C350" s="45"/>
      <c r="D350" s="45"/>
      <c r="E350" s="45"/>
      <c r="H350" s="47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X350" s="45"/>
      <c r="Y350" s="45"/>
      <c r="Z350" s="45"/>
      <c r="AA350" s="45"/>
      <c r="AB350" s="45"/>
      <c r="AC350" s="45"/>
      <c r="AD350" s="45"/>
    </row>
    <row r="351" spans="1:30" x14ac:dyDescent="0.25">
      <c r="A351" s="45"/>
      <c r="B351" s="45"/>
      <c r="C351" s="45"/>
      <c r="D351" s="45"/>
      <c r="E351" s="45"/>
      <c r="H351" s="47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X351" s="45"/>
      <c r="Y351" s="45"/>
      <c r="Z351" s="45"/>
      <c r="AA351" s="45"/>
      <c r="AB351" s="45"/>
      <c r="AC351" s="45"/>
      <c r="AD351" s="45"/>
    </row>
    <row r="352" spans="1:30" x14ac:dyDescent="0.25">
      <c r="A352" s="45"/>
      <c r="B352" s="45"/>
      <c r="C352" s="45"/>
      <c r="D352" s="45"/>
      <c r="E352" s="45"/>
      <c r="H352" s="47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X352" s="45"/>
      <c r="Y352" s="45"/>
      <c r="Z352" s="45"/>
      <c r="AA352" s="45"/>
      <c r="AB352" s="45"/>
      <c r="AC352" s="45"/>
      <c r="AD352" s="45"/>
    </row>
    <row r="353" spans="1:30" x14ac:dyDescent="0.25">
      <c r="A353" s="45"/>
      <c r="B353" s="45"/>
      <c r="C353" s="45"/>
      <c r="D353" s="45"/>
      <c r="E353" s="45"/>
      <c r="H353" s="47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X353" s="45"/>
      <c r="Y353" s="45"/>
      <c r="Z353" s="45"/>
      <c r="AA353" s="45"/>
      <c r="AB353" s="45"/>
      <c r="AC353" s="45"/>
      <c r="AD353" s="45"/>
    </row>
    <row r="354" spans="1:30" x14ac:dyDescent="0.25">
      <c r="A354" s="45"/>
      <c r="B354" s="45"/>
      <c r="C354" s="45"/>
      <c r="D354" s="45"/>
      <c r="E354" s="45"/>
      <c r="H354" s="47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X354" s="45"/>
      <c r="Y354" s="45"/>
      <c r="Z354" s="45"/>
      <c r="AA354" s="45"/>
      <c r="AB354" s="45"/>
      <c r="AC354" s="45"/>
      <c r="AD354" s="45"/>
    </row>
    <row r="355" spans="1:30" x14ac:dyDescent="0.25">
      <c r="A355" s="45"/>
      <c r="B355" s="45"/>
      <c r="C355" s="45"/>
      <c r="D355" s="45"/>
      <c r="E355" s="45"/>
      <c r="H355" s="47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X355" s="45"/>
      <c r="Y355" s="45"/>
      <c r="Z355" s="45"/>
      <c r="AA355" s="45"/>
      <c r="AB355" s="45"/>
      <c r="AC355" s="45"/>
      <c r="AD355" s="45"/>
    </row>
    <row r="356" spans="1:30" x14ac:dyDescent="0.25">
      <c r="A356" s="45"/>
      <c r="B356" s="45"/>
      <c r="C356" s="45"/>
      <c r="D356" s="45"/>
      <c r="E356" s="45"/>
      <c r="H356" s="47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X356" s="45"/>
      <c r="Y356" s="45"/>
      <c r="Z356" s="45"/>
      <c r="AA356" s="45"/>
      <c r="AB356" s="45"/>
      <c r="AC356" s="45"/>
      <c r="AD356" s="45"/>
    </row>
    <row r="810" spans="31:31" x14ac:dyDescent="0.25">
      <c r="AE810" s="46"/>
    </row>
    <row r="811" spans="31:31" x14ac:dyDescent="0.25">
      <c r="AE811" s="45"/>
    </row>
    <row r="812" spans="31:31" x14ac:dyDescent="0.25">
      <c r="AE812" s="45"/>
    </row>
    <row r="813" spans="31:31" x14ac:dyDescent="0.25">
      <c r="AE813" s="45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18" activePane="bottomRight" state="frozen"/>
      <selection pane="topRight" activeCell="I2" sqref="I2"/>
      <selection pane="bottomLeft" activeCell="A3" sqref="A3"/>
      <selection pane="bottomRight" activeCell="N131" sqref="N131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49" t="s">
        <v>7</v>
      </c>
      <c r="B2" s="49" t="s">
        <v>81</v>
      </c>
      <c r="C2" s="49" t="s">
        <v>83</v>
      </c>
      <c r="D2" s="49" t="s">
        <v>84</v>
      </c>
      <c r="E2" s="49" t="s">
        <v>85</v>
      </c>
      <c r="F2" s="49" t="s">
        <v>86</v>
      </c>
      <c r="G2" s="49" t="s">
        <v>62</v>
      </c>
      <c r="H2" s="52" t="s">
        <v>33</v>
      </c>
      <c r="I2" s="49" t="s">
        <v>1027</v>
      </c>
      <c r="J2" s="49" t="s">
        <v>1028</v>
      </c>
      <c r="K2" s="49" t="s">
        <v>100</v>
      </c>
      <c r="L2" s="49" t="s">
        <v>101</v>
      </c>
      <c r="M2" s="49" t="s">
        <v>102</v>
      </c>
      <c r="N2" s="49" t="s">
        <v>1040</v>
      </c>
      <c r="O2" s="49" t="s">
        <v>1036</v>
      </c>
    </row>
    <row r="3" spans="1:15" x14ac:dyDescent="0.25">
      <c r="A3" s="46">
        <v>1</v>
      </c>
      <c r="B3" s="45" t="s">
        <v>1042</v>
      </c>
      <c r="C3" s="45">
        <f>YEAR(GC[[#This Row],[Date]])</f>
        <v>2025</v>
      </c>
      <c r="D3" s="45" t="s">
        <v>107</v>
      </c>
      <c r="E3" s="45" t="s">
        <v>107</v>
      </c>
      <c r="F3" s="77">
        <f>GC[[#This Row],[Date]]-DAY(GC[[#This Row],[Date]])+1</f>
        <v>45717</v>
      </c>
      <c r="G3" s="2">
        <f>DAY(EOMONTH(GC[[#This Row],[Month Year]],0))</f>
        <v>31</v>
      </c>
      <c r="H3" s="47">
        <v>45745</v>
      </c>
      <c r="I3" s="45">
        <v>0</v>
      </c>
      <c r="J3" s="45">
        <v>0</v>
      </c>
      <c r="K3" s="45">
        <v>0</v>
      </c>
      <c r="L3" s="45">
        <v>0</v>
      </c>
      <c r="M3" s="45">
        <v>0</v>
      </c>
      <c r="N3" s="2">
        <f>SUM(GC[[#This Row],[Inv1]:[Inv3]])</f>
        <v>0</v>
      </c>
    </row>
    <row r="4" spans="1:15" x14ac:dyDescent="0.25">
      <c r="A4" s="46">
        <f>A3+1</f>
        <v>2</v>
      </c>
      <c r="B4" s="45" t="s">
        <v>1042</v>
      </c>
      <c r="C4" s="45">
        <f>YEAR(GC[[#This Row],[Date]])</f>
        <v>2025</v>
      </c>
      <c r="D4" s="45" t="s">
        <v>107</v>
      </c>
      <c r="E4" s="45" t="s">
        <v>107</v>
      </c>
      <c r="F4" s="77">
        <f>GC[[#This Row],[Date]]-DAY(GC[[#This Row],[Date]])+1</f>
        <v>45717</v>
      </c>
      <c r="G4" s="2">
        <f>DAY(EOMONTH(GC[[#This Row],[Month Year]],0))</f>
        <v>31</v>
      </c>
      <c r="H4" s="47">
        <f t="shared" ref="H4" si="0">H3+1</f>
        <v>45746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2">
        <f>SUM(GC[[#This Row],[Inv1]:[Inv3]])</f>
        <v>0</v>
      </c>
    </row>
    <row r="5" spans="1:15" x14ac:dyDescent="0.25">
      <c r="A5" s="46">
        <f t="shared" ref="A5:A69" si="1">A4+1</f>
        <v>3</v>
      </c>
      <c r="B5" s="45" t="s">
        <v>1042</v>
      </c>
      <c r="C5" s="45">
        <f>YEAR(GC[[#This Row],[Date]])</f>
        <v>2025</v>
      </c>
      <c r="D5" s="45" t="s">
        <v>107</v>
      </c>
      <c r="E5" s="45" t="s">
        <v>107</v>
      </c>
      <c r="F5" s="77">
        <f>GC[[#This Row],[Date]]-DAY(GC[[#This Row],[Date]])+1</f>
        <v>45717</v>
      </c>
      <c r="G5" s="2">
        <f>DAY(EOMONTH(GC[[#This Row],[Month Year]],0))</f>
        <v>31</v>
      </c>
      <c r="H5" s="47">
        <f>H4+1</f>
        <v>45747</v>
      </c>
      <c r="I5" s="45">
        <v>0</v>
      </c>
      <c r="J5" s="45">
        <v>0</v>
      </c>
      <c r="K5" s="45">
        <v>0</v>
      </c>
      <c r="L5" s="45">
        <v>0</v>
      </c>
      <c r="M5" s="45">
        <v>0</v>
      </c>
      <c r="N5" s="2">
        <f>SUM(GC[[#This Row],[Inv1]:[Inv3]])</f>
        <v>0</v>
      </c>
    </row>
    <row r="6" spans="1:15" x14ac:dyDescent="0.25">
      <c r="A6" s="46">
        <f t="shared" si="1"/>
        <v>4</v>
      </c>
      <c r="B6" s="45" t="s">
        <v>1042</v>
      </c>
      <c r="C6" s="45">
        <f>YEAR(GC[[#This Row],[Date]])</f>
        <v>2025</v>
      </c>
      <c r="D6" s="45" t="s">
        <v>4</v>
      </c>
      <c r="E6" s="45" t="s">
        <v>4</v>
      </c>
      <c r="F6" s="77">
        <f>GC[[#This Row],[Date]]-DAY(GC[[#This Row],[Date]])+1</f>
        <v>45748</v>
      </c>
      <c r="G6" s="2">
        <f>DAY(EOMONTH(GC[[#This Row],[Month Year]],0))</f>
        <v>30</v>
      </c>
      <c r="H6" s="47">
        <f>H5+1</f>
        <v>45748</v>
      </c>
      <c r="I6" s="45">
        <v>0</v>
      </c>
      <c r="J6" s="45">
        <v>0</v>
      </c>
      <c r="K6" s="45">
        <v>0</v>
      </c>
      <c r="L6" s="45">
        <v>0</v>
      </c>
      <c r="M6" s="45">
        <v>0</v>
      </c>
      <c r="N6" s="2">
        <f>SUM(GC[[#This Row],[Inv1]:[Inv3]])</f>
        <v>0</v>
      </c>
    </row>
    <row r="7" spans="1:15" x14ac:dyDescent="0.25">
      <c r="A7" s="46">
        <f t="shared" si="1"/>
        <v>5</v>
      </c>
      <c r="B7" s="45" t="s">
        <v>1042</v>
      </c>
      <c r="C7" s="45">
        <f>YEAR(GC[[#This Row],[Date]])</f>
        <v>2025</v>
      </c>
      <c r="D7" s="45" t="s">
        <v>4</v>
      </c>
      <c r="E7" s="45" t="s">
        <v>4</v>
      </c>
      <c r="F7" s="77">
        <f>GC[[#This Row],[Date]]-DAY(GC[[#This Row],[Date]])+1</f>
        <v>45748</v>
      </c>
      <c r="G7" s="2">
        <f>DAY(EOMONTH(GC[[#This Row],[Month Year]],0))</f>
        <v>30</v>
      </c>
      <c r="H7" s="47">
        <f t="shared" ref="H7:H21" si="2">H6+1</f>
        <v>45749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2">
        <f>SUM(GC[[#This Row],[Inv1]:[Inv3]])</f>
        <v>0</v>
      </c>
    </row>
    <row r="8" spans="1:15" x14ac:dyDescent="0.25">
      <c r="A8" s="46">
        <f t="shared" si="1"/>
        <v>6</v>
      </c>
      <c r="B8" s="45" t="s">
        <v>1042</v>
      </c>
      <c r="C8" s="45">
        <f>YEAR(GC[[#This Row],[Date]])</f>
        <v>2025</v>
      </c>
      <c r="D8" s="45" t="s">
        <v>4</v>
      </c>
      <c r="E8" s="45" t="s">
        <v>4</v>
      </c>
      <c r="F8" s="77">
        <f>GC[[#This Row],[Date]]-DAY(GC[[#This Row],[Date]])+1</f>
        <v>45748</v>
      </c>
      <c r="G8" s="2">
        <f>DAY(EOMONTH(GC[[#This Row],[Month Year]],0))</f>
        <v>30</v>
      </c>
      <c r="H8" s="47">
        <f t="shared" si="2"/>
        <v>45750</v>
      </c>
      <c r="I8" s="45">
        <v>0</v>
      </c>
      <c r="J8" s="45">
        <v>0</v>
      </c>
      <c r="K8" s="45">
        <v>0</v>
      </c>
      <c r="L8" s="45">
        <v>0</v>
      </c>
      <c r="M8" s="45">
        <v>0</v>
      </c>
      <c r="N8" s="2">
        <f>SUM(GC[[#This Row],[Inv1]:[Inv3]])</f>
        <v>0</v>
      </c>
    </row>
    <row r="9" spans="1:15" x14ac:dyDescent="0.25">
      <c r="A9" s="46">
        <f t="shared" si="1"/>
        <v>7</v>
      </c>
      <c r="B9" s="45" t="s">
        <v>1042</v>
      </c>
      <c r="C9" s="45">
        <f>YEAR(GC[[#This Row],[Date]])</f>
        <v>2025</v>
      </c>
      <c r="D9" s="45" t="s">
        <v>4</v>
      </c>
      <c r="E9" s="45" t="s">
        <v>4</v>
      </c>
      <c r="F9" s="77">
        <f>GC[[#This Row],[Date]]-DAY(GC[[#This Row],[Date]])+1</f>
        <v>45748</v>
      </c>
      <c r="G9" s="2">
        <f>DAY(EOMONTH(GC[[#This Row],[Month Year]],0))</f>
        <v>30</v>
      </c>
      <c r="H9" s="47">
        <f t="shared" si="2"/>
        <v>45751</v>
      </c>
      <c r="I9" s="45">
        <v>0</v>
      </c>
      <c r="J9" s="45">
        <v>0</v>
      </c>
      <c r="K9" s="45">
        <v>0</v>
      </c>
      <c r="L9" s="45">
        <v>0</v>
      </c>
      <c r="M9" s="45">
        <v>0</v>
      </c>
      <c r="N9" s="2">
        <f>SUM(GC[[#This Row],[Inv1]:[Inv3]])</f>
        <v>0</v>
      </c>
    </row>
    <row r="10" spans="1:15" x14ac:dyDescent="0.25">
      <c r="A10" s="46">
        <f t="shared" si="1"/>
        <v>8</v>
      </c>
      <c r="B10" s="45" t="s">
        <v>1042</v>
      </c>
      <c r="C10" s="45">
        <f>YEAR(GC[[#This Row],[Date]])</f>
        <v>2025</v>
      </c>
      <c r="D10" s="45" t="s">
        <v>4</v>
      </c>
      <c r="E10" s="45" t="s">
        <v>4</v>
      </c>
      <c r="F10" s="77">
        <f>GC[[#This Row],[Date]]-DAY(GC[[#This Row],[Date]])+1</f>
        <v>45748</v>
      </c>
      <c r="G10" s="2">
        <f>DAY(EOMONTH(GC[[#This Row],[Month Year]],0))</f>
        <v>30</v>
      </c>
      <c r="H10" s="47">
        <f t="shared" si="2"/>
        <v>45752</v>
      </c>
      <c r="I10" s="45">
        <v>0</v>
      </c>
      <c r="J10" s="45">
        <v>0</v>
      </c>
      <c r="K10" s="45">
        <v>0</v>
      </c>
      <c r="L10" s="45">
        <v>0</v>
      </c>
      <c r="M10" s="45">
        <v>0</v>
      </c>
      <c r="N10" s="2">
        <f>SUM(GC[[#This Row],[Inv1]:[Inv3]])</f>
        <v>0</v>
      </c>
    </row>
    <row r="11" spans="1:15" x14ac:dyDescent="0.25">
      <c r="A11" s="46">
        <f t="shared" si="1"/>
        <v>9</v>
      </c>
      <c r="B11" s="45" t="s">
        <v>1042</v>
      </c>
      <c r="C11" s="45">
        <f>YEAR(GC[[#This Row],[Date]])</f>
        <v>2025</v>
      </c>
      <c r="D11" s="45" t="s">
        <v>4</v>
      </c>
      <c r="E11" s="45" t="s">
        <v>4</v>
      </c>
      <c r="F11" s="77">
        <f>GC[[#This Row],[Date]]-DAY(GC[[#This Row],[Date]])+1</f>
        <v>45748</v>
      </c>
      <c r="G11" s="2">
        <f>DAY(EOMONTH(GC[[#This Row],[Month Year]],0))</f>
        <v>30</v>
      </c>
      <c r="H11" s="47">
        <f t="shared" si="2"/>
        <v>45753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2">
        <f>SUM(GC[[#This Row],[Inv1]:[Inv3]])</f>
        <v>0</v>
      </c>
    </row>
    <row r="12" spans="1:15" x14ac:dyDescent="0.25">
      <c r="A12" s="46">
        <f t="shared" si="1"/>
        <v>10</v>
      </c>
      <c r="B12" s="45" t="s">
        <v>1042</v>
      </c>
      <c r="C12" s="45">
        <f>YEAR(GC[[#This Row],[Date]])</f>
        <v>2025</v>
      </c>
      <c r="D12" s="45" t="s">
        <v>4</v>
      </c>
      <c r="E12" s="45" t="s">
        <v>4</v>
      </c>
      <c r="F12" s="77">
        <f>GC[[#This Row],[Date]]-DAY(GC[[#This Row],[Date]])+1</f>
        <v>45748</v>
      </c>
      <c r="G12" s="2">
        <f>DAY(EOMONTH(GC[[#This Row],[Month Year]],0))</f>
        <v>30</v>
      </c>
      <c r="H12" s="47">
        <f t="shared" si="2"/>
        <v>45754</v>
      </c>
      <c r="I12" s="45">
        <v>7</v>
      </c>
      <c r="J12" s="45">
        <v>0</v>
      </c>
      <c r="K12" s="45">
        <v>0</v>
      </c>
      <c r="L12" s="45">
        <v>40</v>
      </c>
      <c r="M12" s="45">
        <v>0</v>
      </c>
      <c r="N12" s="2">
        <f>SUM(GC[[#This Row],[Inv1]:[Inv3]])</f>
        <v>40</v>
      </c>
      <c r="O12" t="s">
        <v>1041</v>
      </c>
    </row>
    <row r="13" spans="1:15" x14ac:dyDescent="0.25">
      <c r="A13" s="46">
        <f t="shared" si="1"/>
        <v>11</v>
      </c>
      <c r="B13" s="45" t="s">
        <v>1042</v>
      </c>
      <c r="C13" s="45">
        <f>YEAR(GC[[#This Row],[Date]])</f>
        <v>2025</v>
      </c>
      <c r="D13" s="45" t="s">
        <v>4</v>
      </c>
      <c r="E13" s="45" t="s">
        <v>4</v>
      </c>
      <c r="F13" s="77">
        <f>GC[[#This Row],[Date]]-DAY(GC[[#This Row],[Date]])+1</f>
        <v>45748</v>
      </c>
      <c r="G13" s="2">
        <f>DAY(EOMONTH(GC[[#This Row],[Month Year]],0))</f>
        <v>30</v>
      </c>
      <c r="H13" s="47">
        <f t="shared" si="2"/>
        <v>45755</v>
      </c>
      <c r="I13" s="45">
        <v>7</v>
      </c>
      <c r="J13" s="45">
        <v>0</v>
      </c>
      <c r="K13" s="45">
        <v>0</v>
      </c>
      <c r="L13" s="45">
        <v>30</v>
      </c>
      <c r="M13" s="45">
        <v>30</v>
      </c>
      <c r="N13" s="2">
        <f>SUM(GC[[#This Row],[Inv1]:[Inv3]])</f>
        <v>60</v>
      </c>
      <c r="O13" t="s">
        <v>1041</v>
      </c>
    </row>
    <row r="14" spans="1:15" x14ac:dyDescent="0.25">
      <c r="A14" s="46">
        <f t="shared" si="1"/>
        <v>12</v>
      </c>
      <c r="B14" s="45" t="s">
        <v>1042</v>
      </c>
      <c r="C14" s="45">
        <f>YEAR(GC[[#This Row],[Date]])</f>
        <v>2025</v>
      </c>
      <c r="D14" s="45" t="s">
        <v>4</v>
      </c>
      <c r="E14" s="45" t="s">
        <v>4</v>
      </c>
      <c r="F14" s="77">
        <f>GC[[#This Row],[Date]]-DAY(GC[[#This Row],[Date]])+1</f>
        <v>45748</v>
      </c>
      <c r="G14" s="2">
        <f>DAY(EOMONTH(GC[[#This Row],[Month Year]],0))</f>
        <v>30</v>
      </c>
      <c r="H14" s="47">
        <f t="shared" si="2"/>
        <v>45756</v>
      </c>
      <c r="I14" s="45">
        <v>7</v>
      </c>
      <c r="J14" s="45">
        <v>0</v>
      </c>
      <c r="K14" s="45">
        <v>0</v>
      </c>
      <c r="L14" s="45">
        <v>0</v>
      </c>
      <c r="M14" s="45">
        <v>50</v>
      </c>
      <c r="N14" s="2">
        <f>SUM(GC[[#This Row],[Inv1]:[Inv3]])</f>
        <v>50</v>
      </c>
      <c r="O14" t="s">
        <v>1041</v>
      </c>
    </row>
    <row r="15" spans="1:15" x14ac:dyDescent="0.25">
      <c r="A15" s="46">
        <f t="shared" si="1"/>
        <v>13</v>
      </c>
      <c r="B15" s="45" t="s">
        <v>1042</v>
      </c>
      <c r="C15" s="45">
        <f>YEAR(GC[[#This Row],[Date]])</f>
        <v>2025</v>
      </c>
      <c r="D15" s="45" t="s">
        <v>4</v>
      </c>
      <c r="E15" s="45" t="s">
        <v>4</v>
      </c>
      <c r="F15" s="77">
        <f>GC[[#This Row],[Date]]-DAY(GC[[#This Row],[Date]])+1</f>
        <v>45748</v>
      </c>
      <c r="G15" s="2">
        <f>DAY(EOMONTH(GC[[#This Row],[Month Year]],0))</f>
        <v>30</v>
      </c>
      <c r="H15" s="47">
        <f t="shared" si="2"/>
        <v>45757</v>
      </c>
      <c r="I15" s="45">
        <v>7</v>
      </c>
      <c r="J15" s="45">
        <v>0</v>
      </c>
      <c r="K15" s="45">
        <v>0</v>
      </c>
      <c r="L15" s="45">
        <v>0</v>
      </c>
      <c r="M15" s="45">
        <v>55</v>
      </c>
      <c r="N15" s="2">
        <f>SUM(GC[[#This Row],[Inv1]:[Inv3]])</f>
        <v>55</v>
      </c>
      <c r="O15" t="s">
        <v>1041</v>
      </c>
    </row>
    <row r="16" spans="1:15" x14ac:dyDescent="0.25">
      <c r="A16" s="46">
        <f t="shared" si="1"/>
        <v>14</v>
      </c>
      <c r="B16" s="45" t="s">
        <v>1042</v>
      </c>
      <c r="C16" s="45">
        <f>YEAR(GC[[#This Row],[Date]])</f>
        <v>2025</v>
      </c>
      <c r="D16" s="45" t="s">
        <v>4</v>
      </c>
      <c r="E16" s="45" t="s">
        <v>4</v>
      </c>
      <c r="F16" s="77">
        <f>GC[[#This Row],[Date]]-DAY(GC[[#This Row],[Date]])+1</f>
        <v>45748</v>
      </c>
      <c r="G16" s="2">
        <f>DAY(EOMONTH(GC[[#This Row],[Month Year]],0))</f>
        <v>30</v>
      </c>
      <c r="H16" s="47">
        <f t="shared" si="2"/>
        <v>45758</v>
      </c>
      <c r="I16" s="45">
        <v>7</v>
      </c>
      <c r="J16" s="45">
        <v>0</v>
      </c>
      <c r="K16" s="45">
        <v>0</v>
      </c>
      <c r="L16" s="45">
        <v>0</v>
      </c>
      <c r="M16" s="45">
        <v>30</v>
      </c>
      <c r="N16" s="2">
        <f>SUM(GC[[#This Row],[Inv1]:[Inv3]])</f>
        <v>30</v>
      </c>
      <c r="O16" t="s">
        <v>1041</v>
      </c>
    </row>
    <row r="17" spans="1:15" x14ac:dyDescent="0.25">
      <c r="A17" s="46">
        <f t="shared" si="1"/>
        <v>15</v>
      </c>
      <c r="B17" s="45" t="s">
        <v>1042</v>
      </c>
      <c r="C17" s="45">
        <f>YEAR(GC[[#This Row],[Date]])</f>
        <v>2025</v>
      </c>
      <c r="D17" s="45" t="s">
        <v>4</v>
      </c>
      <c r="E17" s="45" t="s">
        <v>4</v>
      </c>
      <c r="F17" s="77">
        <f>GC[[#This Row],[Date]]-DAY(GC[[#This Row],[Date]])+1</f>
        <v>45748</v>
      </c>
      <c r="G17" s="2">
        <f>DAY(EOMONTH(GC[[#This Row],[Month Year]],0))</f>
        <v>30</v>
      </c>
      <c r="H17" s="47">
        <f t="shared" si="2"/>
        <v>45759</v>
      </c>
      <c r="I17" s="45">
        <v>7</v>
      </c>
      <c r="J17" s="45">
        <v>0</v>
      </c>
      <c r="K17" s="45">
        <v>0</v>
      </c>
      <c r="L17" s="45">
        <v>0</v>
      </c>
      <c r="M17" s="45">
        <v>30</v>
      </c>
      <c r="N17" s="2">
        <f>SUM(GC[[#This Row],[Inv1]:[Inv3]])</f>
        <v>30</v>
      </c>
      <c r="O17" t="s">
        <v>1041</v>
      </c>
    </row>
    <row r="18" spans="1:15" x14ac:dyDescent="0.25">
      <c r="A18" s="46">
        <f t="shared" si="1"/>
        <v>16</v>
      </c>
      <c r="B18" s="45" t="s">
        <v>1042</v>
      </c>
      <c r="C18" s="45">
        <f>YEAR(GC[[#This Row],[Date]])</f>
        <v>2025</v>
      </c>
      <c r="D18" s="45" t="s">
        <v>4</v>
      </c>
      <c r="E18" s="45" t="s">
        <v>4</v>
      </c>
      <c r="F18" s="77">
        <f>GC[[#This Row],[Date]]-DAY(GC[[#This Row],[Date]])+1</f>
        <v>45748</v>
      </c>
      <c r="G18" s="2">
        <f>DAY(EOMONTH(GC[[#This Row],[Month Year]],0))</f>
        <v>30</v>
      </c>
      <c r="H18" s="47">
        <f t="shared" si="2"/>
        <v>45760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2">
        <f>SUM(GC[[#This Row],[Inv1]:[Inv3]])</f>
        <v>0</v>
      </c>
      <c r="O18" t="s">
        <v>1037</v>
      </c>
    </row>
    <row r="19" spans="1:15" x14ac:dyDescent="0.25">
      <c r="A19" s="46">
        <f t="shared" si="1"/>
        <v>17</v>
      </c>
      <c r="B19" s="45" t="s">
        <v>1042</v>
      </c>
      <c r="C19" s="45">
        <f>YEAR(GC[[#This Row],[Date]])</f>
        <v>2025</v>
      </c>
      <c r="D19" s="45" t="s">
        <v>4</v>
      </c>
      <c r="E19" s="45" t="s">
        <v>4</v>
      </c>
      <c r="F19" s="77">
        <f>GC[[#This Row],[Date]]-DAY(GC[[#This Row],[Date]])+1</f>
        <v>45748</v>
      </c>
      <c r="G19" s="2">
        <f>DAY(EOMONTH(GC[[#This Row],[Month Year]],0))</f>
        <v>30</v>
      </c>
      <c r="H19" s="47">
        <f t="shared" si="2"/>
        <v>45761</v>
      </c>
      <c r="I19" s="45">
        <v>7</v>
      </c>
      <c r="J19" s="45">
        <v>0</v>
      </c>
      <c r="K19" s="45">
        <v>0</v>
      </c>
      <c r="L19" s="45">
        <v>30</v>
      </c>
      <c r="M19" s="45">
        <v>0</v>
      </c>
      <c r="N19" s="2">
        <f>SUM(GC[[#This Row],[Inv1]:[Inv3]])</f>
        <v>30</v>
      </c>
      <c r="O19" t="s">
        <v>1041</v>
      </c>
    </row>
    <row r="20" spans="1:15" x14ac:dyDescent="0.25">
      <c r="A20" s="46">
        <f t="shared" si="1"/>
        <v>18</v>
      </c>
      <c r="B20" s="45" t="s">
        <v>1042</v>
      </c>
      <c r="C20" s="45">
        <f>YEAR(GC[[#This Row],[Date]])</f>
        <v>2025</v>
      </c>
      <c r="D20" s="45" t="s">
        <v>4</v>
      </c>
      <c r="E20" s="45" t="s">
        <v>4</v>
      </c>
      <c r="F20" s="77">
        <f>GC[[#This Row],[Date]]-DAY(GC[[#This Row],[Date]])+1</f>
        <v>45748</v>
      </c>
      <c r="G20" s="2">
        <f>DAY(EOMONTH(GC[[#This Row],[Month Year]],0))</f>
        <v>30</v>
      </c>
      <c r="H20" s="47">
        <f t="shared" si="2"/>
        <v>45762</v>
      </c>
      <c r="I20" s="45">
        <v>7</v>
      </c>
      <c r="J20" s="45">
        <v>0</v>
      </c>
      <c r="K20" s="45">
        <v>0</v>
      </c>
      <c r="L20" s="45">
        <v>30</v>
      </c>
      <c r="M20" s="45">
        <v>0</v>
      </c>
      <c r="N20" s="2">
        <f>SUM(GC[[#This Row],[Inv1]:[Inv3]])</f>
        <v>30</v>
      </c>
      <c r="O20" t="s">
        <v>1041</v>
      </c>
    </row>
    <row r="21" spans="1:15" x14ac:dyDescent="0.25">
      <c r="A21" s="46">
        <f t="shared" si="1"/>
        <v>19</v>
      </c>
      <c r="B21" s="45" t="s">
        <v>1042</v>
      </c>
      <c r="C21" s="45">
        <f>YEAR(GC[[#This Row],[Date]])</f>
        <v>2025</v>
      </c>
      <c r="D21" s="45" t="s">
        <v>4</v>
      </c>
      <c r="E21" s="45" t="s">
        <v>4</v>
      </c>
      <c r="F21" s="77">
        <f>GC[[#This Row],[Date]]-DAY(GC[[#This Row],[Date]])+1</f>
        <v>45748</v>
      </c>
      <c r="G21" s="2">
        <f>DAY(EOMONTH(GC[[#This Row],[Month Year]],0))</f>
        <v>30</v>
      </c>
      <c r="H21" s="47">
        <f t="shared" si="2"/>
        <v>45763</v>
      </c>
      <c r="I21" s="45">
        <v>7</v>
      </c>
      <c r="J21" s="45">
        <v>0</v>
      </c>
      <c r="K21" s="45">
        <v>20</v>
      </c>
      <c r="L21" s="45">
        <v>0</v>
      </c>
      <c r="M21" s="45">
        <v>0</v>
      </c>
      <c r="N21" s="2">
        <f>SUM(GC[[#This Row],[Inv1]:[Inv3]])</f>
        <v>20</v>
      </c>
      <c r="O21" t="s">
        <v>1041</v>
      </c>
    </row>
    <row r="22" spans="1:15" x14ac:dyDescent="0.25">
      <c r="A22" s="46">
        <f t="shared" si="1"/>
        <v>20</v>
      </c>
      <c r="B22" s="45" t="s">
        <v>1042</v>
      </c>
      <c r="C22" s="45">
        <f>YEAR(GC[[#This Row],[Date]])</f>
        <v>2025</v>
      </c>
      <c r="D22" s="45" t="s">
        <v>4</v>
      </c>
      <c r="E22" s="45" t="s">
        <v>4</v>
      </c>
      <c r="F22" s="77">
        <f>GC[[#This Row],[Date]]-DAY(GC[[#This Row],[Date]])+1</f>
        <v>45748</v>
      </c>
      <c r="G22" s="2">
        <f>DAY(EOMONTH(GC[[#This Row],[Month Year]],0))</f>
        <v>30</v>
      </c>
      <c r="H22" s="47">
        <f>H21+1</f>
        <v>45764</v>
      </c>
      <c r="I22" s="45">
        <v>7</v>
      </c>
      <c r="J22" s="45">
        <v>0</v>
      </c>
      <c r="K22" s="45">
        <v>0</v>
      </c>
      <c r="L22" s="45">
        <v>20</v>
      </c>
      <c r="M22" s="45">
        <v>0</v>
      </c>
      <c r="N22" s="2">
        <f>SUM(GC[[#This Row],[Inv1]:[Inv3]])</f>
        <v>20</v>
      </c>
      <c r="O22" t="s">
        <v>1041</v>
      </c>
    </row>
    <row r="23" spans="1:15" x14ac:dyDescent="0.25">
      <c r="A23" s="46">
        <f t="shared" si="1"/>
        <v>21</v>
      </c>
      <c r="B23" s="45" t="s">
        <v>1042</v>
      </c>
      <c r="C23" s="45">
        <f>YEAR(GC[[#This Row],[Date]])</f>
        <v>2025</v>
      </c>
      <c r="D23" s="45" t="s">
        <v>4</v>
      </c>
      <c r="E23" s="45" t="s">
        <v>4</v>
      </c>
      <c r="F23" s="77">
        <f>GC[[#This Row],[Date]]-DAY(GC[[#This Row],[Date]])+1</f>
        <v>45748</v>
      </c>
      <c r="G23" s="2">
        <f>DAY(EOMONTH(GC[[#This Row],[Month Year]],0))</f>
        <v>30</v>
      </c>
      <c r="H23" s="47">
        <f t="shared" ref="H23:H35" si="3">H22+1</f>
        <v>45765</v>
      </c>
      <c r="I23" s="45">
        <v>7</v>
      </c>
      <c r="J23" s="45">
        <v>0</v>
      </c>
      <c r="K23" s="45">
        <v>0</v>
      </c>
      <c r="L23" s="45">
        <v>24</v>
      </c>
      <c r="M23" s="45">
        <v>0</v>
      </c>
      <c r="N23" s="2">
        <f>SUM(GC[[#This Row],[Inv1]:[Inv3]])</f>
        <v>24</v>
      </c>
      <c r="O23" t="s">
        <v>1041</v>
      </c>
    </row>
    <row r="24" spans="1:15" x14ac:dyDescent="0.25">
      <c r="A24" s="46">
        <f t="shared" si="1"/>
        <v>22</v>
      </c>
      <c r="B24" s="45" t="s">
        <v>1042</v>
      </c>
      <c r="C24" s="45">
        <f>YEAR(GC[[#This Row],[Date]])</f>
        <v>2025</v>
      </c>
      <c r="D24" s="45" t="s">
        <v>4</v>
      </c>
      <c r="E24" s="45" t="s">
        <v>4</v>
      </c>
      <c r="F24" s="77">
        <f>GC[[#This Row],[Date]]-DAY(GC[[#This Row],[Date]])+1</f>
        <v>45748</v>
      </c>
      <c r="G24" s="2">
        <f>DAY(EOMONTH(GC[[#This Row],[Month Year]],0))</f>
        <v>30</v>
      </c>
      <c r="H24" s="47">
        <f t="shared" si="3"/>
        <v>45766</v>
      </c>
      <c r="I24" s="45">
        <v>7</v>
      </c>
      <c r="J24" s="45">
        <v>0</v>
      </c>
      <c r="K24" s="45">
        <v>30</v>
      </c>
      <c r="L24" s="45">
        <v>0</v>
      </c>
      <c r="M24" s="45">
        <v>0</v>
      </c>
      <c r="N24" s="2">
        <f>SUM(GC[[#This Row],[Inv1]:[Inv3]])</f>
        <v>30</v>
      </c>
      <c r="O24" t="s">
        <v>1041</v>
      </c>
    </row>
    <row r="25" spans="1:15" x14ac:dyDescent="0.25">
      <c r="A25" s="46">
        <f t="shared" si="1"/>
        <v>23</v>
      </c>
      <c r="B25" s="45" t="s">
        <v>1042</v>
      </c>
      <c r="C25" s="45">
        <f>YEAR(GC[[#This Row],[Date]])</f>
        <v>2025</v>
      </c>
      <c r="D25" s="45" t="s">
        <v>4</v>
      </c>
      <c r="E25" s="45" t="s">
        <v>4</v>
      </c>
      <c r="F25" s="77">
        <f>GC[[#This Row],[Date]]-DAY(GC[[#This Row],[Date]])+1</f>
        <v>45748</v>
      </c>
      <c r="G25" s="2">
        <f>DAY(EOMONTH(GC[[#This Row],[Month Year]],0))</f>
        <v>30</v>
      </c>
      <c r="H25" s="47">
        <f t="shared" si="3"/>
        <v>45767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2">
        <f>SUM(GC[[#This Row],[Inv1]:[Inv3]])</f>
        <v>0</v>
      </c>
      <c r="O25" t="s">
        <v>1037</v>
      </c>
    </row>
    <row r="26" spans="1:15" x14ac:dyDescent="0.25">
      <c r="A26" s="46">
        <f t="shared" si="1"/>
        <v>24</v>
      </c>
      <c r="B26" s="45" t="s">
        <v>1042</v>
      </c>
      <c r="C26" s="45">
        <f>YEAR(GC[[#This Row],[Date]])</f>
        <v>2025</v>
      </c>
      <c r="D26" s="45" t="s">
        <v>4</v>
      </c>
      <c r="E26" s="45" t="s">
        <v>4</v>
      </c>
      <c r="F26" s="77">
        <f>GC[[#This Row],[Date]]-DAY(GC[[#This Row],[Date]])+1</f>
        <v>45748</v>
      </c>
      <c r="G26" s="2">
        <f>DAY(EOMONTH(GC[[#This Row],[Month Year]],0))</f>
        <v>30</v>
      </c>
      <c r="H26" s="47">
        <f t="shared" si="3"/>
        <v>45768</v>
      </c>
      <c r="I26" s="45">
        <v>7</v>
      </c>
      <c r="J26" s="45">
        <v>0</v>
      </c>
      <c r="K26" s="45">
        <v>40</v>
      </c>
      <c r="L26" s="45">
        <v>0</v>
      </c>
      <c r="M26" s="45">
        <v>0</v>
      </c>
      <c r="N26" s="2">
        <f>SUM(GC[[#This Row],[Inv1]:[Inv3]])</f>
        <v>40</v>
      </c>
      <c r="O26" t="s">
        <v>1041</v>
      </c>
    </row>
    <row r="27" spans="1:15" x14ac:dyDescent="0.25">
      <c r="A27" s="46">
        <f t="shared" si="1"/>
        <v>25</v>
      </c>
      <c r="B27" s="45" t="s">
        <v>1042</v>
      </c>
      <c r="C27" s="45">
        <f>YEAR(GC[[#This Row],[Date]])</f>
        <v>2025</v>
      </c>
      <c r="D27" s="45" t="s">
        <v>4</v>
      </c>
      <c r="E27" s="45" t="s">
        <v>4</v>
      </c>
      <c r="F27" s="77">
        <f>GC[[#This Row],[Date]]-DAY(GC[[#This Row],[Date]])+1</f>
        <v>45748</v>
      </c>
      <c r="G27" s="2">
        <f>DAY(EOMONTH(GC[[#This Row],[Month Year]],0))</f>
        <v>30</v>
      </c>
      <c r="H27" s="47">
        <f t="shared" si="3"/>
        <v>45769</v>
      </c>
      <c r="I27" s="45">
        <v>7</v>
      </c>
      <c r="J27" s="45">
        <v>0</v>
      </c>
      <c r="K27" s="45">
        <v>30</v>
      </c>
      <c r="L27" s="45">
        <v>0</v>
      </c>
      <c r="M27" s="45">
        <v>0</v>
      </c>
      <c r="N27" s="2">
        <f>SUM(GC[[#This Row],[Inv1]:[Inv3]])</f>
        <v>30</v>
      </c>
      <c r="O27" t="s">
        <v>1041</v>
      </c>
    </row>
    <row r="28" spans="1:15" x14ac:dyDescent="0.25">
      <c r="A28" s="46">
        <f t="shared" si="1"/>
        <v>26</v>
      </c>
      <c r="B28" s="45" t="s">
        <v>1042</v>
      </c>
      <c r="C28" s="45">
        <f>YEAR(GC[[#This Row],[Date]])</f>
        <v>2025</v>
      </c>
      <c r="D28" s="45" t="s">
        <v>4</v>
      </c>
      <c r="E28" s="45" t="s">
        <v>4</v>
      </c>
      <c r="F28" s="77">
        <f>GC[[#This Row],[Date]]-DAY(GC[[#This Row],[Date]])+1</f>
        <v>45748</v>
      </c>
      <c r="G28" s="2">
        <f>DAY(EOMONTH(GC[[#This Row],[Month Year]],0))</f>
        <v>30</v>
      </c>
      <c r="H28" s="47">
        <f t="shared" si="3"/>
        <v>45770</v>
      </c>
      <c r="I28" s="45">
        <v>7</v>
      </c>
      <c r="J28" s="45">
        <v>0</v>
      </c>
      <c r="K28" s="45">
        <v>0</v>
      </c>
      <c r="L28" s="45">
        <v>0</v>
      </c>
      <c r="M28" s="45">
        <v>20</v>
      </c>
      <c r="N28" s="2">
        <f>SUM(GC[[#This Row],[Inv1]:[Inv3]])</f>
        <v>20</v>
      </c>
      <c r="O28" t="s">
        <v>1041</v>
      </c>
    </row>
    <row r="29" spans="1:15" x14ac:dyDescent="0.25">
      <c r="A29" s="46">
        <f t="shared" si="1"/>
        <v>27</v>
      </c>
      <c r="B29" s="45" t="s">
        <v>1042</v>
      </c>
      <c r="C29" s="45">
        <f>YEAR(GC[[#This Row],[Date]])</f>
        <v>2025</v>
      </c>
      <c r="D29" s="45" t="s">
        <v>4</v>
      </c>
      <c r="E29" s="45" t="s">
        <v>4</v>
      </c>
      <c r="F29" s="77">
        <f>GC[[#This Row],[Date]]-DAY(GC[[#This Row],[Date]])+1</f>
        <v>45748</v>
      </c>
      <c r="G29" s="2">
        <f>DAY(EOMONTH(GC[[#This Row],[Month Year]],0))</f>
        <v>30</v>
      </c>
      <c r="H29" s="47">
        <f t="shared" si="3"/>
        <v>45771</v>
      </c>
      <c r="I29" s="45">
        <v>7</v>
      </c>
      <c r="J29" s="45">
        <v>0</v>
      </c>
      <c r="K29" s="45">
        <v>0</v>
      </c>
      <c r="L29" s="45">
        <v>0</v>
      </c>
      <c r="M29" s="45">
        <v>20</v>
      </c>
      <c r="N29" s="2">
        <f>SUM(GC[[#This Row],[Inv1]:[Inv3]])</f>
        <v>20</v>
      </c>
      <c r="O29" t="s">
        <v>1041</v>
      </c>
    </row>
    <row r="30" spans="1:15" x14ac:dyDescent="0.25">
      <c r="A30" s="46">
        <f t="shared" si="1"/>
        <v>28</v>
      </c>
      <c r="B30" s="45" t="s">
        <v>1042</v>
      </c>
      <c r="C30" s="45">
        <f>YEAR(GC[[#This Row],[Date]])</f>
        <v>2025</v>
      </c>
      <c r="D30" s="45" t="s">
        <v>4</v>
      </c>
      <c r="E30" s="45" t="s">
        <v>4</v>
      </c>
      <c r="F30" s="77">
        <f>GC[[#This Row],[Date]]-DAY(GC[[#This Row],[Date]])+1</f>
        <v>45748</v>
      </c>
      <c r="G30" s="2">
        <f>DAY(EOMONTH(GC[[#This Row],[Month Year]],0))</f>
        <v>30</v>
      </c>
      <c r="H30" s="47">
        <f t="shared" si="3"/>
        <v>45772</v>
      </c>
      <c r="I30" s="45">
        <v>0</v>
      </c>
      <c r="J30" s="45">
        <v>0</v>
      </c>
      <c r="K30" s="45">
        <v>0</v>
      </c>
      <c r="L30" s="45">
        <v>0</v>
      </c>
      <c r="M30" s="45">
        <v>0</v>
      </c>
      <c r="N30" s="2">
        <f>SUM(GC[[#This Row],[Inv1]:[Inv3]])</f>
        <v>0</v>
      </c>
    </row>
    <row r="31" spans="1:15" x14ac:dyDescent="0.25">
      <c r="A31" s="46">
        <f t="shared" si="1"/>
        <v>29</v>
      </c>
      <c r="B31" s="45" t="s">
        <v>1042</v>
      </c>
      <c r="C31" s="45">
        <f>YEAR(GC[[#This Row],[Date]])</f>
        <v>2025</v>
      </c>
      <c r="D31" s="45" t="s">
        <v>4</v>
      </c>
      <c r="E31" s="45" t="s">
        <v>4</v>
      </c>
      <c r="F31" s="77">
        <f>GC[[#This Row],[Date]]-DAY(GC[[#This Row],[Date]])+1</f>
        <v>45748</v>
      </c>
      <c r="G31" s="2">
        <f>DAY(EOMONTH(GC[[#This Row],[Month Year]],0))</f>
        <v>30</v>
      </c>
      <c r="H31" s="47">
        <f t="shared" si="3"/>
        <v>45773</v>
      </c>
      <c r="I31" s="45">
        <v>0</v>
      </c>
      <c r="J31" s="45">
        <v>0</v>
      </c>
      <c r="K31" s="45">
        <v>0</v>
      </c>
      <c r="L31" s="45">
        <v>0</v>
      </c>
      <c r="M31" s="45">
        <v>0</v>
      </c>
      <c r="N31" s="2">
        <f>SUM(GC[[#This Row],[Inv1]:[Inv3]])</f>
        <v>0</v>
      </c>
    </row>
    <row r="32" spans="1:15" x14ac:dyDescent="0.25">
      <c r="A32" s="46">
        <f t="shared" si="1"/>
        <v>30</v>
      </c>
      <c r="B32" s="45" t="s">
        <v>1042</v>
      </c>
      <c r="C32" s="45">
        <f>YEAR(GC[[#This Row],[Date]])</f>
        <v>2025</v>
      </c>
      <c r="D32" s="45" t="s">
        <v>4</v>
      </c>
      <c r="E32" s="45" t="s">
        <v>4</v>
      </c>
      <c r="F32" s="77">
        <f>GC[[#This Row],[Date]]-DAY(GC[[#This Row],[Date]])+1</f>
        <v>45748</v>
      </c>
      <c r="G32" s="2">
        <f>DAY(EOMONTH(GC[[#This Row],[Month Year]],0))</f>
        <v>30</v>
      </c>
      <c r="H32" s="47">
        <f t="shared" si="3"/>
        <v>45774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2">
        <f>SUM(GC[[#This Row],[Inv1]:[Inv3]])</f>
        <v>0</v>
      </c>
    </row>
    <row r="33" spans="1:15" x14ac:dyDescent="0.25">
      <c r="A33" s="46">
        <f t="shared" si="1"/>
        <v>31</v>
      </c>
      <c r="B33" s="45" t="s">
        <v>1042</v>
      </c>
      <c r="C33" s="45">
        <f>YEAR(GC[[#This Row],[Date]])</f>
        <v>2025</v>
      </c>
      <c r="D33" s="45" t="s">
        <v>4</v>
      </c>
      <c r="E33" s="45" t="s">
        <v>4</v>
      </c>
      <c r="F33" s="77">
        <f>GC[[#This Row],[Date]]-DAY(GC[[#This Row],[Date]])+1</f>
        <v>45748</v>
      </c>
      <c r="G33" s="2">
        <f>DAY(EOMONTH(GC[[#This Row],[Month Year]],0))</f>
        <v>30</v>
      </c>
      <c r="H33" s="47">
        <f t="shared" si="3"/>
        <v>45775</v>
      </c>
      <c r="I33" s="45">
        <v>7</v>
      </c>
      <c r="J33" s="45">
        <v>0</v>
      </c>
      <c r="K33" s="45">
        <v>20</v>
      </c>
      <c r="L33" s="45">
        <v>0</v>
      </c>
      <c r="M33" s="45">
        <v>0</v>
      </c>
      <c r="N33" s="2">
        <f>SUM(GC[[#This Row],[Inv1]:[Inv3]])</f>
        <v>20</v>
      </c>
      <c r="O33" t="s">
        <v>1041</v>
      </c>
    </row>
    <row r="34" spans="1:15" x14ac:dyDescent="0.25">
      <c r="A34" s="46">
        <f t="shared" si="1"/>
        <v>32</v>
      </c>
      <c r="B34" s="45" t="s">
        <v>1042</v>
      </c>
      <c r="C34" s="45">
        <f>YEAR(GC[[#This Row],[Date]])</f>
        <v>2025</v>
      </c>
      <c r="D34" s="45" t="s">
        <v>4</v>
      </c>
      <c r="E34" s="45" t="s">
        <v>4</v>
      </c>
      <c r="F34" s="77">
        <f>GC[[#This Row],[Date]]-DAY(GC[[#This Row],[Date]])+1</f>
        <v>45748</v>
      </c>
      <c r="G34" s="2">
        <f>DAY(EOMONTH(GC[[#This Row],[Month Year]],0))</f>
        <v>30</v>
      </c>
      <c r="H34" s="47">
        <f t="shared" si="3"/>
        <v>45776</v>
      </c>
      <c r="I34" s="45">
        <v>7</v>
      </c>
      <c r="J34" s="45">
        <v>0</v>
      </c>
      <c r="K34" s="45">
        <v>0</v>
      </c>
      <c r="L34" s="45">
        <v>0</v>
      </c>
      <c r="M34" s="45">
        <v>0</v>
      </c>
      <c r="N34" s="2">
        <f>SUM(GC[[#This Row],[Inv1]:[Inv3]])</f>
        <v>0</v>
      </c>
      <c r="O34" t="s">
        <v>1068</v>
      </c>
    </row>
    <row r="35" spans="1:15" x14ac:dyDescent="0.25">
      <c r="A35" s="46">
        <f t="shared" si="1"/>
        <v>33</v>
      </c>
      <c r="B35" s="45" t="s">
        <v>1042</v>
      </c>
      <c r="C35" s="45">
        <f>YEAR(GC[[#This Row],[Date]])</f>
        <v>2025</v>
      </c>
      <c r="D35" s="45" t="s">
        <v>4</v>
      </c>
      <c r="E35" s="45" t="s">
        <v>4</v>
      </c>
      <c r="F35" s="77">
        <f>GC[[#This Row],[Date]]-DAY(GC[[#This Row],[Date]])+1</f>
        <v>45748</v>
      </c>
      <c r="G35" s="2">
        <f>DAY(EOMONTH(GC[[#This Row],[Month Year]],0))</f>
        <v>30</v>
      </c>
      <c r="H35" s="47">
        <f t="shared" si="3"/>
        <v>45777</v>
      </c>
      <c r="I35" s="45">
        <v>7</v>
      </c>
      <c r="J35" s="45">
        <v>0</v>
      </c>
      <c r="K35" s="45">
        <v>0</v>
      </c>
      <c r="L35" s="45">
        <v>0</v>
      </c>
      <c r="M35" s="45">
        <v>0</v>
      </c>
      <c r="N35" s="2">
        <f>SUM(GC[[#This Row],[Inv1]:[Inv3]])</f>
        <v>0</v>
      </c>
      <c r="O35" t="s">
        <v>1068</v>
      </c>
    </row>
    <row r="36" spans="1:15" x14ac:dyDescent="0.25">
      <c r="A36" s="46">
        <f t="shared" si="1"/>
        <v>34</v>
      </c>
      <c r="B36" s="45" t="s">
        <v>1042</v>
      </c>
      <c r="C36" s="45">
        <f>YEAR(GC[[#This Row],[Date]])</f>
        <v>2025</v>
      </c>
      <c r="D36" s="45" t="s">
        <v>4</v>
      </c>
      <c r="E36" s="45" t="s">
        <v>4</v>
      </c>
      <c r="F36" s="77">
        <f>GC[[#This Row],[Date]]-DAY(GC[[#This Row],[Date]])+1</f>
        <v>45778</v>
      </c>
      <c r="G36" s="2">
        <f>DAY(EOMONTH(GC[[#This Row],[Month Year]],0))</f>
        <v>31</v>
      </c>
      <c r="H36" s="47">
        <f>H35+1</f>
        <v>45778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2">
        <f>SUM(GC[[#This Row],[Inv1]:[Inv3]])</f>
        <v>0</v>
      </c>
      <c r="O36" t="s">
        <v>1070</v>
      </c>
    </row>
    <row r="37" spans="1:15" x14ac:dyDescent="0.25">
      <c r="A37" s="46">
        <f t="shared" si="1"/>
        <v>35</v>
      </c>
      <c r="B37" s="45" t="s">
        <v>1042</v>
      </c>
      <c r="C37" s="45">
        <f>YEAR(GC[[#This Row],[Date]])</f>
        <v>2025</v>
      </c>
      <c r="D37" s="45" t="s">
        <v>4</v>
      </c>
      <c r="E37" s="45" t="s">
        <v>4</v>
      </c>
      <c r="F37" s="77">
        <f>GC[[#This Row],[Date]]-DAY(GC[[#This Row],[Date]])+1</f>
        <v>45778</v>
      </c>
      <c r="G37" s="2">
        <f>DAY(EOMONTH(GC[[#This Row],[Month Year]],0))</f>
        <v>31</v>
      </c>
      <c r="H37" s="48">
        <f>H36+1</f>
        <v>45779</v>
      </c>
      <c r="I37" s="46">
        <v>7</v>
      </c>
      <c r="J37" s="46">
        <v>0</v>
      </c>
      <c r="K37" s="46">
        <v>0</v>
      </c>
      <c r="L37" s="46">
        <v>0</v>
      </c>
      <c r="M37" s="46">
        <v>20</v>
      </c>
      <c r="N37" s="2">
        <f>SUM(GC[[#This Row],[Inv1]:[Inv3]])</f>
        <v>20</v>
      </c>
      <c r="O37" t="s">
        <v>1071</v>
      </c>
    </row>
    <row r="38" spans="1:15" x14ac:dyDescent="0.25">
      <c r="A38" s="46">
        <f t="shared" si="1"/>
        <v>36</v>
      </c>
      <c r="B38" s="45" t="s">
        <v>1042</v>
      </c>
      <c r="C38" s="45">
        <f>YEAR(GC[[#This Row],[Date]])</f>
        <v>2025</v>
      </c>
      <c r="D38" s="45" t="s">
        <v>4</v>
      </c>
      <c r="E38" s="45" t="s">
        <v>4</v>
      </c>
      <c r="F38" s="77">
        <f>GC[[#This Row],[Date]]-DAY(GC[[#This Row],[Date]])+1</f>
        <v>45778</v>
      </c>
      <c r="G38" s="2">
        <f>DAY(EOMONTH(GC[[#This Row],[Month Year]],0))</f>
        <v>31</v>
      </c>
      <c r="H38" s="48">
        <f t="shared" ref="H38:H40" si="4">H37+1</f>
        <v>45780</v>
      </c>
      <c r="I38" s="45">
        <v>8</v>
      </c>
      <c r="J38" s="45">
        <v>0</v>
      </c>
      <c r="K38" s="45">
        <v>1</v>
      </c>
      <c r="L38" s="45">
        <v>0</v>
      </c>
      <c r="M38" s="45">
        <v>0</v>
      </c>
      <c r="N38" s="2">
        <f>SUM(GC[[#This Row],[Inv1]:[Inv3]])</f>
        <v>1</v>
      </c>
      <c r="O38" t="s">
        <v>1043</v>
      </c>
    </row>
    <row r="39" spans="1:15" x14ac:dyDescent="0.25">
      <c r="A39" s="46">
        <f t="shared" si="1"/>
        <v>37</v>
      </c>
      <c r="B39" s="45" t="s">
        <v>1042</v>
      </c>
      <c r="C39" s="45">
        <f>YEAR(GC[[#This Row],[Date]])</f>
        <v>2025</v>
      </c>
      <c r="D39" s="45" t="s">
        <v>4</v>
      </c>
      <c r="E39" s="45" t="s">
        <v>4</v>
      </c>
      <c r="F39" s="77">
        <f>GC[[#This Row],[Date]]-DAY(GC[[#This Row],[Date]])+1</f>
        <v>45778</v>
      </c>
      <c r="G39" s="2">
        <f>DAY(EOMONTH(GC[[#This Row],[Month Year]],0))</f>
        <v>31</v>
      </c>
      <c r="H39" s="48">
        <f t="shared" si="4"/>
        <v>45781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2">
        <f>SUM(GC[[#This Row],[Inv1]:[Inv3]])</f>
        <v>0</v>
      </c>
      <c r="O39" t="s">
        <v>1037</v>
      </c>
    </row>
    <row r="40" spans="1:15" x14ac:dyDescent="0.25">
      <c r="A40" s="46">
        <f t="shared" si="1"/>
        <v>38</v>
      </c>
      <c r="B40" s="45" t="s">
        <v>1042</v>
      </c>
      <c r="C40" s="45">
        <f>YEAR(GC[[#This Row],[Date]])</f>
        <v>2025</v>
      </c>
      <c r="D40" s="45" t="s">
        <v>4</v>
      </c>
      <c r="E40" s="45" t="s">
        <v>4</v>
      </c>
      <c r="F40" s="77">
        <f>GC[[#This Row],[Date]]-DAY(GC[[#This Row],[Date]])+1</f>
        <v>45778</v>
      </c>
      <c r="G40" s="2">
        <f>DAY(EOMONTH(GC[[#This Row],[Month Year]],0))</f>
        <v>31</v>
      </c>
      <c r="H40" s="48">
        <f t="shared" si="4"/>
        <v>45782</v>
      </c>
      <c r="I40" s="45">
        <v>8</v>
      </c>
      <c r="J40" s="45">
        <v>0</v>
      </c>
      <c r="K40" s="45">
        <v>0</v>
      </c>
      <c r="L40" s="45">
        <v>0</v>
      </c>
      <c r="M40" s="45">
        <v>30</v>
      </c>
      <c r="N40" s="2">
        <f>SUM(GC[[#This Row],[Inv1]:[Inv3]])</f>
        <v>30</v>
      </c>
      <c r="O40" t="s">
        <v>1041</v>
      </c>
    </row>
    <row r="41" spans="1:15" x14ac:dyDescent="0.25">
      <c r="A41" s="46">
        <f t="shared" si="1"/>
        <v>39</v>
      </c>
      <c r="B41" s="45" t="s">
        <v>1042</v>
      </c>
      <c r="C41" s="45">
        <f>YEAR(GC[[#This Row],[Date]])</f>
        <v>2025</v>
      </c>
      <c r="D41" s="45" t="s">
        <v>4</v>
      </c>
      <c r="E41" s="45" t="s">
        <v>4</v>
      </c>
      <c r="F41" s="77">
        <f>GC[[#This Row],[Date]]-DAY(GC[[#This Row],[Date]])+1</f>
        <v>45778</v>
      </c>
      <c r="G41" s="2">
        <f>DAY(EOMONTH(GC[[#This Row],[Month Year]],0))</f>
        <v>31</v>
      </c>
      <c r="H41" s="47">
        <f t="shared" ref="H41:H76" si="5">H40+1</f>
        <v>45783</v>
      </c>
      <c r="I41" s="45">
        <v>8</v>
      </c>
      <c r="J41" s="45">
        <v>0</v>
      </c>
      <c r="K41" s="45">
        <v>0</v>
      </c>
      <c r="L41" s="45">
        <v>0</v>
      </c>
      <c r="M41" s="45">
        <v>20</v>
      </c>
      <c r="N41" s="2">
        <f>SUM(GC[[#This Row],[Inv1]:[Inv3]])</f>
        <v>20</v>
      </c>
      <c r="O41" t="s">
        <v>1041</v>
      </c>
    </row>
    <row r="42" spans="1:15" x14ac:dyDescent="0.25">
      <c r="A42" s="46">
        <f t="shared" si="1"/>
        <v>40</v>
      </c>
      <c r="B42" s="45" t="s">
        <v>1042</v>
      </c>
      <c r="C42" s="45">
        <f>YEAR(GC[[#This Row],[Date]])</f>
        <v>2025</v>
      </c>
      <c r="D42" s="45" t="s">
        <v>4</v>
      </c>
      <c r="E42" s="45" t="s">
        <v>4</v>
      </c>
      <c r="F42" s="77">
        <f>GC[[#This Row],[Date]]-DAY(GC[[#This Row],[Date]])+1</f>
        <v>45778</v>
      </c>
      <c r="G42" s="2">
        <f>DAY(EOMONTH(GC[[#This Row],[Month Year]],0))</f>
        <v>31</v>
      </c>
      <c r="H42" s="47">
        <f t="shared" si="5"/>
        <v>45784</v>
      </c>
      <c r="I42" s="45">
        <v>8</v>
      </c>
      <c r="J42" s="45">
        <v>0</v>
      </c>
      <c r="K42" s="45">
        <v>0</v>
      </c>
      <c r="L42" s="45">
        <v>20</v>
      </c>
      <c r="M42" s="45">
        <v>0</v>
      </c>
      <c r="N42" s="2">
        <f>SUM(GC[[#This Row],[Inv1]:[Inv3]])</f>
        <v>20</v>
      </c>
      <c r="O42" t="s">
        <v>1041</v>
      </c>
    </row>
    <row r="43" spans="1:15" x14ac:dyDescent="0.25">
      <c r="A43" s="46">
        <f t="shared" si="1"/>
        <v>41</v>
      </c>
      <c r="B43" s="45" t="s">
        <v>1042</v>
      </c>
      <c r="C43" s="45">
        <f>YEAR(GC[[#This Row],[Date]])</f>
        <v>2025</v>
      </c>
      <c r="D43" s="45" t="s">
        <v>4</v>
      </c>
      <c r="E43" s="45" t="s">
        <v>4</v>
      </c>
      <c r="F43" s="77">
        <f>GC[[#This Row],[Date]]-DAY(GC[[#This Row],[Date]])+1</f>
        <v>45778</v>
      </c>
      <c r="G43" s="2">
        <f>DAY(EOMONTH(GC[[#This Row],[Month Year]],0))</f>
        <v>31</v>
      </c>
      <c r="H43" s="47">
        <f t="shared" si="5"/>
        <v>45785</v>
      </c>
      <c r="I43" s="45">
        <v>8</v>
      </c>
      <c r="J43" s="45">
        <v>0</v>
      </c>
      <c r="K43" s="45">
        <v>0</v>
      </c>
      <c r="L43" s="45">
        <v>20</v>
      </c>
      <c r="M43" s="45">
        <v>0</v>
      </c>
      <c r="N43" s="2">
        <f>SUM(GC[[#This Row],[Inv1]:[Inv3]])</f>
        <v>20</v>
      </c>
      <c r="O43" t="s">
        <v>1041</v>
      </c>
    </row>
    <row r="44" spans="1:15" x14ac:dyDescent="0.25">
      <c r="A44" s="46">
        <f t="shared" si="1"/>
        <v>42</v>
      </c>
      <c r="B44" s="45" t="s">
        <v>1042</v>
      </c>
      <c r="C44" s="45">
        <f>YEAR(GC[[#This Row],[Date]])</f>
        <v>2025</v>
      </c>
      <c r="D44" s="45" t="s">
        <v>4</v>
      </c>
      <c r="E44" s="45" t="s">
        <v>4</v>
      </c>
      <c r="F44" s="77">
        <f>GC[[#This Row],[Date]]-DAY(GC[[#This Row],[Date]])+1</f>
        <v>45778</v>
      </c>
      <c r="G44" s="2">
        <f>DAY(EOMONTH(GC[[#This Row],[Month Year]],0))</f>
        <v>31</v>
      </c>
      <c r="H44" s="47">
        <f t="shared" si="5"/>
        <v>45786</v>
      </c>
      <c r="I44" s="45">
        <v>8</v>
      </c>
      <c r="J44" s="45">
        <v>0</v>
      </c>
      <c r="K44" s="45">
        <v>0</v>
      </c>
      <c r="L44" s="45">
        <v>25</v>
      </c>
      <c r="M44" s="45">
        <v>0</v>
      </c>
      <c r="N44" s="2">
        <f>SUM(GC[[#This Row],[Inv1]:[Inv3]])</f>
        <v>25</v>
      </c>
      <c r="O44" t="s">
        <v>1041</v>
      </c>
    </row>
    <row r="45" spans="1:15" x14ac:dyDescent="0.25">
      <c r="A45" s="46">
        <f t="shared" si="1"/>
        <v>43</v>
      </c>
      <c r="B45" s="45" t="s">
        <v>1042</v>
      </c>
      <c r="C45" s="45">
        <f>YEAR(GC[[#This Row],[Date]])</f>
        <v>2025</v>
      </c>
      <c r="D45" s="45" t="s">
        <v>4</v>
      </c>
      <c r="E45" s="45" t="s">
        <v>4</v>
      </c>
      <c r="F45" s="77">
        <f>GC[[#This Row],[Date]]-DAY(GC[[#This Row],[Date]])+1</f>
        <v>45778</v>
      </c>
      <c r="G45" s="2">
        <f>DAY(EOMONTH(GC[[#This Row],[Month Year]],0))</f>
        <v>31</v>
      </c>
      <c r="H45" s="47">
        <f t="shared" si="5"/>
        <v>45787</v>
      </c>
      <c r="I45" s="45">
        <v>8</v>
      </c>
      <c r="J45" s="45">
        <v>0</v>
      </c>
      <c r="K45" s="45">
        <v>0</v>
      </c>
      <c r="L45" s="45">
        <v>20</v>
      </c>
      <c r="M45" s="45">
        <v>0</v>
      </c>
      <c r="N45" s="2">
        <f>SUM(GC[[#This Row],[Inv1]:[Inv3]])</f>
        <v>20</v>
      </c>
      <c r="O45" t="s">
        <v>1041</v>
      </c>
    </row>
    <row r="46" spans="1:15" x14ac:dyDescent="0.25">
      <c r="A46" s="46">
        <f t="shared" si="1"/>
        <v>44</v>
      </c>
      <c r="B46" s="45" t="s">
        <v>1042</v>
      </c>
      <c r="C46" s="45">
        <f>YEAR(GC[[#This Row],[Date]])</f>
        <v>2025</v>
      </c>
      <c r="D46" s="45" t="s">
        <v>4</v>
      </c>
      <c r="E46" s="45" t="s">
        <v>4</v>
      </c>
      <c r="F46" s="77">
        <f>GC[[#This Row],[Date]]-DAY(GC[[#This Row],[Date]])+1</f>
        <v>45778</v>
      </c>
      <c r="G46" s="2">
        <f>DAY(EOMONTH(GC[[#This Row],[Month Year]],0))</f>
        <v>31</v>
      </c>
      <c r="H46" s="47">
        <f t="shared" si="5"/>
        <v>45788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2">
        <f>SUM(GC[[#This Row],[Inv1]:[Inv3]])</f>
        <v>0</v>
      </c>
      <c r="O46" t="s">
        <v>1037</v>
      </c>
    </row>
    <row r="47" spans="1:15" x14ac:dyDescent="0.25">
      <c r="A47" s="46">
        <f t="shared" si="1"/>
        <v>45</v>
      </c>
      <c r="B47" s="45" t="s">
        <v>1042</v>
      </c>
      <c r="C47" s="45">
        <f>YEAR(GC[[#This Row],[Date]])</f>
        <v>2025</v>
      </c>
      <c r="D47" s="45" t="s">
        <v>4</v>
      </c>
      <c r="E47" s="45" t="s">
        <v>4</v>
      </c>
      <c r="F47" s="77">
        <f>GC[[#This Row],[Date]]-DAY(GC[[#This Row],[Date]])+1</f>
        <v>45778</v>
      </c>
      <c r="G47" s="2">
        <f>DAY(EOMONTH(GC[[#This Row],[Month Year]],0))</f>
        <v>31</v>
      </c>
      <c r="H47" s="47">
        <f t="shared" si="5"/>
        <v>45789</v>
      </c>
      <c r="I47" s="45">
        <v>8</v>
      </c>
      <c r="J47" s="45">
        <v>0</v>
      </c>
      <c r="K47" s="45">
        <v>0</v>
      </c>
      <c r="L47" s="45">
        <v>30</v>
      </c>
      <c r="M47" s="45">
        <v>0</v>
      </c>
      <c r="N47" s="2">
        <f>SUM(GC[[#This Row],[Inv1]:[Inv3]])</f>
        <v>30</v>
      </c>
      <c r="O47" t="s">
        <v>1041</v>
      </c>
    </row>
    <row r="48" spans="1:15" x14ac:dyDescent="0.25">
      <c r="A48" s="46">
        <f t="shared" si="1"/>
        <v>46</v>
      </c>
      <c r="B48" s="45" t="s">
        <v>1042</v>
      </c>
      <c r="C48" s="45">
        <f>YEAR(GC[[#This Row],[Date]])</f>
        <v>2025</v>
      </c>
      <c r="D48" s="45" t="s">
        <v>4</v>
      </c>
      <c r="E48" s="45" t="s">
        <v>4</v>
      </c>
      <c r="F48" s="77">
        <f>GC[[#This Row],[Date]]-DAY(GC[[#This Row],[Date]])+1</f>
        <v>45778</v>
      </c>
      <c r="G48" s="2">
        <f>DAY(EOMONTH(GC[[#This Row],[Month Year]],0))</f>
        <v>31</v>
      </c>
      <c r="H48" s="47">
        <f t="shared" si="5"/>
        <v>45790</v>
      </c>
      <c r="I48" s="45">
        <v>8</v>
      </c>
      <c r="J48" s="45">
        <v>0</v>
      </c>
      <c r="K48" s="45">
        <v>0</v>
      </c>
      <c r="L48" s="45">
        <v>0</v>
      </c>
      <c r="M48" s="45">
        <v>0</v>
      </c>
      <c r="N48" s="2">
        <f>SUM(GC[[#This Row],[Inv1]:[Inv3]])</f>
        <v>0</v>
      </c>
      <c r="O48" t="s">
        <v>1073</v>
      </c>
    </row>
    <row r="49" spans="1:15" x14ac:dyDescent="0.25">
      <c r="A49" s="46">
        <f t="shared" si="1"/>
        <v>47</v>
      </c>
      <c r="B49" s="45" t="s">
        <v>1042</v>
      </c>
      <c r="C49" s="45">
        <f>YEAR(GC[[#This Row],[Date]])</f>
        <v>2025</v>
      </c>
      <c r="D49" s="45" t="s">
        <v>4</v>
      </c>
      <c r="E49" s="45" t="s">
        <v>4</v>
      </c>
      <c r="F49" s="77">
        <f>GC[[#This Row],[Date]]-DAY(GC[[#This Row],[Date]])+1</f>
        <v>45778</v>
      </c>
      <c r="G49" s="2">
        <f>DAY(EOMONTH(GC[[#This Row],[Month Year]],0))</f>
        <v>31</v>
      </c>
      <c r="H49" s="47">
        <f t="shared" si="5"/>
        <v>45791</v>
      </c>
      <c r="I49" s="45">
        <v>8</v>
      </c>
      <c r="J49" s="45">
        <v>0</v>
      </c>
      <c r="K49" s="45">
        <v>0</v>
      </c>
      <c r="L49" s="45">
        <v>0</v>
      </c>
      <c r="M49" s="45">
        <v>0</v>
      </c>
      <c r="N49" s="2">
        <f>SUM(GC[[#This Row],[Inv1]:[Inv3]])</f>
        <v>0</v>
      </c>
      <c r="O49" t="s">
        <v>1074</v>
      </c>
    </row>
    <row r="50" spans="1:15" x14ac:dyDescent="0.25">
      <c r="A50" s="46">
        <f t="shared" si="1"/>
        <v>48</v>
      </c>
      <c r="B50" s="45" t="s">
        <v>1042</v>
      </c>
      <c r="C50" s="45">
        <f>YEAR(GC[[#This Row],[Date]])</f>
        <v>2025</v>
      </c>
      <c r="D50" s="45" t="s">
        <v>4</v>
      </c>
      <c r="E50" s="45" t="s">
        <v>4</v>
      </c>
      <c r="F50" s="77">
        <f>GC[[#This Row],[Date]]-DAY(GC[[#This Row],[Date]])+1</f>
        <v>45778</v>
      </c>
      <c r="G50" s="2">
        <f>DAY(EOMONTH(GC[[#This Row],[Month Year]],0))</f>
        <v>31</v>
      </c>
      <c r="H50" s="47">
        <f t="shared" si="5"/>
        <v>45792</v>
      </c>
      <c r="I50" s="45">
        <v>8</v>
      </c>
      <c r="J50" s="45">
        <v>0</v>
      </c>
      <c r="K50" s="45">
        <v>0</v>
      </c>
      <c r="L50" s="45">
        <v>0</v>
      </c>
      <c r="M50" s="45">
        <v>0</v>
      </c>
      <c r="N50" s="2">
        <f>SUM(GC[[#This Row],[Inv1]:[Inv3]])</f>
        <v>0</v>
      </c>
      <c r="O50" t="s">
        <v>1075</v>
      </c>
    </row>
    <row r="51" spans="1:15" x14ac:dyDescent="0.25">
      <c r="A51" s="46">
        <f t="shared" si="1"/>
        <v>49</v>
      </c>
      <c r="B51" s="45" t="s">
        <v>1042</v>
      </c>
      <c r="C51" s="45">
        <f>YEAR(GC[[#This Row],[Date]])</f>
        <v>2025</v>
      </c>
      <c r="D51" s="45" t="s">
        <v>4</v>
      </c>
      <c r="E51" s="45" t="s">
        <v>4</v>
      </c>
      <c r="F51" s="77">
        <f>GC[[#This Row],[Date]]-DAY(GC[[#This Row],[Date]])+1</f>
        <v>45778</v>
      </c>
      <c r="G51" s="2">
        <f>DAY(EOMONTH(GC[[#This Row],[Month Year]],0))</f>
        <v>31</v>
      </c>
      <c r="H51" s="47">
        <f t="shared" si="5"/>
        <v>45793</v>
      </c>
      <c r="I51" s="45">
        <v>8</v>
      </c>
      <c r="J51" s="45">
        <v>0</v>
      </c>
      <c r="K51" s="45">
        <v>0</v>
      </c>
      <c r="L51" s="45">
        <v>0</v>
      </c>
      <c r="M51" s="45">
        <v>0</v>
      </c>
      <c r="N51" s="2">
        <f>SUM(GC[[#This Row],[Inv1]:[Inv3]])</f>
        <v>0</v>
      </c>
      <c r="O51" t="s">
        <v>1076</v>
      </c>
    </row>
    <row r="52" spans="1:15" x14ac:dyDescent="0.25">
      <c r="A52" s="46">
        <f t="shared" si="1"/>
        <v>50</v>
      </c>
      <c r="B52" s="45" t="s">
        <v>1042</v>
      </c>
      <c r="C52" s="45">
        <f>YEAR(GC[[#This Row],[Date]])</f>
        <v>2025</v>
      </c>
      <c r="D52" s="45" t="s">
        <v>4</v>
      </c>
      <c r="E52" s="45" t="s">
        <v>4</v>
      </c>
      <c r="F52" s="77">
        <f>GC[[#This Row],[Date]]-DAY(GC[[#This Row],[Date]])+1</f>
        <v>45778</v>
      </c>
      <c r="G52" s="2">
        <f>DAY(EOMONTH(GC[[#This Row],[Month Year]],0))</f>
        <v>31</v>
      </c>
      <c r="H52" s="47">
        <f t="shared" si="5"/>
        <v>45794</v>
      </c>
      <c r="I52" s="45">
        <v>8</v>
      </c>
      <c r="J52" s="45">
        <v>0</v>
      </c>
      <c r="K52" s="45">
        <v>0</v>
      </c>
      <c r="L52" s="45">
        <v>0</v>
      </c>
      <c r="M52" s="45">
        <v>0</v>
      </c>
      <c r="N52" s="2">
        <f>SUM(GC[[#This Row],[Inv1]:[Inv3]])</f>
        <v>0</v>
      </c>
      <c r="O52" t="s">
        <v>1076</v>
      </c>
    </row>
    <row r="53" spans="1:15" x14ac:dyDescent="0.25">
      <c r="A53" s="46">
        <f t="shared" si="1"/>
        <v>51</v>
      </c>
      <c r="B53" s="45" t="s">
        <v>1042</v>
      </c>
      <c r="C53" s="45">
        <f>YEAR(GC[[#This Row],[Date]])</f>
        <v>2025</v>
      </c>
      <c r="D53" s="45" t="s">
        <v>4</v>
      </c>
      <c r="E53" s="45" t="s">
        <v>4</v>
      </c>
      <c r="F53" s="77">
        <f>GC[[#This Row],[Date]]-DAY(GC[[#This Row],[Date]])+1</f>
        <v>45778</v>
      </c>
      <c r="G53" s="2">
        <f>DAY(EOMONTH(GC[[#This Row],[Month Year]],0))</f>
        <v>31</v>
      </c>
      <c r="H53" s="47">
        <f t="shared" si="5"/>
        <v>45795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2">
        <f>SUM(GC[[#This Row],[Inv1]:[Inv3]])</f>
        <v>0</v>
      </c>
      <c r="O53" t="s">
        <v>1037</v>
      </c>
    </row>
    <row r="54" spans="1:15" x14ac:dyDescent="0.25">
      <c r="A54" s="46">
        <f t="shared" si="1"/>
        <v>52</v>
      </c>
      <c r="B54" s="45" t="s">
        <v>1042</v>
      </c>
      <c r="C54" s="45">
        <f>YEAR(GC[[#This Row],[Date]])</f>
        <v>2025</v>
      </c>
      <c r="D54" s="45" t="s">
        <v>4</v>
      </c>
      <c r="E54" s="45" t="s">
        <v>4</v>
      </c>
      <c r="F54" s="77">
        <f>GC[[#This Row],[Date]]-DAY(GC[[#This Row],[Date]])+1</f>
        <v>45778</v>
      </c>
      <c r="G54" s="2">
        <f>DAY(EOMONTH(GC[[#This Row],[Month Year]],0))</f>
        <v>31</v>
      </c>
      <c r="H54" s="47">
        <f t="shared" si="5"/>
        <v>45796</v>
      </c>
      <c r="I54" s="45">
        <v>8</v>
      </c>
      <c r="J54" s="45">
        <v>0</v>
      </c>
      <c r="K54" s="45">
        <v>0</v>
      </c>
      <c r="L54" s="45">
        <v>0</v>
      </c>
      <c r="M54" s="45">
        <v>0</v>
      </c>
      <c r="N54" s="2">
        <f>SUM(GC[[#This Row],[Inv1]:[Inv3]])</f>
        <v>0</v>
      </c>
      <c r="O54" t="s">
        <v>1076</v>
      </c>
    </row>
    <row r="55" spans="1:15" x14ac:dyDescent="0.25">
      <c r="A55" s="46">
        <f t="shared" si="1"/>
        <v>53</v>
      </c>
      <c r="B55" s="45" t="s">
        <v>1042</v>
      </c>
      <c r="C55" s="45">
        <f>YEAR(GC[[#This Row],[Date]])</f>
        <v>2025</v>
      </c>
      <c r="D55" s="45" t="s">
        <v>4</v>
      </c>
      <c r="E55" s="45" t="s">
        <v>4</v>
      </c>
      <c r="F55" s="77">
        <f>GC[[#This Row],[Date]]-DAY(GC[[#This Row],[Date]])+1</f>
        <v>45778</v>
      </c>
      <c r="G55" s="2">
        <f>DAY(EOMONTH(GC[[#This Row],[Month Year]],0))</f>
        <v>31</v>
      </c>
      <c r="H55" s="47">
        <f t="shared" si="5"/>
        <v>45797</v>
      </c>
      <c r="I55" s="45">
        <v>8</v>
      </c>
      <c r="J55" s="45">
        <v>0</v>
      </c>
      <c r="K55" s="45">
        <v>0</v>
      </c>
      <c r="L55" s="45">
        <v>0</v>
      </c>
      <c r="M55" s="45">
        <v>0</v>
      </c>
      <c r="N55" s="2">
        <f>SUM(GC[[#This Row],[Inv1]:[Inv3]])</f>
        <v>0</v>
      </c>
      <c r="O55" t="s">
        <v>1078</v>
      </c>
    </row>
    <row r="56" spans="1:15" x14ac:dyDescent="0.25">
      <c r="A56" s="46">
        <f t="shared" si="1"/>
        <v>54</v>
      </c>
      <c r="B56" s="45" t="s">
        <v>1042</v>
      </c>
      <c r="C56" s="45">
        <f>YEAR(GC[[#This Row],[Date]])</f>
        <v>2025</v>
      </c>
      <c r="D56" s="45" t="s">
        <v>4</v>
      </c>
      <c r="E56" s="45" t="s">
        <v>4</v>
      </c>
      <c r="F56" s="77">
        <f>GC[[#This Row],[Date]]-DAY(GC[[#This Row],[Date]])+1</f>
        <v>45778</v>
      </c>
      <c r="G56" s="2">
        <f>DAY(EOMONTH(GC[[#This Row],[Month Year]],0))</f>
        <v>31</v>
      </c>
      <c r="H56" s="47">
        <f t="shared" si="5"/>
        <v>45798</v>
      </c>
      <c r="I56" s="45">
        <v>8</v>
      </c>
      <c r="J56" s="45">
        <v>0</v>
      </c>
      <c r="K56" s="45">
        <v>0</v>
      </c>
      <c r="L56" s="45">
        <v>0</v>
      </c>
      <c r="M56" s="45">
        <v>0</v>
      </c>
      <c r="N56" s="2">
        <f>SUM(GC[[#This Row],[Inv1]:[Inv3]])</f>
        <v>0</v>
      </c>
      <c r="O56" t="s">
        <v>1078</v>
      </c>
    </row>
    <row r="57" spans="1:15" x14ac:dyDescent="0.25">
      <c r="A57" s="46">
        <f t="shared" si="1"/>
        <v>55</v>
      </c>
      <c r="B57" s="45" t="s">
        <v>1042</v>
      </c>
      <c r="C57" s="45">
        <f>YEAR(GC[[#This Row],[Date]])</f>
        <v>2025</v>
      </c>
      <c r="D57" s="45" t="s">
        <v>4</v>
      </c>
      <c r="E57" s="45" t="s">
        <v>4</v>
      </c>
      <c r="F57" s="77">
        <f>GC[[#This Row],[Date]]-DAY(GC[[#This Row],[Date]])+1</f>
        <v>45778</v>
      </c>
      <c r="G57" s="2">
        <f>DAY(EOMONTH(GC[[#This Row],[Month Year]],0))</f>
        <v>31</v>
      </c>
      <c r="H57" s="47">
        <f t="shared" si="5"/>
        <v>45799</v>
      </c>
      <c r="I57" s="45">
        <v>8</v>
      </c>
      <c r="J57" s="45">
        <v>0</v>
      </c>
      <c r="K57" s="45">
        <v>54</v>
      </c>
      <c r="L57" s="45">
        <v>0</v>
      </c>
      <c r="M57" s="45">
        <v>0</v>
      </c>
      <c r="N57" s="2">
        <f>SUM(GC[[#This Row],[Inv1]:[Inv3]])</f>
        <v>54</v>
      </c>
      <c r="O57" t="s">
        <v>1041</v>
      </c>
    </row>
    <row r="58" spans="1:15" x14ac:dyDescent="0.25">
      <c r="A58" s="46">
        <f t="shared" si="1"/>
        <v>56</v>
      </c>
      <c r="B58" s="45" t="s">
        <v>1042</v>
      </c>
      <c r="C58" s="45">
        <f>YEAR(GC[[#This Row],[Date]])</f>
        <v>2025</v>
      </c>
      <c r="D58" s="45" t="s">
        <v>4</v>
      </c>
      <c r="E58" s="45" t="s">
        <v>4</v>
      </c>
      <c r="F58" s="77">
        <f>GC[[#This Row],[Date]]-DAY(GC[[#This Row],[Date]])+1</f>
        <v>45778</v>
      </c>
      <c r="G58" s="2">
        <f>DAY(EOMONTH(GC[[#This Row],[Month Year]],0))</f>
        <v>31</v>
      </c>
      <c r="H58" s="47">
        <f t="shared" si="5"/>
        <v>45800</v>
      </c>
      <c r="I58" s="45">
        <v>8</v>
      </c>
      <c r="J58" s="45">
        <v>0</v>
      </c>
      <c r="K58" s="45">
        <v>20</v>
      </c>
      <c r="L58" s="45">
        <v>0</v>
      </c>
      <c r="M58" s="45">
        <v>0</v>
      </c>
      <c r="N58" s="2">
        <f>SUM(GC[[#This Row],[Inv1]:[Inv3]])</f>
        <v>20</v>
      </c>
      <c r="O58" t="s">
        <v>1041</v>
      </c>
    </row>
    <row r="59" spans="1:15" x14ac:dyDescent="0.25">
      <c r="A59" s="46">
        <f t="shared" si="1"/>
        <v>57</v>
      </c>
      <c r="B59" s="45" t="s">
        <v>1042</v>
      </c>
      <c r="C59" s="45">
        <f>YEAR(GC[[#This Row],[Date]])</f>
        <v>2025</v>
      </c>
      <c r="D59" s="45" t="s">
        <v>4</v>
      </c>
      <c r="E59" s="45" t="s">
        <v>4</v>
      </c>
      <c r="F59" s="77">
        <f>GC[[#This Row],[Date]]-DAY(GC[[#This Row],[Date]])+1</f>
        <v>45778</v>
      </c>
      <c r="G59" s="2">
        <f>DAY(EOMONTH(GC[[#This Row],[Month Year]],0))</f>
        <v>31</v>
      </c>
      <c r="H59" s="47">
        <f t="shared" si="5"/>
        <v>45801</v>
      </c>
      <c r="I59" s="45">
        <v>8</v>
      </c>
      <c r="J59" s="45">
        <v>0</v>
      </c>
      <c r="K59" s="45">
        <v>0</v>
      </c>
      <c r="L59" s="45">
        <v>0</v>
      </c>
      <c r="M59" s="45">
        <v>0</v>
      </c>
      <c r="N59" s="2">
        <f>SUM(GC[[#This Row],[Inv1]:[Inv3]])</f>
        <v>0</v>
      </c>
      <c r="O59" t="s">
        <v>1078</v>
      </c>
    </row>
    <row r="60" spans="1:15" x14ac:dyDescent="0.25">
      <c r="A60" s="46">
        <f t="shared" si="1"/>
        <v>58</v>
      </c>
      <c r="B60" s="45" t="s">
        <v>1042</v>
      </c>
      <c r="C60" s="45">
        <f>YEAR(GC[[#This Row],[Date]])</f>
        <v>2025</v>
      </c>
      <c r="D60" s="45" t="s">
        <v>4</v>
      </c>
      <c r="E60" s="45" t="s">
        <v>4</v>
      </c>
      <c r="F60" s="77">
        <f>GC[[#This Row],[Date]]-DAY(GC[[#This Row],[Date]])+1</f>
        <v>45778</v>
      </c>
      <c r="G60" s="2">
        <f>DAY(EOMONTH(GC[[#This Row],[Month Year]],0))</f>
        <v>31</v>
      </c>
      <c r="H60" s="47">
        <f t="shared" si="5"/>
        <v>45802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2">
        <f>SUM(GC[[#This Row],[Inv1]:[Inv3]])</f>
        <v>0</v>
      </c>
      <c r="O60" t="s">
        <v>1037</v>
      </c>
    </row>
    <row r="61" spans="1:15" x14ac:dyDescent="0.25">
      <c r="A61" s="46">
        <f t="shared" si="1"/>
        <v>59</v>
      </c>
      <c r="B61" s="45" t="s">
        <v>1042</v>
      </c>
      <c r="C61" s="45">
        <f>YEAR(GC[[#This Row],[Date]])</f>
        <v>2025</v>
      </c>
      <c r="D61" s="45" t="s">
        <v>4</v>
      </c>
      <c r="E61" s="45" t="s">
        <v>4</v>
      </c>
      <c r="F61" s="77">
        <f>GC[[#This Row],[Date]]-DAY(GC[[#This Row],[Date]])+1</f>
        <v>45778</v>
      </c>
      <c r="G61" s="2">
        <f>DAY(EOMONTH(GC[[#This Row],[Month Year]],0))</f>
        <v>31</v>
      </c>
      <c r="H61" s="47">
        <f t="shared" si="5"/>
        <v>45803</v>
      </c>
      <c r="I61" s="45">
        <v>8</v>
      </c>
      <c r="J61" s="45">
        <v>0</v>
      </c>
      <c r="K61" s="45">
        <v>0</v>
      </c>
      <c r="L61" s="45">
        <v>0</v>
      </c>
      <c r="M61" s="45">
        <v>0</v>
      </c>
      <c r="N61" s="2">
        <f>SUM(GC[[#This Row],[Inv1]:[Inv3]])</f>
        <v>0</v>
      </c>
      <c r="O61" t="s">
        <v>1078</v>
      </c>
    </row>
    <row r="62" spans="1:15" x14ac:dyDescent="0.25">
      <c r="A62" s="46">
        <f t="shared" si="1"/>
        <v>60</v>
      </c>
      <c r="B62" s="45" t="s">
        <v>1042</v>
      </c>
      <c r="C62" s="45">
        <f>YEAR(GC[[#This Row],[Date]])</f>
        <v>2025</v>
      </c>
      <c r="D62" s="45" t="s">
        <v>4</v>
      </c>
      <c r="E62" s="45" t="s">
        <v>4</v>
      </c>
      <c r="F62" s="77">
        <f>GC[[#This Row],[Date]]-DAY(GC[[#This Row],[Date]])+1</f>
        <v>45778</v>
      </c>
      <c r="G62" s="2">
        <f>DAY(EOMONTH(GC[[#This Row],[Month Year]],0))</f>
        <v>31</v>
      </c>
      <c r="H62" s="47">
        <f t="shared" si="5"/>
        <v>45804</v>
      </c>
      <c r="I62" s="45">
        <v>8</v>
      </c>
      <c r="J62" s="45">
        <v>0</v>
      </c>
      <c r="K62" s="45">
        <v>38</v>
      </c>
      <c r="L62" s="45">
        <v>0</v>
      </c>
      <c r="M62" s="45">
        <v>0</v>
      </c>
      <c r="N62" s="2">
        <f>SUM(GC[[#This Row],[Inv1]:[Inv3]])</f>
        <v>38</v>
      </c>
      <c r="O62" t="s">
        <v>1041</v>
      </c>
    </row>
    <row r="63" spans="1:15" x14ac:dyDescent="0.25">
      <c r="A63" s="46">
        <f t="shared" si="1"/>
        <v>61</v>
      </c>
      <c r="B63" s="45" t="s">
        <v>1042</v>
      </c>
      <c r="C63" s="45">
        <f>YEAR(GC[[#This Row],[Date]])</f>
        <v>2025</v>
      </c>
      <c r="D63" s="45" t="s">
        <v>4</v>
      </c>
      <c r="E63" s="45" t="s">
        <v>4</v>
      </c>
      <c r="F63" s="77">
        <f>GC[[#This Row],[Date]]-DAY(GC[[#This Row],[Date]])+1</f>
        <v>45778</v>
      </c>
      <c r="G63" s="2">
        <f>DAY(EOMONTH(GC[[#This Row],[Month Year]],0))</f>
        <v>31</v>
      </c>
      <c r="H63" s="47">
        <f t="shared" si="5"/>
        <v>45805</v>
      </c>
      <c r="I63" s="45">
        <v>8</v>
      </c>
      <c r="J63" s="45">
        <v>0</v>
      </c>
      <c r="K63" s="45">
        <v>30</v>
      </c>
      <c r="L63" s="45">
        <v>0</v>
      </c>
      <c r="M63" s="45">
        <v>0</v>
      </c>
      <c r="N63" s="2">
        <f>SUM(GC[[#This Row],[Inv1]:[Inv3]])</f>
        <v>30</v>
      </c>
      <c r="O63" t="s">
        <v>1041</v>
      </c>
    </row>
    <row r="64" spans="1:15" x14ac:dyDescent="0.25">
      <c r="A64" s="46">
        <f t="shared" si="1"/>
        <v>62</v>
      </c>
      <c r="B64" s="45" t="s">
        <v>1042</v>
      </c>
      <c r="C64" s="45">
        <f>YEAR(GC[[#This Row],[Date]])</f>
        <v>2025</v>
      </c>
      <c r="D64" s="45" t="s">
        <v>4</v>
      </c>
      <c r="E64" s="45" t="s">
        <v>4</v>
      </c>
      <c r="F64" s="77">
        <f>GC[[#This Row],[Date]]-DAY(GC[[#This Row],[Date]])+1</f>
        <v>45778</v>
      </c>
      <c r="G64" s="2">
        <f>DAY(EOMONTH(GC[[#This Row],[Month Year]],0))</f>
        <v>31</v>
      </c>
      <c r="H64" s="47">
        <f t="shared" si="5"/>
        <v>45806</v>
      </c>
      <c r="I64" s="45">
        <v>8</v>
      </c>
      <c r="J64" s="45">
        <v>0</v>
      </c>
      <c r="K64" s="45">
        <v>25</v>
      </c>
      <c r="L64" s="45">
        <v>0</v>
      </c>
      <c r="M64" s="45">
        <v>0</v>
      </c>
      <c r="N64" s="2">
        <f>SUM(GC[[#This Row],[Inv1]:[Inv3]])</f>
        <v>25</v>
      </c>
      <c r="O64" t="s">
        <v>1041</v>
      </c>
    </row>
    <row r="65" spans="1:15" x14ac:dyDescent="0.25">
      <c r="A65" s="46">
        <f t="shared" si="1"/>
        <v>63</v>
      </c>
      <c r="B65" s="45" t="s">
        <v>1042</v>
      </c>
      <c r="C65" s="45">
        <f>YEAR(GC[[#This Row],[Date]])</f>
        <v>2025</v>
      </c>
      <c r="D65" s="45" t="s">
        <v>4</v>
      </c>
      <c r="E65" s="45" t="s">
        <v>4</v>
      </c>
      <c r="F65" s="77">
        <f>GC[[#This Row],[Date]]-DAY(GC[[#This Row],[Date]])+1</f>
        <v>45778</v>
      </c>
      <c r="G65" s="2">
        <f>DAY(EOMONTH(GC[[#This Row],[Month Year]],0))</f>
        <v>31</v>
      </c>
      <c r="H65" s="47">
        <f t="shared" si="5"/>
        <v>45807</v>
      </c>
      <c r="I65" s="45">
        <v>8</v>
      </c>
      <c r="J65" s="45">
        <v>0</v>
      </c>
      <c r="K65" s="45">
        <v>25</v>
      </c>
      <c r="L65" s="45">
        <v>25</v>
      </c>
      <c r="M65" s="45">
        <v>0</v>
      </c>
      <c r="N65" s="2">
        <f>SUM(GC[[#This Row],[Inv1]:[Inv3]])</f>
        <v>50</v>
      </c>
      <c r="O65" t="s">
        <v>1041</v>
      </c>
    </row>
    <row r="66" spans="1:15" x14ac:dyDescent="0.25">
      <c r="A66" s="46">
        <f t="shared" si="1"/>
        <v>64</v>
      </c>
      <c r="B66" s="45" t="s">
        <v>1042</v>
      </c>
      <c r="C66" s="45">
        <f>YEAR(GC[[#This Row],[Date]])</f>
        <v>2025</v>
      </c>
      <c r="D66" s="45" t="s">
        <v>4</v>
      </c>
      <c r="E66" s="45" t="s">
        <v>4</v>
      </c>
      <c r="F66" s="77">
        <f>GC[[#This Row],[Date]]-DAY(GC[[#This Row],[Date]])+1</f>
        <v>45778</v>
      </c>
      <c r="G66" s="2">
        <f>DAY(EOMONTH(GC[[#This Row],[Month Year]],0))</f>
        <v>31</v>
      </c>
      <c r="H66" s="47">
        <f t="shared" si="5"/>
        <v>45808</v>
      </c>
      <c r="I66" s="45">
        <v>8</v>
      </c>
      <c r="J66" s="45">
        <v>0</v>
      </c>
      <c r="K66" s="45">
        <v>0</v>
      </c>
      <c r="L66" s="45">
        <v>40</v>
      </c>
      <c r="M66" s="45">
        <v>0</v>
      </c>
      <c r="N66" s="2">
        <f>SUM(GC[[#This Row],[Inv1]:[Inv3]])</f>
        <v>40</v>
      </c>
      <c r="O66" t="s">
        <v>1041</v>
      </c>
    </row>
    <row r="67" spans="1:15" x14ac:dyDescent="0.25">
      <c r="A67" s="46">
        <f t="shared" si="1"/>
        <v>65</v>
      </c>
      <c r="B67" s="45" t="s">
        <v>1042</v>
      </c>
      <c r="C67" s="45">
        <f>YEAR(GC[[#This Row],[Date]])</f>
        <v>2025</v>
      </c>
      <c r="D67" s="45" t="s">
        <v>4</v>
      </c>
      <c r="E67" s="45" t="s">
        <v>4</v>
      </c>
      <c r="F67" s="77">
        <f>GC[[#This Row],[Date]]-DAY(GC[[#This Row],[Date]])+1</f>
        <v>45809</v>
      </c>
      <c r="G67" s="2">
        <f>DAY(EOMONTH(GC[[#This Row],[Month Year]],0))</f>
        <v>30</v>
      </c>
      <c r="H67" s="47">
        <f t="shared" si="5"/>
        <v>45809</v>
      </c>
      <c r="I67" s="45">
        <v>8</v>
      </c>
      <c r="J67" s="45">
        <v>0</v>
      </c>
      <c r="K67" s="45">
        <v>0</v>
      </c>
      <c r="L67" s="45">
        <v>0</v>
      </c>
      <c r="M67" s="45">
        <v>0</v>
      </c>
      <c r="N67" s="2">
        <f>SUM(GC[[#This Row],[Inv1]:[Inv3]])</f>
        <v>0</v>
      </c>
      <c r="O67" t="s">
        <v>1037</v>
      </c>
    </row>
    <row r="68" spans="1:15" x14ac:dyDescent="0.25">
      <c r="A68" s="46">
        <f t="shared" si="1"/>
        <v>66</v>
      </c>
      <c r="B68" s="45" t="s">
        <v>1042</v>
      </c>
      <c r="C68" s="45">
        <f>YEAR(GC[[#This Row],[Date]])</f>
        <v>2025</v>
      </c>
      <c r="D68" s="45" t="s">
        <v>4</v>
      </c>
      <c r="E68" s="45" t="s">
        <v>4</v>
      </c>
      <c r="F68" s="77">
        <f>GC[[#This Row],[Date]]-DAY(GC[[#This Row],[Date]])+1</f>
        <v>45809</v>
      </c>
      <c r="G68" s="2">
        <f>DAY(EOMONTH(GC[[#This Row],[Month Year]],0))</f>
        <v>30</v>
      </c>
      <c r="H68" s="47">
        <f t="shared" si="5"/>
        <v>45810</v>
      </c>
      <c r="I68" s="45">
        <v>8</v>
      </c>
      <c r="J68" s="45">
        <v>0</v>
      </c>
      <c r="K68" s="45">
        <v>0</v>
      </c>
      <c r="L68" s="45">
        <v>0</v>
      </c>
      <c r="M68" s="45">
        <v>45</v>
      </c>
      <c r="N68" s="2">
        <f>SUM(GC[[#This Row],[Inv1]:[Inv3]])</f>
        <v>45</v>
      </c>
      <c r="O68" t="s">
        <v>1041</v>
      </c>
    </row>
    <row r="69" spans="1:15" x14ac:dyDescent="0.25">
      <c r="A69" s="46">
        <f t="shared" si="1"/>
        <v>67</v>
      </c>
      <c r="B69" s="45" t="s">
        <v>1042</v>
      </c>
      <c r="C69" s="45">
        <f>YEAR(GC[[#This Row],[Date]])</f>
        <v>2025</v>
      </c>
      <c r="D69" s="45" t="s">
        <v>4</v>
      </c>
      <c r="E69" s="45" t="s">
        <v>4</v>
      </c>
      <c r="F69" s="77">
        <f>GC[[#This Row],[Date]]-DAY(GC[[#This Row],[Date]])+1</f>
        <v>45809</v>
      </c>
      <c r="G69" s="2">
        <f>DAY(EOMONTH(GC[[#This Row],[Month Year]],0))</f>
        <v>30</v>
      </c>
      <c r="H69" s="47">
        <f t="shared" si="5"/>
        <v>45811</v>
      </c>
      <c r="I69" s="45">
        <v>8</v>
      </c>
      <c r="J69" s="45">
        <v>0</v>
      </c>
      <c r="K69" s="45">
        <v>0</v>
      </c>
      <c r="L69" s="45">
        <v>0</v>
      </c>
      <c r="M69" s="45">
        <v>40</v>
      </c>
      <c r="N69" s="2">
        <f>SUM(GC[[#This Row],[Inv1]:[Inv3]])</f>
        <v>40</v>
      </c>
      <c r="O69" t="s">
        <v>1041</v>
      </c>
    </row>
    <row r="70" spans="1:15" x14ac:dyDescent="0.25">
      <c r="A70" s="46">
        <f t="shared" ref="A70:A133" si="6">A69+1</f>
        <v>68</v>
      </c>
      <c r="B70" s="45" t="s">
        <v>1042</v>
      </c>
      <c r="C70" s="45">
        <f>YEAR(GC[[#This Row],[Date]])</f>
        <v>2025</v>
      </c>
      <c r="D70" s="45" t="s">
        <v>4</v>
      </c>
      <c r="E70" s="45" t="s">
        <v>4</v>
      </c>
      <c r="F70" s="77">
        <f>GC[[#This Row],[Date]]-DAY(GC[[#This Row],[Date]])+1</f>
        <v>45809</v>
      </c>
      <c r="G70" s="2">
        <f>DAY(EOMONTH(GC[[#This Row],[Month Year]],0))</f>
        <v>30</v>
      </c>
      <c r="H70" s="47">
        <f t="shared" si="5"/>
        <v>45812</v>
      </c>
      <c r="I70" s="45">
        <v>8</v>
      </c>
      <c r="J70" s="45">
        <v>0</v>
      </c>
      <c r="K70" s="45">
        <v>0</v>
      </c>
      <c r="L70" s="45">
        <v>0</v>
      </c>
      <c r="M70" s="45">
        <v>20</v>
      </c>
      <c r="N70" s="2">
        <f>SUM(GC[[#This Row],[Inv1]:[Inv3]])</f>
        <v>20</v>
      </c>
      <c r="O70" t="s">
        <v>1041</v>
      </c>
    </row>
    <row r="71" spans="1:15" x14ac:dyDescent="0.25">
      <c r="A71" s="46">
        <f t="shared" si="6"/>
        <v>69</v>
      </c>
      <c r="B71" s="45" t="s">
        <v>1042</v>
      </c>
      <c r="C71" s="45">
        <f>YEAR(GC[[#This Row],[Date]])</f>
        <v>2025</v>
      </c>
      <c r="D71" s="45" t="s">
        <v>4</v>
      </c>
      <c r="E71" s="45" t="s">
        <v>4</v>
      </c>
      <c r="F71" s="77">
        <f>GC[[#This Row],[Date]]-DAY(GC[[#This Row],[Date]])+1</f>
        <v>45809</v>
      </c>
      <c r="G71" s="2">
        <f>DAY(EOMONTH(GC[[#This Row],[Month Year]],0))</f>
        <v>30</v>
      </c>
      <c r="H71" s="47">
        <f t="shared" si="5"/>
        <v>45813</v>
      </c>
      <c r="I71" s="45">
        <v>8</v>
      </c>
      <c r="J71" s="45">
        <v>0</v>
      </c>
      <c r="K71" s="45">
        <v>0</v>
      </c>
      <c r="L71" s="45">
        <v>0</v>
      </c>
      <c r="M71" s="45">
        <v>24</v>
      </c>
      <c r="N71" s="2">
        <f>SUM(GC[[#This Row],[Inv1]:[Inv3]])</f>
        <v>24</v>
      </c>
      <c r="O71" t="s">
        <v>1041</v>
      </c>
    </row>
    <row r="72" spans="1:15" x14ac:dyDescent="0.25">
      <c r="A72" s="46">
        <f t="shared" si="6"/>
        <v>70</v>
      </c>
      <c r="B72" s="45" t="s">
        <v>1042</v>
      </c>
      <c r="C72" s="45">
        <f>YEAR(GC[[#This Row],[Date]])</f>
        <v>2025</v>
      </c>
      <c r="D72" s="45" t="s">
        <v>4</v>
      </c>
      <c r="E72" s="45" t="s">
        <v>4</v>
      </c>
      <c r="F72" s="77">
        <f>GC[[#This Row],[Date]]-DAY(GC[[#This Row],[Date]])+1</f>
        <v>45809</v>
      </c>
      <c r="G72" s="2">
        <f>DAY(EOMONTH(GC[[#This Row],[Month Year]],0))</f>
        <v>30</v>
      </c>
      <c r="H72" s="47">
        <f t="shared" si="5"/>
        <v>45814</v>
      </c>
      <c r="I72" s="45">
        <v>8</v>
      </c>
      <c r="J72" s="45">
        <v>0</v>
      </c>
      <c r="K72" s="45">
        <v>0</v>
      </c>
      <c r="L72" s="45">
        <v>0</v>
      </c>
      <c r="M72" s="45">
        <v>25</v>
      </c>
      <c r="N72" s="2">
        <f>SUM(GC[[#This Row],[Inv1]:[Inv3]])</f>
        <v>25</v>
      </c>
      <c r="O72" t="s">
        <v>1041</v>
      </c>
    </row>
    <row r="73" spans="1:15" x14ac:dyDescent="0.25">
      <c r="A73" s="46">
        <f t="shared" si="6"/>
        <v>71</v>
      </c>
      <c r="B73" s="45" t="s">
        <v>1042</v>
      </c>
      <c r="C73" s="45">
        <f>YEAR(GC[[#This Row],[Date]])</f>
        <v>2025</v>
      </c>
      <c r="D73" s="45" t="s">
        <v>4</v>
      </c>
      <c r="E73" s="45" t="s">
        <v>4</v>
      </c>
      <c r="F73" s="77">
        <f>GC[[#This Row],[Date]]-DAY(GC[[#This Row],[Date]])+1</f>
        <v>45809</v>
      </c>
      <c r="G73" s="2">
        <f>DAY(EOMONTH(GC[[#This Row],[Month Year]],0))</f>
        <v>30</v>
      </c>
      <c r="H73" s="47">
        <f t="shared" si="5"/>
        <v>45815</v>
      </c>
      <c r="I73" s="45">
        <v>8</v>
      </c>
      <c r="J73" s="45">
        <v>0</v>
      </c>
      <c r="K73" s="45">
        <v>25</v>
      </c>
      <c r="L73" s="45">
        <v>0</v>
      </c>
      <c r="M73" s="45">
        <v>0</v>
      </c>
      <c r="N73" s="2">
        <f>SUM(GC[[#This Row],[Inv1]:[Inv3]])</f>
        <v>25</v>
      </c>
      <c r="O73" t="s">
        <v>1041</v>
      </c>
    </row>
    <row r="74" spans="1:15" x14ac:dyDescent="0.25">
      <c r="A74" s="46">
        <f t="shared" si="6"/>
        <v>72</v>
      </c>
      <c r="B74" s="45" t="s">
        <v>1042</v>
      </c>
      <c r="C74" s="45">
        <f>YEAR(GC[[#This Row],[Date]])</f>
        <v>2025</v>
      </c>
      <c r="D74" s="45" t="s">
        <v>4</v>
      </c>
      <c r="E74" s="45" t="s">
        <v>4</v>
      </c>
      <c r="F74" s="77">
        <f>GC[[#This Row],[Date]]-DAY(GC[[#This Row],[Date]])+1</f>
        <v>45809</v>
      </c>
      <c r="G74" s="2">
        <f>DAY(EOMONTH(GC[[#This Row],[Month Year]],0))</f>
        <v>30</v>
      </c>
      <c r="H74" s="47">
        <f t="shared" si="5"/>
        <v>45816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2">
        <f>SUM(GC[[#This Row],[Inv1]:[Inv3]])</f>
        <v>0</v>
      </c>
      <c r="O74" t="s">
        <v>1037</v>
      </c>
    </row>
    <row r="75" spans="1:15" x14ac:dyDescent="0.25">
      <c r="A75" s="46">
        <f t="shared" si="6"/>
        <v>73</v>
      </c>
      <c r="B75" s="45" t="s">
        <v>1042</v>
      </c>
      <c r="C75" s="45">
        <f>YEAR(GC[[#This Row],[Date]])</f>
        <v>2025</v>
      </c>
      <c r="D75" s="45" t="s">
        <v>4</v>
      </c>
      <c r="E75" s="45" t="s">
        <v>4</v>
      </c>
      <c r="F75" s="77">
        <f>GC[[#This Row],[Date]]-DAY(GC[[#This Row],[Date]])+1</f>
        <v>45809</v>
      </c>
      <c r="G75" s="2">
        <f>DAY(EOMONTH(GC[[#This Row],[Month Year]],0))</f>
        <v>30</v>
      </c>
      <c r="H75" s="47">
        <f t="shared" si="5"/>
        <v>45817</v>
      </c>
      <c r="I75" s="45">
        <v>2</v>
      </c>
      <c r="J75" s="45">
        <v>0</v>
      </c>
      <c r="K75" s="45">
        <v>0</v>
      </c>
      <c r="L75" s="45">
        <v>0</v>
      </c>
      <c r="M75" s="45">
        <v>0</v>
      </c>
      <c r="N75" s="2">
        <f>SUM(GC[[#This Row],[Inv1]:[Inv3]])</f>
        <v>0</v>
      </c>
      <c r="O75" t="s">
        <v>1088</v>
      </c>
    </row>
    <row r="76" spans="1:15" x14ac:dyDescent="0.25">
      <c r="A76" s="46">
        <f t="shared" si="6"/>
        <v>74</v>
      </c>
      <c r="B76" s="45" t="s">
        <v>1042</v>
      </c>
      <c r="C76" s="45">
        <f>YEAR(GC[[#This Row],[Date]])</f>
        <v>2025</v>
      </c>
      <c r="D76" s="45" t="s">
        <v>4</v>
      </c>
      <c r="E76" s="45" t="s">
        <v>4</v>
      </c>
      <c r="F76" s="77">
        <f>GC[[#This Row],[Date]]-DAY(GC[[#This Row],[Date]])+1</f>
        <v>45809</v>
      </c>
      <c r="G76" s="2">
        <f>DAY(EOMONTH(GC[[#This Row],[Month Year]],0))</f>
        <v>30</v>
      </c>
      <c r="H76" s="47">
        <f t="shared" si="5"/>
        <v>45818</v>
      </c>
      <c r="I76" s="45">
        <v>2</v>
      </c>
      <c r="J76" s="45">
        <v>0</v>
      </c>
      <c r="K76" s="45">
        <v>0</v>
      </c>
      <c r="L76" s="45">
        <v>0</v>
      </c>
      <c r="M76" s="45">
        <v>0</v>
      </c>
      <c r="N76" s="2">
        <f>SUM(GC[[#This Row],[Inv1]:[Inv3]])</f>
        <v>0</v>
      </c>
      <c r="O76" t="s">
        <v>1089</v>
      </c>
    </row>
    <row r="77" spans="1:15" x14ac:dyDescent="0.25">
      <c r="A77" s="45">
        <f t="shared" si="6"/>
        <v>75</v>
      </c>
      <c r="B77" s="45" t="s">
        <v>1042</v>
      </c>
      <c r="C77" s="45">
        <f>YEAR(GC[[#This Row],[Date]])</f>
        <v>2025</v>
      </c>
      <c r="D77" s="45" t="s">
        <v>4</v>
      </c>
      <c r="E77" s="45" t="s">
        <v>4</v>
      </c>
      <c r="F77" s="77">
        <f>GC[[#This Row],[Date]]-DAY(GC[[#This Row],[Date]])+1</f>
        <v>45809</v>
      </c>
      <c r="G77" s="2">
        <f>DAY(EOMONTH(GC[[#This Row],[Month Year]],0))</f>
        <v>30</v>
      </c>
      <c r="H77" s="47">
        <f>H76+1</f>
        <v>45819</v>
      </c>
      <c r="I77" s="45">
        <v>2</v>
      </c>
      <c r="J77" s="45">
        <v>0</v>
      </c>
      <c r="K77" s="45">
        <v>0</v>
      </c>
      <c r="L77" s="45">
        <v>0</v>
      </c>
      <c r="M77" s="45">
        <v>0</v>
      </c>
      <c r="N77" s="2">
        <f>SUM(GC[[#This Row],[Inv1]:[Inv3]])</f>
        <v>0</v>
      </c>
      <c r="O77" t="s">
        <v>1088</v>
      </c>
    </row>
    <row r="78" spans="1:15" x14ac:dyDescent="0.25">
      <c r="A78" s="45">
        <f t="shared" si="6"/>
        <v>76</v>
      </c>
      <c r="B78" s="45" t="s">
        <v>1042</v>
      </c>
      <c r="C78" s="45">
        <f>YEAR(GC[[#This Row],[Date]])</f>
        <v>2025</v>
      </c>
      <c r="D78" s="45" t="s">
        <v>4</v>
      </c>
      <c r="E78" s="45" t="s">
        <v>4</v>
      </c>
      <c r="F78" s="77">
        <f>GC[[#This Row],[Date]]-DAY(GC[[#This Row],[Date]])+1</f>
        <v>45809</v>
      </c>
      <c r="G78" s="2">
        <f>DAY(EOMONTH(GC[[#This Row],[Month Year]],0))</f>
        <v>30</v>
      </c>
      <c r="H78" s="47">
        <f t="shared" ref="H78:H106" si="7">H77+1</f>
        <v>45820</v>
      </c>
      <c r="I78" s="45">
        <v>2</v>
      </c>
      <c r="J78" s="45">
        <v>0</v>
      </c>
      <c r="K78" s="45">
        <v>0</v>
      </c>
      <c r="L78" s="45">
        <v>0</v>
      </c>
      <c r="M78" s="45">
        <v>0</v>
      </c>
      <c r="N78" s="2">
        <f>SUM(GC[[#This Row],[Inv1]:[Inv3]])</f>
        <v>0</v>
      </c>
      <c r="O78" t="s">
        <v>1092</v>
      </c>
    </row>
    <row r="79" spans="1:15" x14ac:dyDescent="0.25">
      <c r="A79" s="45">
        <f t="shared" si="6"/>
        <v>77</v>
      </c>
      <c r="B79" s="45" t="s">
        <v>1042</v>
      </c>
      <c r="C79" s="45">
        <f>YEAR(GC[[#This Row],[Date]])</f>
        <v>2025</v>
      </c>
      <c r="D79" s="45" t="s">
        <v>4</v>
      </c>
      <c r="E79" s="45" t="s">
        <v>4</v>
      </c>
      <c r="F79" s="77">
        <f>GC[[#This Row],[Date]]-DAY(GC[[#This Row],[Date]])+1</f>
        <v>45809</v>
      </c>
      <c r="G79" s="2">
        <f>DAY(EOMONTH(GC[[#This Row],[Month Year]],0))</f>
        <v>30</v>
      </c>
      <c r="H79" s="47">
        <f t="shared" si="7"/>
        <v>45821</v>
      </c>
      <c r="I79" s="45">
        <v>2</v>
      </c>
      <c r="J79" s="45">
        <v>0</v>
      </c>
      <c r="K79" s="45">
        <v>0</v>
      </c>
      <c r="L79" s="45">
        <v>0</v>
      </c>
      <c r="M79" s="45">
        <v>0</v>
      </c>
      <c r="N79" s="2">
        <f>SUM(GC[[#This Row],[Inv1]:[Inv3]])</f>
        <v>0</v>
      </c>
      <c r="O79" t="s">
        <v>1088</v>
      </c>
    </row>
    <row r="80" spans="1:15" x14ac:dyDescent="0.25">
      <c r="A80" s="45">
        <f t="shared" si="6"/>
        <v>78</v>
      </c>
      <c r="B80" s="45" t="s">
        <v>1042</v>
      </c>
      <c r="C80" s="45">
        <f>YEAR(GC[[#This Row],[Date]])</f>
        <v>2025</v>
      </c>
      <c r="D80" s="45" t="s">
        <v>4</v>
      </c>
      <c r="E80" s="45" t="s">
        <v>4</v>
      </c>
      <c r="F80" s="77">
        <f>GC[[#This Row],[Date]]-DAY(GC[[#This Row],[Date]])+1</f>
        <v>45809</v>
      </c>
      <c r="G80" s="2">
        <f>DAY(EOMONTH(GC[[#This Row],[Month Year]],0))</f>
        <v>30</v>
      </c>
      <c r="H80" s="47">
        <f t="shared" si="7"/>
        <v>45822</v>
      </c>
      <c r="I80" s="45">
        <v>0</v>
      </c>
      <c r="J80" s="45">
        <v>0</v>
      </c>
      <c r="K80" s="45">
        <v>0</v>
      </c>
      <c r="L80" s="45">
        <v>0</v>
      </c>
      <c r="M80" s="45">
        <v>0</v>
      </c>
      <c r="N80" s="2">
        <f>SUM(GC[[#This Row],[Inv1]:[Inv3]])</f>
        <v>0</v>
      </c>
    </row>
    <row r="81" spans="1:15" x14ac:dyDescent="0.25">
      <c r="A81" s="45">
        <f t="shared" si="6"/>
        <v>79</v>
      </c>
      <c r="B81" s="45" t="s">
        <v>1042</v>
      </c>
      <c r="C81" s="45">
        <f>YEAR(GC[[#This Row],[Date]])</f>
        <v>2025</v>
      </c>
      <c r="D81" s="45" t="s">
        <v>4</v>
      </c>
      <c r="E81" s="45" t="s">
        <v>4</v>
      </c>
      <c r="F81" s="77">
        <f>GC[[#This Row],[Date]]-DAY(GC[[#This Row],[Date]])+1</f>
        <v>45809</v>
      </c>
      <c r="G81" s="2">
        <f>DAY(EOMONTH(GC[[#This Row],[Month Year]],0))</f>
        <v>30</v>
      </c>
      <c r="H81" s="47">
        <f t="shared" si="7"/>
        <v>45823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2">
        <f>SUM(GC[[#This Row],[Inv1]:[Inv3]])</f>
        <v>0</v>
      </c>
    </row>
    <row r="82" spans="1:15" x14ac:dyDescent="0.25">
      <c r="A82" s="45">
        <f t="shared" si="6"/>
        <v>80</v>
      </c>
      <c r="B82" s="45" t="s">
        <v>1042</v>
      </c>
      <c r="C82" s="45">
        <f>YEAR(GC[[#This Row],[Date]])</f>
        <v>2025</v>
      </c>
      <c r="D82" s="45" t="s">
        <v>4</v>
      </c>
      <c r="E82" s="45" t="s">
        <v>4</v>
      </c>
      <c r="F82" s="77">
        <f>GC[[#This Row],[Date]]-DAY(GC[[#This Row],[Date]])+1</f>
        <v>45809</v>
      </c>
      <c r="G82" s="2">
        <f>DAY(EOMONTH(GC[[#This Row],[Month Year]],0))</f>
        <v>30</v>
      </c>
      <c r="H82" s="47">
        <f t="shared" si="7"/>
        <v>45824</v>
      </c>
      <c r="I82" s="45">
        <v>0</v>
      </c>
      <c r="J82" s="45">
        <v>0</v>
      </c>
      <c r="K82" s="45">
        <v>0</v>
      </c>
      <c r="L82" s="45">
        <v>0</v>
      </c>
      <c r="M82" s="45">
        <v>0</v>
      </c>
      <c r="N82" s="2">
        <f>SUM(GC[[#This Row],[Inv1]:[Inv3]])</f>
        <v>0</v>
      </c>
      <c r="O82" t="s">
        <v>1075</v>
      </c>
    </row>
    <row r="83" spans="1:15" x14ac:dyDescent="0.25">
      <c r="A83" s="45">
        <f t="shared" si="6"/>
        <v>81</v>
      </c>
      <c r="B83" s="45" t="s">
        <v>1042</v>
      </c>
      <c r="C83" s="45">
        <f>YEAR(GC[[#This Row],[Date]])</f>
        <v>2025</v>
      </c>
      <c r="D83" s="45" t="s">
        <v>4</v>
      </c>
      <c r="E83" s="45" t="s">
        <v>4</v>
      </c>
      <c r="F83" s="77">
        <f>GC[[#This Row],[Date]]-DAY(GC[[#This Row],[Date]])+1</f>
        <v>45809</v>
      </c>
      <c r="G83" s="2">
        <f>DAY(EOMONTH(GC[[#This Row],[Month Year]],0))</f>
        <v>30</v>
      </c>
      <c r="H83" s="47">
        <f t="shared" si="7"/>
        <v>45825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2">
        <f>SUM(GC[[#This Row],[Inv1]:[Inv3]])</f>
        <v>0</v>
      </c>
      <c r="O83" t="s">
        <v>1043</v>
      </c>
    </row>
    <row r="84" spans="1:15" x14ac:dyDescent="0.25">
      <c r="A84" s="45">
        <f t="shared" si="6"/>
        <v>82</v>
      </c>
      <c r="B84" s="45" t="s">
        <v>1042</v>
      </c>
      <c r="C84" s="45">
        <f>YEAR(GC[[#This Row],[Date]])</f>
        <v>2025</v>
      </c>
      <c r="D84" s="45" t="s">
        <v>4</v>
      </c>
      <c r="E84" s="45" t="s">
        <v>4</v>
      </c>
      <c r="F84" s="77">
        <f>GC[[#This Row],[Date]]-DAY(GC[[#This Row],[Date]])+1</f>
        <v>45809</v>
      </c>
      <c r="G84" s="2">
        <f>DAY(EOMONTH(GC[[#This Row],[Month Year]],0))</f>
        <v>30</v>
      </c>
      <c r="H84" s="47">
        <f t="shared" si="7"/>
        <v>45826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2">
        <f>SUM(GC[[#This Row],[Inv1]:[Inv3]])</f>
        <v>0</v>
      </c>
      <c r="O84" t="s">
        <v>1043</v>
      </c>
    </row>
    <row r="85" spans="1:15" x14ac:dyDescent="0.25">
      <c r="A85" s="45">
        <f t="shared" si="6"/>
        <v>83</v>
      </c>
      <c r="B85" s="45" t="s">
        <v>1042</v>
      </c>
      <c r="C85" s="45">
        <f>YEAR(GC[[#This Row],[Date]])</f>
        <v>2025</v>
      </c>
      <c r="D85" s="45" t="s">
        <v>4</v>
      </c>
      <c r="E85" s="45" t="s">
        <v>4</v>
      </c>
      <c r="F85" s="77">
        <f>GC[[#This Row],[Date]]-DAY(GC[[#This Row],[Date]])+1</f>
        <v>45809</v>
      </c>
      <c r="G85" s="2">
        <f>DAY(EOMONTH(GC[[#This Row],[Month Year]],0))</f>
        <v>30</v>
      </c>
      <c r="H85" s="47">
        <f t="shared" si="7"/>
        <v>45827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2">
        <f>SUM(GC[[#This Row],[Inv1]:[Inv3]])</f>
        <v>0</v>
      </c>
      <c r="O85" t="s">
        <v>1043</v>
      </c>
    </row>
    <row r="86" spans="1:15" x14ac:dyDescent="0.25">
      <c r="A86" s="45">
        <f t="shared" si="6"/>
        <v>84</v>
      </c>
      <c r="B86" s="45" t="s">
        <v>1042</v>
      </c>
      <c r="C86" s="45">
        <f>YEAR(GC[[#This Row],[Date]])</f>
        <v>2025</v>
      </c>
      <c r="D86" s="45" t="s">
        <v>4</v>
      </c>
      <c r="E86" s="45" t="s">
        <v>4</v>
      </c>
      <c r="F86" s="77">
        <f>GC[[#This Row],[Date]]-DAY(GC[[#This Row],[Date]])+1</f>
        <v>45809</v>
      </c>
      <c r="G86" s="2">
        <f>DAY(EOMONTH(GC[[#This Row],[Month Year]],0))</f>
        <v>30</v>
      </c>
      <c r="H86" s="47">
        <f t="shared" si="7"/>
        <v>45828</v>
      </c>
      <c r="I86" s="45">
        <v>0</v>
      </c>
      <c r="J86" s="45">
        <v>0</v>
      </c>
      <c r="K86" s="45">
        <v>0</v>
      </c>
      <c r="L86" s="45">
        <v>0</v>
      </c>
      <c r="M86" s="45">
        <v>0</v>
      </c>
      <c r="N86" s="2">
        <f>SUM(GC[[#This Row],[Inv1]:[Inv3]])</f>
        <v>0</v>
      </c>
      <c r="O86" t="s">
        <v>1043</v>
      </c>
    </row>
    <row r="87" spans="1:15" x14ac:dyDescent="0.25">
      <c r="A87" s="45">
        <f t="shared" si="6"/>
        <v>85</v>
      </c>
      <c r="B87" s="45" t="s">
        <v>1042</v>
      </c>
      <c r="C87" s="45">
        <f>YEAR(GC[[#This Row],[Date]])</f>
        <v>2025</v>
      </c>
      <c r="D87" s="45" t="s">
        <v>4</v>
      </c>
      <c r="E87" s="45" t="s">
        <v>4</v>
      </c>
      <c r="F87" s="77">
        <f>GC[[#This Row],[Date]]-DAY(GC[[#This Row],[Date]])+1</f>
        <v>45809</v>
      </c>
      <c r="G87" s="2">
        <f>DAY(EOMONTH(GC[[#This Row],[Month Year]],0))</f>
        <v>30</v>
      </c>
      <c r="H87" s="47">
        <f t="shared" si="7"/>
        <v>45829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2">
        <f>SUM(GC[[#This Row],[Inv1]:[Inv3]])</f>
        <v>0</v>
      </c>
      <c r="O87" t="s">
        <v>1043</v>
      </c>
    </row>
    <row r="88" spans="1:15" x14ac:dyDescent="0.25">
      <c r="A88" s="45">
        <f t="shared" si="6"/>
        <v>86</v>
      </c>
      <c r="B88" s="45" t="s">
        <v>1042</v>
      </c>
      <c r="C88" s="45">
        <f>YEAR(GC[[#This Row],[Date]])</f>
        <v>2025</v>
      </c>
      <c r="D88" s="45" t="s">
        <v>4</v>
      </c>
      <c r="E88" s="45" t="s">
        <v>4</v>
      </c>
      <c r="F88" s="77">
        <f>GC[[#This Row],[Date]]-DAY(GC[[#This Row],[Date]])+1</f>
        <v>45809</v>
      </c>
      <c r="G88" s="2">
        <f>DAY(EOMONTH(GC[[#This Row],[Month Year]],0))</f>
        <v>30</v>
      </c>
      <c r="H88" s="47">
        <f t="shared" si="7"/>
        <v>45830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2">
        <f>SUM(GC[[#This Row],[Inv1]:[Inv3]])</f>
        <v>0</v>
      </c>
      <c r="O88" t="s">
        <v>1037</v>
      </c>
    </row>
    <row r="89" spans="1:15" x14ac:dyDescent="0.25">
      <c r="A89" s="45">
        <f t="shared" si="6"/>
        <v>87</v>
      </c>
      <c r="B89" s="45" t="s">
        <v>1042</v>
      </c>
      <c r="C89" s="45">
        <f>YEAR(GC[[#This Row],[Date]])</f>
        <v>2025</v>
      </c>
      <c r="D89" s="45" t="s">
        <v>4</v>
      </c>
      <c r="E89" s="45" t="s">
        <v>4</v>
      </c>
      <c r="F89" s="77">
        <f>GC[[#This Row],[Date]]-DAY(GC[[#This Row],[Date]])+1</f>
        <v>45809</v>
      </c>
      <c r="G89" s="2">
        <f>DAY(EOMONTH(GC[[#This Row],[Month Year]],0))</f>
        <v>30</v>
      </c>
      <c r="H89" s="47">
        <f t="shared" si="7"/>
        <v>45831</v>
      </c>
      <c r="I89" s="45">
        <v>0</v>
      </c>
      <c r="J89" s="45">
        <v>0</v>
      </c>
      <c r="K89" s="45">
        <v>0</v>
      </c>
      <c r="L89" s="45">
        <v>0</v>
      </c>
      <c r="M89" s="45">
        <v>0</v>
      </c>
      <c r="N89" s="2">
        <f>SUM(GC[[#This Row],[Inv1]:[Inv3]])</f>
        <v>0</v>
      </c>
      <c r="O89" t="s">
        <v>1043</v>
      </c>
    </row>
    <row r="90" spans="1:15" x14ac:dyDescent="0.25">
      <c r="A90" s="45">
        <f t="shared" si="6"/>
        <v>88</v>
      </c>
      <c r="B90" s="45" t="s">
        <v>1042</v>
      </c>
      <c r="C90" s="45">
        <f>YEAR(GC[[#This Row],[Date]])</f>
        <v>2025</v>
      </c>
      <c r="D90" s="45" t="s">
        <v>4</v>
      </c>
      <c r="E90" s="45" t="s">
        <v>4</v>
      </c>
      <c r="F90" s="77">
        <f>GC[[#This Row],[Date]]-DAY(GC[[#This Row],[Date]])+1</f>
        <v>45809</v>
      </c>
      <c r="G90" s="2">
        <f>DAY(EOMONTH(GC[[#This Row],[Month Year]],0))</f>
        <v>30</v>
      </c>
      <c r="H90" s="47">
        <f t="shared" si="7"/>
        <v>45832</v>
      </c>
      <c r="I90" s="45">
        <v>0</v>
      </c>
      <c r="J90" s="45">
        <v>0</v>
      </c>
      <c r="K90" s="45">
        <v>0</v>
      </c>
      <c r="L90" s="45">
        <v>0</v>
      </c>
      <c r="M90" s="45">
        <v>0</v>
      </c>
      <c r="N90" s="2">
        <f>SUM(GC[[#This Row],[Inv1]:[Inv3]])</f>
        <v>0</v>
      </c>
      <c r="O90" t="s">
        <v>1094</v>
      </c>
    </row>
    <row r="91" spans="1:15" x14ac:dyDescent="0.25">
      <c r="A91" s="45">
        <f t="shared" si="6"/>
        <v>89</v>
      </c>
      <c r="B91" s="45" t="s">
        <v>1042</v>
      </c>
      <c r="C91" s="45">
        <f>YEAR(GC[[#This Row],[Date]])</f>
        <v>2025</v>
      </c>
      <c r="D91" s="45" t="s">
        <v>4</v>
      </c>
      <c r="E91" s="45" t="s">
        <v>4</v>
      </c>
      <c r="F91" s="77">
        <f>GC[[#This Row],[Date]]-DAY(GC[[#This Row],[Date]])+1</f>
        <v>45809</v>
      </c>
      <c r="G91" s="2">
        <f>DAY(EOMONTH(GC[[#This Row],[Month Year]],0))</f>
        <v>30</v>
      </c>
      <c r="H91" s="47">
        <f t="shared" si="7"/>
        <v>45833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2">
        <f>SUM(GC[[#This Row],[Inv1]:[Inv3]])</f>
        <v>0</v>
      </c>
      <c r="O91" t="s">
        <v>1094</v>
      </c>
    </row>
    <row r="92" spans="1:15" x14ac:dyDescent="0.25">
      <c r="A92" s="45">
        <f t="shared" si="6"/>
        <v>90</v>
      </c>
      <c r="B92" s="45" t="s">
        <v>1042</v>
      </c>
      <c r="C92" s="45">
        <f>YEAR(GC[[#This Row],[Date]])</f>
        <v>2025</v>
      </c>
      <c r="D92" s="45" t="s">
        <v>4</v>
      </c>
      <c r="E92" s="45" t="s">
        <v>4</v>
      </c>
      <c r="F92" s="77">
        <f>GC[[#This Row],[Date]]-DAY(GC[[#This Row],[Date]])+1</f>
        <v>45809</v>
      </c>
      <c r="G92" s="2">
        <f>DAY(EOMONTH(GC[[#This Row],[Month Year]],0))</f>
        <v>30</v>
      </c>
      <c r="H92" s="47">
        <f t="shared" si="7"/>
        <v>45834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2">
        <f>SUM(GC[[#This Row],[Inv1]:[Inv3]])</f>
        <v>0</v>
      </c>
      <c r="O92" t="s">
        <v>1094</v>
      </c>
    </row>
    <row r="93" spans="1:15" x14ac:dyDescent="0.25">
      <c r="A93" s="45">
        <f t="shared" si="6"/>
        <v>91</v>
      </c>
      <c r="B93" s="45" t="s">
        <v>1042</v>
      </c>
      <c r="C93" s="45">
        <f>YEAR(GC[[#This Row],[Date]])</f>
        <v>2025</v>
      </c>
      <c r="D93" s="45" t="s">
        <v>4</v>
      </c>
      <c r="E93" s="45" t="s">
        <v>4</v>
      </c>
      <c r="F93" s="77">
        <f>GC[[#This Row],[Date]]-DAY(GC[[#This Row],[Date]])+1</f>
        <v>45809</v>
      </c>
      <c r="G93" s="2">
        <f>DAY(EOMONTH(GC[[#This Row],[Month Year]],0))</f>
        <v>30</v>
      </c>
      <c r="H93" s="47">
        <f t="shared" si="7"/>
        <v>45835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2">
        <f>SUM(GC[[#This Row],[Inv1]:[Inv3]])</f>
        <v>0</v>
      </c>
      <c r="O93" t="s">
        <v>1094</v>
      </c>
    </row>
    <row r="94" spans="1:15" x14ac:dyDescent="0.25">
      <c r="A94" s="45">
        <f t="shared" si="6"/>
        <v>92</v>
      </c>
      <c r="B94" s="45" t="s">
        <v>1042</v>
      </c>
      <c r="C94" s="45">
        <f>YEAR(GC[[#This Row],[Date]])</f>
        <v>2025</v>
      </c>
      <c r="D94" s="45" t="s">
        <v>4</v>
      </c>
      <c r="E94" s="45" t="s">
        <v>4</v>
      </c>
      <c r="F94" s="77">
        <f>GC[[#This Row],[Date]]-DAY(GC[[#This Row],[Date]])+1</f>
        <v>45809</v>
      </c>
      <c r="G94" s="2">
        <f>DAY(EOMONTH(GC[[#This Row],[Month Year]],0))</f>
        <v>30</v>
      </c>
      <c r="H94" s="47">
        <f t="shared" si="7"/>
        <v>45836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2">
        <f>SUM(GC[[#This Row],[Inv1]:[Inv3]])</f>
        <v>0</v>
      </c>
      <c r="O94" t="s">
        <v>1094</v>
      </c>
    </row>
    <row r="95" spans="1:15" x14ac:dyDescent="0.25">
      <c r="A95" s="45">
        <f t="shared" si="6"/>
        <v>93</v>
      </c>
      <c r="B95" s="45" t="s">
        <v>1042</v>
      </c>
      <c r="C95" s="45">
        <f>YEAR(GC[[#This Row],[Date]])</f>
        <v>2025</v>
      </c>
      <c r="D95" s="45" t="s">
        <v>4</v>
      </c>
      <c r="E95" s="45" t="s">
        <v>4</v>
      </c>
      <c r="F95" s="77">
        <f>GC[[#This Row],[Date]]-DAY(GC[[#This Row],[Date]])+1</f>
        <v>45809</v>
      </c>
      <c r="G95" s="2">
        <f>DAY(EOMONTH(GC[[#This Row],[Month Year]],0))</f>
        <v>30</v>
      </c>
      <c r="H95" s="47">
        <f t="shared" si="7"/>
        <v>45837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2">
        <f>SUM(GC[[#This Row],[Inv1]:[Inv3]])</f>
        <v>0</v>
      </c>
      <c r="O95" t="s">
        <v>1037</v>
      </c>
    </row>
    <row r="96" spans="1:15" x14ac:dyDescent="0.25">
      <c r="A96" s="45">
        <f t="shared" si="6"/>
        <v>94</v>
      </c>
      <c r="B96" s="45" t="s">
        <v>1042</v>
      </c>
      <c r="C96" s="45">
        <f>YEAR(GC[[#This Row],[Date]])</f>
        <v>2025</v>
      </c>
      <c r="D96" s="45" t="s">
        <v>4</v>
      </c>
      <c r="E96" s="45" t="s">
        <v>4</v>
      </c>
      <c r="F96" s="77">
        <f>GC[[#This Row],[Date]]-DAY(GC[[#This Row],[Date]])+1</f>
        <v>45809</v>
      </c>
      <c r="G96" s="2">
        <f>DAY(EOMONTH(GC[[#This Row],[Month Year]],0))</f>
        <v>30</v>
      </c>
      <c r="H96" s="47">
        <f t="shared" si="7"/>
        <v>45838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2">
        <f>SUM(GC[[#This Row],[Inv1]:[Inv3]])</f>
        <v>0</v>
      </c>
      <c r="O96" t="s">
        <v>1095</v>
      </c>
    </row>
    <row r="97" spans="1:15" x14ac:dyDescent="0.25">
      <c r="A97" s="45">
        <f t="shared" si="6"/>
        <v>95</v>
      </c>
      <c r="B97" s="45" t="s">
        <v>1042</v>
      </c>
      <c r="C97" s="45">
        <f>YEAR(GC[[#This Row],[Date]])</f>
        <v>2025</v>
      </c>
      <c r="D97" s="45" t="s">
        <v>4</v>
      </c>
      <c r="E97" s="45" t="s">
        <v>4</v>
      </c>
      <c r="F97" s="77">
        <f>GC[[#This Row],[Date]]-DAY(GC[[#This Row],[Date]])+1</f>
        <v>45839</v>
      </c>
      <c r="G97" s="2">
        <f>DAY(EOMONTH(GC[[#This Row],[Month Year]],0))</f>
        <v>31</v>
      </c>
      <c r="H97" s="47">
        <f t="shared" si="7"/>
        <v>45839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2">
        <f>SUM(GC[[#This Row],[Inv1]:[Inv3]])</f>
        <v>0</v>
      </c>
      <c r="O97" t="s">
        <v>1095</v>
      </c>
    </row>
    <row r="98" spans="1:15" x14ac:dyDescent="0.25">
      <c r="A98" s="45">
        <f t="shared" si="6"/>
        <v>96</v>
      </c>
      <c r="B98" s="45" t="s">
        <v>1042</v>
      </c>
      <c r="C98" s="45">
        <f>YEAR(GC[[#This Row],[Date]])</f>
        <v>2025</v>
      </c>
      <c r="D98" s="45" t="s">
        <v>4</v>
      </c>
      <c r="E98" s="45" t="s">
        <v>4</v>
      </c>
      <c r="F98" s="77">
        <f>GC[[#This Row],[Date]]-DAY(GC[[#This Row],[Date]])+1</f>
        <v>45839</v>
      </c>
      <c r="G98" s="2">
        <f>DAY(EOMONTH(GC[[#This Row],[Month Year]],0))</f>
        <v>31</v>
      </c>
      <c r="H98" s="47">
        <f t="shared" si="7"/>
        <v>45840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2">
        <f>SUM(GC[[#This Row],[Inv1]:[Inv3]])</f>
        <v>0</v>
      </c>
      <c r="O98" t="s">
        <v>1096</v>
      </c>
    </row>
    <row r="99" spans="1:15" x14ac:dyDescent="0.25">
      <c r="A99" s="45">
        <f t="shared" si="6"/>
        <v>97</v>
      </c>
      <c r="B99" s="45" t="s">
        <v>1042</v>
      </c>
      <c r="C99" s="45">
        <f>YEAR(GC[[#This Row],[Date]])</f>
        <v>2025</v>
      </c>
      <c r="D99" s="45" t="s">
        <v>4</v>
      </c>
      <c r="E99" s="45" t="s">
        <v>4</v>
      </c>
      <c r="F99" s="77">
        <f>GC[[#This Row],[Date]]-DAY(GC[[#This Row],[Date]])+1</f>
        <v>45839</v>
      </c>
      <c r="G99" s="2">
        <f>DAY(EOMONTH(GC[[#This Row],[Month Year]],0))</f>
        <v>31</v>
      </c>
      <c r="H99" s="47">
        <f t="shared" si="7"/>
        <v>45841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2">
        <f>SUM(GC[[#This Row],[Inv1]:[Inv3]])</f>
        <v>0</v>
      </c>
      <c r="O99" t="s">
        <v>1096</v>
      </c>
    </row>
    <row r="100" spans="1:15" x14ac:dyDescent="0.25">
      <c r="A100" s="45">
        <f t="shared" si="6"/>
        <v>98</v>
      </c>
      <c r="B100" s="45" t="s">
        <v>1042</v>
      </c>
      <c r="C100" s="45">
        <f>YEAR(GC[[#This Row],[Date]])</f>
        <v>2025</v>
      </c>
      <c r="D100" s="45" t="s">
        <v>4</v>
      </c>
      <c r="E100" s="45" t="s">
        <v>4</v>
      </c>
      <c r="F100" s="77">
        <f>GC[[#This Row],[Date]]-DAY(GC[[#This Row],[Date]])+1</f>
        <v>45839</v>
      </c>
      <c r="G100" s="2">
        <f>DAY(EOMONTH(GC[[#This Row],[Month Year]],0))</f>
        <v>31</v>
      </c>
      <c r="H100" s="47">
        <f t="shared" si="7"/>
        <v>45842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2">
        <f>SUM(GC[[#This Row],[Inv1]:[Inv3]])</f>
        <v>0</v>
      </c>
      <c r="O100" t="s">
        <v>1096</v>
      </c>
    </row>
    <row r="101" spans="1:15" x14ac:dyDescent="0.25">
      <c r="A101" s="45">
        <f t="shared" si="6"/>
        <v>99</v>
      </c>
      <c r="B101" s="45" t="s">
        <v>1042</v>
      </c>
      <c r="C101" s="45">
        <f>YEAR(GC[[#This Row],[Date]])</f>
        <v>2025</v>
      </c>
      <c r="D101" s="45" t="s">
        <v>4</v>
      </c>
      <c r="E101" s="45" t="s">
        <v>4</v>
      </c>
      <c r="F101" s="77">
        <f>GC[[#This Row],[Date]]-DAY(GC[[#This Row],[Date]])+1</f>
        <v>45839</v>
      </c>
      <c r="G101" s="2">
        <f>DAY(EOMONTH(GC[[#This Row],[Month Year]],0))</f>
        <v>31</v>
      </c>
      <c r="H101" s="47">
        <f t="shared" si="7"/>
        <v>45843</v>
      </c>
      <c r="I101" s="45">
        <v>3</v>
      </c>
      <c r="J101" s="45">
        <v>0</v>
      </c>
      <c r="K101" s="45">
        <v>0</v>
      </c>
      <c r="L101" s="45">
        <v>0</v>
      </c>
      <c r="M101" s="45">
        <v>40</v>
      </c>
      <c r="N101" s="2">
        <f>SUM(GC[[#This Row],[Inv1]:[Inv3]])</f>
        <v>40</v>
      </c>
      <c r="O101" t="s">
        <v>1041</v>
      </c>
    </row>
    <row r="102" spans="1:15" x14ac:dyDescent="0.25">
      <c r="A102" s="45">
        <f t="shared" si="6"/>
        <v>100</v>
      </c>
      <c r="B102" s="45" t="s">
        <v>1042</v>
      </c>
      <c r="C102" s="45">
        <f>YEAR(GC[[#This Row],[Date]])</f>
        <v>2025</v>
      </c>
      <c r="D102" s="45" t="s">
        <v>4</v>
      </c>
      <c r="E102" s="45" t="s">
        <v>4</v>
      </c>
      <c r="F102" s="77">
        <f>GC[[#This Row],[Date]]-DAY(GC[[#This Row],[Date]])+1</f>
        <v>45839</v>
      </c>
      <c r="G102" s="2">
        <f>DAY(EOMONTH(GC[[#This Row],[Month Year]],0))</f>
        <v>31</v>
      </c>
      <c r="H102" s="47">
        <f t="shared" si="7"/>
        <v>45844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2">
        <f>SUM(GC[[#This Row],[Inv1]:[Inv3]])</f>
        <v>0</v>
      </c>
      <c r="O102" t="s">
        <v>1037</v>
      </c>
    </row>
    <row r="103" spans="1:15" x14ac:dyDescent="0.25">
      <c r="A103" s="45">
        <f t="shared" si="6"/>
        <v>101</v>
      </c>
      <c r="B103" s="45" t="s">
        <v>1042</v>
      </c>
      <c r="C103" s="45">
        <f>YEAR(GC[[#This Row],[Date]])</f>
        <v>2025</v>
      </c>
      <c r="D103" s="45" t="s">
        <v>4</v>
      </c>
      <c r="E103" s="45" t="s">
        <v>4</v>
      </c>
      <c r="F103" s="77">
        <f>GC[[#This Row],[Date]]-DAY(GC[[#This Row],[Date]])+1</f>
        <v>45839</v>
      </c>
      <c r="G103" s="2">
        <f>DAY(EOMONTH(GC[[#This Row],[Month Year]],0))</f>
        <v>31</v>
      </c>
      <c r="H103" s="47">
        <f t="shared" si="7"/>
        <v>45845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2">
        <f>SUM(GC[[#This Row],[Inv1]:[Inv3]])</f>
        <v>0</v>
      </c>
      <c r="O103" t="s">
        <v>1095</v>
      </c>
    </row>
    <row r="104" spans="1:15" x14ac:dyDescent="0.25">
      <c r="A104" s="45">
        <f t="shared" si="6"/>
        <v>102</v>
      </c>
      <c r="B104" s="45" t="s">
        <v>1042</v>
      </c>
      <c r="C104" s="45">
        <f>YEAR(GC[[#This Row],[Date]])</f>
        <v>2025</v>
      </c>
      <c r="D104" s="45" t="s">
        <v>4</v>
      </c>
      <c r="E104" s="45" t="s">
        <v>4</v>
      </c>
      <c r="F104" s="77">
        <f>GC[[#This Row],[Date]]-DAY(GC[[#This Row],[Date]])+1</f>
        <v>45839</v>
      </c>
      <c r="G104" s="2">
        <f>DAY(EOMONTH(GC[[#This Row],[Month Year]],0))</f>
        <v>31</v>
      </c>
      <c r="H104" s="47">
        <f t="shared" si="7"/>
        <v>45846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2">
        <f>SUM(GC[[#This Row],[Inv1]:[Inv3]])</f>
        <v>0</v>
      </c>
    </row>
    <row r="105" spans="1:15" x14ac:dyDescent="0.25">
      <c r="A105" s="45">
        <f t="shared" si="6"/>
        <v>103</v>
      </c>
      <c r="B105" s="45" t="s">
        <v>1042</v>
      </c>
      <c r="C105" s="45">
        <f>YEAR(GC[[#This Row],[Date]])</f>
        <v>2025</v>
      </c>
      <c r="D105" s="45" t="s">
        <v>4</v>
      </c>
      <c r="E105" s="45" t="s">
        <v>4</v>
      </c>
      <c r="F105" s="77">
        <f>GC[[#This Row],[Date]]-DAY(GC[[#This Row],[Date]])+1</f>
        <v>45839</v>
      </c>
      <c r="G105" s="2">
        <f>DAY(EOMONTH(GC[[#This Row],[Month Year]],0))</f>
        <v>31</v>
      </c>
      <c r="H105" s="47">
        <f t="shared" si="7"/>
        <v>45847</v>
      </c>
      <c r="I105" s="45">
        <v>1</v>
      </c>
      <c r="J105" s="45">
        <v>0</v>
      </c>
      <c r="K105" s="45">
        <v>14</v>
      </c>
      <c r="L105" s="45">
        <v>0</v>
      </c>
      <c r="M105" s="45">
        <v>0</v>
      </c>
      <c r="N105" s="2">
        <f>SUM(GC[[#This Row],[Inv1]:[Inv3]])</f>
        <v>14</v>
      </c>
      <c r="O105" t="s">
        <v>1097</v>
      </c>
    </row>
    <row r="106" spans="1:15" x14ac:dyDescent="0.25">
      <c r="A106" s="45">
        <f t="shared" si="6"/>
        <v>104</v>
      </c>
      <c r="B106" s="45" t="s">
        <v>1042</v>
      </c>
      <c r="C106" s="45">
        <f>YEAR(GC[[#This Row],[Date]])</f>
        <v>2025</v>
      </c>
      <c r="D106" s="45" t="s">
        <v>4</v>
      </c>
      <c r="E106" s="45" t="s">
        <v>4</v>
      </c>
      <c r="F106" s="77">
        <f>GC[[#This Row],[Date]]-DAY(GC[[#This Row],[Date]])+1</f>
        <v>45839</v>
      </c>
      <c r="G106" s="2">
        <f>DAY(EOMONTH(GC[[#This Row],[Month Year]],0))</f>
        <v>31</v>
      </c>
      <c r="H106" s="47">
        <f t="shared" si="7"/>
        <v>45848</v>
      </c>
      <c r="I106" s="45">
        <v>1</v>
      </c>
      <c r="J106" s="45">
        <v>0</v>
      </c>
      <c r="K106" s="45">
        <v>16</v>
      </c>
      <c r="L106" s="45">
        <v>0</v>
      </c>
      <c r="M106" s="45">
        <v>0</v>
      </c>
      <c r="N106" s="2">
        <f>SUM(GC[[#This Row],[Inv1]:[Inv3]])</f>
        <v>16</v>
      </c>
      <c r="O106" t="s">
        <v>1097</v>
      </c>
    </row>
    <row r="107" spans="1:15" x14ac:dyDescent="0.25">
      <c r="A107" s="45">
        <f t="shared" si="6"/>
        <v>105</v>
      </c>
      <c r="B107" s="45" t="s">
        <v>1042</v>
      </c>
      <c r="C107" s="45">
        <f>YEAR(GC[[#This Row],[Date]])</f>
        <v>2025</v>
      </c>
      <c r="D107" s="45" t="s">
        <v>4</v>
      </c>
      <c r="E107" s="45" t="s">
        <v>4</v>
      </c>
      <c r="F107" s="77">
        <f>GC[[#This Row],[Date]]-DAY(GC[[#This Row],[Date]])+1</f>
        <v>45839</v>
      </c>
      <c r="G107" s="2">
        <f>DAY(EOMONTH(GC[[#This Row],[Month Year]],0))</f>
        <v>31</v>
      </c>
      <c r="H107" s="47">
        <f t="shared" ref="H107:H123" si="8">H106+1</f>
        <v>45849</v>
      </c>
      <c r="I107" s="45">
        <v>1</v>
      </c>
      <c r="J107" s="45">
        <v>0</v>
      </c>
      <c r="K107" s="45">
        <v>18</v>
      </c>
      <c r="L107" s="45">
        <v>0</v>
      </c>
      <c r="M107" s="45">
        <v>0</v>
      </c>
      <c r="N107" s="2">
        <f>SUM(GC[[#This Row],[Inv1]:[Inv3]])</f>
        <v>18</v>
      </c>
      <c r="O107" t="s">
        <v>1097</v>
      </c>
    </row>
    <row r="108" spans="1:15" x14ac:dyDescent="0.25">
      <c r="A108" s="45">
        <f t="shared" si="6"/>
        <v>106</v>
      </c>
      <c r="B108" s="45" t="s">
        <v>1042</v>
      </c>
      <c r="C108" s="45">
        <f>YEAR(GC[[#This Row],[Date]])</f>
        <v>2025</v>
      </c>
      <c r="D108" s="45" t="s">
        <v>4</v>
      </c>
      <c r="E108" s="45" t="s">
        <v>4</v>
      </c>
      <c r="F108" s="77">
        <f>GC[[#This Row],[Date]]-DAY(GC[[#This Row],[Date]])+1</f>
        <v>45839</v>
      </c>
      <c r="G108" s="2">
        <f>DAY(EOMONTH(GC[[#This Row],[Month Year]],0))</f>
        <v>31</v>
      </c>
      <c r="H108" s="47">
        <f t="shared" si="8"/>
        <v>45850</v>
      </c>
      <c r="I108" s="45">
        <v>1</v>
      </c>
      <c r="J108" s="45">
        <v>0</v>
      </c>
      <c r="K108" s="45">
        <v>16</v>
      </c>
      <c r="L108" s="45">
        <v>0</v>
      </c>
      <c r="M108" s="45">
        <v>0</v>
      </c>
      <c r="N108" s="2">
        <f>SUM(GC[[#This Row],[Inv1]:[Inv3]])</f>
        <v>16</v>
      </c>
      <c r="O108" t="s">
        <v>1097</v>
      </c>
    </row>
    <row r="109" spans="1:15" x14ac:dyDescent="0.25">
      <c r="A109" s="45">
        <f t="shared" si="6"/>
        <v>107</v>
      </c>
      <c r="B109" s="45" t="s">
        <v>1042</v>
      </c>
      <c r="C109" s="45">
        <f>YEAR(GC[[#This Row],[Date]])</f>
        <v>2025</v>
      </c>
      <c r="D109" s="45" t="s">
        <v>4</v>
      </c>
      <c r="E109" s="45" t="s">
        <v>4</v>
      </c>
      <c r="F109" s="77">
        <f>GC[[#This Row],[Date]]-DAY(GC[[#This Row],[Date]])+1</f>
        <v>45839</v>
      </c>
      <c r="G109" s="2">
        <f>DAY(EOMONTH(GC[[#This Row],[Month Year]],0))</f>
        <v>31</v>
      </c>
      <c r="H109" s="47">
        <f t="shared" si="8"/>
        <v>45851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2">
        <f>SUM(GC[[#This Row],[Inv1]:[Inv3]])</f>
        <v>0</v>
      </c>
      <c r="O109" t="s">
        <v>1037</v>
      </c>
    </row>
    <row r="110" spans="1:15" x14ac:dyDescent="0.25">
      <c r="A110" s="45">
        <f t="shared" si="6"/>
        <v>108</v>
      </c>
      <c r="B110" s="45" t="s">
        <v>1042</v>
      </c>
      <c r="C110" s="45">
        <f>YEAR(GC[[#This Row],[Date]])</f>
        <v>2025</v>
      </c>
      <c r="D110" s="45" t="s">
        <v>4</v>
      </c>
      <c r="E110" s="45" t="s">
        <v>4</v>
      </c>
      <c r="F110" s="77">
        <f>GC[[#This Row],[Date]]-DAY(GC[[#This Row],[Date]])+1</f>
        <v>45839</v>
      </c>
      <c r="G110" s="2">
        <f>DAY(EOMONTH(GC[[#This Row],[Month Year]],0))</f>
        <v>31</v>
      </c>
      <c r="H110" s="47">
        <f t="shared" si="8"/>
        <v>45852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2">
        <f>SUM(GC[[#This Row],[Inv1]:[Inv3]])</f>
        <v>0</v>
      </c>
      <c r="O110" t="s">
        <v>1099</v>
      </c>
    </row>
    <row r="111" spans="1:15" x14ac:dyDescent="0.25">
      <c r="A111" s="45">
        <f t="shared" si="6"/>
        <v>109</v>
      </c>
      <c r="B111" s="45" t="s">
        <v>1042</v>
      </c>
      <c r="C111" s="45">
        <f>YEAR(GC[[#This Row],[Date]])</f>
        <v>2025</v>
      </c>
      <c r="D111" s="45" t="s">
        <v>4</v>
      </c>
      <c r="E111" s="45" t="s">
        <v>4</v>
      </c>
      <c r="F111" s="77">
        <f>GC[[#This Row],[Date]]-DAY(GC[[#This Row],[Date]])+1</f>
        <v>45839</v>
      </c>
      <c r="G111" s="2">
        <f>DAY(EOMONTH(GC[[#This Row],[Month Year]],0))</f>
        <v>31</v>
      </c>
      <c r="H111" s="47">
        <f t="shared" si="8"/>
        <v>45853</v>
      </c>
      <c r="I111" s="45">
        <v>1</v>
      </c>
      <c r="J111" s="45">
        <v>0</v>
      </c>
      <c r="K111" s="45">
        <v>16</v>
      </c>
      <c r="L111" s="45">
        <v>0</v>
      </c>
      <c r="M111" s="45">
        <v>0</v>
      </c>
      <c r="N111" s="2">
        <f>SUM(GC[[#This Row],[Inv1]:[Inv3]])</f>
        <v>16</v>
      </c>
      <c r="O111" t="s">
        <v>1097</v>
      </c>
    </row>
    <row r="112" spans="1:15" x14ac:dyDescent="0.25">
      <c r="A112" s="45">
        <f t="shared" si="6"/>
        <v>110</v>
      </c>
      <c r="B112" s="45" t="s">
        <v>1042</v>
      </c>
      <c r="C112" s="45">
        <f>YEAR(GC[[#This Row],[Date]])</f>
        <v>2025</v>
      </c>
      <c r="D112" s="45" t="s">
        <v>4</v>
      </c>
      <c r="E112" s="45" t="s">
        <v>4</v>
      </c>
      <c r="F112" s="77">
        <f>GC[[#This Row],[Date]]-DAY(GC[[#This Row],[Date]])+1</f>
        <v>45839</v>
      </c>
      <c r="G112" s="2">
        <f>DAY(EOMONTH(GC[[#This Row],[Month Year]],0))</f>
        <v>31</v>
      </c>
      <c r="H112" s="47">
        <f t="shared" si="8"/>
        <v>45854</v>
      </c>
      <c r="I112" s="45">
        <v>1</v>
      </c>
      <c r="J112" s="45">
        <v>0</v>
      </c>
      <c r="K112" s="45">
        <v>18</v>
      </c>
      <c r="L112" s="45">
        <v>0</v>
      </c>
      <c r="M112" s="45">
        <v>0</v>
      </c>
      <c r="N112" s="2">
        <f>SUM(GC[[#This Row],[Inv1]:[Inv3]])</f>
        <v>18</v>
      </c>
      <c r="O112" t="s">
        <v>1097</v>
      </c>
    </row>
    <row r="113" spans="1:15" x14ac:dyDescent="0.25">
      <c r="A113" s="45">
        <f t="shared" si="6"/>
        <v>111</v>
      </c>
      <c r="B113" s="45" t="s">
        <v>1042</v>
      </c>
      <c r="C113" s="45">
        <f>YEAR(GC[[#This Row],[Date]])</f>
        <v>2025</v>
      </c>
      <c r="D113" s="45" t="s">
        <v>4</v>
      </c>
      <c r="E113" s="45" t="s">
        <v>4</v>
      </c>
      <c r="F113" s="77">
        <f>GC[[#This Row],[Date]]-DAY(GC[[#This Row],[Date]])+1</f>
        <v>45839</v>
      </c>
      <c r="G113" s="2">
        <f>DAY(EOMONTH(GC[[#This Row],[Month Year]],0))</f>
        <v>31</v>
      </c>
      <c r="H113" s="47">
        <f t="shared" si="8"/>
        <v>45855</v>
      </c>
      <c r="I113" s="45">
        <v>1</v>
      </c>
      <c r="J113" s="45">
        <v>0</v>
      </c>
      <c r="K113" s="45">
        <v>25</v>
      </c>
      <c r="L113" s="45">
        <v>0</v>
      </c>
      <c r="M113" s="45">
        <v>0</v>
      </c>
      <c r="N113" s="2">
        <f>SUM(GC[[#This Row],[Inv1]:[Inv3]])</f>
        <v>25</v>
      </c>
      <c r="O113" t="s">
        <v>1097</v>
      </c>
    </row>
    <row r="114" spans="1:15" x14ac:dyDescent="0.25">
      <c r="A114" s="45">
        <f t="shared" si="6"/>
        <v>112</v>
      </c>
      <c r="B114" s="45" t="s">
        <v>1042</v>
      </c>
      <c r="C114" s="45">
        <f>YEAR(GC[[#This Row],[Date]])</f>
        <v>2025</v>
      </c>
      <c r="D114" s="45" t="s">
        <v>4</v>
      </c>
      <c r="E114" s="45" t="s">
        <v>4</v>
      </c>
      <c r="F114" s="77">
        <f>GC[[#This Row],[Date]]-DAY(GC[[#This Row],[Date]])+1</f>
        <v>45839</v>
      </c>
      <c r="G114" s="2">
        <f>DAY(EOMONTH(GC[[#This Row],[Month Year]],0))</f>
        <v>31</v>
      </c>
      <c r="H114" s="47">
        <f t="shared" si="8"/>
        <v>45856</v>
      </c>
      <c r="I114" s="45">
        <v>1</v>
      </c>
      <c r="J114" s="45">
        <v>0</v>
      </c>
      <c r="K114" s="45">
        <v>20</v>
      </c>
      <c r="L114" s="45">
        <v>0</v>
      </c>
      <c r="M114" s="45">
        <v>0</v>
      </c>
      <c r="N114" s="2">
        <f>SUM(GC[[#This Row],[Inv1]:[Inv3]])</f>
        <v>20</v>
      </c>
      <c r="O114" t="s">
        <v>1097</v>
      </c>
    </row>
    <row r="115" spans="1:15" x14ac:dyDescent="0.25">
      <c r="A115" s="45">
        <f t="shared" si="6"/>
        <v>113</v>
      </c>
      <c r="B115" s="45" t="s">
        <v>1042</v>
      </c>
      <c r="C115" s="45">
        <f>YEAR(GC[[#This Row],[Date]])</f>
        <v>2025</v>
      </c>
      <c r="D115" s="45" t="s">
        <v>4</v>
      </c>
      <c r="E115" s="45" t="s">
        <v>4</v>
      </c>
      <c r="F115" s="77">
        <f>GC[[#This Row],[Date]]-DAY(GC[[#This Row],[Date]])+1</f>
        <v>45839</v>
      </c>
      <c r="G115" s="2">
        <f>DAY(EOMONTH(GC[[#This Row],[Month Year]],0))</f>
        <v>31</v>
      </c>
      <c r="H115" s="47">
        <f t="shared" si="8"/>
        <v>45857</v>
      </c>
      <c r="I115" s="45">
        <v>1</v>
      </c>
      <c r="J115" s="45">
        <v>0</v>
      </c>
      <c r="K115" s="45">
        <v>20</v>
      </c>
      <c r="L115" s="45">
        <v>0</v>
      </c>
      <c r="M115" s="45">
        <v>0</v>
      </c>
      <c r="N115" s="2">
        <f>SUM(GC[[#This Row],[Inv1]:[Inv3]])</f>
        <v>20</v>
      </c>
      <c r="O115" t="s">
        <v>1097</v>
      </c>
    </row>
    <row r="116" spans="1:15" x14ac:dyDescent="0.25">
      <c r="A116" s="45">
        <f t="shared" si="6"/>
        <v>114</v>
      </c>
      <c r="B116" s="45" t="s">
        <v>1042</v>
      </c>
      <c r="C116" s="45">
        <f>YEAR(GC[[#This Row],[Date]])</f>
        <v>2025</v>
      </c>
      <c r="D116" s="45" t="s">
        <v>4</v>
      </c>
      <c r="E116" s="45" t="s">
        <v>4</v>
      </c>
      <c r="F116" s="77">
        <f>GC[[#This Row],[Date]]-DAY(GC[[#This Row],[Date]])+1</f>
        <v>45839</v>
      </c>
      <c r="G116" s="2">
        <f>DAY(EOMONTH(GC[[#This Row],[Month Year]],0))</f>
        <v>31</v>
      </c>
      <c r="H116" s="47">
        <f t="shared" si="8"/>
        <v>45858</v>
      </c>
      <c r="I116" s="45">
        <v>1</v>
      </c>
      <c r="J116" s="45">
        <v>0</v>
      </c>
      <c r="K116" s="45">
        <v>28</v>
      </c>
      <c r="L116" s="45">
        <v>0</v>
      </c>
      <c r="M116" s="45">
        <v>0</v>
      </c>
      <c r="N116" s="2">
        <f>SUM(GC[[#This Row],[Inv1]:[Inv3]])</f>
        <v>28</v>
      </c>
      <c r="O116" t="s">
        <v>1097</v>
      </c>
    </row>
    <row r="117" spans="1:15" x14ac:dyDescent="0.25">
      <c r="A117" s="45">
        <f t="shared" si="6"/>
        <v>115</v>
      </c>
      <c r="B117" s="45" t="s">
        <v>1042</v>
      </c>
      <c r="C117" s="45">
        <f>YEAR(GC[[#This Row],[Date]])</f>
        <v>2025</v>
      </c>
      <c r="D117" s="45" t="s">
        <v>4</v>
      </c>
      <c r="E117" s="45" t="s">
        <v>4</v>
      </c>
      <c r="F117" s="77">
        <f>GC[[#This Row],[Date]]-DAY(GC[[#This Row],[Date]])+1</f>
        <v>45839</v>
      </c>
      <c r="G117" s="2">
        <f>DAY(EOMONTH(GC[[#This Row],[Month Year]],0))</f>
        <v>31</v>
      </c>
      <c r="H117" s="47">
        <f t="shared" si="8"/>
        <v>45859</v>
      </c>
      <c r="I117" s="45">
        <v>1</v>
      </c>
      <c r="J117" s="45">
        <v>0</v>
      </c>
      <c r="K117" s="45">
        <v>19</v>
      </c>
      <c r="L117" s="45">
        <v>8</v>
      </c>
      <c r="M117" s="45">
        <v>0</v>
      </c>
      <c r="N117" s="2">
        <f>SUM(GC[[#This Row],[Inv1]:[Inv3]])</f>
        <v>27</v>
      </c>
      <c r="O117" t="s">
        <v>1097</v>
      </c>
    </row>
    <row r="118" spans="1:15" x14ac:dyDescent="0.25">
      <c r="A118" s="45">
        <f t="shared" si="6"/>
        <v>116</v>
      </c>
      <c r="B118" s="45" t="s">
        <v>1042</v>
      </c>
      <c r="C118" s="45">
        <f>YEAR(GC[[#This Row],[Date]])</f>
        <v>2025</v>
      </c>
      <c r="D118" s="45" t="s">
        <v>4</v>
      </c>
      <c r="E118" s="45" t="s">
        <v>4</v>
      </c>
      <c r="F118" s="77">
        <f>GC[[#This Row],[Date]]-DAY(GC[[#This Row],[Date]])+1</f>
        <v>45839</v>
      </c>
      <c r="G118" s="2">
        <f>DAY(EOMONTH(GC[[#This Row],[Month Year]],0))</f>
        <v>31</v>
      </c>
      <c r="H118" s="47">
        <f t="shared" si="8"/>
        <v>45860</v>
      </c>
      <c r="I118" s="45">
        <v>1</v>
      </c>
      <c r="J118" s="45">
        <v>0</v>
      </c>
      <c r="K118" s="45">
        <v>0</v>
      </c>
      <c r="L118" s="45">
        <v>16</v>
      </c>
      <c r="M118" s="45">
        <v>0</v>
      </c>
      <c r="N118" s="2">
        <f>SUM(GC[[#This Row],[Inv1]:[Inv3]])</f>
        <v>16</v>
      </c>
      <c r="O118" t="s">
        <v>1097</v>
      </c>
    </row>
    <row r="119" spans="1:15" x14ac:dyDescent="0.25">
      <c r="A119" s="45">
        <f t="shared" si="6"/>
        <v>117</v>
      </c>
      <c r="B119" s="45" t="s">
        <v>1042</v>
      </c>
      <c r="C119" s="45">
        <f>YEAR(GC[[#This Row],[Date]])</f>
        <v>2025</v>
      </c>
      <c r="D119" s="45" t="s">
        <v>4</v>
      </c>
      <c r="E119" s="45" t="s">
        <v>4</v>
      </c>
      <c r="F119" s="77">
        <f>GC[[#This Row],[Date]]-DAY(GC[[#This Row],[Date]])+1</f>
        <v>45839</v>
      </c>
      <c r="G119" s="2">
        <f>DAY(EOMONTH(GC[[#This Row],[Month Year]],0))</f>
        <v>31</v>
      </c>
      <c r="H119" s="47">
        <f t="shared" si="8"/>
        <v>45861</v>
      </c>
      <c r="I119" s="45">
        <v>1</v>
      </c>
      <c r="J119" s="45">
        <v>0</v>
      </c>
      <c r="K119" s="45">
        <v>0</v>
      </c>
      <c r="L119" s="45">
        <v>8</v>
      </c>
      <c r="M119" s="45">
        <v>0</v>
      </c>
      <c r="N119" s="2">
        <f>SUM(GC[[#This Row],[Inv1]:[Inv3]])</f>
        <v>8</v>
      </c>
      <c r="O119" t="s">
        <v>1097</v>
      </c>
    </row>
    <row r="120" spans="1:15" x14ac:dyDescent="0.25">
      <c r="A120" s="45">
        <f t="shared" si="6"/>
        <v>118</v>
      </c>
      <c r="B120" s="45" t="s">
        <v>1042</v>
      </c>
      <c r="C120" s="45">
        <f>YEAR(GC[[#This Row],[Date]])</f>
        <v>2025</v>
      </c>
      <c r="D120" s="45" t="s">
        <v>4</v>
      </c>
      <c r="E120" s="45" t="s">
        <v>4</v>
      </c>
      <c r="F120" s="77">
        <f>GC[[#This Row],[Date]]-DAY(GC[[#This Row],[Date]])+1</f>
        <v>45839</v>
      </c>
      <c r="G120" s="2">
        <f>DAY(EOMONTH(GC[[#This Row],[Month Year]],0))</f>
        <v>31</v>
      </c>
      <c r="H120" s="47">
        <f t="shared" si="8"/>
        <v>45862</v>
      </c>
      <c r="I120" s="45">
        <v>1</v>
      </c>
      <c r="J120" s="45">
        <v>0</v>
      </c>
      <c r="K120" s="45">
        <v>0</v>
      </c>
      <c r="L120" s="45">
        <v>8</v>
      </c>
      <c r="M120" s="45">
        <v>0</v>
      </c>
      <c r="N120" s="2">
        <f>SUM(GC[[#This Row],[Inv1]:[Inv3]])</f>
        <v>8</v>
      </c>
      <c r="O120" t="s">
        <v>1097</v>
      </c>
    </row>
    <row r="121" spans="1:15" x14ac:dyDescent="0.25">
      <c r="A121" s="45">
        <f t="shared" si="6"/>
        <v>119</v>
      </c>
      <c r="B121" s="45" t="s">
        <v>1042</v>
      </c>
      <c r="C121" s="45">
        <f>YEAR(GC[[#This Row],[Date]])</f>
        <v>2025</v>
      </c>
      <c r="D121" s="45" t="s">
        <v>4</v>
      </c>
      <c r="E121" s="45" t="s">
        <v>4</v>
      </c>
      <c r="F121" s="77">
        <f>GC[[#This Row],[Date]]-DAY(GC[[#This Row],[Date]])+1</f>
        <v>45839</v>
      </c>
      <c r="G121" s="2">
        <f>DAY(EOMONTH(GC[[#This Row],[Month Year]],0))</f>
        <v>31</v>
      </c>
      <c r="H121" s="47">
        <f t="shared" si="8"/>
        <v>45863</v>
      </c>
      <c r="I121" s="45">
        <v>1</v>
      </c>
      <c r="J121" s="45">
        <v>0</v>
      </c>
      <c r="K121" s="45">
        <v>0</v>
      </c>
      <c r="L121" s="45">
        <v>8</v>
      </c>
      <c r="M121" s="45">
        <v>0</v>
      </c>
      <c r="N121" s="2">
        <f>SUM(GC[[#This Row],[Inv1]:[Inv3]])</f>
        <v>8</v>
      </c>
      <c r="O121" t="s">
        <v>1097</v>
      </c>
    </row>
    <row r="122" spans="1:15" x14ac:dyDescent="0.25">
      <c r="A122" s="45">
        <f t="shared" si="6"/>
        <v>120</v>
      </c>
      <c r="B122" s="45" t="s">
        <v>1042</v>
      </c>
      <c r="C122" s="45">
        <f>YEAR(GC[[#This Row],[Date]])</f>
        <v>2025</v>
      </c>
      <c r="D122" s="45" t="s">
        <v>4</v>
      </c>
      <c r="E122" s="45" t="s">
        <v>4</v>
      </c>
      <c r="F122" s="77">
        <f>GC[[#This Row],[Date]]-DAY(GC[[#This Row],[Date]])+1</f>
        <v>45839</v>
      </c>
      <c r="G122" s="2">
        <f>DAY(EOMONTH(GC[[#This Row],[Month Year]],0))</f>
        <v>31</v>
      </c>
      <c r="H122" s="47">
        <f t="shared" si="8"/>
        <v>45864</v>
      </c>
      <c r="I122" s="45">
        <v>1</v>
      </c>
      <c r="J122" s="45">
        <v>0</v>
      </c>
      <c r="K122" s="45">
        <v>0</v>
      </c>
      <c r="L122" s="45">
        <v>0</v>
      </c>
      <c r="M122" s="45">
        <v>0</v>
      </c>
      <c r="N122" s="2">
        <f>SUM(GC[[#This Row],[Inv1]:[Inv3]])</f>
        <v>0</v>
      </c>
      <c r="O122" t="s">
        <v>1014</v>
      </c>
    </row>
    <row r="123" spans="1:15" x14ac:dyDescent="0.25">
      <c r="A123" s="45">
        <f t="shared" si="6"/>
        <v>121</v>
      </c>
      <c r="B123" s="45" t="s">
        <v>1042</v>
      </c>
      <c r="C123" s="45">
        <f>YEAR(GC[[#This Row],[Date]])</f>
        <v>2025</v>
      </c>
      <c r="D123" s="45" t="s">
        <v>4</v>
      </c>
      <c r="E123" s="45" t="s">
        <v>4</v>
      </c>
      <c r="F123" s="77">
        <f>GC[[#This Row],[Date]]-DAY(GC[[#This Row],[Date]])+1</f>
        <v>45839</v>
      </c>
      <c r="G123" s="2">
        <f>DAY(EOMONTH(GC[[#This Row],[Month Year]],0))</f>
        <v>31</v>
      </c>
      <c r="H123" s="47">
        <f t="shared" si="8"/>
        <v>45865</v>
      </c>
      <c r="I123" s="45">
        <v>1</v>
      </c>
      <c r="J123" s="45">
        <v>0</v>
      </c>
      <c r="K123" s="45">
        <v>0</v>
      </c>
      <c r="L123" s="45">
        <v>0</v>
      </c>
      <c r="M123" s="45">
        <v>0</v>
      </c>
      <c r="N123" s="2">
        <f>SUM(GC[[#This Row],[Inv1]:[Inv3]])</f>
        <v>0</v>
      </c>
      <c r="O123" t="s">
        <v>1037</v>
      </c>
    </row>
    <row r="124" spans="1:15" x14ac:dyDescent="0.25">
      <c r="A124" s="45">
        <v>122</v>
      </c>
      <c r="B124" s="45" t="s">
        <v>1042</v>
      </c>
      <c r="C124" s="45">
        <f>YEAR(GC[[#This Row],[Date]])</f>
        <v>2025</v>
      </c>
      <c r="D124" s="45" t="s">
        <v>4</v>
      </c>
      <c r="E124" s="45" t="s">
        <v>4</v>
      </c>
      <c r="F124" s="77">
        <f>GC[[#This Row],[Date]]-DAY(GC[[#This Row],[Date]])+1</f>
        <v>45839</v>
      </c>
      <c r="G124" s="2">
        <f>DAY(EOMONTH(GC[[#This Row],[Month Year]],0))</f>
        <v>31</v>
      </c>
      <c r="H124" s="47">
        <f>H123+1</f>
        <v>45866</v>
      </c>
      <c r="I124" s="45">
        <v>1</v>
      </c>
      <c r="J124" s="45">
        <v>0</v>
      </c>
      <c r="K124" s="45">
        <v>0</v>
      </c>
      <c r="L124" s="45">
        <v>18</v>
      </c>
      <c r="M124" s="45">
        <v>0</v>
      </c>
      <c r="N124" s="2">
        <f>SUM(GC[[#This Row],[Inv1]:[Inv3]])</f>
        <v>18</v>
      </c>
      <c r="O124" t="s">
        <v>1097</v>
      </c>
    </row>
    <row r="125" spans="1:15" x14ac:dyDescent="0.25">
      <c r="A125" s="45">
        <f t="shared" si="6"/>
        <v>123</v>
      </c>
      <c r="B125" s="45" t="s">
        <v>1042</v>
      </c>
      <c r="C125" s="45">
        <f>YEAR(GC[[#This Row],[Date]])</f>
        <v>2025</v>
      </c>
      <c r="D125" s="45" t="s">
        <v>4</v>
      </c>
      <c r="E125" s="45" t="s">
        <v>4</v>
      </c>
      <c r="F125" s="77">
        <f>GC[[#This Row],[Date]]-DAY(GC[[#This Row],[Date]])+1</f>
        <v>45839</v>
      </c>
      <c r="G125" s="2">
        <f>DAY(EOMONTH(GC[[#This Row],[Month Year]],0))</f>
        <v>31</v>
      </c>
      <c r="H125" s="47">
        <f t="shared" ref="H125:H130" si="9">H124+1</f>
        <v>45867</v>
      </c>
      <c r="I125" s="45">
        <v>1</v>
      </c>
      <c r="J125" s="45">
        <v>0</v>
      </c>
      <c r="K125" s="45">
        <v>0</v>
      </c>
      <c r="L125" s="45">
        <v>10</v>
      </c>
      <c r="M125" s="45">
        <v>0</v>
      </c>
      <c r="N125" s="2">
        <f>SUM(GC[[#This Row],[Inv1]:[Inv3]])</f>
        <v>10</v>
      </c>
      <c r="O125" t="s">
        <v>1097</v>
      </c>
    </row>
    <row r="126" spans="1:15" x14ac:dyDescent="0.25">
      <c r="A126" s="45">
        <f t="shared" si="6"/>
        <v>124</v>
      </c>
      <c r="B126" s="45" t="s">
        <v>1042</v>
      </c>
      <c r="C126" s="45">
        <f>YEAR(GC[[#This Row],[Date]])</f>
        <v>2025</v>
      </c>
      <c r="D126" s="45" t="s">
        <v>4</v>
      </c>
      <c r="E126" s="45" t="s">
        <v>4</v>
      </c>
      <c r="F126" s="77">
        <f>GC[[#This Row],[Date]]-DAY(GC[[#This Row],[Date]])+1</f>
        <v>45839</v>
      </c>
      <c r="G126" s="2">
        <f>DAY(EOMONTH(GC[[#This Row],[Month Year]],0))</f>
        <v>31</v>
      </c>
      <c r="H126" s="47">
        <f t="shared" si="9"/>
        <v>45868</v>
      </c>
      <c r="I126" s="45">
        <v>1</v>
      </c>
      <c r="J126" s="45">
        <v>0</v>
      </c>
      <c r="K126" s="45">
        <v>0</v>
      </c>
      <c r="L126" s="45">
        <v>15</v>
      </c>
      <c r="M126" s="45">
        <v>4</v>
      </c>
      <c r="N126" s="2">
        <f>SUM(GC[[#This Row],[Inv1]:[Inv3]])</f>
        <v>19</v>
      </c>
      <c r="O126" t="s">
        <v>1097</v>
      </c>
    </row>
    <row r="127" spans="1:15" x14ac:dyDescent="0.25">
      <c r="A127" s="45">
        <f t="shared" si="6"/>
        <v>125</v>
      </c>
      <c r="B127" s="45" t="s">
        <v>1042</v>
      </c>
      <c r="C127" s="45">
        <f>YEAR(GC[[#This Row],[Date]])</f>
        <v>2025</v>
      </c>
      <c r="D127" s="45" t="s">
        <v>4</v>
      </c>
      <c r="E127" s="45" t="s">
        <v>4</v>
      </c>
      <c r="F127" s="77">
        <f>GC[[#This Row],[Date]]-DAY(GC[[#This Row],[Date]])+1</f>
        <v>45839</v>
      </c>
      <c r="G127" s="2">
        <f>DAY(EOMONTH(GC[[#This Row],[Month Year]],0))</f>
        <v>31</v>
      </c>
      <c r="H127" s="47">
        <f t="shared" si="9"/>
        <v>45869</v>
      </c>
      <c r="I127" s="45">
        <v>1</v>
      </c>
      <c r="J127" s="45">
        <v>0</v>
      </c>
      <c r="K127" s="45">
        <v>0</v>
      </c>
      <c r="L127" s="45">
        <v>0</v>
      </c>
      <c r="M127" s="45">
        <v>13</v>
      </c>
      <c r="N127" s="2">
        <v>13</v>
      </c>
      <c r="O127" t="s">
        <v>1097</v>
      </c>
    </row>
    <row r="128" spans="1:15" x14ac:dyDescent="0.25">
      <c r="A128" s="45">
        <f t="shared" si="6"/>
        <v>126</v>
      </c>
      <c r="B128" s="45" t="s">
        <v>1042</v>
      </c>
      <c r="C128" s="45">
        <f>YEAR(GC[[#This Row],[Date]])</f>
        <v>2025</v>
      </c>
      <c r="D128" s="45" t="s">
        <v>4</v>
      </c>
      <c r="E128" s="45" t="s">
        <v>4</v>
      </c>
      <c r="F128" s="77">
        <f>GC[[#This Row],[Date]]-DAY(GC[[#This Row],[Date]])+1</f>
        <v>45870</v>
      </c>
      <c r="G128" s="2">
        <f>DAY(EOMONTH(GC[[#This Row],[Month Year]],0))</f>
        <v>31</v>
      </c>
      <c r="H128" s="47">
        <f t="shared" si="9"/>
        <v>45870</v>
      </c>
      <c r="I128" s="45">
        <v>1</v>
      </c>
      <c r="J128" s="45">
        <v>0</v>
      </c>
      <c r="K128" s="45">
        <v>0</v>
      </c>
      <c r="L128" s="45">
        <v>0</v>
      </c>
      <c r="M128" s="45">
        <v>16</v>
      </c>
      <c r="N128" s="2">
        <v>16</v>
      </c>
      <c r="O128" t="s">
        <v>1097</v>
      </c>
    </row>
    <row r="129" spans="1:15" x14ac:dyDescent="0.25">
      <c r="A129" s="45">
        <f t="shared" si="6"/>
        <v>127</v>
      </c>
      <c r="B129" s="45" t="s">
        <v>1042</v>
      </c>
      <c r="C129" s="45">
        <f>YEAR(GC[[#This Row],[Date]])</f>
        <v>2025</v>
      </c>
      <c r="D129" s="45" t="s">
        <v>4</v>
      </c>
      <c r="E129" s="45" t="s">
        <v>4</v>
      </c>
      <c r="F129" s="77">
        <f>GC[[#This Row],[Date]]-DAY(GC[[#This Row],[Date]])+1</f>
        <v>45870</v>
      </c>
      <c r="G129" s="2">
        <f>DAY(EOMONTH(GC[[#This Row],[Month Year]],0))</f>
        <v>31</v>
      </c>
      <c r="H129" s="47">
        <f t="shared" si="9"/>
        <v>45871</v>
      </c>
      <c r="I129" s="45">
        <v>1</v>
      </c>
      <c r="J129" s="45">
        <v>0</v>
      </c>
      <c r="K129" s="45">
        <v>0</v>
      </c>
      <c r="L129" s="45">
        <v>0</v>
      </c>
      <c r="M129" s="45">
        <v>16</v>
      </c>
      <c r="N129" s="2">
        <v>16</v>
      </c>
      <c r="O129" t="s">
        <v>1097</v>
      </c>
    </row>
    <row r="130" spans="1:15" x14ac:dyDescent="0.25">
      <c r="A130" s="45">
        <f t="shared" si="6"/>
        <v>128</v>
      </c>
      <c r="B130" s="45" t="s">
        <v>1042</v>
      </c>
      <c r="C130" s="45">
        <f>YEAR(GC[[#This Row],[Date]])</f>
        <v>2025</v>
      </c>
      <c r="D130" s="45" t="s">
        <v>4</v>
      </c>
      <c r="E130" s="45" t="s">
        <v>4</v>
      </c>
      <c r="F130" s="77">
        <f>GC[[#This Row],[Date]]-DAY(GC[[#This Row],[Date]])+1</f>
        <v>45870</v>
      </c>
      <c r="G130" s="2">
        <f>DAY(EOMONTH(GC[[#This Row],[Month Year]],0))</f>
        <v>31</v>
      </c>
      <c r="H130" s="47">
        <f t="shared" si="9"/>
        <v>45872</v>
      </c>
      <c r="I130" s="45">
        <v>1</v>
      </c>
      <c r="J130" s="45">
        <v>0</v>
      </c>
      <c r="K130" s="45">
        <v>0</v>
      </c>
      <c r="L130" s="45">
        <v>0</v>
      </c>
      <c r="M130" s="45">
        <v>0</v>
      </c>
      <c r="N130" s="2">
        <v>0</v>
      </c>
      <c r="O130" t="s">
        <v>1037</v>
      </c>
    </row>
    <row r="131" spans="1:15" x14ac:dyDescent="0.25">
      <c r="A131" s="45">
        <f t="shared" si="6"/>
        <v>129</v>
      </c>
      <c r="B131" s="45" t="s">
        <v>1042</v>
      </c>
      <c r="C131" s="45">
        <f>YEAR(GC[[#This Row],[Date]])</f>
        <v>2025</v>
      </c>
      <c r="D131" s="45" t="s">
        <v>4</v>
      </c>
      <c r="E131" s="45" t="s">
        <v>4</v>
      </c>
      <c r="F131" s="77">
        <f>GC[[#This Row],[Date]]-DAY(GC[[#This Row],[Date]])+1</f>
        <v>45870</v>
      </c>
      <c r="G131" s="271">
        <f>DAY(EOMONTH(GC[[#This Row],[Month Year]],0))</f>
        <v>31</v>
      </c>
      <c r="H131" s="47">
        <f t="shared" ref="H131:H138" si="10">H130+1</f>
        <v>45873</v>
      </c>
      <c r="I131" s="45">
        <v>1</v>
      </c>
      <c r="J131" s="45">
        <v>0</v>
      </c>
      <c r="K131" s="45">
        <v>0</v>
      </c>
      <c r="L131" s="45">
        <v>0</v>
      </c>
      <c r="M131" s="45">
        <v>12</v>
      </c>
      <c r="N131" s="2">
        <v>16</v>
      </c>
      <c r="O131" t="s">
        <v>1097</v>
      </c>
    </row>
    <row r="132" spans="1:15" x14ac:dyDescent="0.25">
      <c r="A132" s="45">
        <f t="shared" si="6"/>
        <v>130</v>
      </c>
      <c r="B132" s="45"/>
      <c r="C132" s="45">
        <f>YEAR(GC[[#This Row],[Date]])</f>
        <v>2025</v>
      </c>
      <c r="D132" s="45" t="s">
        <v>4</v>
      </c>
      <c r="E132" s="45" t="s">
        <v>4</v>
      </c>
      <c r="F132" s="77">
        <f>GC[[#This Row],[Date]]-DAY(GC[[#This Row],[Date]])+1</f>
        <v>45870</v>
      </c>
      <c r="G132" s="271">
        <f>DAY(EOMONTH(GC[[#This Row],[Month Year]],0))</f>
        <v>31</v>
      </c>
      <c r="H132" s="47">
        <f t="shared" si="10"/>
        <v>45874</v>
      </c>
      <c r="I132" s="45"/>
      <c r="J132" s="45"/>
      <c r="K132" s="45"/>
      <c r="L132" s="45"/>
      <c r="M132" s="45"/>
      <c r="N132" s="271">
        <f>SUM(GC[[#This Row],[Inv1]:[Inv3]])</f>
        <v>0</v>
      </c>
    </row>
    <row r="133" spans="1:15" x14ac:dyDescent="0.25">
      <c r="A133" s="45">
        <f t="shared" si="6"/>
        <v>131</v>
      </c>
      <c r="B133" s="45"/>
      <c r="C133" s="45">
        <f>YEAR(GC[[#This Row],[Date]])</f>
        <v>2025</v>
      </c>
      <c r="D133" s="45"/>
      <c r="E133" s="45"/>
      <c r="F133" s="77">
        <f>GC[[#This Row],[Date]]-DAY(GC[[#This Row],[Date]])+1</f>
        <v>45870</v>
      </c>
      <c r="G133" s="271">
        <f>DAY(EOMONTH(GC[[#This Row],[Month Year]],0))</f>
        <v>31</v>
      </c>
      <c r="H133" s="47">
        <f t="shared" si="10"/>
        <v>45875</v>
      </c>
      <c r="I133" s="45"/>
      <c r="J133" s="45"/>
      <c r="K133" s="45"/>
      <c r="L133" s="45"/>
      <c r="M133" s="45"/>
      <c r="N133" s="271">
        <f>SUM(GC[[#This Row],[Inv1]:[Inv3]])</f>
        <v>0</v>
      </c>
    </row>
    <row r="134" spans="1:15" x14ac:dyDescent="0.25">
      <c r="A134" s="45">
        <f t="shared" ref="A134:A138" si="11">A133+1</f>
        <v>132</v>
      </c>
      <c r="B134" s="45"/>
      <c r="C134" s="45">
        <f>YEAR(GC[[#This Row],[Date]])</f>
        <v>2025</v>
      </c>
      <c r="D134" s="45"/>
      <c r="E134" s="45"/>
      <c r="F134" s="77">
        <f>GC[[#This Row],[Date]]-DAY(GC[[#This Row],[Date]])+1</f>
        <v>45870</v>
      </c>
      <c r="G134" s="271">
        <f>DAY(EOMONTH(GC[[#This Row],[Month Year]],0))</f>
        <v>31</v>
      </c>
      <c r="H134" s="47">
        <f t="shared" si="10"/>
        <v>45876</v>
      </c>
      <c r="I134" s="45"/>
      <c r="J134" s="45"/>
      <c r="K134" s="45"/>
      <c r="L134" s="45"/>
      <c r="M134" s="45"/>
      <c r="N134" s="271">
        <f>SUM(GC[[#This Row],[Inv1]:[Inv3]])</f>
        <v>0</v>
      </c>
    </row>
    <row r="135" spans="1:15" x14ac:dyDescent="0.25">
      <c r="A135" s="45">
        <f t="shared" si="11"/>
        <v>133</v>
      </c>
      <c r="B135" s="45"/>
      <c r="C135" s="45">
        <f>YEAR(GC[[#This Row],[Date]])</f>
        <v>2025</v>
      </c>
      <c r="D135" s="45"/>
      <c r="E135" s="45"/>
      <c r="F135" s="77">
        <f>GC[[#This Row],[Date]]-DAY(GC[[#This Row],[Date]])+1</f>
        <v>45870</v>
      </c>
      <c r="G135" s="271">
        <f>DAY(EOMONTH(GC[[#This Row],[Month Year]],0))</f>
        <v>31</v>
      </c>
      <c r="H135" s="47">
        <f t="shared" si="10"/>
        <v>45877</v>
      </c>
      <c r="I135" s="45"/>
      <c r="J135" s="45"/>
      <c r="K135" s="45"/>
      <c r="L135" s="45"/>
      <c r="M135" s="45"/>
      <c r="N135" s="271">
        <f>SUM(GC[[#This Row],[Inv1]:[Inv3]])</f>
        <v>0</v>
      </c>
    </row>
    <row r="136" spans="1:15" x14ac:dyDescent="0.25">
      <c r="A136" s="45">
        <f t="shared" si="11"/>
        <v>134</v>
      </c>
      <c r="B136" s="45"/>
      <c r="C136" s="45">
        <f>YEAR(GC[[#This Row],[Date]])</f>
        <v>2025</v>
      </c>
      <c r="D136" s="45"/>
      <c r="E136" s="45"/>
      <c r="F136" s="77">
        <f>GC[[#This Row],[Date]]-DAY(GC[[#This Row],[Date]])+1</f>
        <v>45870</v>
      </c>
      <c r="G136" s="271">
        <f>DAY(EOMONTH(GC[[#This Row],[Month Year]],0))</f>
        <v>31</v>
      </c>
      <c r="H136" s="47">
        <f t="shared" si="10"/>
        <v>45878</v>
      </c>
      <c r="I136" s="45"/>
      <c r="J136" s="45"/>
      <c r="K136" s="45"/>
      <c r="L136" s="45"/>
      <c r="M136" s="45"/>
      <c r="N136" s="271">
        <f>SUM(GC[[#This Row],[Inv1]:[Inv3]])</f>
        <v>0</v>
      </c>
    </row>
    <row r="137" spans="1:15" x14ac:dyDescent="0.25">
      <c r="A137" s="45">
        <f t="shared" si="11"/>
        <v>135</v>
      </c>
      <c r="B137" s="45"/>
      <c r="C137" s="45">
        <f>YEAR(GC[[#This Row],[Date]])</f>
        <v>2025</v>
      </c>
      <c r="D137" s="45"/>
      <c r="E137" s="45"/>
      <c r="F137" s="77">
        <f>GC[[#This Row],[Date]]-DAY(GC[[#This Row],[Date]])+1</f>
        <v>45870</v>
      </c>
      <c r="G137" s="271">
        <f>DAY(EOMONTH(GC[[#This Row],[Month Year]],0))</f>
        <v>31</v>
      </c>
      <c r="H137" s="47">
        <f t="shared" si="10"/>
        <v>45879</v>
      </c>
      <c r="I137" s="45"/>
      <c r="J137" s="45"/>
      <c r="K137" s="45"/>
      <c r="L137" s="45"/>
      <c r="M137" s="45"/>
      <c r="N137" s="271">
        <f>SUM(GC[[#This Row],[Inv1]:[Inv3]])</f>
        <v>0</v>
      </c>
    </row>
    <row r="138" spans="1:15" x14ac:dyDescent="0.25">
      <c r="A138" s="45">
        <f t="shared" si="11"/>
        <v>136</v>
      </c>
      <c r="B138" s="45"/>
      <c r="C138" s="45">
        <f>YEAR(GC[[#This Row],[Date]])</f>
        <v>2025</v>
      </c>
      <c r="D138" s="45"/>
      <c r="E138" s="45"/>
      <c r="F138" s="77">
        <f>GC[[#This Row],[Date]]-DAY(GC[[#This Row],[Date]])+1</f>
        <v>45870</v>
      </c>
      <c r="G138" s="271">
        <f>DAY(EOMONTH(GC[[#This Row],[Month Year]],0))</f>
        <v>31</v>
      </c>
      <c r="H138" s="47">
        <f t="shared" si="10"/>
        <v>45880</v>
      </c>
      <c r="I138" s="45"/>
      <c r="J138" s="45"/>
      <c r="K138" s="45"/>
      <c r="L138" s="45"/>
      <c r="M138" s="45"/>
      <c r="N138" s="271">
        <f>SUM(GC[[#This Row],[Inv1]:[Inv3]])</f>
        <v>0</v>
      </c>
    </row>
    <row r="139" spans="1:15" x14ac:dyDescent="0.25">
      <c r="A139" s="45"/>
      <c r="B139" s="45"/>
      <c r="C139" s="45"/>
      <c r="D139" s="45"/>
      <c r="E139" s="45"/>
      <c r="H139" s="47"/>
      <c r="I139" s="45"/>
      <c r="J139" s="45"/>
      <c r="K139" s="45"/>
      <c r="L139" s="45"/>
      <c r="M139" s="45"/>
    </row>
    <row r="140" spans="1:15" x14ac:dyDescent="0.25">
      <c r="A140" s="45"/>
      <c r="B140" s="45"/>
      <c r="C140" s="45"/>
      <c r="D140" s="45"/>
      <c r="E140" s="45"/>
      <c r="H140" s="47"/>
      <c r="I140" s="45"/>
      <c r="J140" s="45"/>
      <c r="K140" s="45"/>
      <c r="L140" s="45"/>
      <c r="M140" s="45"/>
    </row>
    <row r="141" spans="1:15" x14ac:dyDescent="0.25">
      <c r="A141" s="45"/>
      <c r="B141" s="45"/>
      <c r="C141" s="45"/>
      <c r="D141" s="45"/>
      <c r="E141" s="45"/>
      <c r="H141" s="47"/>
      <c r="I141" s="45"/>
      <c r="J141" s="45"/>
      <c r="K141" s="45"/>
      <c r="L141" s="45"/>
      <c r="M141" s="45"/>
    </row>
    <row r="142" spans="1:15" x14ac:dyDescent="0.25">
      <c r="A142" s="45"/>
      <c r="B142" s="45"/>
      <c r="C142" s="45"/>
      <c r="D142" s="45"/>
      <c r="E142" s="45"/>
      <c r="H142" s="47"/>
      <c r="I142" s="45"/>
      <c r="J142" s="45"/>
      <c r="K142" s="45"/>
      <c r="L142" s="45"/>
      <c r="M142" s="45"/>
    </row>
    <row r="143" spans="1:15" x14ac:dyDescent="0.25">
      <c r="A143" s="45"/>
      <c r="B143" s="45"/>
      <c r="C143" s="45"/>
      <c r="D143" s="45"/>
      <c r="E143" s="45"/>
      <c r="H143" s="47"/>
      <c r="I143" s="45"/>
      <c r="J143" s="45"/>
      <c r="K143" s="45"/>
      <c r="L143" s="45"/>
      <c r="M143" s="45"/>
    </row>
    <row r="144" spans="1:15" x14ac:dyDescent="0.25">
      <c r="A144" s="45"/>
      <c r="B144" s="45"/>
      <c r="C144" s="45"/>
      <c r="D144" s="45"/>
      <c r="E144" s="45"/>
      <c r="H144" s="47"/>
      <c r="I144" s="45"/>
      <c r="J144" s="45"/>
      <c r="K144" s="45"/>
      <c r="L144" s="45"/>
      <c r="M144" s="45"/>
    </row>
    <row r="145" spans="1:13" x14ac:dyDescent="0.25">
      <c r="A145" s="45"/>
      <c r="B145" s="45"/>
      <c r="C145" s="45"/>
      <c r="D145" s="45"/>
      <c r="E145" s="45"/>
      <c r="H145" s="47"/>
      <c r="I145" s="45"/>
      <c r="J145" s="45"/>
      <c r="K145" s="45"/>
      <c r="L145" s="45"/>
      <c r="M145" s="45"/>
    </row>
    <row r="146" spans="1:13" x14ac:dyDescent="0.25">
      <c r="A146" s="45"/>
      <c r="B146" s="45"/>
      <c r="C146" s="45"/>
      <c r="D146" s="45"/>
      <c r="E146" s="45"/>
      <c r="H146" s="47"/>
      <c r="I146" s="45"/>
      <c r="J146" s="45"/>
      <c r="K146" s="45"/>
      <c r="L146" s="45"/>
      <c r="M146" s="45"/>
    </row>
    <row r="147" spans="1:13" x14ac:dyDescent="0.25">
      <c r="A147" s="45"/>
      <c r="B147" s="45"/>
      <c r="C147" s="45"/>
      <c r="D147" s="45"/>
      <c r="E147" s="45"/>
      <c r="H147" s="47"/>
      <c r="I147" s="45"/>
      <c r="J147" s="45"/>
      <c r="K147" s="45"/>
      <c r="L147" s="45"/>
      <c r="M147" s="45"/>
    </row>
    <row r="148" spans="1:13" x14ac:dyDescent="0.25">
      <c r="A148" s="45"/>
      <c r="B148" s="45"/>
      <c r="C148" s="45"/>
      <c r="D148" s="45"/>
      <c r="E148" s="45"/>
      <c r="H148" s="47"/>
      <c r="I148" s="45"/>
      <c r="J148" s="45"/>
      <c r="K148" s="45"/>
      <c r="L148" s="45"/>
      <c r="M148" s="45"/>
    </row>
    <row r="149" spans="1:13" x14ac:dyDescent="0.25">
      <c r="A149" s="45"/>
      <c r="B149" s="45"/>
      <c r="C149" s="45"/>
      <c r="D149" s="45"/>
      <c r="E149" s="45"/>
      <c r="H149" s="47"/>
      <c r="I149" s="45"/>
      <c r="J149" s="45"/>
      <c r="K149" s="45"/>
      <c r="L149" s="45"/>
      <c r="M149" s="45"/>
    </row>
    <row r="150" spans="1:13" x14ac:dyDescent="0.25">
      <c r="A150" s="45"/>
      <c r="B150" s="45"/>
      <c r="C150" s="45"/>
      <c r="D150" s="45"/>
      <c r="E150" s="45"/>
      <c r="H150" s="47"/>
      <c r="I150" s="45"/>
      <c r="J150" s="45"/>
      <c r="K150" s="45"/>
      <c r="L150" s="45"/>
      <c r="M150" s="45"/>
    </row>
    <row r="151" spans="1:13" x14ac:dyDescent="0.25">
      <c r="A151" s="45"/>
      <c r="B151" s="45"/>
      <c r="C151" s="45"/>
      <c r="D151" s="45"/>
      <c r="E151" s="45"/>
      <c r="H151" s="47"/>
      <c r="I151" s="45"/>
      <c r="J151" s="45"/>
      <c r="K151" s="45"/>
      <c r="L151" s="45"/>
      <c r="M151" s="45"/>
    </row>
    <row r="152" spans="1:13" x14ac:dyDescent="0.25">
      <c r="A152" s="45"/>
      <c r="B152" s="45"/>
      <c r="C152" s="45"/>
      <c r="D152" s="45"/>
      <c r="E152" s="45"/>
      <c r="H152" s="47"/>
      <c r="I152" s="45"/>
      <c r="J152" s="45"/>
      <c r="K152" s="45"/>
      <c r="L152" s="45"/>
      <c r="M152" s="45"/>
    </row>
    <row r="153" spans="1:13" x14ac:dyDescent="0.25">
      <c r="A153" s="45"/>
      <c r="B153" s="45"/>
      <c r="C153" s="45"/>
      <c r="D153" s="45"/>
      <c r="E153" s="45"/>
      <c r="H153" s="47"/>
      <c r="I153" s="45"/>
      <c r="J153" s="45"/>
      <c r="K153" s="45"/>
      <c r="L153" s="45"/>
      <c r="M153" s="45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40"/>
  <sheetViews>
    <sheetView zoomScale="85" zoomScaleNormal="85" workbookViewId="0">
      <pane xSplit="8" ySplit="1" topLeftCell="I23" activePane="bottomRight" state="frozen"/>
      <selection pane="topRight" activeCell="I1" sqref="I1"/>
      <selection pane="bottomLeft" activeCell="A2" sqref="A2"/>
      <selection pane="bottomRight" activeCell="L37" sqref="L37:M38"/>
    </sheetView>
  </sheetViews>
  <sheetFormatPr defaultColWidth="9.140625" defaultRowHeight="15" x14ac:dyDescent="0.25"/>
  <cols>
    <col min="1" max="1" width="9.140625" style="7"/>
    <col min="2" max="2" width="11.140625" style="7" bestFit="1" customWidth="1"/>
    <col min="3" max="3" width="12.5703125" style="7" bestFit="1" customWidth="1"/>
    <col min="4" max="4" width="14.85546875" style="7" bestFit="1" customWidth="1"/>
    <col min="5" max="5" width="13.42578125" style="7" bestFit="1" customWidth="1"/>
    <col min="6" max="6" width="10.140625" style="7" bestFit="1" customWidth="1"/>
    <col min="7" max="7" width="8.42578125" style="7" bestFit="1" customWidth="1"/>
    <col min="8" max="8" width="10.140625" style="7" bestFit="1" customWidth="1"/>
    <col min="9" max="9" width="23.85546875" style="7" customWidth="1"/>
    <col min="10" max="10" width="10.140625" style="7" customWidth="1"/>
    <col min="11" max="11" width="15.42578125" style="7" bestFit="1" customWidth="1"/>
    <col min="12" max="12" width="17.42578125" style="7" customWidth="1"/>
    <col min="13" max="13" width="39.42578125" style="7" bestFit="1" customWidth="1"/>
    <col min="14" max="16384" width="9.140625" style="7"/>
  </cols>
  <sheetData>
    <row r="1" spans="1:13" ht="45" x14ac:dyDescent="0.25">
      <c r="A1" s="7" t="s">
        <v>7</v>
      </c>
      <c r="B1" s="7" t="s">
        <v>81</v>
      </c>
      <c r="C1" s="7" t="s">
        <v>83</v>
      </c>
      <c r="D1" s="7" t="s">
        <v>84</v>
      </c>
      <c r="E1" s="7" t="s">
        <v>85</v>
      </c>
      <c r="F1" s="7" t="s">
        <v>86</v>
      </c>
      <c r="G1" s="7" t="s">
        <v>62</v>
      </c>
      <c r="H1" s="7" t="s">
        <v>33</v>
      </c>
      <c r="I1" s="70" t="s">
        <v>1044</v>
      </c>
      <c r="J1" s="70" t="s">
        <v>1045</v>
      </c>
      <c r="K1" s="70" t="s">
        <v>1046</v>
      </c>
      <c r="L1" s="70" t="s">
        <v>1047</v>
      </c>
      <c r="M1" s="70" t="s">
        <v>1036</v>
      </c>
    </row>
    <row r="2" spans="1:13" x14ac:dyDescent="0.25">
      <c r="A2" s="7">
        <v>520</v>
      </c>
      <c r="B2" s="7">
        <f>YEAR(Spare[[#This Row],[Date]])+IF(MONTH(Spare[[#This Row],[Date]])&gt;=4,1,0)</f>
        <v>2026</v>
      </c>
      <c r="C2" s="7">
        <f>YEAR(Spare[[#This Row],[Date]])</f>
        <v>2025</v>
      </c>
      <c r="D2" s="7" t="s">
        <v>1050</v>
      </c>
      <c r="E2" s="7">
        <v>2025</v>
      </c>
      <c r="F2" s="71">
        <f>Spare[[#This Row],[Date]]-DAY(Spare[[#This Row],[Date]])+1</f>
        <v>45748</v>
      </c>
      <c r="G2" s="7">
        <f>DAY(EOMONTH(Spare[[#This Row],[Month Year]],0))</f>
        <v>30</v>
      </c>
      <c r="H2" s="72">
        <v>45751</v>
      </c>
      <c r="I2" s="7" t="s">
        <v>1052</v>
      </c>
      <c r="J2" s="7">
        <v>4</v>
      </c>
      <c r="K2" s="7" t="s">
        <v>260</v>
      </c>
      <c r="L2" s="7" t="s">
        <v>1051</v>
      </c>
      <c r="M2" s="7" t="s">
        <v>1049</v>
      </c>
    </row>
    <row r="3" spans="1:13" x14ac:dyDescent="0.25">
      <c r="A3" s="7">
        <v>521</v>
      </c>
      <c r="B3" s="7">
        <f>YEAR(Spare[[#This Row],[Date]])+IF(MONTH(Spare[[#This Row],[Date]])&gt;=4,1,0)</f>
        <v>2026</v>
      </c>
      <c r="C3" s="7">
        <f>YEAR(Spare[[#This Row],[Date]])</f>
        <v>2025</v>
      </c>
      <c r="D3" s="7" t="s">
        <v>1050</v>
      </c>
      <c r="E3" s="7">
        <v>2025</v>
      </c>
      <c r="F3" s="71">
        <f>Spare[[#This Row],[Date]]-DAY(Spare[[#This Row],[Date]])+1</f>
        <v>45748</v>
      </c>
      <c r="G3" s="7">
        <f>DAY(EOMONTH(Spare[[#This Row],[Month Year]],0))</f>
        <v>30</v>
      </c>
      <c r="H3" s="72">
        <f>H2</f>
        <v>45751</v>
      </c>
      <c r="I3" s="7" t="s">
        <v>1053</v>
      </c>
      <c r="J3" s="7">
        <v>1</v>
      </c>
      <c r="K3" s="7" t="s">
        <v>260</v>
      </c>
      <c r="L3" s="7" t="s">
        <v>1051</v>
      </c>
      <c r="M3" s="7" t="s">
        <v>1049</v>
      </c>
    </row>
    <row r="4" spans="1:13" x14ac:dyDescent="0.25">
      <c r="A4" s="7">
        <v>522</v>
      </c>
      <c r="B4" s="7">
        <f>YEAR(Spare[[#This Row],[Date]])+IF(MONTH(Spare[[#This Row],[Date]])&gt;=4,1,0)</f>
        <v>2026</v>
      </c>
      <c r="C4" s="7">
        <f>YEAR(Spare[[#This Row],[Date]])</f>
        <v>2025</v>
      </c>
      <c r="D4" s="7" t="s">
        <v>1050</v>
      </c>
      <c r="E4" s="7">
        <v>2025</v>
      </c>
      <c r="F4" s="71">
        <f>Spare[[#This Row],[Date]]-DAY(Spare[[#This Row],[Date]])+1</f>
        <v>45748</v>
      </c>
      <c r="G4" s="7">
        <f>DAY(EOMONTH(Spare[[#This Row],[Month Year]],0))</f>
        <v>30</v>
      </c>
      <c r="H4" s="72">
        <f>H3</f>
        <v>45751</v>
      </c>
      <c r="I4" s="7" t="s">
        <v>1052</v>
      </c>
      <c r="J4" s="7">
        <v>4</v>
      </c>
      <c r="K4" s="7" t="s">
        <v>255</v>
      </c>
      <c r="L4" s="7" t="s">
        <v>1051</v>
      </c>
      <c r="M4" s="7" t="s">
        <v>1049</v>
      </c>
    </row>
    <row r="5" spans="1:13" x14ac:dyDescent="0.25">
      <c r="A5" s="7">
        <v>523</v>
      </c>
      <c r="B5" s="7">
        <f>YEAR(Spare[[#This Row],[Date]])+IF(MONTH(Spare[[#This Row],[Date]])&gt;=4,1,0)</f>
        <v>2026</v>
      </c>
      <c r="C5" s="7">
        <f>YEAR(Spare[[#This Row],[Date]])</f>
        <v>2025</v>
      </c>
      <c r="D5" s="7" t="s">
        <v>1050</v>
      </c>
      <c r="E5" s="7">
        <v>2025</v>
      </c>
      <c r="F5" s="71">
        <f>Spare[[#This Row],[Date]]-DAY(Spare[[#This Row],[Date]])+1</f>
        <v>45748</v>
      </c>
      <c r="G5" s="7">
        <f>DAY(EOMONTH(Spare[[#This Row],[Month Year]],0))</f>
        <v>30</v>
      </c>
      <c r="H5" s="72">
        <f t="shared" ref="H5:H9" si="0">H4+1</f>
        <v>45752</v>
      </c>
      <c r="I5" s="7" t="s">
        <v>1053</v>
      </c>
      <c r="J5" s="7">
        <v>1</v>
      </c>
      <c r="K5" s="7" t="s">
        <v>261</v>
      </c>
      <c r="L5" s="7" t="s">
        <v>1051</v>
      </c>
      <c r="M5" s="7" t="s">
        <v>1049</v>
      </c>
    </row>
    <row r="6" spans="1:13" x14ac:dyDescent="0.25">
      <c r="A6" s="7">
        <v>524</v>
      </c>
      <c r="B6" s="7">
        <f>YEAR(Spare[[#This Row],[Date]])+IF(MONTH(Spare[[#This Row],[Date]])&gt;=4,1,0)</f>
        <v>2026</v>
      </c>
      <c r="C6" s="7">
        <f>YEAR(Spare[[#This Row],[Date]])</f>
        <v>2025</v>
      </c>
      <c r="D6" s="7" t="s">
        <v>1050</v>
      </c>
      <c r="E6" s="7">
        <v>2025</v>
      </c>
      <c r="F6" s="71">
        <f>Spare[[#This Row],[Date]]-DAY(Spare[[#This Row],[Date]])+1</f>
        <v>45748</v>
      </c>
      <c r="G6" s="7">
        <f>DAY(EOMONTH(Spare[[#This Row],[Month Year]],0))</f>
        <v>30</v>
      </c>
      <c r="H6" s="72">
        <f>H5+4</f>
        <v>45756</v>
      </c>
      <c r="I6" s="7" t="s">
        <v>1052</v>
      </c>
      <c r="J6" s="7">
        <v>2</v>
      </c>
      <c r="K6" s="7" t="s">
        <v>271</v>
      </c>
      <c r="L6" s="7" t="s">
        <v>1051</v>
      </c>
      <c r="M6" s="7" t="s">
        <v>1049</v>
      </c>
    </row>
    <row r="7" spans="1:13" x14ac:dyDescent="0.25">
      <c r="A7" s="7">
        <v>525</v>
      </c>
      <c r="B7" s="7">
        <f>YEAR(Spare[[#This Row],[Date]])+IF(MONTH(Spare[[#This Row],[Date]])&gt;=4,1,0)</f>
        <v>2026</v>
      </c>
      <c r="C7" s="7">
        <f>YEAR(Spare[[#This Row],[Date]])</f>
        <v>2025</v>
      </c>
      <c r="D7" s="7" t="s">
        <v>1050</v>
      </c>
      <c r="E7" s="7">
        <v>2025</v>
      </c>
      <c r="F7" s="71">
        <f>Spare[[#This Row],[Date]]-DAY(Spare[[#This Row],[Date]])+1</f>
        <v>45748</v>
      </c>
      <c r="G7" s="7">
        <f>DAY(EOMONTH(Spare[[#This Row],[Month Year]],0))</f>
        <v>30</v>
      </c>
      <c r="H7" s="72">
        <f>H6+8</f>
        <v>45764</v>
      </c>
      <c r="I7" s="7" t="s">
        <v>1065</v>
      </c>
      <c r="J7" s="7">
        <v>2</v>
      </c>
      <c r="K7" s="7" t="s">
        <v>1055</v>
      </c>
      <c r="L7" s="7" t="s">
        <v>1051</v>
      </c>
      <c r="M7" s="7" t="s">
        <v>1049</v>
      </c>
    </row>
    <row r="8" spans="1:13" x14ac:dyDescent="0.25">
      <c r="A8" s="7">
        <v>526</v>
      </c>
      <c r="B8" s="7">
        <f>YEAR(Spare[[#This Row],[Date]])+IF(MONTH(Spare[[#This Row],[Date]])&gt;=4,1,0)</f>
        <v>2026</v>
      </c>
      <c r="C8" s="7">
        <f>YEAR(Spare[[#This Row],[Date]])</f>
        <v>2025</v>
      </c>
      <c r="D8" s="7" t="s">
        <v>1050</v>
      </c>
      <c r="E8" s="7">
        <v>2025</v>
      </c>
      <c r="F8" s="71">
        <f>Spare[[#This Row],[Date]]-DAY(Spare[[#This Row],[Date]])+1</f>
        <v>45748</v>
      </c>
      <c r="G8" s="7">
        <f>DAY(EOMONTH(Spare[[#This Row],[Month Year]],0))</f>
        <v>30</v>
      </c>
      <c r="H8" s="72">
        <f t="shared" si="0"/>
        <v>45765</v>
      </c>
      <c r="I8" s="7" t="s">
        <v>1066</v>
      </c>
      <c r="J8" s="7">
        <v>2</v>
      </c>
      <c r="K8" s="7" t="s">
        <v>1054</v>
      </c>
      <c r="L8" s="7" t="s">
        <v>1051</v>
      </c>
      <c r="M8" s="7" t="s">
        <v>1049</v>
      </c>
    </row>
    <row r="9" spans="1:13" x14ac:dyDescent="0.25">
      <c r="A9" s="7">
        <v>527</v>
      </c>
      <c r="B9" s="7">
        <f>YEAR(Spare[[#This Row],[Date]])+IF(MONTH(Spare[[#This Row],[Date]])&gt;=4,1,0)</f>
        <v>2026</v>
      </c>
      <c r="C9" s="7">
        <f>YEAR(Spare[[#This Row],[Date]])</f>
        <v>2025</v>
      </c>
      <c r="D9" s="7" t="s">
        <v>1050</v>
      </c>
      <c r="E9" s="7">
        <v>2025</v>
      </c>
      <c r="F9" s="71">
        <f>Spare[[#This Row],[Date]]-DAY(Spare[[#This Row],[Date]])+1</f>
        <v>45748</v>
      </c>
      <c r="G9" s="7">
        <f>DAY(EOMONTH(Spare[[#This Row],[Month Year]],0))</f>
        <v>30</v>
      </c>
      <c r="H9" s="72">
        <f t="shared" si="0"/>
        <v>45766</v>
      </c>
      <c r="I9" s="7" t="s">
        <v>1067</v>
      </c>
      <c r="J9" s="7">
        <v>1</v>
      </c>
      <c r="K9" s="7" t="s">
        <v>1015</v>
      </c>
      <c r="L9" s="7" t="s">
        <v>1048</v>
      </c>
      <c r="M9" s="7" t="s">
        <v>1049</v>
      </c>
    </row>
    <row r="10" spans="1:13" x14ac:dyDescent="0.25">
      <c r="A10" s="7">
        <v>528</v>
      </c>
      <c r="B10" s="7">
        <f>YEAR(Spare[[#This Row],[Date]])+IF(MONTH(Spare[[#This Row],[Date]])&gt;=4,1,0)</f>
        <v>2026</v>
      </c>
      <c r="C10" s="7">
        <f>YEAR(Spare[[#This Row],[Date]])</f>
        <v>2025</v>
      </c>
      <c r="D10" s="7" t="s">
        <v>1050</v>
      </c>
      <c r="E10" s="7">
        <v>2025</v>
      </c>
      <c r="F10" s="71">
        <f>Spare[[#This Row],[Date]]-DAY(Spare[[#This Row],[Date]])+1</f>
        <v>45778</v>
      </c>
      <c r="G10" s="7">
        <f>DAY(EOMONTH(Spare[[#This Row],[Month Year]],0))</f>
        <v>31</v>
      </c>
      <c r="H10" s="72">
        <f>H9+22</f>
        <v>45788</v>
      </c>
      <c r="I10" s="7" t="s">
        <v>1052</v>
      </c>
      <c r="J10" s="7">
        <v>2</v>
      </c>
      <c r="K10" s="7" t="s">
        <v>259</v>
      </c>
      <c r="L10" s="7" t="s">
        <v>1051</v>
      </c>
      <c r="M10" s="7" t="s">
        <v>1049</v>
      </c>
    </row>
    <row r="11" spans="1:13" x14ac:dyDescent="0.25">
      <c r="A11" s="7">
        <v>529</v>
      </c>
      <c r="B11" s="7">
        <f>YEAR(Spare[[#This Row],[Date]])+IF(MONTH(Spare[[#This Row],[Date]])&gt;=4,1,0)</f>
        <v>2026</v>
      </c>
      <c r="C11" s="7">
        <f>YEAR(Spare[[#This Row],[Date]])</f>
        <v>2025</v>
      </c>
      <c r="D11" s="7" t="s">
        <v>1050</v>
      </c>
      <c r="E11" s="7">
        <v>2025</v>
      </c>
      <c r="F11" s="71">
        <f>Spare[[#This Row],[Date]]-DAY(Spare[[#This Row],[Date]])+1</f>
        <v>45778</v>
      </c>
      <c r="G11" s="7">
        <f>DAY(EOMONTH(Spare[[#This Row],[Month Year]],0))</f>
        <v>31</v>
      </c>
      <c r="H11" s="72">
        <f>H10+5</f>
        <v>45793</v>
      </c>
      <c r="I11" s="7" t="s">
        <v>1077</v>
      </c>
      <c r="J11" s="7">
        <v>150</v>
      </c>
      <c r="K11" s="7" t="s">
        <v>102</v>
      </c>
      <c r="L11" s="7" t="s">
        <v>1051</v>
      </c>
      <c r="M11" s="7" t="s">
        <v>1049</v>
      </c>
    </row>
    <row r="12" spans="1:13" x14ac:dyDescent="0.25">
      <c r="A12" s="7">
        <v>530</v>
      </c>
      <c r="B12" s="7">
        <f>YEAR(Spare[[#This Row],[Date]])+IF(MONTH(Spare[[#This Row],[Date]])&gt;=4,1,0)</f>
        <v>2026</v>
      </c>
      <c r="C12" s="7">
        <f>YEAR(Spare[[#This Row],[Date]])</f>
        <v>2025</v>
      </c>
      <c r="D12" s="7" t="s">
        <v>1050</v>
      </c>
      <c r="E12" s="7">
        <v>2025</v>
      </c>
      <c r="F12" s="71">
        <f>Spare[[#This Row],[Date]]-DAY(Spare[[#This Row],[Date]])+1</f>
        <v>45778</v>
      </c>
      <c r="G12" s="7">
        <f>DAY(EOMONTH(Spare[[#This Row],[Month Year]],0))</f>
        <v>31</v>
      </c>
      <c r="H12" s="72">
        <f>H11+7</f>
        <v>45800</v>
      </c>
      <c r="I12" s="7" t="s">
        <v>1052</v>
      </c>
      <c r="J12" s="7">
        <v>3</v>
      </c>
      <c r="K12" s="7" t="s">
        <v>1082</v>
      </c>
      <c r="L12" s="7" t="s">
        <v>1051</v>
      </c>
      <c r="M12" s="7" t="s">
        <v>1049</v>
      </c>
    </row>
    <row r="13" spans="1:13" x14ac:dyDescent="0.25">
      <c r="A13" s="7">
        <v>531</v>
      </c>
      <c r="B13" s="7">
        <f>YEAR(Spare[[#This Row],[Date]])+IF(MONTH(Spare[[#This Row],[Date]])&gt;=4,1,0)</f>
        <v>2026</v>
      </c>
      <c r="C13" s="7">
        <f>YEAR(Spare[[#This Row],[Date]])</f>
        <v>2025</v>
      </c>
      <c r="D13" s="7" t="s">
        <v>1050</v>
      </c>
      <c r="E13" s="7">
        <v>2025</v>
      </c>
      <c r="F13" s="71">
        <f>Spare[[#This Row],[Date]]-DAY(Spare[[#This Row],[Date]])+1</f>
        <v>45778</v>
      </c>
      <c r="G13" s="7">
        <f>DAY(EOMONTH(Spare[[#This Row],[Month Year]],0))</f>
        <v>31</v>
      </c>
      <c r="H13" s="72">
        <f>H12</f>
        <v>45800</v>
      </c>
      <c r="I13" s="7" t="s">
        <v>1083</v>
      </c>
      <c r="J13" s="7">
        <v>2</v>
      </c>
      <c r="K13" s="7" t="s">
        <v>1082</v>
      </c>
      <c r="L13" s="7" t="s">
        <v>1051</v>
      </c>
      <c r="M13" s="7" t="s">
        <v>1049</v>
      </c>
    </row>
    <row r="14" spans="1:13" x14ac:dyDescent="0.25">
      <c r="A14" s="7">
        <v>532</v>
      </c>
      <c r="B14" s="7">
        <f>YEAR(Spare[[#This Row],[Date]])+IF(MONTH(Spare[[#This Row],[Date]])&gt;=4,1,0)</f>
        <v>2026</v>
      </c>
      <c r="C14" s="7">
        <f>YEAR(Spare[[#This Row],[Date]])</f>
        <v>2025</v>
      </c>
      <c r="D14" s="7" t="s">
        <v>1050</v>
      </c>
      <c r="E14" s="7">
        <v>2025</v>
      </c>
      <c r="F14" s="71">
        <f>Spare[[#This Row],[Date]]-DAY(Spare[[#This Row],[Date]])+1</f>
        <v>45778</v>
      </c>
      <c r="G14" s="7">
        <f>DAY(EOMONTH(Spare[[#This Row],[Month Year]],0))</f>
        <v>31</v>
      </c>
      <c r="H14" s="72">
        <f>H13</f>
        <v>45800</v>
      </c>
      <c r="I14" s="7" t="s">
        <v>1052</v>
      </c>
      <c r="J14" s="7">
        <v>2</v>
      </c>
      <c r="K14" s="7" t="s">
        <v>1084</v>
      </c>
      <c r="L14" s="7" t="s">
        <v>1051</v>
      </c>
      <c r="M14" s="7" t="s">
        <v>1049</v>
      </c>
    </row>
    <row r="15" spans="1:13" x14ac:dyDescent="0.25">
      <c r="A15" s="7">
        <v>533</v>
      </c>
      <c r="B15" s="7">
        <f>YEAR(Spare[[#This Row],[Date]])+IF(MONTH(Spare[[#This Row],[Date]])&gt;=4,1,0)</f>
        <v>2026</v>
      </c>
      <c r="C15" s="7">
        <f>YEAR(Spare[[#This Row],[Date]])</f>
        <v>2025</v>
      </c>
      <c r="D15" s="7" t="s">
        <v>1050</v>
      </c>
      <c r="E15" s="7">
        <v>2025</v>
      </c>
      <c r="F15" s="71">
        <f>Spare[[#This Row],[Date]]-DAY(Spare[[#This Row],[Date]])+1</f>
        <v>45778</v>
      </c>
      <c r="G15" s="7">
        <f>DAY(EOMONTH(Spare[[#This Row],[Month Year]],0))</f>
        <v>31</v>
      </c>
      <c r="H15" s="72">
        <f>H14</f>
        <v>45800</v>
      </c>
      <c r="I15" s="7" t="s">
        <v>1052</v>
      </c>
      <c r="J15" s="7">
        <v>2</v>
      </c>
      <c r="K15" s="7" t="s">
        <v>1085</v>
      </c>
      <c r="L15" s="7" t="s">
        <v>1051</v>
      </c>
      <c r="M15" s="7" t="s">
        <v>1049</v>
      </c>
    </row>
    <row r="16" spans="1:13" x14ac:dyDescent="0.25">
      <c r="A16" s="7">
        <v>534</v>
      </c>
      <c r="B16" s="7">
        <f>YEAR(Spare[[#This Row],[Date]])+IF(MONTH(Spare[[#This Row],[Date]])&gt;=4,1,0)</f>
        <v>2026</v>
      </c>
      <c r="C16" s="7">
        <f>YEAR(Spare[[#This Row],[Date]])</f>
        <v>2025</v>
      </c>
      <c r="D16" s="7" t="s">
        <v>1050</v>
      </c>
      <c r="E16" s="7">
        <v>2025</v>
      </c>
      <c r="F16" s="71">
        <f>Spare[[#This Row],[Date]]-DAY(Spare[[#This Row],[Date]])+1</f>
        <v>45778</v>
      </c>
      <c r="G16" s="7">
        <f>DAY(EOMONTH(Spare[[#This Row],[Month Year]],0))</f>
        <v>31</v>
      </c>
      <c r="H16" s="72">
        <f t="shared" ref="H16" si="1">H15+1</f>
        <v>45801</v>
      </c>
      <c r="I16" s="7" t="s">
        <v>1052</v>
      </c>
      <c r="J16" s="7">
        <v>4</v>
      </c>
      <c r="K16" s="7" t="s">
        <v>1086</v>
      </c>
      <c r="L16" s="7" t="s">
        <v>1051</v>
      </c>
      <c r="M16" s="7" t="s">
        <v>1049</v>
      </c>
    </row>
    <row r="17" spans="1:13" x14ac:dyDescent="0.25">
      <c r="A17" s="7">
        <v>535</v>
      </c>
      <c r="B17" s="7">
        <f>YEAR(Spare[[#This Row],[Date]])+IF(MONTH(Spare[[#This Row],[Date]])&gt;=4,1,0)</f>
        <v>2026</v>
      </c>
      <c r="C17" s="7">
        <f>YEAR(Spare[[#This Row],[Date]])</f>
        <v>2025</v>
      </c>
      <c r="D17" s="7" t="s">
        <v>1050</v>
      </c>
      <c r="E17" s="7">
        <v>2025</v>
      </c>
      <c r="F17" s="71">
        <f>Spare[[#This Row],[Date]]-DAY(Spare[[#This Row],[Date]])+1</f>
        <v>45778</v>
      </c>
      <c r="G17" s="7">
        <f>DAY(EOMONTH(Spare[[#This Row],[Month Year]],0))</f>
        <v>31</v>
      </c>
      <c r="H17" s="72">
        <f>H16</f>
        <v>45801</v>
      </c>
      <c r="I17" s="7" t="s">
        <v>1053</v>
      </c>
      <c r="J17" s="7">
        <v>1</v>
      </c>
      <c r="K17" s="7" t="s">
        <v>1086</v>
      </c>
      <c r="L17" s="7" t="s">
        <v>1051</v>
      </c>
      <c r="M17" s="7" t="s">
        <v>1049</v>
      </c>
    </row>
    <row r="18" spans="1:13" x14ac:dyDescent="0.25">
      <c r="A18" s="7">
        <v>536</v>
      </c>
      <c r="B18" s="7">
        <f>YEAR(Spare[[#This Row],[Date]])+IF(MONTH(Spare[[#This Row],[Date]])&gt;=4,1,0)</f>
        <v>2026</v>
      </c>
      <c r="C18" s="7">
        <f>YEAR(Spare[[#This Row],[Date]])</f>
        <v>2025</v>
      </c>
      <c r="D18" s="7" t="s">
        <v>1050</v>
      </c>
      <c r="E18" s="7">
        <v>2025</v>
      </c>
      <c r="F18" s="71">
        <f>Spare[[#This Row],[Date]]-DAY(Spare[[#This Row],[Date]])+1</f>
        <v>45778</v>
      </c>
      <c r="G18" s="7">
        <f>DAY(EOMONTH(Spare[[#This Row],[Month Year]],0))</f>
        <v>31</v>
      </c>
      <c r="H18" s="72">
        <f>H17</f>
        <v>45801</v>
      </c>
      <c r="I18" s="7" t="s">
        <v>1052</v>
      </c>
      <c r="J18" s="7">
        <v>4</v>
      </c>
      <c r="K18" s="7" t="s">
        <v>1087</v>
      </c>
      <c r="L18" s="7" t="s">
        <v>1051</v>
      </c>
      <c r="M18" s="7" t="s">
        <v>1049</v>
      </c>
    </row>
    <row r="19" spans="1:13" x14ac:dyDescent="0.25">
      <c r="A19" s="7">
        <v>537</v>
      </c>
      <c r="B19" s="7">
        <f>YEAR(Spare[[#This Row],[Date]])+IF(MONTH(Spare[[#This Row],[Date]])&gt;=4,1,0)</f>
        <v>2026</v>
      </c>
      <c r="C19" s="7">
        <f>YEAR(Spare[[#This Row],[Date]])</f>
        <v>2025</v>
      </c>
      <c r="D19" s="7" t="s">
        <v>1050</v>
      </c>
      <c r="E19" s="7">
        <v>2025</v>
      </c>
      <c r="F19" s="71">
        <f>Spare[[#This Row],[Date]]-DAY(Spare[[#This Row],[Date]])+1</f>
        <v>45778</v>
      </c>
      <c r="G19" s="7">
        <f>DAY(EOMONTH(Spare[[#This Row],[Month Year]],0))</f>
        <v>31</v>
      </c>
      <c r="H19" s="72">
        <f>H18</f>
        <v>45801</v>
      </c>
      <c r="I19" s="7" t="s">
        <v>1053</v>
      </c>
      <c r="J19" s="7">
        <v>1</v>
      </c>
      <c r="K19" s="7" t="s">
        <v>1087</v>
      </c>
      <c r="L19" s="7" t="s">
        <v>1051</v>
      </c>
      <c r="M19" s="7" t="s">
        <v>1049</v>
      </c>
    </row>
    <row r="20" spans="1:13" x14ac:dyDescent="0.25">
      <c r="A20" s="7">
        <v>538</v>
      </c>
      <c r="B20" s="7">
        <f>YEAR(Spare[[#This Row],[Date]])+IF(MONTH(Spare[[#This Row],[Date]])&gt;=4,1,0)</f>
        <v>2026</v>
      </c>
      <c r="C20" s="7">
        <f>YEAR(Spare[[#This Row],[Date]])</f>
        <v>2025</v>
      </c>
      <c r="D20" s="7" t="s">
        <v>1050</v>
      </c>
      <c r="E20" s="7">
        <v>2025</v>
      </c>
      <c r="F20" s="71">
        <f>Spare[[#This Row],[Date]]-DAY(Spare[[#This Row],[Date]])+1</f>
        <v>45809</v>
      </c>
      <c r="G20" s="7">
        <f>DAY(EOMONTH(Spare[[#This Row],[Month Year]],0))</f>
        <v>30</v>
      </c>
      <c r="H20" s="72">
        <f>H19+12</f>
        <v>45813</v>
      </c>
      <c r="I20" s="7" t="s">
        <v>1052</v>
      </c>
      <c r="J20" s="7">
        <v>6</v>
      </c>
      <c r="K20" s="7" t="s">
        <v>214</v>
      </c>
      <c r="L20" s="7" t="s">
        <v>1051</v>
      </c>
      <c r="M20" s="7" t="s">
        <v>1049</v>
      </c>
    </row>
    <row r="21" spans="1:13" x14ac:dyDescent="0.25">
      <c r="A21" s="7">
        <v>539</v>
      </c>
      <c r="B21" s="7">
        <f>YEAR(Spare[[#This Row],[Date]])+IF(MONTH(Spare[[#This Row],[Date]])&gt;=4,1,0)</f>
        <v>2026</v>
      </c>
      <c r="C21" s="7">
        <f>YEAR(Spare[[#This Row],[Date]])</f>
        <v>2025</v>
      </c>
      <c r="D21" s="7" t="s">
        <v>1050</v>
      </c>
      <c r="E21" s="7">
        <v>2025</v>
      </c>
      <c r="F21" s="71">
        <f>Spare[[#This Row],[Date]]-DAY(Spare[[#This Row],[Date]])+1</f>
        <v>45809</v>
      </c>
      <c r="G21" s="7">
        <f>DAY(EOMONTH(Spare[[#This Row],[Month Year]],0))</f>
        <v>30</v>
      </c>
      <c r="H21" s="72">
        <f>H20+1</f>
        <v>45814</v>
      </c>
      <c r="I21" s="7" t="s">
        <v>1052</v>
      </c>
      <c r="J21" s="7">
        <v>6</v>
      </c>
      <c r="K21" s="7" t="s">
        <v>226</v>
      </c>
      <c r="L21" s="7" t="s">
        <v>1051</v>
      </c>
      <c r="M21" s="7" t="s">
        <v>1049</v>
      </c>
    </row>
    <row r="22" spans="1:13" x14ac:dyDescent="0.25">
      <c r="A22" s="7">
        <v>540</v>
      </c>
      <c r="B22" s="7">
        <f>YEAR(Spare[[#This Row],[Date]])+IF(MONTH(Spare[[#This Row],[Date]])&gt;=4,1,0)</f>
        <v>2026</v>
      </c>
      <c r="C22" s="7">
        <f>YEAR(Spare[[#This Row],[Date]])</f>
        <v>2025</v>
      </c>
      <c r="D22" s="7" t="s">
        <v>1050</v>
      </c>
      <c r="E22" s="7">
        <v>2025</v>
      </c>
      <c r="F22" s="71">
        <f>Spare[[#This Row],[Date]]-DAY(Spare[[#This Row],[Date]])+1</f>
        <v>45809</v>
      </c>
      <c r="G22" s="7">
        <f>DAY(EOMONTH(Spare[[#This Row],[Month Year]],0))</f>
        <v>30</v>
      </c>
      <c r="H22" s="72">
        <f>H21+3</f>
        <v>45817</v>
      </c>
      <c r="I22" s="7" t="s">
        <v>1090</v>
      </c>
      <c r="J22" s="7">
        <v>1</v>
      </c>
      <c r="K22" s="7" t="s">
        <v>100</v>
      </c>
      <c r="L22" s="7" t="s">
        <v>1051</v>
      </c>
      <c r="M22" s="7" t="s">
        <v>1049</v>
      </c>
    </row>
    <row r="23" spans="1:13" x14ac:dyDescent="0.25">
      <c r="A23" s="7">
        <v>541</v>
      </c>
      <c r="B23" s="7">
        <f>YEAR(Spare[[#This Row],[Date]])+IF(MONTH(Spare[[#This Row],[Date]])&gt;=4,1,0)</f>
        <v>2026</v>
      </c>
      <c r="C23" s="7">
        <f>YEAR(Spare[[#This Row],[Date]])</f>
        <v>2025</v>
      </c>
      <c r="D23" s="7" t="s">
        <v>1050</v>
      </c>
      <c r="E23" s="7">
        <v>2025</v>
      </c>
      <c r="F23" s="71">
        <f>Spare[[#This Row],[Date]]-DAY(Spare[[#This Row],[Date]])+1</f>
        <v>45809</v>
      </c>
      <c r="G23" s="7">
        <f>DAY(EOMONTH(Spare[[#This Row],[Month Year]],0))</f>
        <v>30</v>
      </c>
      <c r="H23" s="72">
        <f>H22+2</f>
        <v>45819</v>
      </c>
      <c r="I23" s="7" t="s">
        <v>1091</v>
      </c>
      <c r="J23" s="7">
        <v>1</v>
      </c>
      <c r="K23" s="7" t="s">
        <v>100</v>
      </c>
      <c r="L23" s="7" t="s">
        <v>1051</v>
      </c>
      <c r="M23" s="7" t="s">
        <v>1049</v>
      </c>
    </row>
    <row r="24" spans="1:13" x14ac:dyDescent="0.25">
      <c r="A24" s="7">
        <v>542</v>
      </c>
      <c r="B24" s="7">
        <f>YEAR(Spare[[#This Row],[Date]])+IF(MONTH(Spare[[#This Row],[Date]])&gt;=4,1,0)</f>
        <v>2026</v>
      </c>
      <c r="C24" s="7">
        <f>YEAR(Spare[[#This Row],[Date]])</f>
        <v>2025</v>
      </c>
      <c r="D24" s="7" t="s">
        <v>1050</v>
      </c>
      <c r="E24" s="7">
        <v>2025</v>
      </c>
      <c r="F24" s="71">
        <f>Spare[[#This Row],[Date]]-DAY(Spare[[#This Row],[Date]])+1</f>
        <v>45809</v>
      </c>
      <c r="G24" s="7">
        <f>DAY(EOMONTH(Spare[[#This Row],[Month Year]],0))</f>
        <v>30</v>
      </c>
      <c r="H24" s="72">
        <f>H23+2</f>
        <v>45821</v>
      </c>
      <c r="I24" s="7" t="s">
        <v>1093</v>
      </c>
      <c r="J24" s="7">
        <v>45</v>
      </c>
      <c r="K24" s="7" t="s">
        <v>101</v>
      </c>
      <c r="L24" s="7" t="s">
        <v>1051</v>
      </c>
      <c r="M24" s="7" t="s">
        <v>1049</v>
      </c>
    </row>
    <row r="25" spans="1:13" x14ac:dyDescent="0.25">
      <c r="A25" s="7">
        <v>543</v>
      </c>
      <c r="B25" s="7">
        <f>YEAR(Spare[[#This Row],[Date]])+IF(MONTH(Spare[[#This Row],[Date]])&gt;=4,1,0)</f>
        <v>2026</v>
      </c>
      <c r="C25" s="7">
        <f>YEAR(Spare[[#This Row],[Date]])</f>
        <v>2025</v>
      </c>
      <c r="D25" s="7" t="s">
        <v>1050</v>
      </c>
      <c r="E25" s="7">
        <v>2025</v>
      </c>
      <c r="F25" s="71">
        <f>Spare[[#This Row],[Date]]-DAY(Spare[[#This Row],[Date]])+1</f>
        <v>45809</v>
      </c>
      <c r="G25" s="7">
        <f>DAY(EOMONTH(Spare[[#This Row],[Month Year]],0))</f>
        <v>30</v>
      </c>
      <c r="H25" s="72">
        <f>H24</f>
        <v>45821</v>
      </c>
      <c r="I25" s="7" t="s">
        <v>1052</v>
      </c>
      <c r="J25" s="7">
        <v>5</v>
      </c>
      <c r="K25" s="7" t="s">
        <v>101</v>
      </c>
      <c r="L25" s="7" t="s">
        <v>1051</v>
      </c>
      <c r="M25" s="7" t="s">
        <v>1049</v>
      </c>
    </row>
    <row r="26" spans="1:13" x14ac:dyDescent="0.25">
      <c r="A26" s="7">
        <v>544</v>
      </c>
      <c r="B26" s="7">
        <f>YEAR(Spare[[#This Row],[Date]])+IF(MONTH(Spare[[#This Row],[Date]])&gt;=4,1,0)</f>
        <v>2026</v>
      </c>
      <c r="C26" s="7">
        <f>YEAR(Spare[[#This Row],[Date]])</f>
        <v>2025</v>
      </c>
      <c r="D26" s="7" t="s">
        <v>1050</v>
      </c>
      <c r="E26" s="7">
        <v>2025</v>
      </c>
      <c r="F26" s="71">
        <f>Spare[[#This Row],[Date]]-DAY(Spare[[#This Row],[Date]])+1</f>
        <v>45809</v>
      </c>
      <c r="G26" s="7">
        <f>DAY(EOMONTH(Spare[[#This Row],[Month Year]],0))</f>
        <v>30</v>
      </c>
      <c r="H26" s="72">
        <f>H25+3</f>
        <v>45824</v>
      </c>
      <c r="I26" s="7" t="s">
        <v>1052</v>
      </c>
      <c r="J26" s="7">
        <v>4</v>
      </c>
      <c r="K26" s="7" t="s">
        <v>225</v>
      </c>
      <c r="L26" s="7" t="s">
        <v>1051</v>
      </c>
      <c r="M26" s="7" t="s">
        <v>1049</v>
      </c>
    </row>
    <row r="27" spans="1:13" x14ac:dyDescent="0.25">
      <c r="A27" s="7">
        <v>545</v>
      </c>
      <c r="B27" s="7">
        <f>YEAR(Spare[[#This Row],[Date]])+IF(MONTH(Spare[[#This Row],[Date]])&gt;=4,1,0)</f>
        <v>2026</v>
      </c>
      <c r="C27" s="7">
        <f>YEAR(Spare[[#This Row],[Date]])</f>
        <v>2025</v>
      </c>
      <c r="D27" s="7" t="s">
        <v>1050</v>
      </c>
      <c r="E27" s="7">
        <v>2025</v>
      </c>
      <c r="F27" s="71">
        <f>Spare[[#This Row],[Date]]-DAY(Spare[[#This Row],[Date]])+1</f>
        <v>45809</v>
      </c>
      <c r="G27" s="7">
        <f>DAY(EOMONTH(Spare[[#This Row],[Month Year]],0))</f>
        <v>30</v>
      </c>
      <c r="H27" s="72">
        <f>H26</f>
        <v>45824</v>
      </c>
      <c r="I27" s="7" t="s">
        <v>1093</v>
      </c>
      <c r="J27" s="7">
        <v>50</v>
      </c>
      <c r="K27" s="7" t="s">
        <v>225</v>
      </c>
      <c r="L27" s="7" t="s">
        <v>1051</v>
      </c>
      <c r="M27" s="7" t="s">
        <v>1049</v>
      </c>
    </row>
    <row r="28" spans="1:13" x14ac:dyDescent="0.25">
      <c r="A28" s="7">
        <v>546</v>
      </c>
      <c r="B28" s="7">
        <f>YEAR(Spare[[#This Row],[Date]])+IF(MONTH(Spare[[#This Row],[Date]])&gt;=4,1,0)</f>
        <v>2026</v>
      </c>
      <c r="C28" s="7">
        <f>YEAR(Spare[[#This Row],[Date]])</f>
        <v>2025</v>
      </c>
      <c r="D28" s="7" t="s">
        <v>1050</v>
      </c>
      <c r="E28" s="7">
        <v>2025</v>
      </c>
      <c r="F28" s="71">
        <f>Spare[[#This Row],[Date]]-DAY(Spare[[#This Row],[Date]])+1</f>
        <v>45809</v>
      </c>
      <c r="G28" s="7">
        <f>DAY(EOMONTH(Spare[[#This Row],[Month Year]],0))</f>
        <v>30</v>
      </c>
      <c r="H28" s="72">
        <f t="shared" ref="H28:H29" si="2">H27</f>
        <v>45824</v>
      </c>
      <c r="I28" s="7" t="s">
        <v>1052</v>
      </c>
      <c r="J28" s="7">
        <v>1</v>
      </c>
      <c r="K28" s="7" t="s">
        <v>252</v>
      </c>
      <c r="L28" s="7" t="s">
        <v>1051</v>
      </c>
      <c r="M28" s="7" t="s">
        <v>1049</v>
      </c>
    </row>
    <row r="29" spans="1:13" x14ac:dyDescent="0.25">
      <c r="A29" s="7">
        <v>547</v>
      </c>
      <c r="B29" s="7">
        <f>YEAR(Spare[[#This Row],[Date]])+IF(MONTH(Spare[[#This Row],[Date]])&gt;=4,1,0)</f>
        <v>2026</v>
      </c>
      <c r="C29" s="7">
        <f>YEAR(Spare[[#This Row],[Date]])</f>
        <v>2025</v>
      </c>
      <c r="D29" s="7" t="s">
        <v>1050</v>
      </c>
      <c r="E29" s="7">
        <v>2025</v>
      </c>
      <c r="F29" s="71">
        <f>Spare[[#This Row],[Date]]-DAY(Spare[[#This Row],[Date]])+1</f>
        <v>45809</v>
      </c>
      <c r="G29" s="7">
        <f>DAY(EOMONTH(Spare[[#This Row],[Month Year]],0))</f>
        <v>30</v>
      </c>
      <c r="H29" s="72">
        <f t="shared" si="2"/>
        <v>45824</v>
      </c>
      <c r="I29" s="7" t="s">
        <v>1083</v>
      </c>
      <c r="J29" s="7">
        <v>1</v>
      </c>
      <c r="K29" s="7" t="s">
        <v>252</v>
      </c>
      <c r="L29" s="7" t="s">
        <v>1051</v>
      </c>
      <c r="M29" s="7" t="s">
        <v>1049</v>
      </c>
    </row>
    <row r="30" spans="1:13" x14ac:dyDescent="0.25">
      <c r="A30" s="7">
        <v>548</v>
      </c>
      <c r="B30" s="7">
        <f>YEAR(Spare[[#This Row],[Date]])+IF(MONTH(Spare[[#This Row],[Date]])&gt;=4,1,0)</f>
        <v>2026</v>
      </c>
      <c r="C30" s="7">
        <f>YEAR(Spare[[#This Row],[Date]])</f>
        <v>2025</v>
      </c>
      <c r="D30" s="7" t="s">
        <v>1050</v>
      </c>
      <c r="E30" s="7">
        <v>2025</v>
      </c>
      <c r="F30" s="71">
        <f>Spare[[#This Row],[Date]]-DAY(Spare[[#This Row],[Date]])+1</f>
        <v>45809</v>
      </c>
      <c r="G30" s="7">
        <f>DAY(EOMONTH(Spare[[#This Row],[Month Year]],0))</f>
        <v>30</v>
      </c>
      <c r="H30" s="72">
        <f>H29+11</f>
        <v>45835</v>
      </c>
      <c r="I30" s="7" t="s">
        <v>1052</v>
      </c>
      <c r="J30" s="7">
        <v>2</v>
      </c>
      <c r="K30" s="7" t="s">
        <v>267</v>
      </c>
      <c r="L30" s="7" t="s">
        <v>1051</v>
      </c>
      <c r="M30" s="7" t="s">
        <v>1049</v>
      </c>
    </row>
    <row r="31" spans="1:13" x14ac:dyDescent="0.25">
      <c r="A31" s="7">
        <v>549</v>
      </c>
      <c r="B31" s="7">
        <f>YEAR(Spare[[#This Row],[Date]])+IF(MONTH(Spare[[#This Row],[Date]])&gt;=4,1,0)</f>
        <v>2026</v>
      </c>
      <c r="C31" s="7">
        <f>YEAR(Spare[[#This Row],[Date]])</f>
        <v>2025</v>
      </c>
      <c r="D31" s="7" t="s">
        <v>1050</v>
      </c>
      <c r="E31" s="7">
        <v>2025</v>
      </c>
      <c r="F31" s="71">
        <f>Spare[[#This Row],[Date]]-DAY(Spare[[#This Row],[Date]])+1</f>
        <v>45809</v>
      </c>
      <c r="G31" s="7">
        <f>DAY(EOMONTH(Spare[[#This Row],[Month Year]],0))</f>
        <v>30</v>
      </c>
      <c r="H31" s="72">
        <f>H30</f>
        <v>45835</v>
      </c>
      <c r="I31" s="7" t="s">
        <v>1052</v>
      </c>
      <c r="J31" s="7">
        <v>2</v>
      </c>
      <c r="K31" s="7" t="s">
        <v>232</v>
      </c>
      <c r="L31" s="7" t="s">
        <v>1051</v>
      </c>
      <c r="M31" s="7" t="s">
        <v>1049</v>
      </c>
    </row>
    <row r="32" spans="1:13" x14ac:dyDescent="0.25">
      <c r="A32" s="7">
        <v>550</v>
      </c>
      <c r="B32" s="7">
        <f>YEAR(Spare[[#This Row],[Date]])+IF(MONTH(Spare[[#This Row],[Date]])&gt;=4,1,0)</f>
        <v>2026</v>
      </c>
      <c r="C32" s="7">
        <f>YEAR(Spare[[#This Row],[Date]])</f>
        <v>2025</v>
      </c>
      <c r="D32" s="7" t="s">
        <v>1050</v>
      </c>
      <c r="E32" s="7">
        <v>2025</v>
      </c>
      <c r="F32" s="71">
        <f>Spare[[#This Row],[Date]]-DAY(Spare[[#This Row],[Date]])+1</f>
        <v>45839</v>
      </c>
      <c r="G32" s="7">
        <f>DAY(EOMONTH(Spare[[#This Row],[Month Year]],0))</f>
        <v>31</v>
      </c>
      <c r="H32" s="72">
        <f>H31+23</f>
        <v>45858</v>
      </c>
      <c r="I32" s="7" t="s">
        <v>1052</v>
      </c>
      <c r="J32" s="7">
        <v>6</v>
      </c>
      <c r="K32" s="7" t="s">
        <v>259</v>
      </c>
      <c r="L32" s="7" t="s">
        <v>1051</v>
      </c>
      <c r="M32" s="7" t="s">
        <v>1049</v>
      </c>
    </row>
    <row r="33" spans="1:13" x14ac:dyDescent="0.25">
      <c r="A33" s="7">
        <v>551</v>
      </c>
      <c r="B33" s="7">
        <f>YEAR(Spare[[#This Row],[Date]])+IF(MONTH(Spare[[#This Row],[Date]])&gt;=4,1,0)</f>
        <v>2026</v>
      </c>
      <c r="C33" s="7">
        <f>YEAR(Spare[[#This Row],[Date]])</f>
        <v>2025</v>
      </c>
      <c r="D33" s="7" t="s">
        <v>1050</v>
      </c>
      <c r="E33" s="7">
        <v>2025</v>
      </c>
      <c r="F33" s="71">
        <f>Spare[[#This Row],[Date]]-DAY(Spare[[#This Row],[Date]])+1</f>
        <v>45839</v>
      </c>
      <c r="G33" s="7">
        <f>DAY(EOMONTH(Spare[[#This Row],[Month Year]],0))</f>
        <v>31</v>
      </c>
      <c r="H33" s="72">
        <f>H32</f>
        <v>45858</v>
      </c>
      <c r="I33" s="7" t="s">
        <v>1093</v>
      </c>
      <c r="J33" s="7">
        <v>26</v>
      </c>
      <c r="K33" s="7" t="s">
        <v>259</v>
      </c>
      <c r="L33" s="7" t="s">
        <v>1051</v>
      </c>
      <c r="M33" s="7" t="s">
        <v>1049</v>
      </c>
    </row>
    <row r="34" spans="1:13" x14ac:dyDescent="0.25">
      <c r="A34" s="7">
        <v>552</v>
      </c>
      <c r="B34" s="7">
        <f>YEAR(Spare[[#This Row],[Date]])+IF(MONTH(Spare[[#This Row],[Date]])&gt;=4,1,0)</f>
        <v>2026</v>
      </c>
      <c r="C34" s="7">
        <f>YEAR(Spare[[#This Row],[Date]])</f>
        <v>2025</v>
      </c>
      <c r="D34" s="7" t="s">
        <v>1050</v>
      </c>
      <c r="E34" s="7">
        <v>2025</v>
      </c>
      <c r="F34" s="71">
        <f>Spare[[#This Row],[Date]]-DAY(Spare[[#This Row],[Date]])+1</f>
        <v>45839</v>
      </c>
      <c r="G34" s="7">
        <f>DAY(EOMONTH(Spare[[#This Row],[Month Year]],0))</f>
        <v>31</v>
      </c>
      <c r="H34" s="72">
        <f t="shared" ref="H34:H36" si="3">H33</f>
        <v>45858</v>
      </c>
      <c r="I34" s="7" t="s">
        <v>1052</v>
      </c>
      <c r="J34" s="7">
        <v>8</v>
      </c>
      <c r="K34" s="7" t="s">
        <v>262</v>
      </c>
      <c r="L34" s="7" t="s">
        <v>1051</v>
      </c>
      <c r="M34" s="7" t="s">
        <v>1049</v>
      </c>
    </row>
    <row r="35" spans="1:13" x14ac:dyDescent="0.25">
      <c r="A35" s="7">
        <v>553</v>
      </c>
      <c r="B35" s="7">
        <f>YEAR(Spare[[#This Row],[Date]])+IF(MONTH(Spare[[#This Row],[Date]])&gt;=4,1,0)</f>
        <v>2026</v>
      </c>
      <c r="C35" s="7">
        <f>YEAR(Spare[[#This Row],[Date]])</f>
        <v>2025</v>
      </c>
      <c r="D35" s="7" t="s">
        <v>1050</v>
      </c>
      <c r="E35" s="7">
        <v>2025</v>
      </c>
      <c r="F35" s="71">
        <f>Spare[[#This Row],[Date]]-DAY(Spare[[#This Row],[Date]])+1</f>
        <v>45839</v>
      </c>
      <c r="G35" s="7">
        <f>DAY(EOMONTH(Spare[[#This Row],[Month Year]],0))</f>
        <v>31</v>
      </c>
      <c r="H35" s="72">
        <f t="shared" si="3"/>
        <v>45858</v>
      </c>
      <c r="I35" s="7" t="s">
        <v>1053</v>
      </c>
      <c r="J35" s="7">
        <v>1</v>
      </c>
      <c r="K35" s="7" t="s">
        <v>262</v>
      </c>
      <c r="L35" s="7" t="s">
        <v>1051</v>
      </c>
      <c r="M35" s="7" t="s">
        <v>1049</v>
      </c>
    </row>
    <row r="36" spans="1:13" x14ac:dyDescent="0.25">
      <c r="A36" s="7">
        <v>554</v>
      </c>
      <c r="B36" s="7">
        <f>YEAR(Spare[[#This Row],[Date]])+IF(MONTH(Spare[[#This Row],[Date]])&gt;=4,1,0)</f>
        <v>2026</v>
      </c>
      <c r="C36" s="7">
        <f>YEAR(Spare[[#This Row],[Date]])</f>
        <v>2025</v>
      </c>
      <c r="D36" s="7" t="s">
        <v>1050</v>
      </c>
      <c r="E36" s="7">
        <v>2025</v>
      </c>
      <c r="F36" s="71">
        <f>Spare[[#This Row],[Date]]-DAY(Spare[[#This Row],[Date]])+1</f>
        <v>45839</v>
      </c>
      <c r="G36" s="7">
        <f>DAY(EOMONTH(Spare[[#This Row],[Month Year]],0))</f>
        <v>31</v>
      </c>
      <c r="H36" s="72">
        <f t="shared" si="3"/>
        <v>45858</v>
      </c>
      <c r="I36" s="7" t="s">
        <v>1083</v>
      </c>
      <c r="J36" s="7">
        <v>1</v>
      </c>
      <c r="K36" s="7" t="s">
        <v>262</v>
      </c>
      <c r="L36" s="7" t="s">
        <v>1051</v>
      </c>
      <c r="M36" s="7" t="s">
        <v>1049</v>
      </c>
    </row>
    <row r="37" spans="1:13" x14ac:dyDescent="0.25">
      <c r="A37" s="7">
        <v>555</v>
      </c>
      <c r="B37" s="7">
        <f>YEAR(Spare[[#This Row],[Date]])+IF(MONTH(Spare[[#This Row],[Date]])&gt;=4,1,0)</f>
        <v>2026</v>
      </c>
      <c r="C37" s="7">
        <f>YEAR(Spare[[#This Row],[Date]])</f>
        <v>2025</v>
      </c>
      <c r="D37" s="7" t="s">
        <v>1050</v>
      </c>
      <c r="E37" s="7">
        <v>2025</v>
      </c>
      <c r="F37" s="71">
        <f>Spare[[#This Row],[Date]]-DAY(Spare[[#This Row],[Date]])+1</f>
        <v>45839</v>
      </c>
      <c r="G37" s="7">
        <f>DAY(EOMONTH(Spare[[#This Row],[Month Year]],0))</f>
        <v>31</v>
      </c>
      <c r="H37" s="72">
        <f>H36+4</f>
        <v>45862</v>
      </c>
      <c r="I37" s="7" t="s">
        <v>1052</v>
      </c>
      <c r="J37" s="7">
        <v>4</v>
      </c>
      <c r="K37" s="7" t="s">
        <v>225</v>
      </c>
      <c r="L37" s="7" t="s">
        <v>1051</v>
      </c>
      <c r="M37" s="7" t="s">
        <v>1049</v>
      </c>
    </row>
    <row r="38" spans="1:13" x14ac:dyDescent="0.25">
      <c r="A38" s="7">
        <v>555</v>
      </c>
      <c r="B38" s="7">
        <f>YEAR(Spare[[#This Row],[Date]])+IF(MONTH(Spare[[#This Row],[Date]])&gt;=4,1,0)</f>
        <v>2026</v>
      </c>
      <c r="C38" s="7">
        <f>YEAR(Spare[[#This Row],[Date]])</f>
        <v>2025</v>
      </c>
      <c r="D38" s="7" t="s">
        <v>1050</v>
      </c>
      <c r="E38" s="7">
        <v>2025</v>
      </c>
      <c r="F38" s="71">
        <f>Spare[[#This Row],[Date]]-DAY(Spare[[#This Row],[Date]])+1</f>
        <v>45839</v>
      </c>
      <c r="G38" s="7">
        <f>DAY(EOMONTH(Spare[[#This Row],[Month Year]],0))</f>
        <v>31</v>
      </c>
      <c r="H38" s="72">
        <f>H37+6</f>
        <v>45868</v>
      </c>
      <c r="I38" s="7" t="s">
        <v>1052</v>
      </c>
      <c r="J38" s="7">
        <v>4</v>
      </c>
      <c r="K38" s="7" t="s">
        <v>232</v>
      </c>
      <c r="L38" s="7" t="s">
        <v>1051</v>
      </c>
      <c r="M38" s="7" t="s">
        <v>1049</v>
      </c>
    </row>
    <row r="39" spans="1:13" x14ac:dyDescent="0.25">
      <c r="A39" s="7">
        <v>555</v>
      </c>
      <c r="B39" s="7">
        <f>YEAR(Spare[[#This Row],[Date]])+IF(MONTH(Spare[[#This Row],[Date]])&gt;=4,1,0)</f>
        <v>2026</v>
      </c>
      <c r="C39" s="7">
        <f>YEAR(Spare[[#This Row],[Date]])</f>
        <v>2025</v>
      </c>
      <c r="D39" s="7" t="s">
        <v>1050</v>
      </c>
      <c r="E39" s="7">
        <v>2025</v>
      </c>
      <c r="F39" s="71">
        <f>Spare[[#This Row],[Date]]-DAY(Spare[[#This Row],[Date]])+1</f>
        <v>45839</v>
      </c>
      <c r="G39" s="7">
        <f>DAY(EOMONTH(Spare[[#This Row],[Month Year]],0))</f>
        <v>31</v>
      </c>
      <c r="H39" s="72">
        <f>H38</f>
        <v>45868</v>
      </c>
      <c r="I39" s="7" t="s">
        <v>1093</v>
      </c>
      <c r="J39" s="7">
        <v>25</v>
      </c>
    </row>
    <row r="40" spans="1:13" x14ac:dyDescent="0.25">
      <c r="A40" s="7">
        <v>555</v>
      </c>
      <c r="B40" s="7">
        <f>YEAR(Spare[[#This Row],[Date]])+IF(MONTH(Spare[[#This Row],[Date]])&gt;=4,1,0)</f>
        <v>2026</v>
      </c>
      <c r="C40" s="7">
        <f>YEAR(Spare[[#This Row],[Date]])</f>
        <v>2025</v>
      </c>
      <c r="D40" s="7" t="s">
        <v>1050</v>
      </c>
      <c r="E40" s="7">
        <v>2025</v>
      </c>
      <c r="F40" s="71">
        <f>Spare[[#This Row],[Date]]-DAY(Spare[[#This Row],[Date]])+1</f>
        <v>45839</v>
      </c>
      <c r="G40" s="7">
        <f>DAY(EOMONTH(Spare[[#This Row],[Month Year]],0))</f>
        <v>31</v>
      </c>
      <c r="H40" s="72">
        <f>H39</f>
        <v>45868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F8BA2F-69BB-459F-8A92-B678BBB9E5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JMR</vt:lpstr>
      <vt:lpstr>Modelling New</vt:lpstr>
      <vt:lpstr>Inv_SY_Dev</vt:lpstr>
      <vt:lpstr>Basic Data</vt:lpstr>
      <vt:lpstr>Plant BD</vt:lpstr>
      <vt:lpstr>Grid BD</vt:lpstr>
      <vt:lpstr>Curtailment Records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2025-08-05T01:01:43Z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